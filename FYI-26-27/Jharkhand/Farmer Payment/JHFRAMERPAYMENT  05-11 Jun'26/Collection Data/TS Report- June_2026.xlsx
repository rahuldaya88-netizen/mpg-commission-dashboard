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5-11 Jun'26\Collection Data\"/>
    </mc:Choice>
  </mc:AlternateContent>
  <xr:revisionPtr revIDLastSave="0" documentId="13_ncr:1_{C7BFA5BE-3DD0-456C-A37F-5BBE2FB3FF57}" xr6:coauthVersionLast="47" xr6:coauthVersionMax="47" xr10:uidLastSave="{00000000-0000-0000-0000-000000000000}"/>
  <bookViews>
    <workbookView xWindow="-120" yWindow="-120" windowWidth="29040" windowHeight="15720" tabRatio="682" xr2:uid="{00000000-000D-0000-FFFF-FFFF00000000}"/>
  </bookViews>
  <sheets>
    <sheet name="Sumarry" sheetId="1" r:id="rId1"/>
    <sheet name="Manjhaul" sheetId="2" r:id="rId2"/>
    <sheet name="Hasanpur" sheetId="22" r:id="rId3"/>
    <sheet name="Singhia " sheetId="28" r:id="rId4"/>
    <sheet name="Sahibpur Kamal" sheetId="3" r:id="rId5"/>
    <sheet name="Matihani" sheetId="20" r:id="rId6"/>
    <sheet name="Daily Losses" sheetId="16" state="veryHidden" r:id="rId7"/>
    <sheet name="Bachhwara" sheetId="30" r:id="rId8"/>
    <sheet name="Alauli" sheetId="18" r:id="rId9"/>
    <sheet name="Dalsingsarai" sheetId="5" r:id="rId10"/>
    <sheet name="Musrigharari" sheetId="4" r:id="rId11"/>
    <sheet name="Mahua" sheetId="29" r:id="rId12"/>
    <sheet name="Warisnagar" sheetId="21" r:id="rId13"/>
    <sheet name="Kalyanpur" sheetId="17" r:id="rId14"/>
    <sheet name="Gaighat" sheetId="31" r:id="rId15"/>
    <sheet name="Buxar" sheetId="7" r:id="rId16"/>
    <sheet name="Asarganj" sheetId="9" r:id="rId17"/>
    <sheet name="Laldiyara" sheetId="8" r:id="rId18"/>
    <sheet name="Parbatta" sheetId="27" r:id="rId19"/>
    <sheet name="Gopalpur" sheetId="26" r:id="rId20"/>
    <sheet name="Sonvarsha" sheetId="11" r:id="rId21"/>
    <sheet name="Madhatpur" sheetId="10" r:id="rId22"/>
    <sheet name="Araiya" sheetId="12" r:id="rId23"/>
    <sheet name="Chautham" sheetId="19" r:id="rId24"/>
    <sheet name="Teghra" sheetId="13" r:id="rId25"/>
    <sheet name="Halsi" sheetId="14" r:id="rId26"/>
  </sheets>
  <definedNames>
    <definedName name="_xlnm._FilterDatabase" localSheetId="13" hidden="1">Kalyanpur!$A$1:$AR$66</definedName>
    <definedName name="_xlnm._FilterDatabase" localSheetId="1" hidden="1">Manjhaul!$D$3:$AQ$66</definedName>
    <definedName name="_xlnm._FilterDatabase" localSheetId="4" hidden="1">'Sahibpur Kamal'!$D$3:$AQ$66</definedName>
    <definedName name="_xlnm.Print_Area" localSheetId="0">Sumarry!$C$2:$P$58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9" i="13" l="1"/>
  <c r="I67" i="13"/>
  <c r="O68" i="13"/>
  <c r="Q68" i="2" l="1"/>
  <c r="Q67" i="2"/>
  <c r="AS59" i="19" l="1"/>
  <c r="AS65" i="19"/>
  <c r="AS65" i="13"/>
  <c r="AS59" i="13"/>
  <c r="L19" i="1" l="1"/>
  <c r="R32" i="3" l="1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AS45" i="19" l="1"/>
  <c r="AS45" i="13"/>
  <c r="AS31" i="12" l="1"/>
  <c r="M55" i="1" l="1"/>
  <c r="N55" i="1" s="1"/>
  <c r="AS31" i="19" l="1"/>
  <c r="AS31" i="13"/>
  <c r="AS17" i="14" l="1"/>
  <c r="AS17" i="9"/>
  <c r="G58" i="1" l="1"/>
  <c r="H58" i="1"/>
  <c r="I58" i="1"/>
  <c r="J58" i="1"/>
  <c r="AS17" i="8" l="1"/>
  <c r="AS17" i="13" l="1"/>
  <c r="AA4" i="3"/>
  <c r="AB4" i="3"/>
  <c r="AA5" i="3"/>
  <c r="AB5" i="3"/>
  <c r="AA6" i="3"/>
  <c r="AB6" i="3"/>
  <c r="AA7" i="3"/>
  <c r="AB7" i="3"/>
  <c r="AA8" i="3"/>
  <c r="AB8" i="3"/>
  <c r="AA9" i="3"/>
  <c r="AB9" i="3"/>
  <c r="AA10" i="3"/>
  <c r="AB10" i="3"/>
  <c r="AA11" i="3"/>
  <c r="AB11" i="3"/>
  <c r="AA12" i="3"/>
  <c r="AB12" i="3"/>
  <c r="AA13" i="3"/>
  <c r="AB13" i="3"/>
  <c r="AK5" i="19" l="1"/>
  <c r="AL5" i="19"/>
  <c r="AK6" i="19"/>
  <c r="AL6" i="19"/>
  <c r="AK7" i="19"/>
  <c r="AL7" i="19"/>
  <c r="AK8" i="19"/>
  <c r="AL8" i="19"/>
  <c r="AK9" i="19"/>
  <c r="AL9" i="19"/>
  <c r="AK10" i="19"/>
  <c r="AL10" i="19"/>
  <c r="AK11" i="19"/>
  <c r="AL11" i="19"/>
  <c r="AK12" i="19"/>
  <c r="AL12" i="19"/>
  <c r="AK13" i="19"/>
  <c r="AL13" i="19"/>
  <c r="AK14" i="19"/>
  <c r="AL14" i="19"/>
  <c r="AK15" i="19"/>
  <c r="AL15" i="19"/>
  <c r="AK16" i="19"/>
  <c r="AL16" i="19"/>
  <c r="AK17" i="19"/>
  <c r="AL17" i="19"/>
  <c r="AK18" i="19"/>
  <c r="AL18" i="19"/>
  <c r="AK19" i="19"/>
  <c r="AL19" i="19"/>
  <c r="AK20" i="19"/>
  <c r="AL20" i="19"/>
  <c r="AK21" i="19"/>
  <c r="AL21" i="19"/>
  <c r="AK22" i="19"/>
  <c r="AL22" i="19"/>
  <c r="AK23" i="19"/>
  <c r="AL23" i="19"/>
  <c r="AK24" i="19"/>
  <c r="AL24" i="19"/>
  <c r="AK25" i="19"/>
  <c r="AL25" i="19"/>
  <c r="AK26" i="19"/>
  <c r="AL26" i="19"/>
  <c r="AK27" i="19"/>
  <c r="AL27" i="19"/>
  <c r="AK28" i="19"/>
  <c r="AL28" i="19"/>
  <c r="AK29" i="19"/>
  <c r="AL29" i="19"/>
  <c r="AK30" i="19"/>
  <c r="AL30" i="19"/>
  <c r="AK31" i="19"/>
  <c r="AL31" i="19"/>
  <c r="AK32" i="19"/>
  <c r="AL32" i="19"/>
  <c r="AK33" i="19"/>
  <c r="AL33" i="19"/>
  <c r="AK34" i="19"/>
  <c r="AL34" i="19"/>
  <c r="AK35" i="19"/>
  <c r="AL35" i="19"/>
  <c r="AK36" i="19"/>
  <c r="AL36" i="19"/>
  <c r="AK37" i="19"/>
  <c r="AL37" i="19"/>
  <c r="AK38" i="19"/>
  <c r="AL38" i="19"/>
  <c r="AK39" i="19"/>
  <c r="AL39" i="19"/>
  <c r="AK40" i="19"/>
  <c r="AL40" i="19"/>
  <c r="AK41" i="19"/>
  <c r="AL41" i="19"/>
  <c r="AK42" i="19"/>
  <c r="AL42" i="19"/>
  <c r="AK43" i="19"/>
  <c r="AL43" i="19"/>
  <c r="AK44" i="19"/>
  <c r="AL44" i="19"/>
  <c r="AK45" i="19"/>
  <c r="AL45" i="19"/>
  <c r="AK46" i="19"/>
  <c r="AL46" i="19"/>
  <c r="AK47" i="19"/>
  <c r="AL47" i="19"/>
  <c r="AK48" i="19"/>
  <c r="AL48" i="19"/>
  <c r="AK49" i="19"/>
  <c r="AL49" i="19"/>
  <c r="AK50" i="19"/>
  <c r="AL50" i="19"/>
  <c r="AK51" i="19"/>
  <c r="AL51" i="19"/>
  <c r="AK52" i="19"/>
  <c r="AL52" i="19"/>
  <c r="AK53" i="19"/>
  <c r="AL53" i="19"/>
  <c r="AK54" i="19"/>
  <c r="AL54" i="19"/>
  <c r="AK55" i="19"/>
  <c r="AL55" i="19"/>
  <c r="AK56" i="19"/>
  <c r="AL56" i="19"/>
  <c r="AK57" i="19"/>
  <c r="AL57" i="19"/>
  <c r="AK58" i="19"/>
  <c r="AL58" i="19"/>
  <c r="AK59" i="19"/>
  <c r="AL59" i="19"/>
  <c r="AK60" i="19"/>
  <c r="AL60" i="19"/>
  <c r="AK61" i="19"/>
  <c r="AL61" i="19"/>
  <c r="AK62" i="19"/>
  <c r="AL62" i="19"/>
  <c r="AK63" i="19"/>
  <c r="AL63" i="19"/>
  <c r="AK64" i="19"/>
  <c r="AL64" i="19"/>
  <c r="AK65" i="19"/>
  <c r="AL65" i="19"/>
  <c r="AF5" i="19"/>
  <c r="AG5" i="19"/>
  <c r="AF6" i="19"/>
  <c r="AG6" i="19"/>
  <c r="AF7" i="19"/>
  <c r="AG7" i="19"/>
  <c r="AF8" i="19"/>
  <c r="AG8" i="19"/>
  <c r="AF9" i="19"/>
  <c r="AG9" i="19"/>
  <c r="AF10" i="19"/>
  <c r="AG10" i="19"/>
  <c r="AF11" i="19"/>
  <c r="AG11" i="19"/>
  <c r="AF12" i="19"/>
  <c r="AG12" i="19"/>
  <c r="AF13" i="19"/>
  <c r="AG13" i="19"/>
  <c r="AF14" i="19"/>
  <c r="AG14" i="19"/>
  <c r="AF15" i="19"/>
  <c r="AG15" i="19"/>
  <c r="AF16" i="19"/>
  <c r="AG16" i="19"/>
  <c r="AF17" i="19"/>
  <c r="AG17" i="19"/>
  <c r="AF18" i="19"/>
  <c r="AG18" i="19"/>
  <c r="AF19" i="19"/>
  <c r="AG19" i="19"/>
  <c r="AF20" i="19"/>
  <c r="AG20" i="19"/>
  <c r="AF21" i="19"/>
  <c r="AG21" i="19"/>
  <c r="AF22" i="19"/>
  <c r="AG22" i="19"/>
  <c r="AF23" i="19"/>
  <c r="AG23" i="19"/>
  <c r="AF24" i="19"/>
  <c r="AG24" i="19"/>
  <c r="AF25" i="19"/>
  <c r="AG25" i="19"/>
  <c r="AF26" i="19"/>
  <c r="AG26" i="19"/>
  <c r="AF27" i="19"/>
  <c r="AG27" i="19"/>
  <c r="AF28" i="19"/>
  <c r="AG28" i="19"/>
  <c r="AF29" i="19"/>
  <c r="AG29" i="19"/>
  <c r="AF30" i="19"/>
  <c r="AG30" i="19"/>
  <c r="AF31" i="19"/>
  <c r="AG31" i="19"/>
  <c r="AF32" i="19"/>
  <c r="AG32" i="19"/>
  <c r="AF33" i="19"/>
  <c r="AG33" i="19"/>
  <c r="AF34" i="19"/>
  <c r="AG34" i="19"/>
  <c r="AF35" i="19"/>
  <c r="AG35" i="19"/>
  <c r="AF36" i="19"/>
  <c r="AG36" i="19"/>
  <c r="AF37" i="19"/>
  <c r="AG37" i="19"/>
  <c r="AF38" i="19"/>
  <c r="AG38" i="19"/>
  <c r="AF39" i="19"/>
  <c r="AG39" i="19"/>
  <c r="AF40" i="19"/>
  <c r="AG40" i="19"/>
  <c r="AF41" i="19"/>
  <c r="AG41" i="19"/>
  <c r="AF42" i="19"/>
  <c r="AG42" i="19"/>
  <c r="AF43" i="19"/>
  <c r="AG43" i="19"/>
  <c r="AF44" i="19"/>
  <c r="AG44" i="19"/>
  <c r="AF45" i="19"/>
  <c r="AG45" i="19"/>
  <c r="AF46" i="19"/>
  <c r="AG46" i="19"/>
  <c r="AF47" i="19"/>
  <c r="AG47" i="19"/>
  <c r="AF48" i="19"/>
  <c r="AG48" i="19"/>
  <c r="AF49" i="19"/>
  <c r="AG49" i="19"/>
  <c r="AF50" i="19"/>
  <c r="AG50" i="19"/>
  <c r="AF51" i="19"/>
  <c r="AG51" i="19"/>
  <c r="AF52" i="19"/>
  <c r="AG52" i="19"/>
  <c r="AF53" i="19"/>
  <c r="AG53" i="19"/>
  <c r="AF54" i="19"/>
  <c r="AG54" i="19"/>
  <c r="AF55" i="19"/>
  <c r="AG55" i="19"/>
  <c r="AF56" i="19"/>
  <c r="AG56" i="19"/>
  <c r="AF57" i="19"/>
  <c r="AG57" i="19"/>
  <c r="AF58" i="19"/>
  <c r="AG58" i="19"/>
  <c r="AF59" i="19"/>
  <c r="AG59" i="19"/>
  <c r="AF60" i="19"/>
  <c r="AG60" i="19"/>
  <c r="AF61" i="19"/>
  <c r="AG61" i="19"/>
  <c r="AF62" i="19"/>
  <c r="AG62" i="19"/>
  <c r="AF63" i="19"/>
  <c r="AG63" i="19"/>
  <c r="AF64" i="19"/>
  <c r="AG64" i="19"/>
  <c r="AF65" i="19"/>
  <c r="AG65" i="19"/>
  <c r="AA5" i="19"/>
  <c r="AB5" i="19"/>
  <c r="AA6" i="19"/>
  <c r="AB6" i="19"/>
  <c r="AA7" i="19"/>
  <c r="AB7" i="19"/>
  <c r="AA8" i="19"/>
  <c r="AB8" i="19"/>
  <c r="AA9" i="19"/>
  <c r="AB9" i="19"/>
  <c r="AA10" i="19"/>
  <c r="AB10" i="19"/>
  <c r="AA11" i="19"/>
  <c r="AB11" i="19"/>
  <c r="AA12" i="19"/>
  <c r="AB12" i="19"/>
  <c r="AA13" i="19"/>
  <c r="AB13" i="19"/>
  <c r="AA14" i="19"/>
  <c r="AB14" i="19"/>
  <c r="AA15" i="19"/>
  <c r="AB15" i="19"/>
  <c r="AA16" i="19"/>
  <c r="AB16" i="19"/>
  <c r="AA17" i="19"/>
  <c r="AB17" i="19"/>
  <c r="AA18" i="19"/>
  <c r="AB18" i="19"/>
  <c r="AA19" i="19"/>
  <c r="AB19" i="19"/>
  <c r="AA20" i="19"/>
  <c r="AB20" i="19"/>
  <c r="AA21" i="19"/>
  <c r="AB21" i="19"/>
  <c r="AA22" i="19"/>
  <c r="AB22" i="19"/>
  <c r="AA23" i="19"/>
  <c r="AB23" i="19"/>
  <c r="AA24" i="19"/>
  <c r="AB24" i="19"/>
  <c r="AA25" i="19"/>
  <c r="AB25" i="19"/>
  <c r="AA26" i="19"/>
  <c r="AB26" i="19"/>
  <c r="AA27" i="19"/>
  <c r="AB27" i="19"/>
  <c r="AA28" i="19"/>
  <c r="AB28" i="19"/>
  <c r="AA29" i="19"/>
  <c r="AB29" i="19"/>
  <c r="AA30" i="19"/>
  <c r="AB30" i="19"/>
  <c r="AA31" i="19"/>
  <c r="AB31" i="19"/>
  <c r="AA32" i="19"/>
  <c r="AB32" i="19"/>
  <c r="AA33" i="19"/>
  <c r="AB33" i="19"/>
  <c r="AA34" i="19"/>
  <c r="AB34" i="19"/>
  <c r="AA35" i="19"/>
  <c r="AB35" i="19"/>
  <c r="AA36" i="19"/>
  <c r="AB36" i="19"/>
  <c r="AA37" i="19"/>
  <c r="AB37" i="19"/>
  <c r="AA38" i="19"/>
  <c r="AB38" i="19"/>
  <c r="AA39" i="19"/>
  <c r="AB39" i="19"/>
  <c r="AA40" i="19"/>
  <c r="AB40" i="19"/>
  <c r="AA41" i="19"/>
  <c r="AB41" i="19"/>
  <c r="AA42" i="19"/>
  <c r="AB42" i="19"/>
  <c r="AA43" i="19"/>
  <c r="AB43" i="19"/>
  <c r="AA44" i="19"/>
  <c r="AB44" i="19"/>
  <c r="AA45" i="19"/>
  <c r="AB45" i="19"/>
  <c r="AA46" i="19"/>
  <c r="AB46" i="19"/>
  <c r="AA47" i="19"/>
  <c r="AB47" i="19"/>
  <c r="AA48" i="19"/>
  <c r="AB48" i="19"/>
  <c r="AA49" i="19"/>
  <c r="AB49" i="19"/>
  <c r="AA50" i="19"/>
  <c r="AB50" i="19"/>
  <c r="AA51" i="19"/>
  <c r="AB51" i="19"/>
  <c r="AA52" i="19"/>
  <c r="AB52" i="19"/>
  <c r="AA53" i="19"/>
  <c r="AB53" i="19"/>
  <c r="AA54" i="19"/>
  <c r="AB54" i="19"/>
  <c r="AA55" i="19"/>
  <c r="AB55" i="19"/>
  <c r="AA56" i="19"/>
  <c r="AB56" i="19"/>
  <c r="AA57" i="19"/>
  <c r="AB57" i="19"/>
  <c r="AA58" i="19"/>
  <c r="AB58" i="19"/>
  <c r="AA59" i="19"/>
  <c r="AB59" i="19"/>
  <c r="AA60" i="19"/>
  <c r="AB60" i="19"/>
  <c r="AA61" i="19"/>
  <c r="AB61" i="19"/>
  <c r="AA62" i="19"/>
  <c r="AB62" i="19"/>
  <c r="AA63" i="19"/>
  <c r="AB63" i="19"/>
  <c r="AA64" i="19"/>
  <c r="AB64" i="19"/>
  <c r="AA65" i="19"/>
  <c r="AB65" i="19"/>
  <c r="R5" i="19"/>
  <c r="S5" i="19"/>
  <c r="T5" i="19"/>
  <c r="R6" i="19"/>
  <c r="S6" i="19"/>
  <c r="T6" i="19"/>
  <c r="R7" i="19"/>
  <c r="S7" i="19"/>
  <c r="T7" i="19"/>
  <c r="R8" i="19"/>
  <c r="S8" i="19"/>
  <c r="T8" i="19"/>
  <c r="R9" i="19"/>
  <c r="S9" i="19"/>
  <c r="T9" i="19"/>
  <c r="R10" i="19"/>
  <c r="S10" i="19"/>
  <c r="T10" i="19"/>
  <c r="R11" i="19"/>
  <c r="S11" i="19"/>
  <c r="T11" i="19"/>
  <c r="R12" i="19"/>
  <c r="S12" i="19"/>
  <c r="T12" i="19"/>
  <c r="R13" i="19"/>
  <c r="S13" i="19"/>
  <c r="T13" i="19"/>
  <c r="R14" i="19"/>
  <c r="S14" i="19"/>
  <c r="T14" i="19"/>
  <c r="R15" i="19"/>
  <c r="S15" i="19"/>
  <c r="T15" i="19"/>
  <c r="R16" i="19"/>
  <c r="S16" i="19"/>
  <c r="T16" i="19"/>
  <c r="R17" i="19"/>
  <c r="S17" i="19"/>
  <c r="T17" i="19"/>
  <c r="R18" i="19"/>
  <c r="S18" i="19"/>
  <c r="T18" i="19"/>
  <c r="R19" i="19"/>
  <c r="S19" i="19"/>
  <c r="T19" i="19"/>
  <c r="R20" i="19"/>
  <c r="S20" i="19"/>
  <c r="T20" i="19"/>
  <c r="R21" i="19"/>
  <c r="S21" i="19"/>
  <c r="T21" i="19"/>
  <c r="R22" i="19"/>
  <c r="S22" i="19"/>
  <c r="T22" i="19"/>
  <c r="R23" i="19"/>
  <c r="S23" i="19"/>
  <c r="T23" i="19"/>
  <c r="R24" i="19"/>
  <c r="S24" i="19"/>
  <c r="T24" i="19"/>
  <c r="R25" i="19"/>
  <c r="S25" i="19"/>
  <c r="T25" i="19"/>
  <c r="R26" i="19"/>
  <c r="S26" i="19"/>
  <c r="T26" i="19"/>
  <c r="R27" i="19"/>
  <c r="S27" i="19"/>
  <c r="T27" i="19"/>
  <c r="R28" i="19"/>
  <c r="S28" i="19"/>
  <c r="T28" i="19"/>
  <c r="R29" i="19"/>
  <c r="S29" i="19"/>
  <c r="T29" i="19"/>
  <c r="R30" i="19"/>
  <c r="S30" i="19"/>
  <c r="T30" i="19"/>
  <c r="R31" i="19"/>
  <c r="S31" i="19"/>
  <c r="T31" i="19"/>
  <c r="R32" i="19"/>
  <c r="S32" i="19"/>
  <c r="T32" i="19"/>
  <c r="R33" i="19"/>
  <c r="S33" i="19"/>
  <c r="T33" i="19"/>
  <c r="R34" i="19"/>
  <c r="S34" i="19"/>
  <c r="T34" i="19"/>
  <c r="R35" i="19"/>
  <c r="S35" i="19"/>
  <c r="T35" i="19"/>
  <c r="R36" i="19"/>
  <c r="S36" i="19"/>
  <c r="T36" i="19"/>
  <c r="R37" i="19"/>
  <c r="S37" i="19"/>
  <c r="T37" i="19"/>
  <c r="R38" i="19"/>
  <c r="S38" i="19"/>
  <c r="T38" i="19"/>
  <c r="R39" i="19"/>
  <c r="S39" i="19"/>
  <c r="T39" i="19"/>
  <c r="R40" i="19"/>
  <c r="S40" i="19"/>
  <c r="T40" i="19"/>
  <c r="R41" i="19"/>
  <c r="S41" i="19"/>
  <c r="T41" i="19"/>
  <c r="R42" i="19"/>
  <c r="S42" i="19"/>
  <c r="T42" i="19"/>
  <c r="R43" i="19"/>
  <c r="S43" i="19"/>
  <c r="T43" i="19"/>
  <c r="R44" i="19"/>
  <c r="S44" i="19"/>
  <c r="T44" i="19"/>
  <c r="R45" i="19"/>
  <c r="S45" i="19"/>
  <c r="T45" i="19"/>
  <c r="R46" i="19"/>
  <c r="S46" i="19"/>
  <c r="T46" i="19"/>
  <c r="R47" i="19"/>
  <c r="S47" i="19"/>
  <c r="T47" i="19"/>
  <c r="R48" i="19"/>
  <c r="S48" i="19"/>
  <c r="T48" i="19"/>
  <c r="R49" i="19"/>
  <c r="S49" i="19"/>
  <c r="T49" i="19"/>
  <c r="R50" i="19"/>
  <c r="S50" i="19"/>
  <c r="T50" i="19"/>
  <c r="R51" i="19"/>
  <c r="S51" i="19"/>
  <c r="T51" i="19"/>
  <c r="R52" i="19"/>
  <c r="S52" i="19"/>
  <c r="T52" i="19"/>
  <c r="R53" i="19"/>
  <c r="S53" i="19"/>
  <c r="T53" i="19"/>
  <c r="R54" i="19"/>
  <c r="S54" i="19"/>
  <c r="T54" i="19"/>
  <c r="R55" i="19"/>
  <c r="S55" i="19"/>
  <c r="T55" i="19"/>
  <c r="R56" i="19"/>
  <c r="S56" i="19"/>
  <c r="T56" i="19"/>
  <c r="R57" i="19"/>
  <c r="S57" i="19"/>
  <c r="T57" i="19"/>
  <c r="R58" i="19"/>
  <c r="S58" i="19"/>
  <c r="T58" i="19"/>
  <c r="R59" i="19"/>
  <c r="S59" i="19"/>
  <c r="T59" i="19"/>
  <c r="R60" i="19"/>
  <c r="S60" i="19"/>
  <c r="T60" i="19"/>
  <c r="R61" i="19"/>
  <c r="S61" i="19"/>
  <c r="T61" i="19"/>
  <c r="R62" i="19"/>
  <c r="S62" i="19"/>
  <c r="T62" i="19"/>
  <c r="R63" i="19"/>
  <c r="S63" i="19"/>
  <c r="T63" i="19"/>
  <c r="R64" i="19"/>
  <c r="S64" i="19"/>
  <c r="T64" i="19"/>
  <c r="R65" i="19"/>
  <c r="S65" i="19"/>
  <c r="T65" i="19"/>
  <c r="G5" i="19"/>
  <c r="H5" i="19"/>
  <c r="G6" i="19"/>
  <c r="H6" i="19"/>
  <c r="G7" i="19"/>
  <c r="H7" i="19"/>
  <c r="G8" i="19"/>
  <c r="H8" i="19"/>
  <c r="G9" i="19"/>
  <c r="H9" i="19"/>
  <c r="G10" i="19"/>
  <c r="H10" i="19"/>
  <c r="G11" i="19"/>
  <c r="H11" i="19"/>
  <c r="G12" i="19"/>
  <c r="H12" i="19"/>
  <c r="G13" i="19"/>
  <c r="H13" i="19"/>
  <c r="G14" i="19"/>
  <c r="H14" i="19"/>
  <c r="G15" i="19"/>
  <c r="H15" i="19"/>
  <c r="G16" i="19"/>
  <c r="H16" i="19"/>
  <c r="G17" i="19"/>
  <c r="H17" i="19"/>
  <c r="G18" i="19"/>
  <c r="H18" i="19"/>
  <c r="G19" i="19"/>
  <c r="H19" i="19"/>
  <c r="G20" i="19"/>
  <c r="H20" i="19"/>
  <c r="G21" i="19"/>
  <c r="H21" i="19"/>
  <c r="G22" i="19"/>
  <c r="H22" i="19"/>
  <c r="G23" i="19"/>
  <c r="H23" i="19"/>
  <c r="G24" i="19"/>
  <c r="H24" i="19"/>
  <c r="G25" i="19"/>
  <c r="H25" i="19"/>
  <c r="G26" i="19"/>
  <c r="H26" i="19"/>
  <c r="G27" i="19"/>
  <c r="H27" i="19"/>
  <c r="G28" i="19"/>
  <c r="H28" i="19"/>
  <c r="G29" i="19"/>
  <c r="H29" i="19"/>
  <c r="G30" i="19"/>
  <c r="H30" i="19"/>
  <c r="G31" i="19"/>
  <c r="H31" i="19"/>
  <c r="G32" i="19"/>
  <c r="H32" i="19"/>
  <c r="G33" i="19"/>
  <c r="H33" i="19"/>
  <c r="G34" i="19"/>
  <c r="H34" i="19"/>
  <c r="G35" i="19"/>
  <c r="H35" i="19"/>
  <c r="G36" i="19"/>
  <c r="H36" i="19"/>
  <c r="G37" i="19"/>
  <c r="H37" i="19"/>
  <c r="G38" i="19"/>
  <c r="H38" i="19"/>
  <c r="G39" i="19"/>
  <c r="H39" i="19"/>
  <c r="G40" i="19"/>
  <c r="H40" i="19"/>
  <c r="G41" i="19"/>
  <c r="H41" i="19"/>
  <c r="G42" i="19"/>
  <c r="H42" i="19"/>
  <c r="G43" i="19"/>
  <c r="H43" i="19"/>
  <c r="G44" i="19"/>
  <c r="H44" i="19"/>
  <c r="G45" i="19"/>
  <c r="H45" i="19"/>
  <c r="G46" i="19"/>
  <c r="H46" i="19"/>
  <c r="G47" i="19"/>
  <c r="H47" i="19"/>
  <c r="G48" i="19"/>
  <c r="H48" i="19"/>
  <c r="G49" i="19"/>
  <c r="H49" i="19"/>
  <c r="G50" i="19"/>
  <c r="H50" i="19"/>
  <c r="G51" i="19"/>
  <c r="H51" i="19"/>
  <c r="G52" i="19"/>
  <c r="H52" i="19"/>
  <c r="G53" i="19"/>
  <c r="H53" i="19"/>
  <c r="G54" i="19"/>
  <c r="H54" i="19"/>
  <c r="G55" i="19"/>
  <c r="H55" i="19"/>
  <c r="G56" i="19"/>
  <c r="H56" i="19"/>
  <c r="G57" i="19"/>
  <c r="H57" i="19"/>
  <c r="G58" i="19"/>
  <c r="H58" i="19"/>
  <c r="G59" i="19"/>
  <c r="H59" i="19"/>
  <c r="G60" i="19"/>
  <c r="H60" i="19"/>
  <c r="G61" i="19"/>
  <c r="H61" i="19"/>
  <c r="G62" i="19"/>
  <c r="H62" i="19"/>
  <c r="G63" i="19"/>
  <c r="H63" i="19"/>
  <c r="G64" i="19"/>
  <c r="H64" i="19"/>
  <c r="G65" i="19"/>
  <c r="H65" i="19"/>
  <c r="AS63" i="11" l="1"/>
  <c r="AS49" i="11"/>
  <c r="AP1" i="17" l="1"/>
  <c r="T65" i="17"/>
  <c r="S65" i="17"/>
  <c r="R65" i="17"/>
  <c r="AM65" i="17" s="1"/>
  <c r="T64" i="17"/>
  <c r="S64" i="17"/>
  <c r="R64" i="17"/>
  <c r="AM64" i="17" s="1"/>
  <c r="T63" i="17"/>
  <c r="S63" i="17"/>
  <c r="R63" i="17"/>
  <c r="AM63" i="17" s="1"/>
  <c r="T62" i="17"/>
  <c r="S62" i="17"/>
  <c r="R62" i="17"/>
  <c r="AM62" i="17" s="1"/>
  <c r="T61" i="17"/>
  <c r="S61" i="17"/>
  <c r="R61" i="17"/>
  <c r="AM61" i="17" s="1"/>
  <c r="T60" i="17"/>
  <c r="S60" i="17"/>
  <c r="R60" i="17"/>
  <c r="AM60" i="17" s="1"/>
  <c r="T59" i="17"/>
  <c r="S59" i="17"/>
  <c r="R59" i="17"/>
  <c r="AM59" i="17" s="1"/>
  <c r="T58" i="17"/>
  <c r="S58" i="17"/>
  <c r="R58" i="17"/>
  <c r="AM58" i="17" s="1"/>
  <c r="T57" i="17"/>
  <c r="S57" i="17"/>
  <c r="R57" i="17"/>
  <c r="AM57" i="17" s="1"/>
  <c r="T56" i="17"/>
  <c r="S56" i="17"/>
  <c r="R56" i="17"/>
  <c r="AM56" i="17" s="1"/>
  <c r="T55" i="17"/>
  <c r="S55" i="17"/>
  <c r="R55" i="17"/>
  <c r="AM55" i="17" s="1"/>
  <c r="T54" i="17"/>
  <c r="S54" i="17"/>
  <c r="R54" i="17"/>
  <c r="AM54" i="17" s="1"/>
  <c r="T53" i="17"/>
  <c r="S53" i="17"/>
  <c r="R53" i="17"/>
  <c r="AM53" i="17" s="1"/>
  <c r="T52" i="17"/>
  <c r="S52" i="17"/>
  <c r="R52" i="17"/>
  <c r="AM52" i="17" s="1"/>
  <c r="T51" i="17"/>
  <c r="S51" i="17"/>
  <c r="R51" i="17"/>
  <c r="AM51" i="17" s="1"/>
  <c r="T50" i="17"/>
  <c r="S50" i="17"/>
  <c r="R50" i="17"/>
  <c r="AM50" i="17" s="1"/>
  <c r="T49" i="17"/>
  <c r="S49" i="17"/>
  <c r="R49" i="17"/>
  <c r="AM49" i="17" s="1"/>
  <c r="T48" i="17"/>
  <c r="S48" i="17"/>
  <c r="R48" i="17"/>
  <c r="AM48" i="17" s="1"/>
  <c r="T47" i="17"/>
  <c r="S47" i="17"/>
  <c r="R47" i="17"/>
  <c r="AM47" i="17" s="1"/>
  <c r="T46" i="17"/>
  <c r="S46" i="17"/>
  <c r="R46" i="17"/>
  <c r="AM46" i="17" s="1"/>
  <c r="T45" i="17"/>
  <c r="S45" i="17"/>
  <c r="R45" i="17"/>
  <c r="AM45" i="17" s="1"/>
  <c r="T44" i="17"/>
  <c r="S44" i="17"/>
  <c r="R44" i="17"/>
  <c r="AM44" i="17" s="1"/>
  <c r="T43" i="17"/>
  <c r="S43" i="17"/>
  <c r="R43" i="17"/>
  <c r="AM43" i="17" s="1"/>
  <c r="T42" i="17"/>
  <c r="S42" i="17"/>
  <c r="R42" i="17"/>
  <c r="AM42" i="17" s="1"/>
  <c r="T41" i="17"/>
  <c r="S41" i="17"/>
  <c r="R41" i="17"/>
  <c r="AM41" i="17" s="1"/>
  <c r="T40" i="17"/>
  <c r="S40" i="17"/>
  <c r="R40" i="17"/>
  <c r="AM40" i="17" s="1"/>
  <c r="T39" i="17"/>
  <c r="S39" i="17"/>
  <c r="R39" i="17"/>
  <c r="AM39" i="17" s="1"/>
  <c r="T38" i="17"/>
  <c r="S38" i="17"/>
  <c r="R38" i="17"/>
  <c r="AM38" i="17" s="1"/>
  <c r="T37" i="17"/>
  <c r="S37" i="17"/>
  <c r="R37" i="17"/>
  <c r="AM37" i="17" s="1"/>
  <c r="T36" i="17"/>
  <c r="S36" i="17"/>
  <c r="R36" i="17"/>
  <c r="AM36" i="17" s="1"/>
  <c r="T35" i="17"/>
  <c r="S35" i="17"/>
  <c r="R35" i="17"/>
  <c r="AM35" i="17" s="1"/>
  <c r="T34" i="17"/>
  <c r="S34" i="17"/>
  <c r="R34" i="17"/>
  <c r="AM34" i="17" s="1"/>
  <c r="T33" i="17"/>
  <c r="S33" i="17"/>
  <c r="R33" i="17"/>
  <c r="AM33" i="17" s="1"/>
  <c r="T32" i="17"/>
  <c r="S32" i="17"/>
  <c r="R32" i="17"/>
  <c r="AM32" i="17" s="1"/>
  <c r="T31" i="17"/>
  <c r="S31" i="17"/>
  <c r="R31" i="17"/>
  <c r="AM31" i="17" s="1"/>
  <c r="T30" i="17"/>
  <c r="S30" i="17"/>
  <c r="R30" i="17"/>
  <c r="AM30" i="17" s="1"/>
  <c r="T29" i="17"/>
  <c r="S29" i="17"/>
  <c r="R29" i="17"/>
  <c r="AM29" i="17" s="1"/>
  <c r="T28" i="17"/>
  <c r="S28" i="17"/>
  <c r="R28" i="17"/>
  <c r="AM28" i="17" s="1"/>
  <c r="T27" i="17"/>
  <c r="S27" i="17"/>
  <c r="R27" i="17"/>
  <c r="AM27" i="17" s="1"/>
  <c r="T26" i="17"/>
  <c r="S26" i="17"/>
  <c r="R26" i="17"/>
  <c r="AM26" i="17" s="1"/>
  <c r="T25" i="17"/>
  <c r="S25" i="17"/>
  <c r="R25" i="17"/>
  <c r="AM25" i="17" s="1"/>
  <c r="T24" i="17"/>
  <c r="S24" i="17"/>
  <c r="R24" i="17"/>
  <c r="AM24" i="17" s="1"/>
  <c r="T23" i="17"/>
  <c r="S23" i="17"/>
  <c r="R23" i="17"/>
  <c r="AM23" i="17" s="1"/>
  <c r="T22" i="17"/>
  <c r="S22" i="17"/>
  <c r="R22" i="17"/>
  <c r="AM22" i="17" s="1"/>
  <c r="T21" i="17"/>
  <c r="S21" i="17"/>
  <c r="R21" i="17"/>
  <c r="AM21" i="17" s="1"/>
  <c r="T20" i="17"/>
  <c r="S20" i="17"/>
  <c r="R20" i="17"/>
  <c r="AM20" i="17" s="1"/>
  <c r="T19" i="17"/>
  <c r="S19" i="17"/>
  <c r="R19" i="17"/>
  <c r="AM19" i="17" s="1"/>
  <c r="T18" i="17"/>
  <c r="S18" i="17"/>
  <c r="R18" i="17"/>
  <c r="AM18" i="17" s="1"/>
  <c r="T17" i="17"/>
  <c r="S17" i="17"/>
  <c r="R17" i="17"/>
  <c r="AM17" i="17" s="1"/>
  <c r="T16" i="17"/>
  <c r="S16" i="17"/>
  <c r="R16" i="17"/>
  <c r="T15" i="17"/>
  <c r="S15" i="17"/>
  <c r="R15" i="17"/>
  <c r="AM15" i="17" s="1"/>
  <c r="T14" i="17"/>
  <c r="S14" i="17"/>
  <c r="R14" i="17"/>
  <c r="AM14" i="17" s="1"/>
  <c r="T13" i="17"/>
  <c r="S13" i="17"/>
  <c r="R13" i="17"/>
  <c r="AM13" i="17" s="1"/>
  <c r="T12" i="17"/>
  <c r="S12" i="17"/>
  <c r="R12" i="17"/>
  <c r="AM12" i="17" s="1"/>
  <c r="T11" i="17"/>
  <c r="S11" i="17"/>
  <c r="R11" i="17"/>
  <c r="AM11" i="17" s="1"/>
  <c r="T10" i="17"/>
  <c r="S10" i="17"/>
  <c r="R10" i="17"/>
  <c r="AM10" i="17" s="1"/>
  <c r="T9" i="17"/>
  <c r="S9" i="17"/>
  <c r="R9" i="17"/>
  <c r="T8" i="17"/>
  <c r="S8" i="17"/>
  <c r="R8" i="17"/>
  <c r="AM8" i="17" s="1"/>
  <c r="T7" i="17"/>
  <c r="S7" i="17"/>
  <c r="R7" i="17"/>
  <c r="AM7" i="17" s="1"/>
  <c r="T6" i="17"/>
  <c r="S6" i="17"/>
  <c r="R6" i="17"/>
  <c r="AM6" i="17" s="1"/>
  <c r="T5" i="17"/>
  <c r="S5" i="17"/>
  <c r="R5" i="17"/>
  <c r="AM16" i="17"/>
  <c r="AM9" i="17"/>
  <c r="AL65" i="17"/>
  <c r="AK65" i="17"/>
  <c r="AL64" i="17"/>
  <c r="AK64" i="17"/>
  <c r="AL63" i="17"/>
  <c r="AK63" i="17"/>
  <c r="AL62" i="17"/>
  <c r="AK62" i="17"/>
  <c r="AL61" i="17"/>
  <c r="AK61" i="17"/>
  <c r="AL60" i="17"/>
  <c r="AK60" i="17"/>
  <c r="AL59" i="17"/>
  <c r="AK59" i="17"/>
  <c r="AL58" i="17"/>
  <c r="AK58" i="17"/>
  <c r="AL57" i="17"/>
  <c r="AK57" i="17"/>
  <c r="AL56" i="17"/>
  <c r="AK56" i="17"/>
  <c r="AL55" i="17"/>
  <c r="AK55" i="17"/>
  <c r="AL54" i="17"/>
  <c r="AK54" i="17"/>
  <c r="AL53" i="17"/>
  <c r="AK53" i="17"/>
  <c r="AL52" i="17"/>
  <c r="AK52" i="17"/>
  <c r="AL51" i="17"/>
  <c r="AK51" i="17"/>
  <c r="AL50" i="17"/>
  <c r="AK50" i="17"/>
  <c r="AL49" i="17"/>
  <c r="AK49" i="17"/>
  <c r="AL48" i="17"/>
  <c r="AK48" i="17"/>
  <c r="AL47" i="17"/>
  <c r="AK47" i="17"/>
  <c r="AL46" i="17"/>
  <c r="AK46" i="17"/>
  <c r="AL45" i="17"/>
  <c r="AK45" i="17"/>
  <c r="AL44" i="17"/>
  <c r="AK44" i="17"/>
  <c r="AL43" i="17"/>
  <c r="AK43" i="17"/>
  <c r="AL42" i="17"/>
  <c r="AK42" i="17"/>
  <c r="AL41" i="17"/>
  <c r="AK41" i="17"/>
  <c r="AL40" i="17"/>
  <c r="AK40" i="17"/>
  <c r="AL39" i="17"/>
  <c r="AK39" i="17"/>
  <c r="AL38" i="17"/>
  <c r="AK38" i="17"/>
  <c r="AL37" i="17"/>
  <c r="AK37" i="17"/>
  <c r="AL36" i="17"/>
  <c r="AK36" i="17"/>
  <c r="AL35" i="17"/>
  <c r="AK35" i="17"/>
  <c r="AL34" i="17"/>
  <c r="AK34" i="17"/>
  <c r="AL33" i="17"/>
  <c r="AK33" i="17"/>
  <c r="AL32" i="17"/>
  <c r="AK32" i="17"/>
  <c r="AL31" i="17"/>
  <c r="AK31" i="17"/>
  <c r="AL30" i="17"/>
  <c r="AK30" i="17"/>
  <c r="AL29" i="17"/>
  <c r="AK29" i="17"/>
  <c r="AL28" i="17"/>
  <c r="AK28" i="17"/>
  <c r="AL27" i="17"/>
  <c r="AK27" i="17"/>
  <c r="AL26" i="17"/>
  <c r="AK26" i="17"/>
  <c r="AL25" i="17"/>
  <c r="AK25" i="17"/>
  <c r="AL24" i="17"/>
  <c r="AK24" i="17"/>
  <c r="AL23" i="17"/>
  <c r="AK23" i="17"/>
  <c r="AL22" i="17"/>
  <c r="AK22" i="17"/>
  <c r="AL21" i="17"/>
  <c r="AK21" i="17"/>
  <c r="AL20" i="17"/>
  <c r="AK20" i="17"/>
  <c r="AL19" i="17"/>
  <c r="AK19" i="17"/>
  <c r="AL18" i="17"/>
  <c r="AK18" i="17"/>
  <c r="AL17" i="17"/>
  <c r="AK17" i="17"/>
  <c r="AL16" i="17"/>
  <c r="AK16" i="17"/>
  <c r="AL15" i="17"/>
  <c r="AK15" i="17"/>
  <c r="AL14" i="17"/>
  <c r="AK14" i="17"/>
  <c r="AL13" i="17"/>
  <c r="AK13" i="17"/>
  <c r="AL12" i="17"/>
  <c r="AK12" i="17"/>
  <c r="AL11" i="17"/>
  <c r="AK11" i="17"/>
  <c r="AL10" i="17"/>
  <c r="AK10" i="17"/>
  <c r="AL9" i="17"/>
  <c r="AK9" i="17"/>
  <c r="AL8" i="17"/>
  <c r="AK8" i="17"/>
  <c r="AL7" i="17"/>
  <c r="AK7" i="17"/>
  <c r="AL6" i="17"/>
  <c r="AK6" i="17"/>
  <c r="AG65" i="17"/>
  <c r="AF65" i="17"/>
  <c r="AG64" i="17"/>
  <c r="AF64" i="17"/>
  <c r="AG63" i="17"/>
  <c r="AF63" i="17"/>
  <c r="AG62" i="17"/>
  <c r="AF62" i="17"/>
  <c r="AG61" i="17"/>
  <c r="AF61" i="17"/>
  <c r="AG60" i="17"/>
  <c r="AF60" i="17"/>
  <c r="AG59" i="17"/>
  <c r="AF59" i="17"/>
  <c r="AG58" i="17"/>
  <c r="AF58" i="17"/>
  <c r="AG57" i="17"/>
  <c r="AF57" i="17"/>
  <c r="AG56" i="17"/>
  <c r="AF56" i="17"/>
  <c r="AG55" i="17"/>
  <c r="AF55" i="17"/>
  <c r="AG54" i="17"/>
  <c r="AF54" i="17"/>
  <c r="AG53" i="17"/>
  <c r="AF53" i="17"/>
  <c r="AG52" i="17"/>
  <c r="AF52" i="17"/>
  <c r="AG51" i="17"/>
  <c r="AF51" i="17"/>
  <c r="AG50" i="17"/>
  <c r="AF50" i="17"/>
  <c r="AG49" i="17"/>
  <c r="AF49" i="17"/>
  <c r="AG48" i="17"/>
  <c r="AF48" i="17"/>
  <c r="AG47" i="17"/>
  <c r="AF47" i="17"/>
  <c r="AG46" i="17"/>
  <c r="AF46" i="17"/>
  <c r="AG45" i="17"/>
  <c r="AF45" i="17"/>
  <c r="AG44" i="17"/>
  <c r="AF44" i="17"/>
  <c r="AG43" i="17"/>
  <c r="AF43" i="17"/>
  <c r="AG42" i="17"/>
  <c r="AF42" i="17"/>
  <c r="AG41" i="17"/>
  <c r="AF41" i="17"/>
  <c r="AG40" i="17"/>
  <c r="AF40" i="17"/>
  <c r="AG39" i="17"/>
  <c r="AF39" i="17"/>
  <c r="AG38" i="17"/>
  <c r="AF38" i="17"/>
  <c r="AG37" i="17"/>
  <c r="AF37" i="17"/>
  <c r="AG36" i="17"/>
  <c r="AF36" i="17"/>
  <c r="AG35" i="17"/>
  <c r="AF35" i="17"/>
  <c r="AG34" i="17"/>
  <c r="AF34" i="17"/>
  <c r="AG33" i="17"/>
  <c r="AF33" i="17"/>
  <c r="AG32" i="17"/>
  <c r="AF32" i="17"/>
  <c r="AG31" i="17"/>
  <c r="AF31" i="17"/>
  <c r="AG30" i="17"/>
  <c r="AF30" i="17"/>
  <c r="AG29" i="17"/>
  <c r="AF29" i="17"/>
  <c r="AG28" i="17"/>
  <c r="AF28" i="17"/>
  <c r="AG27" i="17"/>
  <c r="AF27" i="17"/>
  <c r="AG26" i="17"/>
  <c r="AF26" i="17"/>
  <c r="AG25" i="17"/>
  <c r="AF25" i="17"/>
  <c r="AG24" i="17"/>
  <c r="AF24" i="17"/>
  <c r="AG23" i="17"/>
  <c r="AF23" i="17"/>
  <c r="AG22" i="17"/>
  <c r="AF22" i="17"/>
  <c r="AG21" i="17"/>
  <c r="AF21" i="17"/>
  <c r="AG20" i="17"/>
  <c r="AF20" i="17"/>
  <c r="AG19" i="17"/>
  <c r="AF19" i="17"/>
  <c r="AG18" i="17"/>
  <c r="AF18" i="17"/>
  <c r="AG17" i="17"/>
  <c r="AF17" i="17"/>
  <c r="AG16" i="17"/>
  <c r="AF16" i="17"/>
  <c r="AG15" i="17"/>
  <c r="AF15" i="17"/>
  <c r="AG14" i="17"/>
  <c r="AF14" i="17"/>
  <c r="AG13" i="17"/>
  <c r="AF13" i="17"/>
  <c r="AG12" i="17"/>
  <c r="AF12" i="17"/>
  <c r="AG11" i="17"/>
  <c r="AF11" i="17"/>
  <c r="AG10" i="17"/>
  <c r="AF10" i="17"/>
  <c r="AG9" i="17"/>
  <c r="AF9" i="17"/>
  <c r="AG8" i="17"/>
  <c r="AF8" i="17"/>
  <c r="AG7" i="17"/>
  <c r="AF7" i="17"/>
  <c r="AG6" i="17"/>
  <c r="AF6" i="17"/>
  <c r="AG5" i="17"/>
  <c r="AF5" i="17"/>
  <c r="AS21" i="27"/>
  <c r="AS35" i="27" l="1"/>
  <c r="AS35" i="9" l="1"/>
  <c r="AS21" i="8" l="1"/>
  <c r="AF20" i="13" l="1"/>
  <c r="AA4" i="22" l="1"/>
  <c r="AB4" i="22"/>
  <c r="AA5" i="22"/>
  <c r="AB5" i="22"/>
  <c r="AA6" i="22"/>
  <c r="AB6" i="22"/>
  <c r="AA7" i="22"/>
  <c r="AB7" i="22"/>
  <c r="AA8" i="22"/>
  <c r="AB8" i="22"/>
  <c r="AA9" i="22"/>
  <c r="AB9" i="22"/>
  <c r="AA10" i="22"/>
  <c r="AB10" i="22"/>
  <c r="AA11" i="22"/>
  <c r="AB11" i="22"/>
  <c r="AA12" i="22"/>
  <c r="AB12" i="22"/>
  <c r="AA13" i="22"/>
  <c r="AB13" i="22"/>
  <c r="AA14" i="22"/>
  <c r="AB14" i="22"/>
  <c r="AA15" i="22"/>
  <c r="AB15" i="22"/>
  <c r="AA16" i="22"/>
  <c r="AB16" i="22"/>
  <c r="AA17" i="22"/>
  <c r="AB17" i="22"/>
  <c r="AA18" i="22"/>
  <c r="AB18" i="22"/>
  <c r="AA19" i="22"/>
  <c r="AB19" i="22"/>
  <c r="AA20" i="22"/>
  <c r="AB20" i="22"/>
  <c r="AA21" i="22"/>
  <c r="AB21" i="22"/>
  <c r="AA22" i="22"/>
  <c r="AB22" i="22"/>
  <c r="AA23" i="22"/>
  <c r="AB23" i="22"/>
  <c r="AA24" i="22"/>
  <c r="AB24" i="22"/>
  <c r="AA25" i="22"/>
  <c r="AB25" i="22"/>
  <c r="AA26" i="22"/>
  <c r="AB26" i="22"/>
  <c r="AA27" i="22"/>
  <c r="AB27" i="22"/>
  <c r="AA28" i="22"/>
  <c r="AB28" i="22"/>
  <c r="AA29" i="22"/>
  <c r="AB29" i="22"/>
  <c r="AA30" i="22"/>
  <c r="AB30" i="22"/>
  <c r="AA31" i="22"/>
  <c r="AB31" i="22"/>
  <c r="AA32" i="22"/>
  <c r="AB32" i="22"/>
  <c r="AA33" i="22"/>
  <c r="AB33" i="22"/>
  <c r="AA34" i="22"/>
  <c r="AB34" i="22"/>
  <c r="AA35" i="22"/>
  <c r="AB35" i="22"/>
  <c r="AA36" i="22"/>
  <c r="AB36" i="22"/>
  <c r="AA37" i="22"/>
  <c r="AB37" i="22"/>
  <c r="AA38" i="22"/>
  <c r="AB38" i="22"/>
  <c r="AA39" i="22"/>
  <c r="AB39" i="22"/>
  <c r="AA40" i="22"/>
  <c r="AB40" i="22"/>
  <c r="AA41" i="22"/>
  <c r="AB41" i="22"/>
  <c r="AA42" i="22"/>
  <c r="AB42" i="22"/>
  <c r="AA43" i="22"/>
  <c r="AB43" i="22"/>
  <c r="AA44" i="22"/>
  <c r="AB44" i="22"/>
  <c r="AA45" i="22"/>
  <c r="AB45" i="22"/>
  <c r="AA46" i="22"/>
  <c r="AB46" i="22"/>
  <c r="AA47" i="22"/>
  <c r="AB47" i="22"/>
  <c r="AA48" i="22"/>
  <c r="AB48" i="22"/>
  <c r="AA49" i="22"/>
  <c r="AB49" i="22"/>
  <c r="AA50" i="22"/>
  <c r="AB50" i="22"/>
  <c r="AA51" i="22"/>
  <c r="AB51" i="22"/>
  <c r="AA52" i="22"/>
  <c r="AB52" i="22"/>
  <c r="AA53" i="22"/>
  <c r="AB53" i="22"/>
  <c r="AA54" i="22"/>
  <c r="AB54" i="22"/>
  <c r="AA55" i="22"/>
  <c r="AB55" i="22"/>
  <c r="AA56" i="22"/>
  <c r="AB56" i="22"/>
  <c r="AA57" i="22"/>
  <c r="AB57" i="22"/>
  <c r="AA58" i="22"/>
  <c r="AB58" i="22"/>
  <c r="AA59" i="22"/>
  <c r="AB59" i="22"/>
  <c r="AA60" i="22"/>
  <c r="AB60" i="22"/>
  <c r="AA61" i="22"/>
  <c r="AB61" i="22"/>
  <c r="AA62" i="22"/>
  <c r="AB62" i="22"/>
  <c r="AA63" i="22"/>
  <c r="AB63" i="22"/>
  <c r="AA64" i="22"/>
  <c r="AB64" i="22"/>
  <c r="AA65" i="22"/>
  <c r="AB65" i="22"/>
  <c r="L14" i="1" l="1"/>
  <c r="J66" i="31"/>
  <c r="G14" i="1" s="1"/>
  <c r="AR65" i="31"/>
  <c r="AL65" i="31"/>
  <c r="AK65" i="31"/>
  <c r="AG65" i="31"/>
  <c r="AF65" i="31"/>
  <c r="AB65" i="31"/>
  <c r="AA65" i="31"/>
  <c r="T65" i="31"/>
  <c r="S65" i="31"/>
  <c r="R65" i="31"/>
  <c r="AM65" i="31" s="1"/>
  <c r="H65" i="31"/>
  <c r="G65" i="31"/>
  <c r="AR64" i="31"/>
  <c r="AL64" i="31"/>
  <c r="AK64" i="31"/>
  <c r="AG64" i="31"/>
  <c r="AF64" i="31"/>
  <c r="AB64" i="31"/>
  <c r="AA64" i="31"/>
  <c r="T64" i="31"/>
  <c r="S64" i="31"/>
  <c r="R64" i="31"/>
  <c r="AM64" i="31" s="1"/>
  <c r="H64" i="31"/>
  <c r="G64" i="31"/>
  <c r="AR63" i="31"/>
  <c r="AL63" i="31"/>
  <c r="AK63" i="31"/>
  <c r="AG63" i="31"/>
  <c r="AF63" i="31"/>
  <c r="AB63" i="31"/>
  <c r="AA63" i="31"/>
  <c r="T63" i="31"/>
  <c r="S63" i="31"/>
  <c r="R63" i="31"/>
  <c r="AM63" i="31" s="1"/>
  <c r="H63" i="31"/>
  <c r="G63" i="31"/>
  <c r="AR62" i="31"/>
  <c r="AL62" i="31"/>
  <c r="AK62" i="31"/>
  <c r="AG62" i="31"/>
  <c r="AF62" i="31"/>
  <c r="AB62" i="31"/>
  <c r="AA62" i="31"/>
  <c r="T62" i="31"/>
  <c r="S62" i="31"/>
  <c r="R62" i="31"/>
  <c r="AM62" i="31" s="1"/>
  <c r="H62" i="31"/>
  <c r="G62" i="31"/>
  <c r="AR61" i="31"/>
  <c r="AL61" i="31"/>
  <c r="AK61" i="31"/>
  <c r="AG61" i="31"/>
  <c r="AF61" i="31"/>
  <c r="AB61" i="31"/>
  <c r="AA61" i="31"/>
  <c r="T61" i="31"/>
  <c r="S61" i="31"/>
  <c r="R61" i="31"/>
  <c r="AM61" i="31" s="1"/>
  <c r="H61" i="31"/>
  <c r="G61" i="31"/>
  <c r="AR60" i="31"/>
  <c r="AL60" i="31"/>
  <c r="AK60" i="31"/>
  <c r="AG60" i="31"/>
  <c r="AF60" i="31"/>
  <c r="AB60" i="31"/>
  <c r="AA60" i="31"/>
  <c r="T60" i="31"/>
  <c r="S60" i="31"/>
  <c r="R60" i="31"/>
  <c r="AM60" i="31" s="1"/>
  <c r="H60" i="31"/>
  <c r="G60" i="31"/>
  <c r="AR59" i="31"/>
  <c r="AL59" i="31"/>
  <c r="AK59" i="31"/>
  <c r="AG59" i="31"/>
  <c r="AF59" i="31"/>
  <c r="AB59" i="31"/>
  <c r="AA59" i="31"/>
  <c r="T59" i="31"/>
  <c r="S59" i="31"/>
  <c r="R59" i="31"/>
  <c r="AM59" i="31" s="1"/>
  <c r="H59" i="31"/>
  <c r="G59" i="31"/>
  <c r="AR58" i="31"/>
  <c r="AL58" i="31"/>
  <c r="AK58" i="31"/>
  <c r="AG58" i="31"/>
  <c r="AF58" i="31"/>
  <c r="AB58" i="31"/>
  <c r="AA58" i="31"/>
  <c r="T58" i="31"/>
  <c r="S58" i="31"/>
  <c r="R58" i="31"/>
  <c r="AM58" i="31" s="1"/>
  <c r="H58" i="31"/>
  <c r="G58" i="31"/>
  <c r="AR57" i="31"/>
  <c r="AL57" i="31"/>
  <c r="AK57" i="31"/>
  <c r="AG57" i="31"/>
  <c r="AF57" i="31"/>
  <c r="T57" i="31"/>
  <c r="S57" i="31"/>
  <c r="R57" i="31"/>
  <c r="AM57" i="31" s="1"/>
  <c r="H57" i="31"/>
  <c r="G57" i="31"/>
  <c r="AR56" i="31"/>
  <c r="AL56" i="31"/>
  <c r="AK56" i="31"/>
  <c r="AG56" i="31"/>
  <c r="AF56" i="31"/>
  <c r="AB56" i="31"/>
  <c r="AA56" i="31"/>
  <c r="T56" i="31"/>
  <c r="S56" i="31"/>
  <c r="R56" i="31"/>
  <c r="AM56" i="31" s="1"/>
  <c r="H56" i="31"/>
  <c r="G56" i="31"/>
  <c r="AR55" i="31"/>
  <c r="AL55" i="31"/>
  <c r="AK55" i="31"/>
  <c r="AG55" i="31"/>
  <c r="AF55" i="31"/>
  <c r="AB55" i="31"/>
  <c r="AA55" i="31"/>
  <c r="T55" i="31"/>
  <c r="S55" i="31"/>
  <c r="R55" i="31"/>
  <c r="AM55" i="31" s="1"/>
  <c r="H55" i="31"/>
  <c r="G55" i="31"/>
  <c r="AR54" i="31"/>
  <c r="AL54" i="31"/>
  <c r="AK54" i="31"/>
  <c r="AG54" i="31"/>
  <c r="AF54" i="31"/>
  <c r="AB54" i="31"/>
  <c r="AA54" i="31"/>
  <c r="T54" i="31"/>
  <c r="S54" i="31"/>
  <c r="R54" i="31"/>
  <c r="AM54" i="31" s="1"/>
  <c r="H54" i="31"/>
  <c r="G54" i="31"/>
  <c r="AR53" i="31"/>
  <c r="AL53" i="31"/>
  <c r="AK53" i="31"/>
  <c r="AG53" i="31"/>
  <c r="AF53" i="31"/>
  <c r="AB53" i="31"/>
  <c r="AA53" i="31"/>
  <c r="T53" i="31"/>
  <c r="S53" i="31"/>
  <c r="R53" i="31"/>
  <c r="AM53" i="31" s="1"/>
  <c r="H53" i="31"/>
  <c r="G53" i="31"/>
  <c r="AR52" i="31"/>
  <c r="AL52" i="31"/>
  <c r="AK52" i="31"/>
  <c r="AG52" i="31"/>
  <c r="AF52" i="31"/>
  <c r="AB52" i="31"/>
  <c r="AA52" i="31"/>
  <c r="T52" i="31"/>
  <c r="S52" i="31"/>
  <c r="R52" i="31"/>
  <c r="AM52" i="31" s="1"/>
  <c r="H52" i="31"/>
  <c r="G52" i="31"/>
  <c r="AR51" i="31"/>
  <c r="AL51" i="31"/>
  <c r="AK51" i="31"/>
  <c r="AG51" i="31"/>
  <c r="AF51" i="31"/>
  <c r="AB51" i="31"/>
  <c r="AA51" i="31"/>
  <c r="T51" i="31"/>
  <c r="S51" i="31"/>
  <c r="R51" i="31"/>
  <c r="AM51" i="31" s="1"/>
  <c r="H51" i="31"/>
  <c r="G51" i="31"/>
  <c r="AR50" i="31"/>
  <c r="AL50" i="31"/>
  <c r="AK50" i="31"/>
  <c r="AG50" i="31"/>
  <c r="AF50" i="31"/>
  <c r="AB50" i="31"/>
  <c r="AA50" i="31"/>
  <c r="T50" i="31"/>
  <c r="S50" i="31"/>
  <c r="R50" i="31"/>
  <c r="AM50" i="31" s="1"/>
  <c r="H50" i="31"/>
  <c r="G50" i="31"/>
  <c r="AR49" i="31"/>
  <c r="AL49" i="31"/>
  <c r="AK49" i="31"/>
  <c r="AG49" i="31"/>
  <c r="AF49" i="31"/>
  <c r="AB49" i="31"/>
  <c r="AA49" i="31"/>
  <c r="T49" i="31"/>
  <c r="S49" i="31"/>
  <c r="R49" i="31"/>
  <c r="AM49" i="31" s="1"/>
  <c r="H49" i="31"/>
  <c r="G49" i="31"/>
  <c r="AR48" i="31"/>
  <c r="AL48" i="31"/>
  <c r="AK48" i="31"/>
  <c r="AG48" i="31"/>
  <c r="AF48" i="31"/>
  <c r="AB48" i="31"/>
  <c r="AA48" i="31"/>
  <c r="T48" i="31"/>
  <c r="S48" i="31"/>
  <c r="R48" i="31"/>
  <c r="AM48" i="31" s="1"/>
  <c r="H48" i="31"/>
  <c r="G48" i="31"/>
  <c r="AR47" i="31"/>
  <c r="AL47" i="31"/>
  <c r="AK47" i="31"/>
  <c r="AG47" i="31"/>
  <c r="AF47" i="31"/>
  <c r="AB47" i="31"/>
  <c r="AA47" i="31"/>
  <c r="T47" i="31"/>
  <c r="S47" i="31"/>
  <c r="R47" i="31"/>
  <c r="AM47" i="31" s="1"/>
  <c r="H47" i="31"/>
  <c r="G47" i="31"/>
  <c r="AR46" i="31"/>
  <c r="AL46" i="31"/>
  <c r="AK46" i="31"/>
  <c r="AG46" i="31"/>
  <c r="AF46" i="31"/>
  <c r="AB46" i="31"/>
  <c r="AA46" i="31"/>
  <c r="T46" i="31"/>
  <c r="S46" i="31"/>
  <c r="R46" i="31"/>
  <c r="AM46" i="31" s="1"/>
  <c r="H46" i="31"/>
  <c r="G46" i="31"/>
  <c r="AR45" i="31"/>
  <c r="AL45" i="31"/>
  <c r="AK45" i="31"/>
  <c r="AG45" i="31"/>
  <c r="AF45" i="31"/>
  <c r="AB45" i="31"/>
  <c r="AA45" i="31"/>
  <c r="T45" i="31"/>
  <c r="S45" i="31"/>
  <c r="R45" i="31"/>
  <c r="AM45" i="31" s="1"/>
  <c r="H45" i="31"/>
  <c r="G45" i="31"/>
  <c r="AR44" i="31"/>
  <c r="AL44" i="31"/>
  <c r="AK44" i="31"/>
  <c r="AG44" i="31"/>
  <c r="AF44" i="31"/>
  <c r="AB44" i="31"/>
  <c r="AA44" i="31"/>
  <c r="T44" i="31"/>
  <c r="S44" i="31"/>
  <c r="R44" i="31"/>
  <c r="AM44" i="31" s="1"/>
  <c r="H44" i="31"/>
  <c r="G44" i="31"/>
  <c r="AR43" i="31"/>
  <c r="AL43" i="31"/>
  <c r="AK43" i="31"/>
  <c r="AG43" i="31"/>
  <c r="AF43" i="31"/>
  <c r="AB43" i="31"/>
  <c r="AA43" i="31"/>
  <c r="T43" i="31"/>
  <c r="S43" i="31"/>
  <c r="R43" i="31"/>
  <c r="AM43" i="31" s="1"/>
  <c r="H43" i="31"/>
  <c r="G43" i="31"/>
  <c r="AR42" i="31"/>
  <c r="AL42" i="31"/>
  <c r="AK42" i="31"/>
  <c r="AG42" i="31"/>
  <c r="AF42" i="31"/>
  <c r="AB42" i="31"/>
  <c r="AA42" i="31"/>
  <c r="T42" i="31"/>
  <c r="S42" i="31"/>
  <c r="R42" i="31"/>
  <c r="AM42" i="31" s="1"/>
  <c r="H42" i="31"/>
  <c r="G42" i="31"/>
  <c r="AR41" i="31"/>
  <c r="AL41" i="31"/>
  <c r="AK41" i="31"/>
  <c r="AG41" i="31"/>
  <c r="AF41" i="31"/>
  <c r="AB41" i="31"/>
  <c r="AA41" i="31"/>
  <c r="T41" i="31"/>
  <c r="S41" i="31"/>
  <c r="R41" i="31"/>
  <c r="AM41" i="31" s="1"/>
  <c r="H41" i="31"/>
  <c r="G41" i="31"/>
  <c r="AR40" i="31"/>
  <c r="AL40" i="31"/>
  <c r="AK40" i="31"/>
  <c r="AG40" i="31"/>
  <c r="AF40" i="31"/>
  <c r="AB40" i="31"/>
  <c r="AA40" i="31"/>
  <c r="T40" i="31"/>
  <c r="S40" i="31"/>
  <c r="R40" i="31"/>
  <c r="AM40" i="31" s="1"/>
  <c r="H40" i="31"/>
  <c r="G40" i="31"/>
  <c r="AR39" i="31"/>
  <c r="AL39" i="31"/>
  <c r="AK39" i="31"/>
  <c r="AG39" i="31"/>
  <c r="AF39" i="31"/>
  <c r="AB39" i="31"/>
  <c r="AA39" i="31"/>
  <c r="T39" i="31"/>
  <c r="S39" i="31"/>
  <c r="R39" i="31"/>
  <c r="AM39" i="31" s="1"/>
  <c r="H39" i="31"/>
  <c r="G39" i="31"/>
  <c r="AR38" i="31"/>
  <c r="AL38" i="31"/>
  <c r="AK38" i="31"/>
  <c r="AG38" i="31"/>
  <c r="AF38" i="31"/>
  <c r="AB38" i="31"/>
  <c r="AA38" i="31"/>
  <c r="T38" i="31"/>
  <c r="S38" i="31"/>
  <c r="R38" i="31"/>
  <c r="AM38" i="31" s="1"/>
  <c r="H38" i="31"/>
  <c r="G38" i="31"/>
  <c r="AR37" i="31"/>
  <c r="AL37" i="31"/>
  <c r="AK37" i="31"/>
  <c r="AG37" i="31"/>
  <c r="AF37" i="31"/>
  <c r="AB37" i="31"/>
  <c r="AA37" i="31"/>
  <c r="T37" i="31"/>
  <c r="S37" i="31"/>
  <c r="R37" i="31"/>
  <c r="AM37" i="31" s="1"/>
  <c r="H37" i="31"/>
  <c r="G37" i="31"/>
  <c r="AR36" i="31"/>
  <c r="AL36" i="31"/>
  <c r="AK36" i="31"/>
  <c r="AG36" i="31"/>
  <c r="AF36" i="31"/>
  <c r="AB36" i="31"/>
  <c r="AA36" i="31"/>
  <c r="T36" i="31"/>
  <c r="S36" i="31"/>
  <c r="R36" i="31"/>
  <c r="AM36" i="31" s="1"/>
  <c r="H36" i="31"/>
  <c r="G36" i="31"/>
  <c r="AR35" i="31"/>
  <c r="AL35" i="31"/>
  <c r="AK35" i="31"/>
  <c r="AG35" i="31"/>
  <c r="AF35" i="31"/>
  <c r="AB35" i="31"/>
  <c r="AA35" i="31"/>
  <c r="T35" i="31"/>
  <c r="S35" i="31"/>
  <c r="R35" i="31"/>
  <c r="AM35" i="31" s="1"/>
  <c r="H35" i="31"/>
  <c r="G35" i="31"/>
  <c r="AR34" i="31"/>
  <c r="AL34" i="31"/>
  <c r="AK34" i="31"/>
  <c r="AG34" i="31"/>
  <c r="AF34" i="31"/>
  <c r="AB34" i="31"/>
  <c r="AA34" i="31"/>
  <c r="T34" i="31"/>
  <c r="S34" i="31"/>
  <c r="R34" i="31"/>
  <c r="AM34" i="31" s="1"/>
  <c r="H34" i="31"/>
  <c r="G34" i="31"/>
  <c r="AR33" i="31"/>
  <c r="AL33" i="31"/>
  <c r="AK33" i="31"/>
  <c r="AG33" i="31"/>
  <c r="AF33" i="31"/>
  <c r="AB33" i="31"/>
  <c r="AA33" i="31"/>
  <c r="T33" i="31"/>
  <c r="S33" i="31"/>
  <c r="R33" i="31"/>
  <c r="AM33" i="31" s="1"/>
  <c r="H33" i="31"/>
  <c r="G33" i="31"/>
  <c r="AR32" i="31"/>
  <c r="AL32" i="31"/>
  <c r="AK32" i="31"/>
  <c r="AG32" i="31"/>
  <c r="AF32" i="31"/>
  <c r="AB32" i="31"/>
  <c r="AA32" i="31"/>
  <c r="T32" i="31"/>
  <c r="S32" i="31"/>
  <c r="R32" i="31"/>
  <c r="AM32" i="31" s="1"/>
  <c r="H32" i="31"/>
  <c r="G32" i="31"/>
  <c r="AR31" i="31"/>
  <c r="AL31" i="31"/>
  <c r="AK31" i="31"/>
  <c r="AG31" i="31"/>
  <c r="AF31" i="31"/>
  <c r="AB31" i="31"/>
  <c r="AA31" i="31"/>
  <c r="T31" i="31"/>
  <c r="S31" i="31"/>
  <c r="R31" i="31"/>
  <c r="AM31" i="31" s="1"/>
  <c r="H31" i="31"/>
  <c r="G31" i="31"/>
  <c r="AR30" i="31"/>
  <c r="AL30" i="31"/>
  <c r="AK30" i="31"/>
  <c r="AG30" i="31"/>
  <c r="AF30" i="31"/>
  <c r="AB30" i="31"/>
  <c r="AA30" i="31"/>
  <c r="T30" i="31"/>
  <c r="S30" i="31"/>
  <c r="R30" i="31"/>
  <c r="AM30" i="31" s="1"/>
  <c r="H30" i="31"/>
  <c r="G30" i="31"/>
  <c r="AR29" i="31"/>
  <c r="AL29" i="31"/>
  <c r="AK29" i="31"/>
  <c r="AG29" i="31"/>
  <c r="AF29" i="31"/>
  <c r="AB29" i="31"/>
  <c r="AA29" i="31"/>
  <c r="T29" i="31"/>
  <c r="S29" i="31"/>
  <c r="R29" i="31"/>
  <c r="AM29" i="31" s="1"/>
  <c r="H29" i="31"/>
  <c r="G29" i="31"/>
  <c r="AR28" i="31"/>
  <c r="AL28" i="31"/>
  <c r="AK28" i="31"/>
  <c r="AG28" i="31"/>
  <c r="AF28" i="31"/>
  <c r="AB28" i="31"/>
  <c r="AA28" i="31"/>
  <c r="T28" i="31"/>
  <c r="S28" i="31"/>
  <c r="R28" i="31"/>
  <c r="AM28" i="31" s="1"/>
  <c r="H28" i="31"/>
  <c r="G28" i="31"/>
  <c r="AR27" i="31"/>
  <c r="AL27" i="31"/>
  <c r="AK27" i="31"/>
  <c r="AG27" i="31"/>
  <c r="AF27" i="31"/>
  <c r="AB27" i="31"/>
  <c r="AA27" i="31"/>
  <c r="T27" i="31"/>
  <c r="S27" i="31"/>
  <c r="R27" i="31"/>
  <c r="AM27" i="31" s="1"/>
  <c r="H27" i="31"/>
  <c r="G27" i="31"/>
  <c r="AR26" i="31"/>
  <c r="AL26" i="31"/>
  <c r="AK26" i="31"/>
  <c r="AG26" i="31"/>
  <c r="AF26" i="31"/>
  <c r="AB26" i="31"/>
  <c r="AA26" i="31"/>
  <c r="T26" i="31"/>
  <c r="S26" i="31"/>
  <c r="R26" i="31"/>
  <c r="AM26" i="31" s="1"/>
  <c r="H26" i="31"/>
  <c r="G26" i="31"/>
  <c r="AR25" i="31"/>
  <c r="AL25" i="31"/>
  <c r="AK25" i="31"/>
  <c r="AG25" i="31"/>
  <c r="AF25" i="31"/>
  <c r="AB25" i="31"/>
  <c r="AA25" i="31"/>
  <c r="T25" i="31"/>
  <c r="S25" i="31"/>
  <c r="R25" i="31"/>
  <c r="AM25" i="31" s="1"/>
  <c r="H25" i="31"/>
  <c r="G25" i="31"/>
  <c r="AR24" i="31"/>
  <c r="AL24" i="31"/>
  <c r="AK24" i="31"/>
  <c r="AG24" i="31"/>
  <c r="AF24" i="31"/>
  <c r="AB24" i="31"/>
  <c r="AA24" i="31"/>
  <c r="T24" i="31"/>
  <c r="S24" i="31"/>
  <c r="R24" i="31"/>
  <c r="AM24" i="31" s="1"/>
  <c r="H24" i="31"/>
  <c r="G24" i="31"/>
  <c r="AR23" i="31"/>
  <c r="AL23" i="31"/>
  <c r="AK23" i="31"/>
  <c r="AG23" i="31"/>
  <c r="AF23" i="31"/>
  <c r="AB23" i="31"/>
  <c r="AA23" i="31"/>
  <c r="T23" i="31"/>
  <c r="S23" i="31"/>
  <c r="R23" i="31"/>
  <c r="AM23" i="31" s="1"/>
  <c r="H23" i="31"/>
  <c r="G23" i="31"/>
  <c r="AR22" i="31"/>
  <c r="AL22" i="31"/>
  <c r="AK22" i="31"/>
  <c r="AG22" i="31"/>
  <c r="AF22" i="31"/>
  <c r="AB22" i="31"/>
  <c r="AA22" i="31"/>
  <c r="T22" i="31"/>
  <c r="S22" i="31"/>
  <c r="R22" i="31"/>
  <c r="AM22" i="31" s="1"/>
  <c r="H22" i="31"/>
  <c r="G22" i="31"/>
  <c r="AR21" i="31"/>
  <c r="AL21" i="31"/>
  <c r="AK21" i="31"/>
  <c r="AG21" i="31"/>
  <c r="AF21" i="31"/>
  <c r="AB21" i="31"/>
  <c r="AA21" i="31"/>
  <c r="T21" i="31"/>
  <c r="S21" i="31"/>
  <c r="R21" i="31"/>
  <c r="AM21" i="31" s="1"/>
  <c r="H21" i="31"/>
  <c r="G21" i="31"/>
  <c r="AR20" i="31"/>
  <c r="AL20" i="31"/>
  <c r="AK20" i="31"/>
  <c r="AG20" i="31"/>
  <c r="AF20" i="31"/>
  <c r="AB20" i="31"/>
  <c r="AA20" i="31"/>
  <c r="T20" i="31"/>
  <c r="S20" i="31"/>
  <c r="R20" i="31"/>
  <c r="AM20" i="31" s="1"/>
  <c r="H20" i="31"/>
  <c r="G20" i="31"/>
  <c r="AR19" i="31"/>
  <c r="AL19" i="31"/>
  <c r="AK19" i="31"/>
  <c r="AG19" i="31"/>
  <c r="AF19" i="31"/>
  <c r="AB19" i="31"/>
  <c r="AA19" i="31"/>
  <c r="T19" i="31"/>
  <c r="S19" i="31"/>
  <c r="R19" i="31"/>
  <c r="AM19" i="31" s="1"/>
  <c r="H19" i="31"/>
  <c r="G19" i="31"/>
  <c r="AR18" i="31"/>
  <c r="AL18" i="31"/>
  <c r="AK18" i="31"/>
  <c r="AG18" i="31"/>
  <c r="AF18" i="31"/>
  <c r="AB18" i="31"/>
  <c r="AA18" i="31"/>
  <c r="T18" i="31"/>
  <c r="S18" i="31"/>
  <c r="R18" i="31"/>
  <c r="AM18" i="31" s="1"/>
  <c r="H18" i="31"/>
  <c r="G18" i="31"/>
  <c r="AR17" i="31"/>
  <c r="AL17" i="31"/>
  <c r="AK17" i="31"/>
  <c r="AG17" i="31"/>
  <c r="AF17" i="31"/>
  <c r="AB17" i="31"/>
  <c r="AA17" i="31"/>
  <c r="T17" i="31"/>
  <c r="S17" i="31"/>
  <c r="R17" i="31"/>
  <c r="AM17" i="31" s="1"/>
  <c r="H17" i="31"/>
  <c r="G17" i="31"/>
  <c r="AR16" i="31"/>
  <c r="AL16" i="31"/>
  <c r="AK16" i="31"/>
  <c r="AG16" i="31"/>
  <c r="AF16" i="31"/>
  <c r="AB16" i="31"/>
  <c r="AA16" i="31"/>
  <c r="T16" i="31"/>
  <c r="S16" i="31"/>
  <c r="R16" i="31"/>
  <c r="AM16" i="31" s="1"/>
  <c r="H16" i="31"/>
  <c r="G16" i="31"/>
  <c r="AR15" i="31"/>
  <c r="AL15" i="31"/>
  <c r="AK15" i="31"/>
  <c r="AG15" i="31"/>
  <c r="AF15" i="31"/>
  <c r="AB15" i="31"/>
  <c r="AA15" i="31"/>
  <c r="T15" i="31"/>
  <c r="S15" i="31"/>
  <c r="R15" i="31"/>
  <c r="AM15" i="31" s="1"/>
  <c r="H15" i="31"/>
  <c r="G15" i="31"/>
  <c r="AR14" i="31"/>
  <c r="AL14" i="31"/>
  <c r="AK14" i="31"/>
  <c r="AG14" i="31"/>
  <c r="AF14" i="31"/>
  <c r="AB14" i="31"/>
  <c r="AA14" i="31"/>
  <c r="T14" i="31"/>
  <c r="S14" i="31"/>
  <c r="R14" i="31"/>
  <c r="AM14" i="31" s="1"/>
  <c r="H14" i="31"/>
  <c r="G14" i="31"/>
  <c r="AR13" i="31"/>
  <c r="AL13" i="31"/>
  <c r="AK13" i="31"/>
  <c r="AG13" i="31"/>
  <c r="AF13" i="31"/>
  <c r="AB13" i="31"/>
  <c r="AA13" i="31"/>
  <c r="T13" i="31"/>
  <c r="S13" i="31"/>
  <c r="R13" i="31"/>
  <c r="AM13" i="31" s="1"/>
  <c r="H13" i="31"/>
  <c r="G13" i="31"/>
  <c r="AR12" i="31"/>
  <c r="AL12" i="31"/>
  <c r="AK12" i="31"/>
  <c r="AG12" i="31"/>
  <c r="AF12" i="31"/>
  <c r="AB12" i="31"/>
  <c r="AA12" i="31"/>
  <c r="T12" i="31"/>
  <c r="S12" i="31"/>
  <c r="R12" i="31"/>
  <c r="AM12" i="31" s="1"/>
  <c r="H12" i="31"/>
  <c r="G12" i="31"/>
  <c r="AR11" i="31"/>
  <c r="AL11" i="31"/>
  <c r="AK11" i="31"/>
  <c r="AG11" i="31"/>
  <c r="AF11" i="31"/>
  <c r="AB11" i="31"/>
  <c r="AA11" i="31"/>
  <c r="T11" i="31"/>
  <c r="S11" i="31"/>
  <c r="R11" i="31"/>
  <c r="AM11" i="31" s="1"/>
  <c r="H11" i="31"/>
  <c r="G11" i="31"/>
  <c r="AR10" i="31"/>
  <c r="AL10" i="31"/>
  <c r="AK10" i="31"/>
  <c r="AG10" i="31"/>
  <c r="AF10" i="31"/>
  <c r="AB10" i="31"/>
  <c r="AA10" i="31"/>
  <c r="T10" i="31"/>
  <c r="S10" i="31"/>
  <c r="R10" i="31"/>
  <c r="AM10" i="31" s="1"/>
  <c r="H10" i="31"/>
  <c r="G10" i="31"/>
  <c r="AR9" i="31"/>
  <c r="AL9" i="31"/>
  <c r="AK9" i="31"/>
  <c r="AG9" i="31"/>
  <c r="AF9" i="31"/>
  <c r="AB9" i="31"/>
  <c r="AA9" i="31"/>
  <c r="T9" i="31"/>
  <c r="S9" i="31"/>
  <c r="R9" i="31"/>
  <c r="AM9" i="31" s="1"/>
  <c r="H9" i="31"/>
  <c r="G9" i="31"/>
  <c r="AR8" i="31"/>
  <c r="AL8" i="31"/>
  <c r="AK8" i="31"/>
  <c r="AG8" i="31"/>
  <c r="AF8" i="31"/>
  <c r="AB8" i="31"/>
  <c r="AA8" i="31"/>
  <c r="T8" i="31"/>
  <c r="S8" i="31"/>
  <c r="R8" i="31"/>
  <c r="AM8" i="31" s="1"/>
  <c r="H8" i="31"/>
  <c r="G8" i="31"/>
  <c r="AR7" i="31"/>
  <c r="AL7" i="31"/>
  <c r="AK7" i="31"/>
  <c r="AG7" i="31"/>
  <c r="AF7" i="31"/>
  <c r="AB7" i="31"/>
  <c r="AA7" i="31"/>
  <c r="T7" i="31"/>
  <c r="S7" i="31"/>
  <c r="R7" i="31"/>
  <c r="AM7" i="31" s="1"/>
  <c r="H7" i="31"/>
  <c r="G7" i="31"/>
  <c r="AR6" i="31"/>
  <c r="AL6" i="31"/>
  <c r="AK6" i="31"/>
  <c r="AG6" i="31"/>
  <c r="AF6" i="31"/>
  <c r="AB6" i="31"/>
  <c r="AA6" i="31"/>
  <c r="T6" i="31"/>
  <c r="S6" i="31"/>
  <c r="R6" i="31"/>
  <c r="AM6" i="31" s="1"/>
  <c r="H6" i="31"/>
  <c r="G6" i="31"/>
  <c r="B6" i="31"/>
  <c r="A6" i="31" s="1"/>
  <c r="AR5" i="31"/>
  <c r="AL5" i="31"/>
  <c r="AK5" i="31"/>
  <c r="AG5" i="31"/>
  <c r="AF5" i="31"/>
  <c r="AB5" i="31"/>
  <c r="AA5" i="31"/>
  <c r="T5" i="31"/>
  <c r="S5" i="31"/>
  <c r="R5" i="31"/>
  <c r="AM5" i="31" s="1"/>
  <c r="H5" i="31"/>
  <c r="G5" i="31"/>
  <c r="B5" i="31"/>
  <c r="B7" i="31" s="1"/>
  <c r="AR4" i="31"/>
  <c r="AL4" i="31"/>
  <c r="AK4" i="31"/>
  <c r="AG4" i="31"/>
  <c r="AF4" i="31"/>
  <c r="AB4" i="31"/>
  <c r="AA4" i="31"/>
  <c r="T4" i="31"/>
  <c r="S4" i="31"/>
  <c r="R4" i="31"/>
  <c r="AM4" i="31" s="1"/>
  <c r="H4" i="31"/>
  <c r="G4" i="31"/>
  <c r="A4" i="31"/>
  <c r="AP1" i="31"/>
  <c r="AO64" i="31" l="1"/>
  <c r="AO65" i="31"/>
  <c r="AN64" i="31"/>
  <c r="AN65" i="31"/>
  <c r="AP65" i="31" s="1"/>
  <c r="AO56" i="31"/>
  <c r="AO57" i="31"/>
  <c r="AO12" i="31"/>
  <c r="A5" i="31"/>
  <c r="AN17" i="31"/>
  <c r="AN19" i="31"/>
  <c r="AN28" i="31"/>
  <c r="AN35" i="31"/>
  <c r="AN29" i="31"/>
  <c r="AN30" i="31"/>
  <c r="AN31" i="31"/>
  <c r="AN32" i="31"/>
  <c r="AN33" i="31"/>
  <c r="AN34" i="31"/>
  <c r="AO63" i="31"/>
  <c r="AP63" i="31" s="1"/>
  <c r="AO5" i="31"/>
  <c r="AN6" i="31"/>
  <c r="AN7" i="31"/>
  <c r="AN8" i="31"/>
  <c r="AN9" i="31"/>
  <c r="AN10" i="31"/>
  <c r="AO28" i="31"/>
  <c r="AO29" i="31"/>
  <c r="AO30" i="31"/>
  <c r="AO31" i="31"/>
  <c r="AN44" i="31"/>
  <c r="AN45" i="31"/>
  <c r="AN46" i="31"/>
  <c r="AN47" i="31"/>
  <c r="AN48" i="31"/>
  <c r="AN49" i="31"/>
  <c r="AN50" i="31"/>
  <c r="AN51" i="31"/>
  <c r="AN4" i="31"/>
  <c r="AO6" i="31"/>
  <c r="AO44" i="31"/>
  <c r="AO45" i="31"/>
  <c r="AO46" i="31"/>
  <c r="AO47" i="31"/>
  <c r="AO16" i="31"/>
  <c r="AO4" i="31"/>
  <c r="AO7" i="31"/>
  <c r="AO8" i="31"/>
  <c r="AP8" i="31" s="1"/>
  <c r="AO9" i="31"/>
  <c r="AO10" i="31"/>
  <c r="AN11" i="31"/>
  <c r="AN12" i="31"/>
  <c r="AO17" i="31"/>
  <c r="AO18" i="31"/>
  <c r="AO19" i="31"/>
  <c r="AN20" i="31"/>
  <c r="AN21" i="31"/>
  <c r="AN22" i="31"/>
  <c r="AN23" i="31"/>
  <c r="AO32" i="31"/>
  <c r="AO33" i="31"/>
  <c r="AO34" i="31"/>
  <c r="AO35" i="31"/>
  <c r="AN36" i="31"/>
  <c r="AN37" i="31"/>
  <c r="AN38" i="31"/>
  <c r="AN39" i="31"/>
  <c r="AO48" i="31"/>
  <c r="AO49" i="31"/>
  <c r="AO50" i="31"/>
  <c r="AO51" i="31"/>
  <c r="AN52" i="31"/>
  <c r="AN53" i="31"/>
  <c r="AN54" i="31"/>
  <c r="AN55" i="31"/>
  <c r="AN58" i="31"/>
  <c r="AN59" i="31"/>
  <c r="AN60" i="31"/>
  <c r="AN61" i="31"/>
  <c r="AN5" i="31"/>
  <c r="AO11" i="31"/>
  <c r="AN13" i="31"/>
  <c r="AN14" i="31"/>
  <c r="AO20" i="31"/>
  <c r="AP20" i="31" s="1"/>
  <c r="AO21" i="31"/>
  <c r="AO22" i="31"/>
  <c r="AO23" i="31"/>
  <c r="AN24" i="31"/>
  <c r="AN25" i="31"/>
  <c r="AN26" i="31"/>
  <c r="AN27" i="31"/>
  <c r="AO36" i="31"/>
  <c r="AP36" i="31" s="1"/>
  <c r="AO37" i="31"/>
  <c r="AO38" i="31"/>
  <c r="AO39" i="31"/>
  <c r="AN40" i="31"/>
  <c r="AN41" i="31"/>
  <c r="AN42" i="31"/>
  <c r="AN43" i="31"/>
  <c r="AO52" i="31"/>
  <c r="AO53" i="31"/>
  <c r="AO54" i="31"/>
  <c r="AO55" i="31"/>
  <c r="AN56" i="31"/>
  <c r="AO58" i="31"/>
  <c r="AO59" i="31"/>
  <c r="AO60" i="31"/>
  <c r="AO61" i="31"/>
  <c r="AN62" i="31"/>
  <c r="AN63" i="31"/>
  <c r="AO14" i="31"/>
  <c r="AN15" i="31"/>
  <c r="AO24" i="31"/>
  <c r="AO25" i="31"/>
  <c r="AO26" i="31"/>
  <c r="AO27" i="31"/>
  <c r="AO40" i="31"/>
  <c r="AO41" i="31"/>
  <c r="AO42" i="31"/>
  <c r="AO43" i="31"/>
  <c r="AO62" i="31"/>
  <c r="AM66" i="31"/>
  <c r="H14" i="1" s="1"/>
  <c r="AO15" i="31"/>
  <c r="AN57" i="31"/>
  <c r="B9" i="31"/>
  <c r="A7" i="31"/>
  <c r="B8" i="31"/>
  <c r="AN18" i="31"/>
  <c r="AP18" i="31" s="1"/>
  <c r="AO13" i="31"/>
  <c r="AN16" i="31"/>
  <c r="AP12" i="31" l="1"/>
  <c r="AP52" i="31"/>
  <c r="AP14" i="31"/>
  <c r="AP6" i="31"/>
  <c r="AP31" i="31"/>
  <c r="AP64" i="31"/>
  <c r="AP26" i="31"/>
  <c r="AP60" i="31"/>
  <c r="AP28" i="31"/>
  <c r="AP56" i="31"/>
  <c r="AP51" i="31"/>
  <c r="AP54" i="31"/>
  <c r="AP34" i="31"/>
  <c r="AP19" i="31"/>
  <c r="AP22" i="31"/>
  <c r="AP48" i="31"/>
  <c r="AP47" i="31"/>
  <c r="AP44" i="31"/>
  <c r="AP46" i="31"/>
  <c r="AP38" i="31"/>
  <c r="AP41" i="31"/>
  <c r="AP42" i="31"/>
  <c r="AP29" i="31"/>
  <c r="AP30" i="31"/>
  <c r="AP32" i="31"/>
  <c r="AP10" i="31"/>
  <c r="AP25" i="31"/>
  <c r="AP13" i="31"/>
  <c r="AP7" i="31"/>
  <c r="AP53" i="31"/>
  <c r="AP21" i="31"/>
  <c r="AP37" i="31"/>
  <c r="AP49" i="31"/>
  <c r="AP45" i="31"/>
  <c r="AP4" i="31"/>
  <c r="AP57" i="31"/>
  <c r="AP59" i="31"/>
  <c r="AP35" i="31"/>
  <c r="AP40" i="31"/>
  <c r="AP24" i="31"/>
  <c r="AP16" i="31"/>
  <c r="AP58" i="31"/>
  <c r="AP50" i="31"/>
  <c r="AP33" i="31"/>
  <c r="AP43" i="31"/>
  <c r="AP27" i="31"/>
  <c r="AP9" i="31"/>
  <c r="AP5" i="31"/>
  <c r="AP17" i="31"/>
  <c r="AP61" i="31"/>
  <c r="AP55" i="31"/>
  <c r="AP39" i="31"/>
  <c r="AP23" i="31"/>
  <c r="AP15" i="31"/>
  <c r="AP11" i="31"/>
  <c r="AP62" i="31"/>
  <c r="B11" i="31"/>
  <c r="A9" i="31"/>
  <c r="AN66" i="31"/>
  <c r="I14" i="1" s="1"/>
  <c r="AO66" i="31"/>
  <c r="J14" i="1" s="1"/>
  <c r="A8" i="31"/>
  <c r="B10" i="31"/>
  <c r="M14" i="1" l="1"/>
  <c r="N14" i="1" s="1"/>
  <c r="B12" i="31"/>
  <c r="A10" i="31"/>
  <c r="B13" i="31"/>
  <c r="A11" i="31"/>
  <c r="B15" i="31" l="1"/>
  <c r="A13" i="31"/>
  <c r="B14" i="31"/>
  <c r="A12" i="31"/>
  <c r="A14" i="31" l="1"/>
  <c r="B16" i="31"/>
  <c r="A15" i="31"/>
  <c r="B17" i="31"/>
  <c r="B19" i="31" l="1"/>
  <c r="A17" i="31"/>
  <c r="B18" i="31"/>
  <c r="A16" i="31"/>
  <c r="A18" i="31" l="1"/>
  <c r="B20" i="31"/>
  <c r="B21" i="31"/>
  <c r="A19" i="31"/>
  <c r="A21" i="31" l="1"/>
  <c r="B23" i="31"/>
  <c r="A20" i="31"/>
  <c r="B22" i="31"/>
  <c r="A22" i="31" l="1"/>
  <c r="B24" i="31"/>
  <c r="B25" i="31"/>
  <c r="A23" i="31"/>
  <c r="A25" i="31" l="1"/>
  <c r="B27" i="31"/>
  <c r="A24" i="31"/>
  <c r="B26" i="31"/>
  <c r="A26" i="31" l="1"/>
  <c r="B28" i="31"/>
  <c r="B29" i="31"/>
  <c r="A27" i="31"/>
  <c r="A29" i="31" l="1"/>
  <c r="B31" i="31"/>
  <c r="A28" i="31"/>
  <c r="B30" i="31"/>
  <c r="A30" i="31" l="1"/>
  <c r="B32" i="31"/>
  <c r="B33" i="31"/>
  <c r="A31" i="31"/>
  <c r="A33" i="31" l="1"/>
  <c r="B35" i="31"/>
  <c r="A32" i="31"/>
  <c r="B34" i="31"/>
  <c r="A34" i="31" l="1"/>
  <c r="B36" i="31"/>
  <c r="B37" i="31"/>
  <c r="A35" i="31"/>
  <c r="A37" i="31" l="1"/>
  <c r="B39" i="31"/>
  <c r="A36" i="31"/>
  <c r="B38" i="31"/>
  <c r="B41" i="31" l="1"/>
  <c r="A39" i="31"/>
  <c r="A38" i="31"/>
  <c r="B40" i="31"/>
  <c r="A40" i="31" l="1"/>
  <c r="B42" i="31"/>
  <c r="A41" i="31"/>
  <c r="B43" i="31"/>
  <c r="B45" i="31" l="1"/>
  <c r="A43" i="31"/>
  <c r="A42" i="31"/>
  <c r="B44" i="31"/>
  <c r="A44" i="31" l="1"/>
  <c r="B46" i="31"/>
  <c r="A45" i="31"/>
  <c r="B47" i="31"/>
  <c r="A46" i="31" l="1"/>
  <c r="B48" i="31"/>
  <c r="B49" i="31"/>
  <c r="A47" i="31"/>
  <c r="A49" i="31" l="1"/>
  <c r="B51" i="31"/>
  <c r="A48" i="31"/>
  <c r="B50" i="31"/>
  <c r="A50" i="31" l="1"/>
  <c r="B52" i="31"/>
  <c r="B53" i="31"/>
  <c r="A51" i="31"/>
  <c r="A53" i="31" l="1"/>
  <c r="B55" i="31"/>
  <c r="A52" i="31"/>
  <c r="B54" i="31"/>
  <c r="A54" i="31" l="1"/>
  <c r="B56" i="31"/>
  <c r="B57" i="31"/>
  <c r="A55" i="31"/>
  <c r="B59" i="31" l="1"/>
  <c r="A57" i="31"/>
  <c r="A56" i="31"/>
  <c r="B58" i="31"/>
  <c r="A58" i="31" l="1"/>
  <c r="B60" i="31"/>
  <c r="A59" i="31"/>
  <c r="B61" i="31"/>
  <c r="A60" i="31" l="1"/>
  <c r="B62" i="31"/>
  <c r="B63" i="31"/>
  <c r="A61" i="31"/>
  <c r="A63" i="31" l="1"/>
  <c r="B65" i="31"/>
  <c r="A65" i="31" s="1"/>
  <c r="A62" i="31"/>
  <c r="B64" i="31"/>
  <c r="A64" i="31" s="1"/>
  <c r="AS55" i="12" l="1"/>
  <c r="AS41" i="8" l="1"/>
  <c r="J66" i="22" l="1"/>
  <c r="AL40" i="22"/>
  <c r="L12" i="1" l="1"/>
  <c r="L7" i="1"/>
  <c r="J66" i="30"/>
  <c r="G7" i="1" s="1"/>
  <c r="AR65" i="30"/>
  <c r="AL65" i="30"/>
  <c r="AK65" i="30"/>
  <c r="AG65" i="30"/>
  <c r="AF65" i="30"/>
  <c r="AB65" i="30"/>
  <c r="AA65" i="30"/>
  <c r="T65" i="30"/>
  <c r="S65" i="30"/>
  <c r="R65" i="30"/>
  <c r="AM65" i="30" s="1"/>
  <c r="H65" i="30"/>
  <c r="G65" i="30"/>
  <c r="AR64" i="30"/>
  <c r="AL64" i="30"/>
  <c r="AK64" i="30"/>
  <c r="AG64" i="30"/>
  <c r="AF64" i="30"/>
  <c r="AB64" i="30"/>
  <c r="AA64" i="30"/>
  <c r="T64" i="30"/>
  <c r="S64" i="30"/>
  <c r="R64" i="30"/>
  <c r="AM64" i="30" s="1"/>
  <c r="H64" i="30"/>
  <c r="G64" i="30"/>
  <c r="AR63" i="30"/>
  <c r="AL63" i="30"/>
  <c r="AK63" i="30"/>
  <c r="AG63" i="30"/>
  <c r="AF63" i="30"/>
  <c r="AB63" i="30"/>
  <c r="AA63" i="30"/>
  <c r="T63" i="30"/>
  <c r="S63" i="30"/>
  <c r="R63" i="30"/>
  <c r="AM63" i="30" s="1"/>
  <c r="H63" i="30"/>
  <c r="G63" i="30"/>
  <c r="AR62" i="30"/>
  <c r="AL62" i="30"/>
  <c r="AK62" i="30"/>
  <c r="AG62" i="30"/>
  <c r="AF62" i="30"/>
  <c r="AB62" i="30"/>
  <c r="AA62" i="30"/>
  <c r="T62" i="30"/>
  <c r="S62" i="30"/>
  <c r="R62" i="30"/>
  <c r="AM62" i="30" s="1"/>
  <c r="H62" i="30"/>
  <c r="G62" i="30"/>
  <c r="AR61" i="30"/>
  <c r="AL61" i="30"/>
  <c r="AK61" i="30"/>
  <c r="AG61" i="30"/>
  <c r="AF61" i="30"/>
  <c r="AB61" i="30"/>
  <c r="AA61" i="30"/>
  <c r="T61" i="30"/>
  <c r="S61" i="30"/>
  <c r="R61" i="30"/>
  <c r="AM61" i="30" s="1"/>
  <c r="H61" i="30"/>
  <c r="G61" i="30"/>
  <c r="AR60" i="30"/>
  <c r="AL60" i="30"/>
  <c r="AK60" i="30"/>
  <c r="AG60" i="30"/>
  <c r="AF60" i="30"/>
  <c r="AB60" i="30"/>
  <c r="AA60" i="30"/>
  <c r="T60" i="30"/>
  <c r="S60" i="30"/>
  <c r="R60" i="30"/>
  <c r="AM60" i="30" s="1"/>
  <c r="H60" i="30"/>
  <c r="G60" i="30"/>
  <c r="AR59" i="30"/>
  <c r="AL59" i="30"/>
  <c r="AK59" i="30"/>
  <c r="AG59" i="30"/>
  <c r="AF59" i="30"/>
  <c r="AB59" i="30"/>
  <c r="AA59" i="30"/>
  <c r="T59" i="30"/>
  <c r="S59" i="30"/>
  <c r="R59" i="30"/>
  <c r="AM59" i="30" s="1"/>
  <c r="H59" i="30"/>
  <c r="G59" i="30"/>
  <c r="AR58" i="30"/>
  <c r="AL58" i="30"/>
  <c r="AK58" i="30"/>
  <c r="AG58" i="30"/>
  <c r="AF58" i="30"/>
  <c r="AB58" i="30"/>
  <c r="AA58" i="30"/>
  <c r="T58" i="30"/>
  <c r="S58" i="30"/>
  <c r="R58" i="30"/>
  <c r="AM58" i="30" s="1"/>
  <c r="H58" i="30"/>
  <c r="G58" i="30"/>
  <c r="AR57" i="30"/>
  <c r="AL57" i="30"/>
  <c r="AK57" i="30"/>
  <c r="AG57" i="30"/>
  <c r="AF57" i="30"/>
  <c r="AB57" i="30"/>
  <c r="AA57" i="30"/>
  <c r="T57" i="30"/>
  <c r="S57" i="30"/>
  <c r="R57" i="30"/>
  <c r="AM57" i="30" s="1"/>
  <c r="H57" i="30"/>
  <c r="G57" i="30"/>
  <c r="AR56" i="30"/>
  <c r="AL56" i="30"/>
  <c r="AK56" i="30"/>
  <c r="AG56" i="30"/>
  <c r="AF56" i="30"/>
  <c r="AB56" i="30"/>
  <c r="AA56" i="30"/>
  <c r="T56" i="30"/>
  <c r="S56" i="30"/>
  <c r="R56" i="30"/>
  <c r="AM56" i="30" s="1"/>
  <c r="H56" i="30"/>
  <c r="G56" i="30"/>
  <c r="AR55" i="30"/>
  <c r="AL55" i="30"/>
  <c r="AK55" i="30"/>
  <c r="AG55" i="30"/>
  <c r="AF55" i="30"/>
  <c r="AB55" i="30"/>
  <c r="AA55" i="30"/>
  <c r="T55" i="30"/>
  <c r="S55" i="30"/>
  <c r="R55" i="30"/>
  <c r="AM55" i="30" s="1"/>
  <c r="H55" i="30"/>
  <c r="G55" i="30"/>
  <c r="AR54" i="30"/>
  <c r="AL54" i="30"/>
  <c r="AK54" i="30"/>
  <c r="AG54" i="30"/>
  <c r="AF54" i="30"/>
  <c r="AB54" i="30"/>
  <c r="AA54" i="30"/>
  <c r="T54" i="30"/>
  <c r="S54" i="30"/>
  <c r="R54" i="30"/>
  <c r="AM54" i="30" s="1"/>
  <c r="H54" i="30"/>
  <c r="G54" i="30"/>
  <c r="AR53" i="30"/>
  <c r="AL53" i="30"/>
  <c r="AK53" i="30"/>
  <c r="AG53" i="30"/>
  <c r="AF53" i="30"/>
  <c r="AB53" i="30"/>
  <c r="AA53" i="30"/>
  <c r="T53" i="30"/>
  <c r="S53" i="30"/>
  <c r="R53" i="30"/>
  <c r="AM53" i="30" s="1"/>
  <c r="H53" i="30"/>
  <c r="G53" i="30"/>
  <c r="AR52" i="30"/>
  <c r="AL52" i="30"/>
  <c r="AK52" i="30"/>
  <c r="AG52" i="30"/>
  <c r="AF52" i="30"/>
  <c r="AB52" i="30"/>
  <c r="AA52" i="30"/>
  <c r="T52" i="30"/>
  <c r="S52" i="30"/>
  <c r="R52" i="30"/>
  <c r="AM52" i="30" s="1"/>
  <c r="H52" i="30"/>
  <c r="G52" i="30"/>
  <c r="AR51" i="30"/>
  <c r="AL51" i="30"/>
  <c r="AK51" i="30"/>
  <c r="AG51" i="30"/>
  <c r="AF51" i="30"/>
  <c r="AB51" i="30"/>
  <c r="AA51" i="30"/>
  <c r="T51" i="30"/>
  <c r="S51" i="30"/>
  <c r="R51" i="30"/>
  <c r="AM51" i="30" s="1"/>
  <c r="H51" i="30"/>
  <c r="G51" i="30"/>
  <c r="AR50" i="30"/>
  <c r="AL50" i="30"/>
  <c r="AK50" i="30"/>
  <c r="AG50" i="30"/>
  <c r="AF50" i="30"/>
  <c r="AB50" i="30"/>
  <c r="AA50" i="30"/>
  <c r="T50" i="30"/>
  <c r="S50" i="30"/>
  <c r="R50" i="30"/>
  <c r="AM50" i="30" s="1"/>
  <c r="H50" i="30"/>
  <c r="G50" i="30"/>
  <c r="AR49" i="30"/>
  <c r="AL49" i="30"/>
  <c r="AK49" i="30"/>
  <c r="AG49" i="30"/>
  <c r="AF49" i="30"/>
  <c r="AB49" i="30"/>
  <c r="AA49" i="30"/>
  <c r="T49" i="30"/>
  <c r="S49" i="30"/>
  <c r="R49" i="30"/>
  <c r="AM49" i="30" s="1"/>
  <c r="H49" i="30"/>
  <c r="G49" i="30"/>
  <c r="AR48" i="30"/>
  <c r="AL48" i="30"/>
  <c r="AK48" i="30"/>
  <c r="AG48" i="30"/>
  <c r="AF48" i="30"/>
  <c r="AB48" i="30"/>
  <c r="AA48" i="30"/>
  <c r="T48" i="30"/>
  <c r="S48" i="30"/>
  <c r="R48" i="30"/>
  <c r="AM48" i="30" s="1"/>
  <c r="H48" i="30"/>
  <c r="G48" i="30"/>
  <c r="AR47" i="30"/>
  <c r="AL47" i="30"/>
  <c r="AK47" i="30"/>
  <c r="AG47" i="30"/>
  <c r="AF47" i="30"/>
  <c r="AB47" i="30"/>
  <c r="AA47" i="30"/>
  <c r="T47" i="30"/>
  <c r="S47" i="30"/>
  <c r="R47" i="30"/>
  <c r="AM47" i="30" s="1"/>
  <c r="H47" i="30"/>
  <c r="G47" i="30"/>
  <c r="AR46" i="30"/>
  <c r="AL46" i="30"/>
  <c r="AK46" i="30"/>
  <c r="AG46" i="30"/>
  <c r="AF46" i="30"/>
  <c r="AB46" i="30"/>
  <c r="AA46" i="30"/>
  <c r="T46" i="30"/>
  <c r="S46" i="30"/>
  <c r="R46" i="30"/>
  <c r="AM46" i="30" s="1"/>
  <c r="H46" i="30"/>
  <c r="G46" i="30"/>
  <c r="AR45" i="30"/>
  <c r="AL45" i="30"/>
  <c r="AK45" i="30"/>
  <c r="AG45" i="30"/>
  <c r="AF45" i="30"/>
  <c r="AB45" i="30"/>
  <c r="AA45" i="30"/>
  <c r="T45" i="30"/>
  <c r="S45" i="30"/>
  <c r="R45" i="30"/>
  <c r="AM45" i="30" s="1"/>
  <c r="H45" i="30"/>
  <c r="G45" i="30"/>
  <c r="AR44" i="30"/>
  <c r="AL44" i="30"/>
  <c r="AK44" i="30"/>
  <c r="AG44" i="30"/>
  <c r="AF44" i="30"/>
  <c r="AB44" i="30"/>
  <c r="AA44" i="30"/>
  <c r="T44" i="30"/>
  <c r="S44" i="30"/>
  <c r="R44" i="30"/>
  <c r="AM44" i="30" s="1"/>
  <c r="H44" i="30"/>
  <c r="G44" i="30"/>
  <c r="AR43" i="30"/>
  <c r="AL43" i="30"/>
  <c r="AK43" i="30"/>
  <c r="AG43" i="30"/>
  <c r="AF43" i="30"/>
  <c r="AB43" i="30"/>
  <c r="AA43" i="30"/>
  <c r="T43" i="30"/>
  <c r="S43" i="30"/>
  <c r="R43" i="30"/>
  <c r="AM43" i="30" s="1"/>
  <c r="H43" i="30"/>
  <c r="G43" i="30"/>
  <c r="AR42" i="30"/>
  <c r="AL42" i="30"/>
  <c r="AK42" i="30"/>
  <c r="AG42" i="30"/>
  <c r="AF42" i="30"/>
  <c r="AB42" i="30"/>
  <c r="AA42" i="30"/>
  <c r="T42" i="30"/>
  <c r="S42" i="30"/>
  <c r="R42" i="30"/>
  <c r="AM42" i="30" s="1"/>
  <c r="H42" i="30"/>
  <c r="G42" i="30"/>
  <c r="AR41" i="30"/>
  <c r="AL41" i="30"/>
  <c r="AK41" i="30"/>
  <c r="AG41" i="30"/>
  <c r="AF41" i="30"/>
  <c r="AB41" i="30"/>
  <c r="AA41" i="30"/>
  <c r="T41" i="30"/>
  <c r="S41" i="30"/>
  <c r="R41" i="30"/>
  <c r="AM41" i="30" s="1"/>
  <c r="H41" i="30"/>
  <c r="G41" i="30"/>
  <c r="AR40" i="30"/>
  <c r="AL40" i="30"/>
  <c r="AK40" i="30"/>
  <c r="AG40" i="30"/>
  <c r="AF40" i="30"/>
  <c r="AB40" i="30"/>
  <c r="AA40" i="30"/>
  <c r="T40" i="30"/>
  <c r="S40" i="30"/>
  <c r="R40" i="30"/>
  <c r="AM40" i="30" s="1"/>
  <c r="H40" i="30"/>
  <c r="G40" i="30"/>
  <c r="AR39" i="30"/>
  <c r="AL39" i="30"/>
  <c r="AK39" i="30"/>
  <c r="AG39" i="30"/>
  <c r="AF39" i="30"/>
  <c r="AB39" i="30"/>
  <c r="AA39" i="30"/>
  <c r="T39" i="30"/>
  <c r="S39" i="30"/>
  <c r="R39" i="30"/>
  <c r="AM39" i="30" s="1"/>
  <c r="H39" i="30"/>
  <c r="G39" i="30"/>
  <c r="AR38" i="30"/>
  <c r="AL38" i="30"/>
  <c r="AK38" i="30"/>
  <c r="AG38" i="30"/>
  <c r="AF38" i="30"/>
  <c r="AB38" i="30"/>
  <c r="AA38" i="30"/>
  <c r="T38" i="30"/>
  <c r="S38" i="30"/>
  <c r="R38" i="30"/>
  <c r="AM38" i="30" s="1"/>
  <c r="H38" i="30"/>
  <c r="G38" i="30"/>
  <c r="AR37" i="30"/>
  <c r="AL37" i="30"/>
  <c r="AK37" i="30"/>
  <c r="AG37" i="30"/>
  <c r="AF37" i="30"/>
  <c r="AB37" i="30"/>
  <c r="AA37" i="30"/>
  <c r="T37" i="30"/>
  <c r="S37" i="30"/>
  <c r="R37" i="30"/>
  <c r="AM37" i="30" s="1"/>
  <c r="H37" i="30"/>
  <c r="G37" i="30"/>
  <c r="AR36" i="30"/>
  <c r="AL36" i="30"/>
  <c r="AK36" i="30"/>
  <c r="AG36" i="30"/>
  <c r="AF36" i="30"/>
  <c r="AB36" i="30"/>
  <c r="AA36" i="30"/>
  <c r="T36" i="30"/>
  <c r="S36" i="30"/>
  <c r="R36" i="30"/>
  <c r="AM36" i="30" s="1"/>
  <c r="H36" i="30"/>
  <c r="G36" i="30"/>
  <c r="AR35" i="30"/>
  <c r="AL35" i="30"/>
  <c r="AK35" i="30"/>
  <c r="AG35" i="30"/>
  <c r="AF35" i="30"/>
  <c r="AB35" i="30"/>
  <c r="AA35" i="30"/>
  <c r="T35" i="30"/>
  <c r="S35" i="30"/>
  <c r="R35" i="30"/>
  <c r="AM35" i="30" s="1"/>
  <c r="H35" i="30"/>
  <c r="G35" i="30"/>
  <c r="AR34" i="30"/>
  <c r="AL34" i="30"/>
  <c r="AK34" i="30"/>
  <c r="AG34" i="30"/>
  <c r="AF34" i="30"/>
  <c r="AB34" i="30"/>
  <c r="AA34" i="30"/>
  <c r="T34" i="30"/>
  <c r="S34" i="30"/>
  <c r="R34" i="30"/>
  <c r="AM34" i="30" s="1"/>
  <c r="H34" i="30"/>
  <c r="G34" i="30"/>
  <c r="AR33" i="30"/>
  <c r="AL33" i="30"/>
  <c r="AK33" i="30"/>
  <c r="AG33" i="30"/>
  <c r="AF33" i="30"/>
  <c r="AB33" i="30"/>
  <c r="AA33" i="30"/>
  <c r="T33" i="30"/>
  <c r="S33" i="30"/>
  <c r="R33" i="30"/>
  <c r="AM33" i="30" s="1"/>
  <c r="H33" i="30"/>
  <c r="G33" i="30"/>
  <c r="AR32" i="30"/>
  <c r="AL32" i="30"/>
  <c r="AK32" i="30"/>
  <c r="AG32" i="30"/>
  <c r="AF32" i="30"/>
  <c r="AB32" i="30"/>
  <c r="AA32" i="30"/>
  <c r="T32" i="30"/>
  <c r="S32" i="30"/>
  <c r="R32" i="30"/>
  <c r="AM32" i="30" s="1"/>
  <c r="H32" i="30"/>
  <c r="G32" i="30"/>
  <c r="AR31" i="30"/>
  <c r="AL31" i="30"/>
  <c r="AK31" i="30"/>
  <c r="AG31" i="30"/>
  <c r="AF31" i="30"/>
  <c r="AB31" i="30"/>
  <c r="AA31" i="30"/>
  <c r="T31" i="30"/>
  <c r="S31" i="30"/>
  <c r="R31" i="30"/>
  <c r="AM31" i="30" s="1"/>
  <c r="H31" i="30"/>
  <c r="G31" i="30"/>
  <c r="AR30" i="30"/>
  <c r="AL30" i="30"/>
  <c r="AK30" i="30"/>
  <c r="AG30" i="30"/>
  <c r="AF30" i="30"/>
  <c r="AB30" i="30"/>
  <c r="AA30" i="30"/>
  <c r="T30" i="30"/>
  <c r="S30" i="30"/>
  <c r="R30" i="30"/>
  <c r="AM30" i="30" s="1"/>
  <c r="H30" i="30"/>
  <c r="G30" i="30"/>
  <c r="AR29" i="30"/>
  <c r="AL29" i="30"/>
  <c r="AK29" i="30"/>
  <c r="AG29" i="30"/>
  <c r="AF29" i="30"/>
  <c r="AB29" i="30"/>
  <c r="AA29" i="30"/>
  <c r="T29" i="30"/>
  <c r="S29" i="30"/>
  <c r="R29" i="30"/>
  <c r="AM29" i="30" s="1"/>
  <c r="H29" i="30"/>
  <c r="G29" i="30"/>
  <c r="AR28" i="30"/>
  <c r="AL28" i="30"/>
  <c r="AK28" i="30"/>
  <c r="AG28" i="30"/>
  <c r="AF28" i="30"/>
  <c r="AB28" i="30"/>
  <c r="AA28" i="30"/>
  <c r="T28" i="30"/>
  <c r="S28" i="30"/>
  <c r="R28" i="30"/>
  <c r="AM28" i="30" s="1"/>
  <c r="H28" i="30"/>
  <c r="G28" i="30"/>
  <c r="AR27" i="30"/>
  <c r="AL27" i="30"/>
  <c r="AK27" i="30"/>
  <c r="AG27" i="30"/>
  <c r="AF27" i="30"/>
  <c r="AB27" i="30"/>
  <c r="AA27" i="30"/>
  <c r="T27" i="30"/>
  <c r="S27" i="30"/>
  <c r="R27" i="30"/>
  <c r="AM27" i="30" s="1"/>
  <c r="H27" i="30"/>
  <c r="G27" i="30"/>
  <c r="AR26" i="30"/>
  <c r="AL26" i="30"/>
  <c r="AK26" i="30"/>
  <c r="AG26" i="30"/>
  <c r="AF26" i="30"/>
  <c r="AB26" i="30"/>
  <c r="AA26" i="30"/>
  <c r="T26" i="30"/>
  <c r="S26" i="30"/>
  <c r="R26" i="30"/>
  <c r="AM26" i="30" s="1"/>
  <c r="H26" i="30"/>
  <c r="G26" i="30"/>
  <c r="AR25" i="30"/>
  <c r="AL25" i="30"/>
  <c r="AK25" i="30"/>
  <c r="AG25" i="30"/>
  <c r="AF25" i="30"/>
  <c r="AB25" i="30"/>
  <c r="AA25" i="30"/>
  <c r="T25" i="30"/>
  <c r="S25" i="30"/>
  <c r="R25" i="30"/>
  <c r="AM25" i="30" s="1"/>
  <c r="H25" i="30"/>
  <c r="G25" i="30"/>
  <c r="AR24" i="30"/>
  <c r="AL24" i="30"/>
  <c r="AK24" i="30"/>
  <c r="AG24" i="30"/>
  <c r="AF24" i="30"/>
  <c r="AB24" i="30"/>
  <c r="AA24" i="30"/>
  <c r="T24" i="30"/>
  <c r="S24" i="30"/>
  <c r="R24" i="30"/>
  <c r="AM24" i="30" s="1"/>
  <c r="H24" i="30"/>
  <c r="G24" i="30"/>
  <c r="AR23" i="30"/>
  <c r="AL23" i="30"/>
  <c r="AK23" i="30"/>
  <c r="AG23" i="30"/>
  <c r="AF23" i="30"/>
  <c r="AB23" i="30"/>
  <c r="AA23" i="30"/>
  <c r="T23" i="30"/>
  <c r="S23" i="30"/>
  <c r="R23" i="30"/>
  <c r="AM23" i="30" s="1"/>
  <c r="H23" i="30"/>
  <c r="G23" i="30"/>
  <c r="AR22" i="30"/>
  <c r="AL22" i="30"/>
  <c r="AK22" i="30"/>
  <c r="AG22" i="30"/>
  <c r="AF22" i="30"/>
  <c r="AB22" i="30"/>
  <c r="AA22" i="30"/>
  <c r="T22" i="30"/>
  <c r="S22" i="30"/>
  <c r="R22" i="30"/>
  <c r="AM22" i="30" s="1"/>
  <c r="H22" i="30"/>
  <c r="G22" i="30"/>
  <c r="AR21" i="30"/>
  <c r="AL21" i="30"/>
  <c r="AK21" i="30"/>
  <c r="AG21" i="30"/>
  <c r="AF21" i="30"/>
  <c r="AB21" i="30"/>
  <c r="AA21" i="30"/>
  <c r="T21" i="30"/>
  <c r="S21" i="30"/>
  <c r="R21" i="30"/>
  <c r="AM21" i="30" s="1"/>
  <c r="H21" i="30"/>
  <c r="G21" i="30"/>
  <c r="AR20" i="30"/>
  <c r="AL20" i="30"/>
  <c r="AK20" i="30"/>
  <c r="AG20" i="30"/>
  <c r="AF20" i="30"/>
  <c r="AB20" i="30"/>
  <c r="AA20" i="30"/>
  <c r="T20" i="30"/>
  <c r="S20" i="30"/>
  <c r="R20" i="30"/>
  <c r="AM20" i="30" s="1"/>
  <c r="H20" i="30"/>
  <c r="G20" i="30"/>
  <c r="AR19" i="30"/>
  <c r="AL19" i="30"/>
  <c r="AK19" i="30"/>
  <c r="AG19" i="30"/>
  <c r="AF19" i="30"/>
  <c r="AB19" i="30"/>
  <c r="AA19" i="30"/>
  <c r="T19" i="30"/>
  <c r="S19" i="30"/>
  <c r="R19" i="30"/>
  <c r="AM19" i="30" s="1"/>
  <c r="H19" i="30"/>
  <c r="G19" i="30"/>
  <c r="AR18" i="30"/>
  <c r="AL18" i="30"/>
  <c r="AK18" i="30"/>
  <c r="AG18" i="30"/>
  <c r="AF18" i="30"/>
  <c r="AB18" i="30"/>
  <c r="AA18" i="30"/>
  <c r="T18" i="30"/>
  <c r="S18" i="30"/>
  <c r="R18" i="30"/>
  <c r="AM18" i="30" s="1"/>
  <c r="H18" i="30"/>
  <c r="G18" i="30"/>
  <c r="AR17" i="30"/>
  <c r="AL17" i="30"/>
  <c r="AK17" i="30"/>
  <c r="AG17" i="30"/>
  <c r="AF17" i="30"/>
  <c r="AB17" i="30"/>
  <c r="AA17" i="30"/>
  <c r="T17" i="30"/>
  <c r="S17" i="30"/>
  <c r="R17" i="30"/>
  <c r="AM17" i="30" s="1"/>
  <c r="H17" i="30"/>
  <c r="G17" i="30"/>
  <c r="AR16" i="30"/>
  <c r="AL16" i="30"/>
  <c r="AK16" i="30"/>
  <c r="AG16" i="30"/>
  <c r="AF16" i="30"/>
  <c r="AB16" i="30"/>
  <c r="AA16" i="30"/>
  <c r="T16" i="30"/>
  <c r="S16" i="30"/>
  <c r="R16" i="30"/>
  <c r="AM16" i="30" s="1"/>
  <c r="H16" i="30"/>
  <c r="G16" i="30"/>
  <c r="AR15" i="30"/>
  <c r="AL15" i="30"/>
  <c r="AK15" i="30"/>
  <c r="AG15" i="30"/>
  <c r="AF15" i="30"/>
  <c r="AB15" i="30"/>
  <c r="AA15" i="30"/>
  <c r="T15" i="30"/>
  <c r="S15" i="30"/>
  <c r="R15" i="30"/>
  <c r="AM15" i="30" s="1"/>
  <c r="H15" i="30"/>
  <c r="G15" i="30"/>
  <c r="AR14" i="30"/>
  <c r="AL14" i="30"/>
  <c r="AK14" i="30"/>
  <c r="AG14" i="30"/>
  <c r="AF14" i="30"/>
  <c r="AB14" i="30"/>
  <c r="AA14" i="30"/>
  <c r="T14" i="30"/>
  <c r="S14" i="30"/>
  <c r="R14" i="30"/>
  <c r="AM14" i="30" s="1"/>
  <c r="H14" i="30"/>
  <c r="G14" i="30"/>
  <c r="AR13" i="30"/>
  <c r="AL13" i="30"/>
  <c r="AK13" i="30"/>
  <c r="AG13" i="30"/>
  <c r="AF13" i="30"/>
  <c r="AB13" i="30"/>
  <c r="AA13" i="30"/>
  <c r="T13" i="30"/>
  <c r="S13" i="30"/>
  <c r="R13" i="30"/>
  <c r="AM13" i="30" s="1"/>
  <c r="H13" i="30"/>
  <c r="G13" i="30"/>
  <c r="AR12" i="30"/>
  <c r="AL12" i="30"/>
  <c r="AK12" i="30"/>
  <c r="AG12" i="30"/>
  <c r="AF12" i="30"/>
  <c r="AB12" i="30"/>
  <c r="AA12" i="30"/>
  <c r="T12" i="30"/>
  <c r="S12" i="30"/>
  <c r="R12" i="30"/>
  <c r="AM12" i="30" s="1"/>
  <c r="H12" i="30"/>
  <c r="G12" i="30"/>
  <c r="AR11" i="30"/>
  <c r="AL11" i="30"/>
  <c r="AK11" i="30"/>
  <c r="AG11" i="30"/>
  <c r="AF11" i="30"/>
  <c r="AB11" i="30"/>
  <c r="AA11" i="30"/>
  <c r="T11" i="30"/>
  <c r="S11" i="30"/>
  <c r="R11" i="30"/>
  <c r="AM11" i="30" s="1"/>
  <c r="H11" i="30"/>
  <c r="G11" i="30"/>
  <c r="AR10" i="30"/>
  <c r="AL10" i="30"/>
  <c r="AK10" i="30"/>
  <c r="AG10" i="30"/>
  <c r="AF10" i="30"/>
  <c r="AB10" i="30"/>
  <c r="AA10" i="30"/>
  <c r="T10" i="30"/>
  <c r="S10" i="30"/>
  <c r="R10" i="30"/>
  <c r="AM10" i="30" s="1"/>
  <c r="H10" i="30"/>
  <c r="G10" i="30"/>
  <c r="AR9" i="30"/>
  <c r="AL9" i="30"/>
  <c r="AK9" i="30"/>
  <c r="AG9" i="30"/>
  <c r="AF9" i="30"/>
  <c r="AB9" i="30"/>
  <c r="AA9" i="30"/>
  <c r="T9" i="30"/>
  <c r="S9" i="30"/>
  <c r="R9" i="30"/>
  <c r="AM9" i="30" s="1"/>
  <c r="H9" i="30"/>
  <c r="G9" i="30"/>
  <c r="AR8" i="30"/>
  <c r="AL8" i="30"/>
  <c r="AK8" i="30"/>
  <c r="AG8" i="30"/>
  <c r="AF8" i="30"/>
  <c r="AB8" i="30"/>
  <c r="AA8" i="30"/>
  <c r="T8" i="30"/>
  <c r="S8" i="30"/>
  <c r="R8" i="30"/>
  <c r="AM8" i="30" s="1"/>
  <c r="H8" i="30"/>
  <c r="G8" i="30"/>
  <c r="AR7" i="30"/>
  <c r="AL7" i="30"/>
  <c r="AK7" i="30"/>
  <c r="AG7" i="30"/>
  <c r="AF7" i="30"/>
  <c r="AB7" i="30"/>
  <c r="AA7" i="30"/>
  <c r="T7" i="30"/>
  <c r="S7" i="30"/>
  <c r="R7" i="30"/>
  <c r="AM7" i="30" s="1"/>
  <c r="H7" i="30"/>
  <c r="G7" i="30"/>
  <c r="AR6" i="30"/>
  <c r="AL6" i="30"/>
  <c r="AK6" i="30"/>
  <c r="AG6" i="30"/>
  <c r="AF6" i="30"/>
  <c r="AB6" i="30"/>
  <c r="AA6" i="30"/>
  <c r="T6" i="30"/>
  <c r="S6" i="30"/>
  <c r="R6" i="30"/>
  <c r="AM6" i="30" s="1"/>
  <c r="H6" i="30"/>
  <c r="G6" i="30"/>
  <c r="B6" i="30"/>
  <c r="A6" i="30" s="1"/>
  <c r="AR5" i="30"/>
  <c r="AL5" i="30"/>
  <c r="AK5" i="30"/>
  <c r="AG5" i="30"/>
  <c r="AF5" i="30"/>
  <c r="AB5" i="30"/>
  <c r="AA5" i="30"/>
  <c r="T5" i="30"/>
  <c r="S5" i="30"/>
  <c r="R5" i="30"/>
  <c r="AM5" i="30" s="1"/>
  <c r="H5" i="30"/>
  <c r="G5" i="30"/>
  <c r="B5" i="30"/>
  <c r="B7" i="30" s="1"/>
  <c r="A7" i="30" s="1"/>
  <c r="AR4" i="30"/>
  <c r="AL4" i="30"/>
  <c r="AK4" i="30"/>
  <c r="AG4" i="30"/>
  <c r="AF4" i="30"/>
  <c r="AB4" i="30"/>
  <c r="AA4" i="30"/>
  <c r="T4" i="30"/>
  <c r="S4" i="30"/>
  <c r="R4" i="30"/>
  <c r="AM4" i="30" s="1"/>
  <c r="H4" i="30"/>
  <c r="G4" i="30"/>
  <c r="A4" i="30"/>
  <c r="AP1" i="30"/>
  <c r="AB33" i="29"/>
  <c r="AA33" i="29"/>
  <c r="AB32" i="29"/>
  <c r="AA32" i="29"/>
  <c r="AB31" i="29"/>
  <c r="AA31" i="29"/>
  <c r="AB30" i="29"/>
  <c r="AA30" i="29"/>
  <c r="AB29" i="29"/>
  <c r="AA29" i="29"/>
  <c r="AB28" i="29"/>
  <c r="AA28" i="29"/>
  <c r="AB27" i="29"/>
  <c r="AA27" i="29"/>
  <c r="AB26" i="29"/>
  <c r="AA26" i="29"/>
  <c r="AB25" i="29"/>
  <c r="AA25" i="29"/>
  <c r="AB24" i="29"/>
  <c r="AA24" i="29"/>
  <c r="AB23" i="29"/>
  <c r="AA23" i="29"/>
  <c r="AB22" i="29"/>
  <c r="AA22" i="29"/>
  <c r="AB21" i="29"/>
  <c r="AA21" i="29"/>
  <c r="AB20" i="29"/>
  <c r="AA20" i="29"/>
  <c r="AB19" i="29"/>
  <c r="AA19" i="29"/>
  <c r="AB18" i="29"/>
  <c r="AA18" i="29"/>
  <c r="AB17" i="29"/>
  <c r="AA17" i="29"/>
  <c r="AB16" i="29"/>
  <c r="AA16" i="29"/>
  <c r="AB15" i="29"/>
  <c r="AA15" i="29"/>
  <c r="AB14" i="29"/>
  <c r="AA14" i="29"/>
  <c r="AB13" i="29"/>
  <c r="AA13" i="29"/>
  <c r="AB12" i="29"/>
  <c r="AA12" i="29"/>
  <c r="AB11" i="29"/>
  <c r="AA11" i="29"/>
  <c r="AB10" i="29"/>
  <c r="AA10" i="29"/>
  <c r="AB9" i="29"/>
  <c r="AA9" i="29"/>
  <c r="AB8" i="29"/>
  <c r="AA8" i="29"/>
  <c r="AB7" i="29"/>
  <c r="AA7" i="29"/>
  <c r="AB6" i="29"/>
  <c r="AA6" i="29"/>
  <c r="AB5" i="29"/>
  <c r="AA5" i="29"/>
  <c r="AB4" i="29"/>
  <c r="AA4" i="29"/>
  <c r="AG66" i="29"/>
  <c r="AF66" i="29"/>
  <c r="AB66" i="29"/>
  <c r="AA66" i="29"/>
  <c r="J66" i="29"/>
  <c r="AR65" i="29"/>
  <c r="AL65" i="29"/>
  <c r="AK65" i="29"/>
  <c r="AG65" i="29"/>
  <c r="AF65" i="29"/>
  <c r="AB65" i="29"/>
  <c r="AA65" i="29"/>
  <c r="T65" i="29"/>
  <c r="S65" i="29"/>
  <c r="R65" i="29"/>
  <c r="AM65" i="29" s="1"/>
  <c r="H65" i="29"/>
  <c r="G65" i="29"/>
  <c r="AR64" i="29"/>
  <c r="AL64" i="29"/>
  <c r="AK64" i="29"/>
  <c r="AG64" i="29"/>
  <c r="AF64" i="29"/>
  <c r="AB64" i="29"/>
  <c r="AA64" i="29"/>
  <c r="T64" i="29"/>
  <c r="S64" i="29"/>
  <c r="R64" i="29"/>
  <c r="AM64" i="29" s="1"/>
  <c r="H64" i="29"/>
  <c r="G64" i="29"/>
  <c r="AR63" i="29"/>
  <c r="AL63" i="29"/>
  <c r="AK63" i="29"/>
  <c r="AG63" i="29"/>
  <c r="AF63" i="29"/>
  <c r="AB63" i="29"/>
  <c r="AA63" i="29"/>
  <c r="T63" i="29"/>
  <c r="S63" i="29"/>
  <c r="R63" i="29"/>
  <c r="AM63" i="29" s="1"/>
  <c r="H63" i="29"/>
  <c r="G63" i="29"/>
  <c r="AR62" i="29"/>
  <c r="AL62" i="29"/>
  <c r="AK62" i="29"/>
  <c r="AG62" i="29"/>
  <c r="AF62" i="29"/>
  <c r="AB62" i="29"/>
  <c r="AA62" i="29"/>
  <c r="T62" i="29"/>
  <c r="S62" i="29"/>
  <c r="R62" i="29"/>
  <c r="AM62" i="29" s="1"/>
  <c r="H62" i="29"/>
  <c r="G62" i="29"/>
  <c r="AR61" i="29"/>
  <c r="AL61" i="29"/>
  <c r="AK61" i="29"/>
  <c r="AG61" i="29"/>
  <c r="AF61" i="29"/>
  <c r="AB61" i="29"/>
  <c r="AA61" i="29"/>
  <c r="T61" i="29"/>
  <c r="S61" i="29"/>
  <c r="R61" i="29"/>
  <c r="AM61" i="29" s="1"/>
  <c r="H61" i="29"/>
  <c r="G61" i="29"/>
  <c r="AR60" i="29"/>
  <c r="AL60" i="29"/>
  <c r="AK60" i="29"/>
  <c r="AG60" i="29"/>
  <c r="AF60" i="29"/>
  <c r="AB60" i="29"/>
  <c r="AA60" i="29"/>
  <c r="T60" i="29"/>
  <c r="S60" i="29"/>
  <c r="R60" i="29"/>
  <c r="AM60" i="29" s="1"/>
  <c r="H60" i="29"/>
  <c r="G60" i="29"/>
  <c r="AR59" i="29"/>
  <c r="AL59" i="29"/>
  <c r="AK59" i="29"/>
  <c r="AG59" i="29"/>
  <c r="AF59" i="29"/>
  <c r="AB59" i="29"/>
  <c r="AA59" i="29"/>
  <c r="T59" i="29"/>
  <c r="S59" i="29"/>
  <c r="R59" i="29"/>
  <c r="AM59" i="29" s="1"/>
  <c r="H59" i="29"/>
  <c r="G59" i="29"/>
  <c r="AR58" i="29"/>
  <c r="AL58" i="29"/>
  <c r="AK58" i="29"/>
  <c r="AG58" i="29"/>
  <c r="AF58" i="29"/>
  <c r="AB58" i="29"/>
  <c r="AA58" i="29"/>
  <c r="T58" i="29"/>
  <c r="S58" i="29"/>
  <c r="R58" i="29"/>
  <c r="AM58" i="29" s="1"/>
  <c r="H58" i="29"/>
  <c r="G58" i="29"/>
  <c r="AR57" i="29"/>
  <c r="AL57" i="29"/>
  <c r="AK57" i="29"/>
  <c r="AG57" i="29"/>
  <c r="AF57" i="29"/>
  <c r="AB57" i="29"/>
  <c r="AA57" i="29"/>
  <c r="T57" i="29"/>
  <c r="S57" i="29"/>
  <c r="R57" i="29"/>
  <c r="AM57" i="29" s="1"/>
  <c r="H57" i="29"/>
  <c r="G57" i="29"/>
  <c r="AR56" i="29"/>
  <c r="AL56" i="29"/>
  <c r="AK56" i="29"/>
  <c r="AG56" i="29"/>
  <c r="AF56" i="29"/>
  <c r="AB56" i="29"/>
  <c r="AA56" i="29"/>
  <c r="T56" i="29"/>
  <c r="S56" i="29"/>
  <c r="R56" i="29"/>
  <c r="AM56" i="29" s="1"/>
  <c r="H56" i="29"/>
  <c r="G56" i="29"/>
  <c r="AR55" i="29"/>
  <c r="AL55" i="29"/>
  <c r="AK55" i="29"/>
  <c r="AG55" i="29"/>
  <c r="AF55" i="29"/>
  <c r="AB55" i="29"/>
  <c r="AA55" i="29"/>
  <c r="T55" i="29"/>
  <c r="S55" i="29"/>
  <c r="R55" i="29"/>
  <c r="AM55" i="29" s="1"/>
  <c r="H55" i="29"/>
  <c r="G55" i="29"/>
  <c r="AR54" i="29"/>
  <c r="AL54" i="29"/>
  <c r="AK54" i="29"/>
  <c r="AG54" i="29"/>
  <c r="AF54" i="29"/>
  <c r="AB54" i="29"/>
  <c r="AA54" i="29"/>
  <c r="T54" i="29"/>
  <c r="S54" i="29"/>
  <c r="R54" i="29"/>
  <c r="AM54" i="29" s="1"/>
  <c r="H54" i="29"/>
  <c r="G54" i="29"/>
  <c r="AR53" i="29"/>
  <c r="AL53" i="29"/>
  <c r="AK53" i="29"/>
  <c r="AG53" i="29"/>
  <c r="AF53" i="29"/>
  <c r="AB53" i="29"/>
  <c r="AA53" i="29"/>
  <c r="T53" i="29"/>
  <c r="S53" i="29"/>
  <c r="R53" i="29"/>
  <c r="AM53" i="29" s="1"/>
  <c r="H53" i="29"/>
  <c r="G53" i="29"/>
  <c r="AR52" i="29"/>
  <c r="AL52" i="29"/>
  <c r="AK52" i="29"/>
  <c r="AG52" i="29"/>
  <c r="AF52" i="29"/>
  <c r="AB52" i="29"/>
  <c r="AA52" i="29"/>
  <c r="T52" i="29"/>
  <c r="S52" i="29"/>
  <c r="R52" i="29"/>
  <c r="AM52" i="29" s="1"/>
  <c r="H52" i="29"/>
  <c r="G52" i="29"/>
  <c r="AR51" i="29"/>
  <c r="AL51" i="29"/>
  <c r="AK51" i="29"/>
  <c r="AG51" i="29"/>
  <c r="AF51" i="29"/>
  <c r="AB51" i="29"/>
  <c r="AA51" i="29"/>
  <c r="T51" i="29"/>
  <c r="S51" i="29"/>
  <c r="R51" i="29"/>
  <c r="AM51" i="29" s="1"/>
  <c r="H51" i="29"/>
  <c r="G51" i="29"/>
  <c r="AR50" i="29"/>
  <c r="AL50" i="29"/>
  <c r="AK50" i="29"/>
  <c r="AG50" i="29"/>
  <c r="AF50" i="29"/>
  <c r="AB50" i="29"/>
  <c r="AA50" i="29"/>
  <c r="T50" i="29"/>
  <c r="S50" i="29"/>
  <c r="R50" i="29"/>
  <c r="AM50" i="29" s="1"/>
  <c r="H50" i="29"/>
  <c r="G50" i="29"/>
  <c r="AR49" i="29"/>
  <c r="AL49" i="29"/>
  <c r="AK49" i="29"/>
  <c r="AG49" i="29"/>
  <c r="AF49" i="29"/>
  <c r="AB49" i="29"/>
  <c r="AA49" i="29"/>
  <c r="T49" i="29"/>
  <c r="S49" i="29"/>
  <c r="R49" i="29"/>
  <c r="AM49" i="29" s="1"/>
  <c r="H49" i="29"/>
  <c r="G49" i="29"/>
  <c r="AR48" i="29"/>
  <c r="AL48" i="29"/>
  <c r="AK48" i="29"/>
  <c r="AG48" i="29"/>
  <c r="AF48" i="29"/>
  <c r="AB48" i="29"/>
  <c r="AA48" i="29"/>
  <c r="T48" i="29"/>
  <c r="S48" i="29"/>
  <c r="R48" i="29"/>
  <c r="AM48" i="29" s="1"/>
  <c r="H48" i="29"/>
  <c r="G48" i="29"/>
  <c r="AR47" i="29"/>
  <c r="AL47" i="29"/>
  <c r="AK47" i="29"/>
  <c r="AG47" i="29"/>
  <c r="AF47" i="29"/>
  <c r="AB47" i="29"/>
  <c r="AA47" i="29"/>
  <c r="T47" i="29"/>
  <c r="S47" i="29"/>
  <c r="R47" i="29"/>
  <c r="AM47" i="29" s="1"/>
  <c r="H47" i="29"/>
  <c r="G47" i="29"/>
  <c r="AR46" i="29"/>
  <c r="AL46" i="29"/>
  <c r="AK46" i="29"/>
  <c r="AG46" i="29"/>
  <c r="AF46" i="29"/>
  <c r="AB46" i="29"/>
  <c r="AA46" i="29"/>
  <c r="T46" i="29"/>
  <c r="S46" i="29"/>
  <c r="R46" i="29"/>
  <c r="AM46" i="29" s="1"/>
  <c r="H46" i="29"/>
  <c r="G46" i="29"/>
  <c r="AR45" i="29"/>
  <c r="AL45" i="29"/>
  <c r="AK45" i="29"/>
  <c r="AG45" i="29"/>
  <c r="AF45" i="29"/>
  <c r="AB45" i="29"/>
  <c r="AA45" i="29"/>
  <c r="T45" i="29"/>
  <c r="S45" i="29"/>
  <c r="R45" i="29"/>
  <c r="AM45" i="29" s="1"/>
  <c r="H45" i="29"/>
  <c r="G45" i="29"/>
  <c r="AR44" i="29"/>
  <c r="AL44" i="29"/>
  <c r="AK44" i="29"/>
  <c r="AG44" i="29"/>
  <c r="AF44" i="29"/>
  <c r="AB44" i="29"/>
  <c r="AA44" i="29"/>
  <c r="T44" i="29"/>
  <c r="S44" i="29"/>
  <c r="R44" i="29"/>
  <c r="AM44" i="29" s="1"/>
  <c r="H44" i="29"/>
  <c r="G44" i="29"/>
  <c r="AR43" i="29"/>
  <c r="AL43" i="29"/>
  <c r="AK43" i="29"/>
  <c r="AG43" i="29"/>
  <c r="AF43" i="29"/>
  <c r="AB43" i="29"/>
  <c r="AA43" i="29"/>
  <c r="T43" i="29"/>
  <c r="S43" i="29"/>
  <c r="R43" i="29"/>
  <c r="AM43" i="29" s="1"/>
  <c r="H43" i="29"/>
  <c r="G43" i="29"/>
  <c r="AR42" i="29"/>
  <c r="AL42" i="29"/>
  <c r="AK42" i="29"/>
  <c r="AG42" i="29"/>
  <c r="AF42" i="29"/>
  <c r="AB42" i="29"/>
  <c r="AA42" i="29"/>
  <c r="T42" i="29"/>
  <c r="S42" i="29"/>
  <c r="R42" i="29"/>
  <c r="AM42" i="29" s="1"/>
  <c r="H42" i="29"/>
  <c r="G42" i="29"/>
  <c r="AR41" i="29"/>
  <c r="AL41" i="29"/>
  <c r="AK41" i="29"/>
  <c r="AG41" i="29"/>
  <c r="AF41" i="29"/>
  <c r="AB41" i="29"/>
  <c r="AA41" i="29"/>
  <c r="T41" i="29"/>
  <c r="S41" i="29"/>
  <c r="R41" i="29"/>
  <c r="AM41" i="29" s="1"/>
  <c r="H41" i="29"/>
  <c r="G41" i="29"/>
  <c r="AR40" i="29"/>
  <c r="AL40" i="29"/>
  <c r="AK40" i="29"/>
  <c r="AG40" i="29"/>
  <c r="AF40" i="29"/>
  <c r="AB40" i="29"/>
  <c r="AA40" i="29"/>
  <c r="T40" i="29"/>
  <c r="S40" i="29"/>
  <c r="R40" i="29"/>
  <c r="AM40" i="29" s="1"/>
  <c r="H40" i="29"/>
  <c r="G40" i="29"/>
  <c r="AR39" i="29"/>
  <c r="AL39" i="29"/>
  <c r="AK39" i="29"/>
  <c r="AG39" i="29"/>
  <c r="AF39" i="29"/>
  <c r="AB39" i="29"/>
  <c r="AA39" i="29"/>
  <c r="T39" i="29"/>
  <c r="S39" i="29"/>
  <c r="R39" i="29"/>
  <c r="AM39" i="29" s="1"/>
  <c r="H39" i="29"/>
  <c r="G39" i="29"/>
  <c r="AR38" i="29"/>
  <c r="AL38" i="29"/>
  <c r="AK38" i="29"/>
  <c r="AG38" i="29"/>
  <c r="AF38" i="29"/>
  <c r="AB38" i="29"/>
  <c r="AA38" i="29"/>
  <c r="T38" i="29"/>
  <c r="S38" i="29"/>
  <c r="R38" i="29"/>
  <c r="AM38" i="29" s="1"/>
  <c r="H38" i="29"/>
  <c r="G38" i="29"/>
  <c r="AR37" i="29"/>
  <c r="AL37" i="29"/>
  <c r="AK37" i="29"/>
  <c r="AG37" i="29"/>
  <c r="AF37" i="29"/>
  <c r="AB37" i="29"/>
  <c r="AA37" i="29"/>
  <c r="T37" i="29"/>
  <c r="S37" i="29"/>
  <c r="R37" i="29"/>
  <c r="AM37" i="29" s="1"/>
  <c r="H37" i="29"/>
  <c r="G37" i="29"/>
  <c r="AR36" i="29"/>
  <c r="AL36" i="29"/>
  <c r="AK36" i="29"/>
  <c r="AG36" i="29"/>
  <c r="AF36" i="29"/>
  <c r="AB36" i="29"/>
  <c r="AA36" i="29"/>
  <c r="T36" i="29"/>
  <c r="S36" i="29"/>
  <c r="R36" i="29"/>
  <c r="AM36" i="29" s="1"/>
  <c r="H36" i="29"/>
  <c r="G36" i="29"/>
  <c r="AR35" i="29"/>
  <c r="AL35" i="29"/>
  <c r="AK35" i="29"/>
  <c r="AG35" i="29"/>
  <c r="AF35" i="29"/>
  <c r="AB35" i="29"/>
  <c r="AA35" i="29"/>
  <c r="T35" i="29"/>
  <c r="S35" i="29"/>
  <c r="R35" i="29"/>
  <c r="AM35" i="29" s="1"/>
  <c r="H35" i="29"/>
  <c r="G35" i="29"/>
  <c r="AR34" i="29"/>
  <c r="AL34" i="29"/>
  <c r="AK34" i="29"/>
  <c r="AG34" i="29"/>
  <c r="AF34" i="29"/>
  <c r="AB34" i="29"/>
  <c r="AA34" i="29"/>
  <c r="T34" i="29"/>
  <c r="S34" i="29"/>
  <c r="R34" i="29"/>
  <c r="AM34" i="29" s="1"/>
  <c r="H34" i="29"/>
  <c r="G34" i="29"/>
  <c r="AR33" i="29"/>
  <c r="AL33" i="29"/>
  <c r="AK33" i="29"/>
  <c r="AG33" i="29"/>
  <c r="AF33" i="29"/>
  <c r="T33" i="29"/>
  <c r="S33" i="29"/>
  <c r="R33" i="29"/>
  <c r="AM33" i="29" s="1"/>
  <c r="H33" i="29"/>
  <c r="G33" i="29"/>
  <c r="AR32" i="29"/>
  <c r="AL32" i="29"/>
  <c r="AK32" i="29"/>
  <c r="AG32" i="29"/>
  <c r="AF32" i="29"/>
  <c r="T32" i="29"/>
  <c r="S32" i="29"/>
  <c r="R32" i="29"/>
  <c r="AM32" i="29" s="1"/>
  <c r="H32" i="29"/>
  <c r="G32" i="29"/>
  <c r="AR31" i="29"/>
  <c r="AL31" i="29"/>
  <c r="AK31" i="29"/>
  <c r="AG31" i="29"/>
  <c r="AF31" i="29"/>
  <c r="T31" i="29"/>
  <c r="S31" i="29"/>
  <c r="R31" i="29"/>
  <c r="AM31" i="29" s="1"/>
  <c r="H31" i="29"/>
  <c r="G31" i="29"/>
  <c r="AR30" i="29"/>
  <c r="AL30" i="29"/>
  <c r="AK30" i="29"/>
  <c r="AG30" i="29"/>
  <c r="AF30" i="29"/>
  <c r="T30" i="29"/>
  <c r="S30" i="29"/>
  <c r="R30" i="29"/>
  <c r="AM30" i="29" s="1"/>
  <c r="H30" i="29"/>
  <c r="G30" i="29"/>
  <c r="AR29" i="29"/>
  <c r="AL29" i="29"/>
  <c r="AK29" i="29"/>
  <c r="AG29" i="29"/>
  <c r="AF29" i="29"/>
  <c r="T29" i="29"/>
  <c r="S29" i="29"/>
  <c r="R29" i="29"/>
  <c r="AM29" i="29" s="1"/>
  <c r="H29" i="29"/>
  <c r="G29" i="29"/>
  <c r="AR28" i="29"/>
  <c r="AL28" i="29"/>
  <c r="AK28" i="29"/>
  <c r="AG28" i="29"/>
  <c r="AF28" i="29"/>
  <c r="T28" i="29"/>
  <c r="S28" i="29"/>
  <c r="R28" i="29"/>
  <c r="AM28" i="29" s="1"/>
  <c r="H28" i="29"/>
  <c r="G28" i="29"/>
  <c r="AR27" i="29"/>
  <c r="AL27" i="29"/>
  <c r="AK27" i="29"/>
  <c r="AG27" i="29"/>
  <c r="AF27" i="29"/>
  <c r="T27" i="29"/>
  <c r="S27" i="29"/>
  <c r="R27" i="29"/>
  <c r="AM27" i="29" s="1"/>
  <c r="H27" i="29"/>
  <c r="G27" i="29"/>
  <c r="AR26" i="29"/>
  <c r="AL26" i="29"/>
  <c r="AK26" i="29"/>
  <c r="AG26" i="29"/>
  <c r="AF26" i="29"/>
  <c r="T26" i="29"/>
  <c r="S26" i="29"/>
  <c r="R26" i="29"/>
  <c r="AM26" i="29" s="1"/>
  <c r="H26" i="29"/>
  <c r="G26" i="29"/>
  <c r="AR25" i="29"/>
  <c r="AL25" i="29"/>
  <c r="AK25" i="29"/>
  <c r="AG25" i="29"/>
  <c r="AF25" i="29"/>
  <c r="T25" i="29"/>
  <c r="S25" i="29"/>
  <c r="R25" i="29"/>
  <c r="AM25" i="29" s="1"/>
  <c r="H25" i="29"/>
  <c r="G25" i="29"/>
  <c r="AR24" i="29"/>
  <c r="AL24" i="29"/>
  <c r="AK24" i="29"/>
  <c r="AG24" i="29"/>
  <c r="AF24" i="29"/>
  <c r="T24" i="29"/>
  <c r="S24" i="29"/>
  <c r="R24" i="29"/>
  <c r="AM24" i="29" s="1"/>
  <c r="H24" i="29"/>
  <c r="G24" i="29"/>
  <c r="AW23" i="29"/>
  <c r="AR23" i="29"/>
  <c r="AL23" i="29"/>
  <c r="AK23" i="29"/>
  <c r="AG23" i="29"/>
  <c r="AF23" i="29"/>
  <c r="T23" i="29"/>
  <c r="S23" i="29"/>
  <c r="R23" i="29"/>
  <c r="AM23" i="29" s="1"/>
  <c r="H23" i="29"/>
  <c r="G23" i="29"/>
  <c r="AW22" i="29"/>
  <c r="AR22" i="29"/>
  <c r="AL22" i="29"/>
  <c r="AK22" i="29"/>
  <c r="AG22" i="29"/>
  <c r="AF22" i="29"/>
  <c r="T22" i="29"/>
  <c r="S22" i="29"/>
  <c r="R22" i="29"/>
  <c r="AM22" i="29" s="1"/>
  <c r="H22" i="29"/>
  <c r="G22" i="29"/>
  <c r="AR21" i="29"/>
  <c r="AL21" i="29"/>
  <c r="AK21" i="29"/>
  <c r="AG21" i="29"/>
  <c r="AF21" i="29"/>
  <c r="T21" i="29"/>
  <c r="S21" i="29"/>
  <c r="R21" i="29"/>
  <c r="AM21" i="29" s="1"/>
  <c r="H21" i="29"/>
  <c r="G21" i="29"/>
  <c r="AR20" i="29"/>
  <c r="AL20" i="29"/>
  <c r="AK20" i="29"/>
  <c r="AG20" i="29"/>
  <c r="AF20" i="29"/>
  <c r="T20" i="29"/>
  <c r="S20" i="29"/>
  <c r="R20" i="29"/>
  <c r="AM20" i="29" s="1"/>
  <c r="H20" i="29"/>
  <c r="G20" i="29"/>
  <c r="AR19" i="29"/>
  <c r="AL19" i="29"/>
  <c r="AK19" i="29"/>
  <c r="AG19" i="29"/>
  <c r="AF19" i="29"/>
  <c r="T19" i="29"/>
  <c r="S19" i="29"/>
  <c r="R19" i="29"/>
  <c r="AM19" i="29" s="1"/>
  <c r="H19" i="29"/>
  <c r="G19" i="29"/>
  <c r="AR18" i="29"/>
  <c r="AL18" i="29"/>
  <c r="AK18" i="29"/>
  <c r="AG18" i="29"/>
  <c r="AF18" i="29"/>
  <c r="T18" i="29"/>
  <c r="S18" i="29"/>
  <c r="R18" i="29"/>
  <c r="AM18" i="29" s="1"/>
  <c r="H18" i="29"/>
  <c r="G18" i="29"/>
  <c r="AR17" i="29"/>
  <c r="AL17" i="29"/>
  <c r="AK17" i="29"/>
  <c r="AG17" i="29"/>
  <c r="AF17" i="29"/>
  <c r="T17" i="29"/>
  <c r="S17" i="29"/>
  <c r="R17" i="29"/>
  <c r="AM17" i="29" s="1"/>
  <c r="H17" i="29"/>
  <c r="G17" i="29"/>
  <c r="AR16" i="29"/>
  <c r="AL16" i="29"/>
  <c r="AK16" i="29"/>
  <c r="AG16" i="29"/>
  <c r="AF16" i="29"/>
  <c r="T16" i="29"/>
  <c r="S16" i="29"/>
  <c r="R16" i="29"/>
  <c r="AM16" i="29" s="1"/>
  <c r="H16" i="29"/>
  <c r="G16" i="29"/>
  <c r="AR15" i="29"/>
  <c r="AL15" i="29"/>
  <c r="AK15" i="29"/>
  <c r="AG15" i="29"/>
  <c r="AF15" i="29"/>
  <c r="T15" i="29"/>
  <c r="S15" i="29"/>
  <c r="R15" i="29"/>
  <c r="AM15" i="29" s="1"/>
  <c r="H15" i="29"/>
  <c r="G15" i="29"/>
  <c r="AR14" i="29"/>
  <c r="AL14" i="29"/>
  <c r="AK14" i="29"/>
  <c r="AG14" i="29"/>
  <c r="AF14" i="29"/>
  <c r="T14" i="29"/>
  <c r="S14" i="29"/>
  <c r="R14" i="29"/>
  <c r="AM14" i="29" s="1"/>
  <c r="H14" i="29"/>
  <c r="G14" i="29"/>
  <c r="AR13" i="29"/>
  <c r="AL13" i="29"/>
  <c r="AK13" i="29"/>
  <c r="AG13" i="29"/>
  <c r="AF13" i="29"/>
  <c r="T13" i="29"/>
  <c r="S13" i="29"/>
  <c r="R13" i="29"/>
  <c r="AM13" i="29" s="1"/>
  <c r="H13" i="29"/>
  <c r="G13" i="29"/>
  <c r="AR12" i="29"/>
  <c r="AL12" i="29"/>
  <c r="AK12" i="29"/>
  <c r="AG12" i="29"/>
  <c r="AF12" i="29"/>
  <c r="T12" i="29"/>
  <c r="S12" i="29"/>
  <c r="R12" i="29"/>
  <c r="AM12" i="29" s="1"/>
  <c r="H12" i="29"/>
  <c r="G12" i="29"/>
  <c r="AR11" i="29"/>
  <c r="AL11" i="29"/>
  <c r="AK11" i="29"/>
  <c r="AG11" i="29"/>
  <c r="AF11" i="29"/>
  <c r="T11" i="29"/>
  <c r="S11" i="29"/>
  <c r="R11" i="29"/>
  <c r="AM11" i="29" s="1"/>
  <c r="H11" i="29"/>
  <c r="G11" i="29"/>
  <c r="AR10" i="29"/>
  <c r="AL10" i="29"/>
  <c r="AK10" i="29"/>
  <c r="AG10" i="29"/>
  <c r="AF10" i="29"/>
  <c r="T10" i="29"/>
  <c r="S10" i="29"/>
  <c r="R10" i="29"/>
  <c r="AM10" i="29" s="1"/>
  <c r="H10" i="29"/>
  <c r="G10" i="29"/>
  <c r="AR9" i="29"/>
  <c r="AL9" i="29"/>
  <c r="AK9" i="29"/>
  <c r="AG9" i="29"/>
  <c r="AF9" i="29"/>
  <c r="T9" i="29"/>
  <c r="S9" i="29"/>
  <c r="R9" i="29"/>
  <c r="AM9" i="29" s="1"/>
  <c r="H9" i="29"/>
  <c r="G9" i="29"/>
  <c r="AR8" i="29"/>
  <c r="AL8" i="29"/>
  <c r="AK8" i="29"/>
  <c r="AG8" i="29"/>
  <c r="AF8" i="29"/>
  <c r="T8" i="29"/>
  <c r="S8" i="29"/>
  <c r="R8" i="29"/>
  <c r="AM8" i="29" s="1"/>
  <c r="H8" i="29"/>
  <c r="G8" i="29"/>
  <c r="AR7" i="29"/>
  <c r="AL7" i="29"/>
  <c r="AK7" i="29"/>
  <c r="AG7" i="29"/>
  <c r="AF7" i="29"/>
  <c r="T7" i="29"/>
  <c r="S7" i="29"/>
  <c r="R7" i="29"/>
  <c r="AM7" i="29" s="1"/>
  <c r="H7" i="29"/>
  <c r="G7" i="29"/>
  <c r="AR6" i="29"/>
  <c r="AL6" i="29"/>
  <c r="AK6" i="29"/>
  <c r="AG6" i="29"/>
  <c r="AF6" i="29"/>
  <c r="T6" i="29"/>
  <c r="S6" i="29"/>
  <c r="R6" i="29"/>
  <c r="AM6" i="29" s="1"/>
  <c r="H6" i="29"/>
  <c r="G6" i="29"/>
  <c r="B6" i="29"/>
  <c r="B8" i="29" s="1"/>
  <c r="AR5" i="29"/>
  <c r="AL5" i="29"/>
  <c r="AK5" i="29"/>
  <c r="AG5" i="29"/>
  <c r="AF5" i="29"/>
  <c r="T5" i="29"/>
  <c r="S5" i="29"/>
  <c r="R5" i="29"/>
  <c r="AM5" i="29" s="1"/>
  <c r="H5" i="29"/>
  <c r="G5" i="29"/>
  <c r="B5" i="29"/>
  <c r="B7" i="29" s="1"/>
  <c r="A7" i="29" s="1"/>
  <c r="AR4" i="29"/>
  <c r="AL4" i="29"/>
  <c r="AK4" i="29"/>
  <c r="AG4" i="29"/>
  <c r="AF4" i="29"/>
  <c r="T4" i="29"/>
  <c r="S4" i="29"/>
  <c r="R4" i="29"/>
  <c r="AM4" i="29" s="1"/>
  <c r="H4" i="29"/>
  <c r="G4" i="29"/>
  <c r="A4" i="29"/>
  <c r="AP1" i="29"/>
  <c r="A5" i="29" l="1"/>
  <c r="A6" i="29"/>
  <c r="AW24" i="29"/>
  <c r="B8" i="30"/>
  <c r="A8" i="30" s="1"/>
  <c r="AN64" i="30"/>
  <c r="AO62" i="30"/>
  <c r="AO63" i="30"/>
  <c r="AP63" i="30" s="1"/>
  <c r="AN62" i="30"/>
  <c r="AN63" i="30"/>
  <c r="AN14" i="30"/>
  <c r="AN15" i="30"/>
  <c r="AO13" i="29"/>
  <c r="AO15" i="29"/>
  <c r="AO5" i="30"/>
  <c r="AO8" i="30"/>
  <c r="AO22" i="29"/>
  <c r="AO57" i="29"/>
  <c r="AN25" i="29"/>
  <c r="AN27" i="29"/>
  <c r="AO54" i="29"/>
  <c r="AO55" i="29"/>
  <c r="AN57" i="29"/>
  <c r="AN58" i="29"/>
  <c r="AN60" i="29"/>
  <c r="AO58" i="29"/>
  <c r="AO64" i="30"/>
  <c r="AO65" i="30"/>
  <c r="AO19" i="30"/>
  <c r="AN32" i="30"/>
  <c r="AN33" i="30"/>
  <c r="AO13" i="30"/>
  <c r="AN9" i="30"/>
  <c r="AO30" i="30"/>
  <c r="AO31" i="30"/>
  <c r="AN4" i="30"/>
  <c r="AN6" i="30"/>
  <c r="AO9" i="30"/>
  <c r="AN11" i="30"/>
  <c r="AO14" i="30"/>
  <c r="AO15" i="30"/>
  <c r="AN56" i="30"/>
  <c r="AO4" i="30"/>
  <c r="AO6" i="30"/>
  <c r="AO7" i="30"/>
  <c r="AO10" i="30"/>
  <c r="AO11" i="30"/>
  <c r="AN12" i="30"/>
  <c r="AO16" i="30"/>
  <c r="AN17" i="30"/>
  <c r="AO26" i="30"/>
  <c r="AO27" i="30"/>
  <c r="AN28" i="30"/>
  <c r="AN29" i="30"/>
  <c r="AN7" i="30"/>
  <c r="AN10" i="30"/>
  <c r="AN16" i="30"/>
  <c r="AO33" i="30"/>
  <c r="AN5" i="30"/>
  <c r="AP5" i="30" s="1"/>
  <c r="AN8" i="30"/>
  <c r="AO12" i="30"/>
  <c r="AN13" i="30"/>
  <c r="AO17" i="30"/>
  <c r="AN18" i="30"/>
  <c r="AO29" i="30"/>
  <c r="AN30" i="30"/>
  <c r="AN20" i="30"/>
  <c r="A5" i="30"/>
  <c r="AO65" i="29"/>
  <c r="AN64" i="29"/>
  <c r="AO64" i="29"/>
  <c r="AN65" i="29"/>
  <c r="AO59" i="29"/>
  <c r="AN56" i="29"/>
  <c r="AO60" i="29"/>
  <c r="AN61" i="29"/>
  <c r="AN62" i="29"/>
  <c r="AO56" i="29"/>
  <c r="AO61" i="29"/>
  <c r="AO62" i="29"/>
  <c r="AO63" i="29"/>
  <c r="AO58" i="30"/>
  <c r="AO59" i="30"/>
  <c r="AN60" i="30"/>
  <c r="AO56" i="30"/>
  <c r="AO57" i="30"/>
  <c r="AN58" i="30"/>
  <c r="AN59" i="30"/>
  <c r="AO60" i="30"/>
  <c r="AO61" i="30"/>
  <c r="AN54" i="30"/>
  <c r="AO53" i="29"/>
  <c r="AN52" i="29"/>
  <c r="AO51" i="29"/>
  <c r="AO52" i="29"/>
  <c r="AN53" i="29"/>
  <c r="AN50" i="29"/>
  <c r="AN51" i="29"/>
  <c r="AP51" i="29" s="1"/>
  <c r="AN54" i="29"/>
  <c r="AN55" i="30"/>
  <c r="AO46" i="30"/>
  <c r="AO47" i="30"/>
  <c r="AO54" i="30"/>
  <c r="AO55" i="30"/>
  <c r="AN47" i="30"/>
  <c r="AN48" i="30"/>
  <c r="AO48" i="30"/>
  <c r="AO49" i="30"/>
  <c r="AN50" i="30"/>
  <c r="AN51" i="30"/>
  <c r="AO50" i="30"/>
  <c r="AO51" i="30"/>
  <c r="AN52" i="30"/>
  <c r="AN46" i="30"/>
  <c r="AO52" i="30"/>
  <c r="AO53" i="30"/>
  <c r="AN44" i="29"/>
  <c r="AO42" i="29"/>
  <c r="AO43" i="29"/>
  <c r="AO49" i="29"/>
  <c r="AO45" i="29"/>
  <c r="AN46" i="29"/>
  <c r="AN47" i="29"/>
  <c r="AN42" i="29"/>
  <c r="AO47" i="29"/>
  <c r="AN48" i="29"/>
  <c r="AN34" i="30"/>
  <c r="AN42" i="30"/>
  <c r="AO42" i="30"/>
  <c r="AO43" i="30"/>
  <c r="AN44" i="30"/>
  <c r="AO44" i="30"/>
  <c r="AO45" i="30"/>
  <c r="AN37" i="29"/>
  <c r="AN40" i="29"/>
  <c r="AN41" i="29"/>
  <c r="AO40" i="29"/>
  <c r="AO41" i="29"/>
  <c r="AO40" i="30"/>
  <c r="AO37" i="30"/>
  <c r="AN38" i="30"/>
  <c r="AO41" i="30"/>
  <c r="AO34" i="30"/>
  <c r="AO35" i="30"/>
  <c r="AN36" i="30"/>
  <c r="AN37" i="30"/>
  <c r="AO38" i="30"/>
  <c r="AO39" i="30"/>
  <c r="AN40" i="30"/>
  <c r="AN38" i="29"/>
  <c r="AO36" i="29"/>
  <c r="AO37" i="29"/>
  <c r="AN35" i="29"/>
  <c r="AO38" i="29"/>
  <c r="AO39" i="29"/>
  <c r="AO35" i="29"/>
  <c r="AN36" i="29"/>
  <c r="AN21" i="30"/>
  <c r="AO23" i="30"/>
  <c r="AN24" i="30"/>
  <c r="AN25" i="30"/>
  <c r="AO21" i="30"/>
  <c r="AN22" i="30"/>
  <c r="AO25" i="30"/>
  <c r="AN26" i="30"/>
  <c r="AN41" i="30"/>
  <c r="AN45" i="30"/>
  <c r="AN49" i="30"/>
  <c r="AN53" i="30"/>
  <c r="AN57" i="30"/>
  <c r="AN61" i="30"/>
  <c r="AN65" i="30"/>
  <c r="AP65" i="30" s="1"/>
  <c r="B10" i="30"/>
  <c r="AN19" i="30"/>
  <c r="AO22" i="30"/>
  <c r="B9" i="30"/>
  <c r="AO20" i="30"/>
  <c r="AM66" i="30"/>
  <c r="H7" i="1" s="1"/>
  <c r="AO18" i="30"/>
  <c r="AN23" i="30"/>
  <c r="AO24" i="30"/>
  <c r="AN27" i="30"/>
  <c r="AO28" i="30"/>
  <c r="AN31" i="30"/>
  <c r="AO32" i="30"/>
  <c r="AN35" i="30"/>
  <c r="AO36" i="30"/>
  <c r="AN39" i="30"/>
  <c r="AN43" i="30"/>
  <c r="AN7" i="29"/>
  <c r="AN14" i="29"/>
  <c r="AN16" i="29"/>
  <c r="AO25" i="29"/>
  <c r="AO30" i="29"/>
  <c r="AO32" i="29"/>
  <c r="AN5" i="29"/>
  <c r="AO7" i="29"/>
  <c r="AO12" i="29"/>
  <c r="AO14" i="29"/>
  <c r="AO21" i="29"/>
  <c r="AN23" i="29"/>
  <c r="AN26" i="29"/>
  <c r="AN33" i="29"/>
  <c r="AO6" i="29"/>
  <c r="AN8" i="29"/>
  <c r="AN13" i="29"/>
  <c r="AN15" i="29"/>
  <c r="AO24" i="29"/>
  <c r="AO31" i="29"/>
  <c r="AO33" i="29"/>
  <c r="AN4" i="29"/>
  <c r="AO4" i="29"/>
  <c r="AN6" i="29"/>
  <c r="AO9" i="29"/>
  <c r="AO10" i="29"/>
  <c r="AO11" i="29"/>
  <c r="AN12" i="29"/>
  <c r="AO17" i="29"/>
  <c r="AO18" i="29"/>
  <c r="AO20" i="29"/>
  <c r="AN21" i="29"/>
  <c r="AN22" i="29"/>
  <c r="AN24" i="29"/>
  <c r="AO29" i="29"/>
  <c r="AN31" i="29"/>
  <c r="AP31" i="29" s="1"/>
  <c r="AN32" i="29"/>
  <c r="AO5" i="29"/>
  <c r="AO8" i="29"/>
  <c r="AN9" i="29"/>
  <c r="AN10" i="29"/>
  <c r="AN11" i="29"/>
  <c r="AO16" i="29"/>
  <c r="AN17" i="29"/>
  <c r="AN18" i="29"/>
  <c r="AN19" i="29"/>
  <c r="AO23" i="29"/>
  <c r="AO26" i="29"/>
  <c r="AO27" i="29"/>
  <c r="AN28" i="29"/>
  <c r="AN29" i="29"/>
  <c r="AO19" i="29"/>
  <c r="AM66" i="29"/>
  <c r="H12" i="1" s="1"/>
  <c r="A8" i="29"/>
  <c r="B10" i="29"/>
  <c r="AN20" i="29"/>
  <c r="AN39" i="29"/>
  <c r="AO44" i="29"/>
  <c r="AN55" i="29"/>
  <c r="AN59" i="29"/>
  <c r="AN63" i="29"/>
  <c r="B9" i="29"/>
  <c r="AN34" i="29"/>
  <c r="AN43" i="29"/>
  <c r="AN45" i="29"/>
  <c r="AO46" i="29"/>
  <c r="AO48" i="29"/>
  <c r="T66" i="29"/>
  <c r="S66" i="29"/>
  <c r="R66" i="29"/>
  <c r="G12" i="1" s="1"/>
  <c r="AO28" i="29"/>
  <c r="AN30" i="29"/>
  <c r="AO34" i="29"/>
  <c r="AN49" i="29"/>
  <c r="AO50" i="29"/>
  <c r="AP16" i="30" l="1"/>
  <c r="AP64" i="29"/>
  <c r="AP14" i="30"/>
  <c r="AP33" i="30"/>
  <c r="AP61" i="30"/>
  <c r="AP64" i="30"/>
  <c r="AP15" i="30"/>
  <c r="AP62" i="30"/>
  <c r="AP65" i="29"/>
  <c r="AP58" i="29"/>
  <c r="AP21" i="30"/>
  <c r="AP53" i="29"/>
  <c r="AP54" i="29"/>
  <c r="AP57" i="29"/>
  <c r="AP18" i="30"/>
  <c r="AP4" i="30"/>
  <c r="AP56" i="30"/>
  <c r="AP25" i="29"/>
  <c r="AP29" i="29"/>
  <c r="AP26" i="29"/>
  <c r="AP27" i="29"/>
  <c r="AP31" i="30"/>
  <c r="AP26" i="30"/>
  <c r="AP23" i="30"/>
  <c r="AP17" i="29"/>
  <c r="AP14" i="29"/>
  <c r="AP13" i="29"/>
  <c r="AP12" i="30"/>
  <c r="AP15" i="29"/>
  <c r="AP7" i="29"/>
  <c r="AP8" i="30"/>
  <c r="AP6" i="30"/>
  <c r="AP7" i="30"/>
  <c r="AP11" i="30"/>
  <c r="AP61" i="29"/>
  <c r="AP60" i="29"/>
  <c r="AP30" i="29"/>
  <c r="AP43" i="29"/>
  <c r="AP23" i="29"/>
  <c r="AP16" i="29"/>
  <c r="AP50" i="29"/>
  <c r="AP20" i="29"/>
  <c r="AP55" i="29"/>
  <c r="AP59" i="29"/>
  <c r="AP4" i="29"/>
  <c r="AP33" i="29"/>
  <c r="AP37" i="29"/>
  <c r="AP22" i="30"/>
  <c r="AP27" i="30"/>
  <c r="AP57" i="30"/>
  <c r="AP54" i="30"/>
  <c r="AP28" i="30"/>
  <c r="AP19" i="30"/>
  <c r="AP47" i="30"/>
  <c r="AP32" i="30"/>
  <c r="AP13" i="30"/>
  <c r="AP9" i="30"/>
  <c r="AP55" i="30"/>
  <c r="AP30" i="30"/>
  <c r="AP29" i="30"/>
  <c r="AP17" i="30"/>
  <c r="AP10" i="30"/>
  <c r="AP59" i="30"/>
  <c r="AP24" i="30"/>
  <c r="AP46" i="30"/>
  <c r="AP58" i="30"/>
  <c r="AP62" i="29"/>
  <c r="AP63" i="29"/>
  <c r="AP56" i="29"/>
  <c r="AP60" i="30"/>
  <c r="AP51" i="30"/>
  <c r="AP50" i="30"/>
  <c r="AP52" i="29"/>
  <c r="AP46" i="29"/>
  <c r="AP45" i="29"/>
  <c r="AP48" i="30"/>
  <c r="AP52" i="30"/>
  <c r="AP53" i="30"/>
  <c r="AP49" i="30"/>
  <c r="AP44" i="30"/>
  <c r="AP42" i="29"/>
  <c r="AP38" i="29"/>
  <c r="AP49" i="29"/>
  <c r="AP48" i="29"/>
  <c r="AP44" i="29"/>
  <c r="AP47" i="29"/>
  <c r="AP41" i="29"/>
  <c r="AP35" i="29"/>
  <c r="AP40" i="29"/>
  <c r="AP43" i="30"/>
  <c r="AP34" i="30"/>
  <c r="AP45" i="30"/>
  <c r="AP42" i="30"/>
  <c r="AP40" i="30"/>
  <c r="AP38" i="30"/>
  <c r="AP36" i="30"/>
  <c r="AP41" i="30"/>
  <c r="AP35" i="30"/>
  <c r="AP37" i="30"/>
  <c r="AP39" i="29"/>
  <c r="AP36" i="29"/>
  <c r="AP39" i="30"/>
  <c r="AP25" i="30"/>
  <c r="B12" i="30"/>
  <c r="A10" i="30"/>
  <c r="AP20" i="30"/>
  <c r="A9" i="30"/>
  <c r="B11" i="30"/>
  <c r="AO66" i="30"/>
  <c r="J7" i="1" s="1"/>
  <c r="AN66" i="30"/>
  <c r="I7" i="1" s="1"/>
  <c r="AP8" i="29"/>
  <c r="AP5" i="29"/>
  <c r="AP24" i="29"/>
  <c r="AP32" i="29"/>
  <c r="AP11" i="29"/>
  <c r="AP21" i="29"/>
  <c r="AP12" i="29"/>
  <c r="AP6" i="29"/>
  <c r="AP18" i="29"/>
  <c r="AP19" i="29"/>
  <c r="AP9" i="29"/>
  <c r="AO66" i="29"/>
  <c r="J12" i="1" s="1"/>
  <c r="AP10" i="29"/>
  <c r="AP22" i="29"/>
  <c r="A9" i="29"/>
  <c r="B11" i="29"/>
  <c r="AP34" i="29"/>
  <c r="AN66" i="29"/>
  <c r="I12" i="1" s="1"/>
  <c r="B12" i="29"/>
  <c r="A10" i="29"/>
  <c r="AP28" i="29"/>
  <c r="J66" i="28"/>
  <c r="G19" i="1" s="1"/>
  <c r="AR65" i="28"/>
  <c r="AL65" i="28"/>
  <c r="AK65" i="28"/>
  <c r="AG65" i="28"/>
  <c r="AF65" i="28"/>
  <c r="AB65" i="28"/>
  <c r="AA65" i="28"/>
  <c r="T65" i="28"/>
  <c r="S65" i="28"/>
  <c r="R65" i="28"/>
  <c r="AM65" i="28" s="1"/>
  <c r="H65" i="28"/>
  <c r="G65" i="28"/>
  <c r="AR64" i="28"/>
  <c r="AL64" i="28"/>
  <c r="AK64" i="28"/>
  <c r="AG64" i="28"/>
  <c r="AF64" i="28"/>
  <c r="AB64" i="28"/>
  <c r="AA64" i="28"/>
  <c r="T64" i="28"/>
  <c r="S64" i="28"/>
  <c r="R64" i="28"/>
  <c r="AM64" i="28" s="1"/>
  <c r="H64" i="28"/>
  <c r="G64" i="28"/>
  <c r="AR63" i="28"/>
  <c r="AL63" i="28"/>
  <c r="AK63" i="28"/>
  <c r="AG63" i="28"/>
  <c r="AF63" i="28"/>
  <c r="AB63" i="28"/>
  <c r="AA63" i="28"/>
  <c r="T63" i="28"/>
  <c r="S63" i="28"/>
  <c r="R63" i="28"/>
  <c r="AM63" i="28" s="1"/>
  <c r="H63" i="28"/>
  <c r="G63" i="28"/>
  <c r="AR62" i="28"/>
  <c r="AL62" i="28"/>
  <c r="AK62" i="28"/>
  <c r="AG62" i="28"/>
  <c r="AF62" i="28"/>
  <c r="AB62" i="28"/>
  <c r="AA62" i="28"/>
  <c r="T62" i="28"/>
  <c r="S62" i="28"/>
  <c r="R62" i="28"/>
  <c r="AM62" i="28" s="1"/>
  <c r="H62" i="28"/>
  <c r="G62" i="28"/>
  <c r="AR61" i="28"/>
  <c r="AL61" i="28"/>
  <c r="AK61" i="28"/>
  <c r="AG61" i="28"/>
  <c r="AF61" i="28"/>
  <c r="AB61" i="28"/>
  <c r="AA61" i="28"/>
  <c r="T61" i="28"/>
  <c r="S61" i="28"/>
  <c r="R61" i="28"/>
  <c r="AM61" i="28" s="1"/>
  <c r="H61" i="28"/>
  <c r="G61" i="28"/>
  <c r="AR60" i="28"/>
  <c r="AL60" i="28"/>
  <c r="AK60" i="28"/>
  <c r="AG60" i="28"/>
  <c r="AF60" i="28"/>
  <c r="AB60" i="28"/>
  <c r="AA60" i="28"/>
  <c r="T60" i="28"/>
  <c r="S60" i="28"/>
  <c r="R60" i="28"/>
  <c r="AM60" i="28" s="1"/>
  <c r="H60" i="28"/>
  <c r="G60" i="28"/>
  <c r="AR59" i="28"/>
  <c r="AL59" i="28"/>
  <c r="AK59" i="28"/>
  <c r="AG59" i="28"/>
  <c r="AF59" i="28"/>
  <c r="AB59" i="28"/>
  <c r="AA59" i="28"/>
  <c r="T59" i="28"/>
  <c r="S59" i="28"/>
  <c r="R59" i="28"/>
  <c r="AM59" i="28" s="1"/>
  <c r="H59" i="28"/>
  <c r="G59" i="28"/>
  <c r="AR58" i="28"/>
  <c r="AL58" i="28"/>
  <c r="AK58" i="28"/>
  <c r="AG58" i="28"/>
  <c r="AF58" i="28"/>
  <c r="AB58" i="28"/>
  <c r="AA58" i="28"/>
  <c r="T58" i="28"/>
  <c r="S58" i="28"/>
  <c r="R58" i="28"/>
  <c r="AM58" i="28" s="1"/>
  <c r="H58" i="28"/>
  <c r="G58" i="28"/>
  <c r="AR57" i="28"/>
  <c r="AL57" i="28"/>
  <c r="AK57" i="28"/>
  <c r="AG57" i="28"/>
  <c r="AF57" i="28"/>
  <c r="AB57" i="28"/>
  <c r="AA57" i="28"/>
  <c r="T57" i="28"/>
  <c r="S57" i="28"/>
  <c r="R57" i="28"/>
  <c r="AM57" i="28" s="1"/>
  <c r="H57" i="28"/>
  <c r="G57" i="28"/>
  <c r="AR56" i="28"/>
  <c r="AL56" i="28"/>
  <c r="AK56" i="28"/>
  <c r="AG56" i="28"/>
  <c r="AF56" i="28"/>
  <c r="AB56" i="28"/>
  <c r="AA56" i="28"/>
  <c r="T56" i="28"/>
  <c r="S56" i="28"/>
  <c r="R56" i="28"/>
  <c r="AM56" i="28" s="1"/>
  <c r="H56" i="28"/>
  <c r="G56" i="28"/>
  <c r="AR55" i="28"/>
  <c r="AL55" i="28"/>
  <c r="AK55" i="28"/>
  <c r="AG55" i="28"/>
  <c r="AF55" i="28"/>
  <c r="AB55" i="28"/>
  <c r="AA55" i="28"/>
  <c r="T55" i="28"/>
  <c r="S55" i="28"/>
  <c r="R55" i="28"/>
  <c r="AM55" i="28" s="1"/>
  <c r="H55" i="28"/>
  <c r="G55" i="28"/>
  <c r="AR54" i="28"/>
  <c r="AL54" i="28"/>
  <c r="AK54" i="28"/>
  <c r="AG54" i="28"/>
  <c r="AF54" i="28"/>
  <c r="AB54" i="28"/>
  <c r="AA54" i="28"/>
  <c r="T54" i="28"/>
  <c r="S54" i="28"/>
  <c r="R54" i="28"/>
  <c r="AM54" i="28" s="1"/>
  <c r="H54" i="28"/>
  <c r="G54" i="28"/>
  <c r="AR53" i="28"/>
  <c r="AL53" i="28"/>
  <c r="AK53" i="28"/>
  <c r="AG53" i="28"/>
  <c r="AF53" i="28"/>
  <c r="AB53" i="28"/>
  <c r="AA53" i="28"/>
  <c r="T53" i="28"/>
  <c r="S53" i="28"/>
  <c r="R53" i="28"/>
  <c r="AM53" i="28" s="1"/>
  <c r="H53" i="28"/>
  <c r="G53" i="28"/>
  <c r="AR52" i="28"/>
  <c r="AL52" i="28"/>
  <c r="AK52" i="28"/>
  <c r="AG52" i="28"/>
  <c r="AF52" i="28"/>
  <c r="AB52" i="28"/>
  <c r="AA52" i="28"/>
  <c r="T52" i="28"/>
  <c r="S52" i="28"/>
  <c r="R52" i="28"/>
  <c r="AM52" i="28" s="1"/>
  <c r="H52" i="28"/>
  <c r="G52" i="28"/>
  <c r="AR51" i="28"/>
  <c r="AL51" i="28"/>
  <c r="AK51" i="28"/>
  <c r="AG51" i="28"/>
  <c r="AF51" i="28"/>
  <c r="AB51" i="28"/>
  <c r="AA51" i="28"/>
  <c r="T51" i="28"/>
  <c r="S51" i="28"/>
  <c r="R51" i="28"/>
  <c r="AM51" i="28" s="1"/>
  <c r="H51" i="28"/>
  <c r="G51" i="28"/>
  <c r="AR50" i="28"/>
  <c r="AL50" i="28"/>
  <c r="AK50" i="28"/>
  <c r="AG50" i="28"/>
  <c r="AF50" i="28"/>
  <c r="AB50" i="28"/>
  <c r="AA50" i="28"/>
  <c r="T50" i="28"/>
  <c r="S50" i="28"/>
  <c r="R50" i="28"/>
  <c r="AM50" i="28" s="1"/>
  <c r="H50" i="28"/>
  <c r="G50" i="28"/>
  <c r="AR49" i="28"/>
  <c r="AL49" i="28"/>
  <c r="AK49" i="28"/>
  <c r="AG49" i="28"/>
  <c r="AF49" i="28"/>
  <c r="AB49" i="28"/>
  <c r="AA49" i="28"/>
  <c r="T49" i="28"/>
  <c r="S49" i="28"/>
  <c r="R49" i="28"/>
  <c r="AM49" i="28" s="1"/>
  <c r="H49" i="28"/>
  <c r="G49" i="28"/>
  <c r="AR48" i="28"/>
  <c r="AL48" i="28"/>
  <c r="AK48" i="28"/>
  <c r="AG48" i="28"/>
  <c r="AF48" i="28"/>
  <c r="AB48" i="28"/>
  <c r="AA48" i="28"/>
  <c r="T48" i="28"/>
  <c r="S48" i="28"/>
  <c r="R48" i="28"/>
  <c r="AM48" i="28" s="1"/>
  <c r="H48" i="28"/>
  <c r="G48" i="28"/>
  <c r="AR47" i="28"/>
  <c r="AL47" i="28"/>
  <c r="AK47" i="28"/>
  <c r="AG47" i="28"/>
  <c r="AF47" i="28"/>
  <c r="AB47" i="28"/>
  <c r="AA47" i="28"/>
  <c r="T47" i="28"/>
  <c r="S47" i="28"/>
  <c r="R47" i="28"/>
  <c r="AM47" i="28" s="1"/>
  <c r="H47" i="28"/>
  <c r="G47" i="28"/>
  <c r="AR46" i="28"/>
  <c r="AL46" i="28"/>
  <c r="AK46" i="28"/>
  <c r="AG46" i="28"/>
  <c r="AF46" i="28"/>
  <c r="AB46" i="28"/>
  <c r="AA46" i="28"/>
  <c r="T46" i="28"/>
  <c r="S46" i="28"/>
  <c r="R46" i="28"/>
  <c r="AM46" i="28" s="1"/>
  <c r="H46" i="28"/>
  <c r="G46" i="28"/>
  <c r="AR45" i="28"/>
  <c r="AL45" i="28"/>
  <c r="AK45" i="28"/>
  <c r="AG45" i="28"/>
  <c r="AF45" i="28"/>
  <c r="AB45" i="28"/>
  <c r="AA45" i="28"/>
  <c r="T45" i="28"/>
  <c r="S45" i="28"/>
  <c r="R45" i="28"/>
  <c r="AM45" i="28" s="1"/>
  <c r="H45" i="28"/>
  <c r="G45" i="28"/>
  <c r="AR44" i="28"/>
  <c r="AL44" i="28"/>
  <c r="AK44" i="28"/>
  <c r="AG44" i="28"/>
  <c r="AF44" i="28"/>
  <c r="AB44" i="28"/>
  <c r="AA44" i="28"/>
  <c r="T44" i="28"/>
  <c r="S44" i="28"/>
  <c r="R44" i="28"/>
  <c r="AM44" i="28" s="1"/>
  <c r="H44" i="28"/>
  <c r="G44" i="28"/>
  <c r="AR43" i="28"/>
  <c r="AL43" i="28"/>
  <c r="AK43" i="28"/>
  <c r="AG43" i="28"/>
  <c r="AF43" i="28"/>
  <c r="AB43" i="28"/>
  <c r="AA43" i="28"/>
  <c r="T43" i="28"/>
  <c r="S43" i="28"/>
  <c r="R43" i="28"/>
  <c r="AM43" i="28" s="1"/>
  <c r="H43" i="28"/>
  <c r="G43" i="28"/>
  <c r="AR42" i="28"/>
  <c r="AL42" i="28"/>
  <c r="AK42" i="28"/>
  <c r="AG42" i="28"/>
  <c r="AF42" i="28"/>
  <c r="AB42" i="28"/>
  <c r="AA42" i="28"/>
  <c r="T42" i="28"/>
  <c r="S42" i="28"/>
  <c r="R42" i="28"/>
  <c r="AM42" i="28" s="1"/>
  <c r="H42" i="28"/>
  <c r="G42" i="28"/>
  <c r="AR41" i="28"/>
  <c r="AL41" i="28"/>
  <c r="AK41" i="28"/>
  <c r="AG41" i="28"/>
  <c r="AF41" i="28"/>
  <c r="AB41" i="28"/>
  <c r="AA41" i="28"/>
  <c r="T41" i="28"/>
  <c r="S41" i="28"/>
  <c r="R41" i="28"/>
  <c r="AM41" i="28" s="1"/>
  <c r="H41" i="28"/>
  <c r="G41" i="28"/>
  <c r="AR40" i="28"/>
  <c r="AL40" i="28"/>
  <c r="AK40" i="28"/>
  <c r="AG40" i="28"/>
  <c r="AF40" i="28"/>
  <c r="AB40" i="28"/>
  <c r="AA40" i="28"/>
  <c r="T40" i="28"/>
  <c r="S40" i="28"/>
  <c r="R40" i="28"/>
  <c r="AM40" i="28" s="1"/>
  <c r="H40" i="28"/>
  <c r="G40" i="28"/>
  <c r="AR39" i="28"/>
  <c r="AL39" i="28"/>
  <c r="AK39" i="28"/>
  <c r="AG39" i="28"/>
  <c r="AF39" i="28"/>
  <c r="AB39" i="28"/>
  <c r="AA39" i="28"/>
  <c r="T39" i="28"/>
  <c r="S39" i="28"/>
  <c r="R39" i="28"/>
  <c r="AM39" i="28" s="1"/>
  <c r="H39" i="28"/>
  <c r="G39" i="28"/>
  <c r="AR38" i="28"/>
  <c r="AL38" i="28"/>
  <c r="AK38" i="28"/>
  <c r="AG38" i="28"/>
  <c r="AF38" i="28"/>
  <c r="AB38" i="28"/>
  <c r="AA38" i="28"/>
  <c r="T38" i="28"/>
  <c r="S38" i="28"/>
  <c r="R38" i="28"/>
  <c r="AM38" i="28" s="1"/>
  <c r="H38" i="28"/>
  <c r="G38" i="28"/>
  <c r="AR37" i="28"/>
  <c r="AL37" i="28"/>
  <c r="AK37" i="28"/>
  <c r="AG37" i="28"/>
  <c r="AF37" i="28"/>
  <c r="AB37" i="28"/>
  <c r="AA37" i="28"/>
  <c r="T37" i="28"/>
  <c r="S37" i="28"/>
  <c r="R37" i="28"/>
  <c r="AM37" i="28" s="1"/>
  <c r="H37" i="28"/>
  <c r="G37" i="28"/>
  <c r="AR36" i="28"/>
  <c r="AL36" i="28"/>
  <c r="AK36" i="28"/>
  <c r="AG36" i="28"/>
  <c r="AF36" i="28"/>
  <c r="AB36" i="28"/>
  <c r="AA36" i="28"/>
  <c r="T36" i="28"/>
  <c r="S36" i="28"/>
  <c r="R36" i="28"/>
  <c r="AM36" i="28" s="1"/>
  <c r="H36" i="28"/>
  <c r="G36" i="28"/>
  <c r="AR35" i="28"/>
  <c r="AL35" i="28"/>
  <c r="AK35" i="28"/>
  <c r="AG35" i="28"/>
  <c r="AF35" i="28"/>
  <c r="AB35" i="28"/>
  <c r="AA35" i="28"/>
  <c r="T35" i="28"/>
  <c r="S35" i="28"/>
  <c r="R35" i="28"/>
  <c r="AM35" i="28" s="1"/>
  <c r="H35" i="28"/>
  <c r="G35" i="28"/>
  <c r="AR34" i="28"/>
  <c r="AL34" i="28"/>
  <c r="AK34" i="28"/>
  <c r="AG34" i="28"/>
  <c r="AF34" i="28"/>
  <c r="AB34" i="28"/>
  <c r="AA34" i="28"/>
  <c r="T34" i="28"/>
  <c r="S34" i="28"/>
  <c r="R34" i="28"/>
  <c r="AM34" i="28" s="1"/>
  <c r="H34" i="28"/>
  <c r="G34" i="28"/>
  <c r="AR33" i="28"/>
  <c r="AL33" i="28"/>
  <c r="AK33" i="28"/>
  <c r="AG33" i="28"/>
  <c r="AF33" i="28"/>
  <c r="AB33" i="28"/>
  <c r="AA33" i="28"/>
  <c r="T33" i="28"/>
  <c r="S33" i="28"/>
  <c r="R33" i="28"/>
  <c r="AM33" i="28" s="1"/>
  <c r="H33" i="28"/>
  <c r="G33" i="28"/>
  <c r="AR32" i="28"/>
  <c r="AL32" i="28"/>
  <c r="AK32" i="28"/>
  <c r="AG32" i="28"/>
  <c r="AF32" i="28"/>
  <c r="AB32" i="28"/>
  <c r="AA32" i="28"/>
  <c r="T32" i="28"/>
  <c r="S32" i="28"/>
  <c r="R32" i="28"/>
  <c r="AM32" i="28" s="1"/>
  <c r="H32" i="28"/>
  <c r="G32" i="28"/>
  <c r="AR31" i="28"/>
  <c r="AL31" i="28"/>
  <c r="AK31" i="28"/>
  <c r="AG31" i="28"/>
  <c r="AF31" i="28"/>
  <c r="AB31" i="28"/>
  <c r="AA31" i="28"/>
  <c r="T31" i="28"/>
  <c r="S31" i="28"/>
  <c r="R31" i="28"/>
  <c r="AM31" i="28" s="1"/>
  <c r="H31" i="28"/>
  <c r="G31" i="28"/>
  <c r="AR30" i="28"/>
  <c r="AL30" i="28"/>
  <c r="AK30" i="28"/>
  <c r="AG30" i="28"/>
  <c r="AF30" i="28"/>
  <c r="AB30" i="28"/>
  <c r="AA30" i="28"/>
  <c r="T30" i="28"/>
  <c r="S30" i="28"/>
  <c r="R30" i="28"/>
  <c r="AM30" i="28" s="1"/>
  <c r="H30" i="28"/>
  <c r="G30" i="28"/>
  <c r="AR29" i="28"/>
  <c r="AL29" i="28"/>
  <c r="AK29" i="28"/>
  <c r="AG29" i="28"/>
  <c r="AF29" i="28"/>
  <c r="AB29" i="28"/>
  <c r="AA29" i="28"/>
  <c r="T29" i="28"/>
  <c r="S29" i="28"/>
  <c r="R29" i="28"/>
  <c r="AM29" i="28" s="1"/>
  <c r="H29" i="28"/>
  <c r="G29" i="28"/>
  <c r="AR28" i="28"/>
  <c r="AL28" i="28"/>
  <c r="AK28" i="28"/>
  <c r="AG28" i="28"/>
  <c r="AF28" i="28"/>
  <c r="AB28" i="28"/>
  <c r="AA28" i="28"/>
  <c r="T28" i="28"/>
  <c r="S28" i="28"/>
  <c r="R28" i="28"/>
  <c r="AM28" i="28" s="1"/>
  <c r="H28" i="28"/>
  <c r="G28" i="28"/>
  <c r="AR27" i="28"/>
  <c r="AL27" i="28"/>
  <c r="AK27" i="28"/>
  <c r="AG27" i="28"/>
  <c r="AF27" i="28"/>
  <c r="AB27" i="28"/>
  <c r="AA27" i="28"/>
  <c r="T27" i="28"/>
  <c r="S27" i="28"/>
  <c r="R27" i="28"/>
  <c r="AM27" i="28" s="1"/>
  <c r="H27" i="28"/>
  <c r="G27" i="28"/>
  <c r="AR26" i="28"/>
  <c r="AL26" i="28"/>
  <c r="AK26" i="28"/>
  <c r="AG26" i="28"/>
  <c r="AF26" i="28"/>
  <c r="AB26" i="28"/>
  <c r="AA26" i="28"/>
  <c r="T26" i="28"/>
  <c r="S26" i="28"/>
  <c r="R26" i="28"/>
  <c r="AM26" i="28" s="1"/>
  <c r="H26" i="28"/>
  <c r="G26" i="28"/>
  <c r="AR25" i="28"/>
  <c r="AL25" i="28"/>
  <c r="AK25" i="28"/>
  <c r="AG25" i="28"/>
  <c r="AF25" i="28"/>
  <c r="AB25" i="28"/>
  <c r="AA25" i="28"/>
  <c r="T25" i="28"/>
  <c r="S25" i="28"/>
  <c r="R25" i="28"/>
  <c r="AM25" i="28" s="1"/>
  <c r="H25" i="28"/>
  <c r="G25" i="28"/>
  <c r="AR24" i="28"/>
  <c r="AL24" i="28"/>
  <c r="AK24" i="28"/>
  <c r="AG24" i="28"/>
  <c r="AF24" i="28"/>
  <c r="AB24" i="28"/>
  <c r="AA24" i="28"/>
  <c r="T24" i="28"/>
  <c r="S24" i="28"/>
  <c r="R24" i="28"/>
  <c r="AM24" i="28" s="1"/>
  <c r="H24" i="28"/>
  <c r="G24" i="28"/>
  <c r="AR23" i="28"/>
  <c r="AL23" i="28"/>
  <c r="AK23" i="28"/>
  <c r="AG23" i="28"/>
  <c r="AF23" i="28"/>
  <c r="AB23" i="28"/>
  <c r="AA23" i="28"/>
  <c r="T23" i="28"/>
  <c r="S23" i="28"/>
  <c r="R23" i="28"/>
  <c r="AM23" i="28" s="1"/>
  <c r="H23" i="28"/>
  <c r="G23" i="28"/>
  <c r="AR22" i="28"/>
  <c r="AL22" i="28"/>
  <c r="AK22" i="28"/>
  <c r="AG22" i="28"/>
  <c r="AF22" i="28"/>
  <c r="AB22" i="28"/>
  <c r="AA22" i="28"/>
  <c r="T22" i="28"/>
  <c r="S22" i="28"/>
  <c r="R22" i="28"/>
  <c r="AM22" i="28" s="1"/>
  <c r="H22" i="28"/>
  <c r="G22" i="28"/>
  <c r="AR21" i="28"/>
  <c r="AL21" i="28"/>
  <c r="AK21" i="28"/>
  <c r="AG21" i="28"/>
  <c r="AF21" i="28"/>
  <c r="AB21" i="28"/>
  <c r="AA21" i="28"/>
  <c r="T21" i="28"/>
  <c r="S21" i="28"/>
  <c r="R21" i="28"/>
  <c r="AM21" i="28" s="1"/>
  <c r="H21" i="28"/>
  <c r="G21" i="28"/>
  <c r="AR20" i="28"/>
  <c r="AL20" i="28"/>
  <c r="AK20" i="28"/>
  <c r="AG20" i="28"/>
  <c r="AF20" i="28"/>
  <c r="AB20" i="28"/>
  <c r="AA20" i="28"/>
  <c r="T20" i="28"/>
  <c r="S20" i="28"/>
  <c r="R20" i="28"/>
  <c r="AM20" i="28" s="1"/>
  <c r="H20" i="28"/>
  <c r="G20" i="28"/>
  <c r="AR19" i="28"/>
  <c r="AL19" i="28"/>
  <c r="AK19" i="28"/>
  <c r="AG19" i="28"/>
  <c r="AF19" i="28"/>
  <c r="AB19" i="28"/>
  <c r="AA19" i="28"/>
  <c r="T19" i="28"/>
  <c r="S19" i="28"/>
  <c r="R19" i="28"/>
  <c r="AM19" i="28" s="1"/>
  <c r="H19" i="28"/>
  <c r="G19" i="28"/>
  <c r="AR18" i="28"/>
  <c r="AL18" i="28"/>
  <c r="AK18" i="28"/>
  <c r="AG18" i="28"/>
  <c r="AF18" i="28"/>
  <c r="AB18" i="28"/>
  <c r="AA18" i="28"/>
  <c r="T18" i="28"/>
  <c r="S18" i="28"/>
  <c r="R18" i="28"/>
  <c r="AM18" i="28" s="1"/>
  <c r="H18" i="28"/>
  <c r="G18" i="28"/>
  <c r="AR17" i="28"/>
  <c r="AL17" i="28"/>
  <c r="AK17" i="28"/>
  <c r="AG17" i="28"/>
  <c r="AF17" i="28"/>
  <c r="AB17" i="28"/>
  <c r="AA17" i="28"/>
  <c r="T17" i="28"/>
  <c r="S17" i="28"/>
  <c r="R17" i="28"/>
  <c r="AM17" i="28" s="1"/>
  <c r="H17" i="28"/>
  <c r="G17" i="28"/>
  <c r="AR16" i="28"/>
  <c r="AL16" i="28"/>
  <c r="AK16" i="28"/>
  <c r="AG16" i="28"/>
  <c r="AF16" i="28"/>
  <c r="AB16" i="28"/>
  <c r="AA16" i="28"/>
  <c r="T16" i="28"/>
  <c r="S16" i="28"/>
  <c r="R16" i="28"/>
  <c r="AM16" i="28" s="1"/>
  <c r="H16" i="28"/>
  <c r="G16" i="28"/>
  <c r="AR15" i="28"/>
  <c r="AL15" i="28"/>
  <c r="AK15" i="28"/>
  <c r="AG15" i="28"/>
  <c r="AF15" i="28"/>
  <c r="AB15" i="28"/>
  <c r="AA15" i="28"/>
  <c r="T15" i="28"/>
  <c r="S15" i="28"/>
  <c r="R15" i="28"/>
  <c r="AM15" i="28" s="1"/>
  <c r="H15" i="28"/>
  <c r="G15" i="28"/>
  <c r="AR14" i="28"/>
  <c r="AL14" i="28"/>
  <c r="AK14" i="28"/>
  <c r="AG14" i="28"/>
  <c r="AF14" i="28"/>
  <c r="AB14" i="28"/>
  <c r="AA14" i="28"/>
  <c r="T14" i="28"/>
  <c r="S14" i="28"/>
  <c r="R14" i="28"/>
  <c r="AM14" i="28" s="1"/>
  <c r="H14" i="28"/>
  <c r="G14" i="28"/>
  <c r="AR13" i="28"/>
  <c r="AL13" i="28"/>
  <c r="AK13" i="28"/>
  <c r="AG13" i="28"/>
  <c r="AF13" i="28"/>
  <c r="AB13" i="28"/>
  <c r="AA13" i="28"/>
  <c r="T13" i="28"/>
  <c r="S13" i="28"/>
  <c r="R13" i="28"/>
  <c r="AM13" i="28" s="1"/>
  <c r="H13" i="28"/>
  <c r="G13" i="28"/>
  <c r="AR12" i="28"/>
  <c r="AL12" i="28"/>
  <c r="AK12" i="28"/>
  <c r="AG12" i="28"/>
  <c r="AF12" i="28"/>
  <c r="AB12" i="28"/>
  <c r="AA12" i="28"/>
  <c r="T12" i="28"/>
  <c r="S12" i="28"/>
  <c r="R12" i="28"/>
  <c r="AM12" i="28" s="1"/>
  <c r="H12" i="28"/>
  <c r="G12" i="28"/>
  <c r="AR11" i="28"/>
  <c r="AL11" i="28"/>
  <c r="AK11" i="28"/>
  <c r="AG11" i="28"/>
  <c r="AF11" i="28"/>
  <c r="AB11" i="28"/>
  <c r="AA11" i="28"/>
  <c r="T11" i="28"/>
  <c r="S11" i="28"/>
  <c r="R11" i="28"/>
  <c r="AM11" i="28" s="1"/>
  <c r="H11" i="28"/>
  <c r="G11" i="28"/>
  <c r="AR10" i="28"/>
  <c r="AL10" i="28"/>
  <c r="AK10" i="28"/>
  <c r="AG10" i="28"/>
  <c r="AF10" i="28"/>
  <c r="AB10" i="28"/>
  <c r="AA10" i="28"/>
  <c r="T10" i="28"/>
  <c r="S10" i="28"/>
  <c r="R10" i="28"/>
  <c r="AM10" i="28" s="1"/>
  <c r="H10" i="28"/>
  <c r="G10" i="28"/>
  <c r="AR9" i="28"/>
  <c r="AL9" i="28"/>
  <c r="AK9" i="28"/>
  <c r="AG9" i="28"/>
  <c r="AF9" i="28"/>
  <c r="AB9" i="28"/>
  <c r="AA9" i="28"/>
  <c r="T9" i="28"/>
  <c r="S9" i="28"/>
  <c r="R9" i="28"/>
  <c r="AM9" i="28" s="1"/>
  <c r="H9" i="28"/>
  <c r="G9" i="28"/>
  <c r="AR8" i="28"/>
  <c r="AL8" i="28"/>
  <c r="AK8" i="28"/>
  <c r="AG8" i="28"/>
  <c r="AF8" i="28"/>
  <c r="AB8" i="28"/>
  <c r="AA8" i="28"/>
  <c r="T8" i="28"/>
  <c r="S8" i="28"/>
  <c r="R8" i="28"/>
  <c r="AM8" i="28" s="1"/>
  <c r="H8" i="28"/>
  <c r="G8" i="28"/>
  <c r="AR7" i="28"/>
  <c r="AL7" i="28"/>
  <c r="AK7" i="28"/>
  <c r="AG7" i="28"/>
  <c r="AF7" i="28"/>
  <c r="AB7" i="28"/>
  <c r="AA7" i="28"/>
  <c r="T7" i="28"/>
  <c r="S7" i="28"/>
  <c r="R7" i="28"/>
  <c r="AM7" i="28" s="1"/>
  <c r="H7" i="28"/>
  <c r="G7" i="28"/>
  <c r="AR6" i="28"/>
  <c r="AL6" i="28"/>
  <c r="AK6" i="28"/>
  <c r="AG6" i="28"/>
  <c r="AF6" i="28"/>
  <c r="AB6" i="28"/>
  <c r="AA6" i="28"/>
  <c r="T6" i="28"/>
  <c r="S6" i="28"/>
  <c r="R6" i="28"/>
  <c r="AM6" i="28" s="1"/>
  <c r="H6" i="28"/>
  <c r="G6" i="28"/>
  <c r="B6" i="28"/>
  <c r="B8" i="28" s="1"/>
  <c r="AR5" i="28"/>
  <c r="AL5" i="28"/>
  <c r="AK5" i="28"/>
  <c r="AG5" i="28"/>
  <c r="AF5" i="28"/>
  <c r="AB5" i="28"/>
  <c r="AA5" i="28"/>
  <c r="T5" i="28"/>
  <c r="S5" i="28"/>
  <c r="R5" i="28"/>
  <c r="AM5" i="28" s="1"/>
  <c r="H5" i="28"/>
  <c r="G5" i="28"/>
  <c r="B5" i="28"/>
  <c r="A5" i="28" s="1"/>
  <c r="AR4" i="28"/>
  <c r="AL4" i="28"/>
  <c r="AK4" i="28"/>
  <c r="AG4" i="28"/>
  <c r="AF4" i="28"/>
  <c r="AB4" i="28"/>
  <c r="AA4" i="28"/>
  <c r="T4" i="28"/>
  <c r="S4" i="28"/>
  <c r="R4" i="28"/>
  <c r="AM4" i="28" s="1"/>
  <c r="H4" i="28"/>
  <c r="G4" i="28"/>
  <c r="A4" i="28"/>
  <c r="AP1" i="28"/>
  <c r="AS17" i="19"/>
  <c r="A6" i="28" l="1"/>
  <c r="AN64" i="28"/>
  <c r="M12" i="1"/>
  <c r="N12" i="1" s="1"/>
  <c r="M7" i="1"/>
  <c r="N7" i="1" s="1"/>
  <c r="AN8" i="28"/>
  <c r="AN9" i="28"/>
  <c r="AP66" i="30"/>
  <c r="AO5" i="28"/>
  <c r="AN5" i="28"/>
  <c r="B10" i="28"/>
  <c r="B12" i="28" s="1"/>
  <c r="A8" i="28"/>
  <c r="AO56" i="28"/>
  <c r="AO57" i="28"/>
  <c r="AO59" i="28"/>
  <c r="AN60" i="28"/>
  <c r="AN62" i="28"/>
  <c r="AN63" i="28"/>
  <c r="AO64" i="28"/>
  <c r="AP64" i="28" s="1"/>
  <c r="AO60" i="28"/>
  <c r="AO61" i="28"/>
  <c r="AO63" i="28"/>
  <c r="AN56" i="28"/>
  <c r="AN57" i="28"/>
  <c r="AN58" i="28"/>
  <c r="AN59" i="28"/>
  <c r="AO65" i="28"/>
  <c r="AN42" i="28"/>
  <c r="AO53" i="28"/>
  <c r="AO54" i="28"/>
  <c r="AO55" i="28"/>
  <c r="AN43" i="28"/>
  <c r="AO43" i="28"/>
  <c r="AN44" i="28"/>
  <c r="AN46" i="28"/>
  <c r="AO45" i="28"/>
  <c r="AO46" i="28"/>
  <c r="AO47" i="28"/>
  <c r="AN48" i="28"/>
  <c r="AN50" i="28"/>
  <c r="AN51" i="28"/>
  <c r="AO48" i="28"/>
  <c r="AO49" i="28"/>
  <c r="AO51" i="28"/>
  <c r="AN52" i="28"/>
  <c r="AN54" i="28"/>
  <c r="AP54" i="28" s="1"/>
  <c r="AO41" i="28"/>
  <c r="AO35" i="28"/>
  <c r="AN40" i="28"/>
  <c r="AN36" i="28"/>
  <c r="AN38" i="28"/>
  <c r="AO28" i="28"/>
  <c r="AO29" i="28"/>
  <c r="AO40" i="28"/>
  <c r="AN41" i="28"/>
  <c r="AO33" i="28"/>
  <c r="AN32" i="28"/>
  <c r="AN29" i="28"/>
  <c r="AN30" i="28"/>
  <c r="AN31" i="28"/>
  <c r="AO37" i="28"/>
  <c r="AO38" i="28"/>
  <c r="AO39" i="28"/>
  <c r="AO32" i="28"/>
  <c r="AN33" i="28"/>
  <c r="AN34" i="28"/>
  <c r="AN35" i="28"/>
  <c r="AN28" i="28"/>
  <c r="A11" i="30"/>
  <c r="B13" i="30"/>
  <c r="A12" i="30"/>
  <c r="B14" i="30"/>
  <c r="A12" i="29"/>
  <c r="B14" i="29"/>
  <c r="A11" i="29"/>
  <c r="B13" i="29"/>
  <c r="AO22" i="28"/>
  <c r="AN23" i="28"/>
  <c r="AO21" i="28"/>
  <c r="AN25" i="28"/>
  <c r="AN26" i="28"/>
  <c r="AN27" i="28"/>
  <c r="AN4" i="28"/>
  <c r="AO10" i="28"/>
  <c r="AN12" i="28"/>
  <c r="AN13" i="28"/>
  <c r="AN6" i="28"/>
  <c r="AN7" i="28"/>
  <c r="AO14" i="28"/>
  <c r="AO15" i="28"/>
  <c r="AN16" i="28"/>
  <c r="AN17" i="28"/>
  <c r="AO11" i="28"/>
  <c r="AO24" i="28"/>
  <c r="AO20" i="28"/>
  <c r="AO12" i="28"/>
  <c r="AO13" i="28"/>
  <c r="AN14" i="28"/>
  <c r="AN15" i="28"/>
  <c r="AO7" i="28"/>
  <c r="AO9" i="28"/>
  <c r="AN10" i="28"/>
  <c r="AN11" i="28"/>
  <c r="AO16" i="28"/>
  <c r="AO17" i="28"/>
  <c r="AN18" i="28"/>
  <c r="AN19" i="28"/>
  <c r="AN20" i="28"/>
  <c r="AO23" i="28"/>
  <c r="AN24" i="28"/>
  <c r="AO25" i="28"/>
  <c r="AO18" i="28"/>
  <c r="AO4" i="28"/>
  <c r="AO6" i="28"/>
  <c r="AO8" i="28"/>
  <c r="AM66" i="28"/>
  <c r="H19" i="1" s="1"/>
  <c r="B7" i="28"/>
  <c r="AO19" i="28"/>
  <c r="AN21" i="28"/>
  <c r="AN22" i="28"/>
  <c r="AO26" i="28"/>
  <c r="AO27" i="28"/>
  <c r="AO34" i="28"/>
  <c r="AO36" i="28"/>
  <c r="AN37" i="28"/>
  <c r="AN39" i="28"/>
  <c r="AO50" i="28"/>
  <c r="AO52" i="28"/>
  <c r="AN53" i="28"/>
  <c r="AN55" i="28"/>
  <c r="AN49" i="28"/>
  <c r="AO62" i="28"/>
  <c r="AN65" i="28"/>
  <c r="AO30" i="28"/>
  <c r="AO31" i="28"/>
  <c r="AO42" i="28"/>
  <c r="AP42" i="28" s="1"/>
  <c r="AO44" i="28"/>
  <c r="AN45" i="28"/>
  <c r="AN47" i="28"/>
  <c r="AO58" i="28"/>
  <c r="AN61" i="28"/>
  <c r="R4" i="2"/>
  <c r="S4" i="2"/>
  <c r="T4" i="2"/>
  <c r="R5" i="2"/>
  <c r="S5" i="2"/>
  <c r="T5" i="2"/>
  <c r="R6" i="2"/>
  <c r="S6" i="2"/>
  <c r="T6" i="2"/>
  <c r="R7" i="2"/>
  <c r="S7" i="2"/>
  <c r="T7" i="2"/>
  <c r="R8" i="2"/>
  <c r="S8" i="2"/>
  <c r="T8" i="2"/>
  <c r="R9" i="2"/>
  <c r="S9" i="2"/>
  <c r="T9" i="2"/>
  <c r="R10" i="2"/>
  <c r="S10" i="2"/>
  <c r="T10" i="2"/>
  <c r="R11" i="2"/>
  <c r="S11" i="2"/>
  <c r="T11" i="2"/>
  <c r="R12" i="2"/>
  <c r="S12" i="2"/>
  <c r="T12" i="2"/>
  <c r="R13" i="2"/>
  <c r="S13" i="2"/>
  <c r="T13" i="2"/>
  <c r="R14" i="2"/>
  <c r="S14" i="2"/>
  <c r="T14" i="2"/>
  <c r="R15" i="2"/>
  <c r="S15" i="2"/>
  <c r="T15" i="2"/>
  <c r="R16" i="2"/>
  <c r="S16" i="2"/>
  <c r="T16" i="2"/>
  <c r="R17" i="2"/>
  <c r="S17" i="2"/>
  <c r="T17" i="2"/>
  <c r="R18" i="2"/>
  <c r="S18" i="2"/>
  <c r="T18" i="2"/>
  <c r="R19" i="2"/>
  <c r="S19" i="2"/>
  <c r="T19" i="2"/>
  <c r="R20" i="2"/>
  <c r="S20" i="2"/>
  <c r="T20" i="2"/>
  <c r="R21" i="2"/>
  <c r="S21" i="2"/>
  <c r="T21" i="2"/>
  <c r="R22" i="2"/>
  <c r="S22" i="2"/>
  <c r="T22" i="2"/>
  <c r="R23" i="2"/>
  <c r="S23" i="2"/>
  <c r="T23" i="2"/>
  <c r="R24" i="2"/>
  <c r="S24" i="2"/>
  <c r="T24" i="2"/>
  <c r="R25" i="2"/>
  <c r="S25" i="2"/>
  <c r="T25" i="2"/>
  <c r="R26" i="2"/>
  <c r="S26" i="2"/>
  <c r="T26" i="2"/>
  <c r="R27" i="2"/>
  <c r="S27" i="2"/>
  <c r="T27" i="2"/>
  <c r="R28" i="2"/>
  <c r="S28" i="2"/>
  <c r="T28" i="2"/>
  <c r="R29" i="2"/>
  <c r="S29" i="2"/>
  <c r="T29" i="2"/>
  <c r="R30" i="2"/>
  <c r="S30" i="2"/>
  <c r="T30" i="2"/>
  <c r="R31" i="2"/>
  <c r="S31" i="2"/>
  <c r="T31" i="2"/>
  <c r="R32" i="2"/>
  <c r="S32" i="2"/>
  <c r="T32" i="2"/>
  <c r="R33" i="2"/>
  <c r="S33" i="2"/>
  <c r="T33" i="2"/>
  <c r="R34" i="2"/>
  <c r="S34" i="2"/>
  <c r="T34" i="2"/>
  <c r="R35" i="2"/>
  <c r="S35" i="2"/>
  <c r="T35" i="2"/>
  <c r="R36" i="2"/>
  <c r="S36" i="2"/>
  <c r="T36" i="2"/>
  <c r="R37" i="2"/>
  <c r="S37" i="2"/>
  <c r="T37" i="2"/>
  <c r="R38" i="2"/>
  <c r="S38" i="2"/>
  <c r="T38" i="2"/>
  <c r="R39" i="2"/>
  <c r="S39" i="2"/>
  <c r="T39" i="2"/>
  <c r="R40" i="2"/>
  <c r="S40" i="2"/>
  <c r="T40" i="2"/>
  <c r="R41" i="2"/>
  <c r="S41" i="2"/>
  <c r="T41" i="2"/>
  <c r="R42" i="2"/>
  <c r="S42" i="2"/>
  <c r="T42" i="2"/>
  <c r="R43" i="2"/>
  <c r="S43" i="2"/>
  <c r="T43" i="2"/>
  <c r="R44" i="2"/>
  <c r="S44" i="2"/>
  <c r="T44" i="2"/>
  <c r="R45" i="2"/>
  <c r="S45" i="2"/>
  <c r="T45" i="2"/>
  <c r="R46" i="2"/>
  <c r="S46" i="2"/>
  <c r="T46" i="2"/>
  <c r="R47" i="2"/>
  <c r="S47" i="2"/>
  <c r="T47" i="2"/>
  <c r="R48" i="2"/>
  <c r="S48" i="2"/>
  <c r="T48" i="2"/>
  <c r="R49" i="2"/>
  <c r="S49" i="2"/>
  <c r="T49" i="2"/>
  <c r="R50" i="2"/>
  <c r="S50" i="2"/>
  <c r="T50" i="2"/>
  <c r="R51" i="2"/>
  <c r="S51" i="2"/>
  <c r="T51" i="2"/>
  <c r="R52" i="2"/>
  <c r="S52" i="2"/>
  <c r="T52" i="2"/>
  <c r="R53" i="2"/>
  <c r="S53" i="2"/>
  <c r="T53" i="2"/>
  <c r="R54" i="2"/>
  <c r="S54" i="2"/>
  <c r="T54" i="2"/>
  <c r="R55" i="2"/>
  <c r="S55" i="2"/>
  <c r="T55" i="2"/>
  <c r="R56" i="2"/>
  <c r="S56" i="2"/>
  <c r="T56" i="2"/>
  <c r="R57" i="2"/>
  <c r="S57" i="2"/>
  <c r="T57" i="2"/>
  <c r="R58" i="2"/>
  <c r="S58" i="2"/>
  <c r="T58" i="2"/>
  <c r="R59" i="2"/>
  <c r="S59" i="2"/>
  <c r="T59" i="2"/>
  <c r="R60" i="2"/>
  <c r="S60" i="2"/>
  <c r="T60" i="2"/>
  <c r="R61" i="2"/>
  <c r="S61" i="2"/>
  <c r="T61" i="2"/>
  <c r="R62" i="2"/>
  <c r="S62" i="2"/>
  <c r="T62" i="2"/>
  <c r="R63" i="2"/>
  <c r="S63" i="2"/>
  <c r="T63" i="2"/>
  <c r="R64" i="2"/>
  <c r="S64" i="2"/>
  <c r="T64" i="2"/>
  <c r="R65" i="2"/>
  <c r="S65" i="2"/>
  <c r="T65" i="2"/>
  <c r="AS55" i="14"/>
  <c r="AP19" i="28" l="1"/>
  <c r="AP35" i="28"/>
  <c r="A10" i="28"/>
  <c r="AP59" i="28"/>
  <c r="AP38" i="28"/>
  <c r="AP5" i="28"/>
  <c r="AP23" i="28"/>
  <c r="AP8" i="28"/>
  <c r="AP12" i="28"/>
  <c r="AP50" i="28"/>
  <c r="AP45" i="28"/>
  <c r="AP57" i="28"/>
  <c r="AP51" i="28"/>
  <c r="AP43" i="28"/>
  <c r="AP58" i="28"/>
  <c r="AP62" i="28"/>
  <c r="AP63" i="28"/>
  <c r="AP10" i="28"/>
  <c r="AP60" i="28"/>
  <c r="AP7" i="28"/>
  <c r="AP21" i="28"/>
  <c r="AP18" i="28"/>
  <c r="AP56" i="28"/>
  <c r="AP61" i="28"/>
  <c r="AP37" i="28"/>
  <c r="AP4" i="28"/>
  <c r="AP65" i="28"/>
  <c r="AP55" i="28"/>
  <c r="AP44" i="28"/>
  <c r="AP53" i="28"/>
  <c r="AP47" i="28"/>
  <c r="AP48" i="28"/>
  <c r="AP46" i="28"/>
  <c r="AP49" i="28"/>
  <c r="AP41" i="28"/>
  <c r="AP33" i="28"/>
  <c r="AP40" i="28"/>
  <c r="AP36" i="28"/>
  <c r="AP28" i="28"/>
  <c r="AP29" i="28"/>
  <c r="AP32" i="28"/>
  <c r="AP39" i="28"/>
  <c r="AP30" i="28"/>
  <c r="AP31" i="28"/>
  <c r="B16" i="30"/>
  <c r="A14" i="30"/>
  <c r="A13" i="30"/>
  <c r="B15" i="30"/>
  <c r="A13" i="29"/>
  <c r="B15" i="29"/>
  <c r="B16" i="29"/>
  <c r="A14" i="29"/>
  <c r="AP25" i="28"/>
  <c r="AP14" i="28"/>
  <c r="AP20" i="28"/>
  <c r="AP16" i="28"/>
  <c r="AP15" i="28"/>
  <c r="AP13" i="28"/>
  <c r="AP6" i="28"/>
  <c r="AP11" i="28"/>
  <c r="AP9" i="28"/>
  <c r="AP17" i="28"/>
  <c r="AP24" i="28"/>
  <c r="AP27" i="28"/>
  <c r="AP22" i="28"/>
  <c r="AP34" i="28"/>
  <c r="A7" i="28"/>
  <c r="B9" i="28"/>
  <c r="AP52" i="28"/>
  <c r="AP26" i="28"/>
  <c r="A12" i="28"/>
  <c r="B14" i="28"/>
  <c r="AO66" i="28"/>
  <c r="J19" i="1" s="1"/>
  <c r="AN66" i="28"/>
  <c r="I19" i="1" s="1"/>
  <c r="M19" i="1" l="1"/>
  <c r="N19" i="1" s="1"/>
  <c r="A16" i="30"/>
  <c r="B18" i="30"/>
  <c r="A15" i="30"/>
  <c r="B17" i="30"/>
  <c r="A15" i="29"/>
  <c r="B17" i="29"/>
  <c r="A16" i="29"/>
  <c r="B18" i="29"/>
  <c r="AP66" i="28"/>
  <c r="B16" i="28"/>
  <c r="A14" i="28"/>
  <c r="A9" i="28"/>
  <c r="B11" i="28"/>
  <c r="A17" i="30" l="1"/>
  <c r="B19" i="30"/>
  <c r="B20" i="30"/>
  <c r="A18" i="30"/>
  <c r="B20" i="29"/>
  <c r="A18" i="29"/>
  <c r="B19" i="29"/>
  <c r="A17" i="29"/>
  <c r="A11" i="28"/>
  <c r="B13" i="28"/>
  <c r="A16" i="28"/>
  <c r="B18" i="28"/>
  <c r="AS27" i="14"/>
  <c r="B22" i="30" l="1"/>
  <c r="A20" i="30"/>
  <c r="A19" i="30"/>
  <c r="B21" i="30"/>
  <c r="B22" i="29"/>
  <c r="A20" i="29"/>
  <c r="A19" i="29"/>
  <c r="B21" i="29"/>
  <c r="A18" i="28"/>
  <c r="B20" i="28"/>
  <c r="A13" i="28"/>
  <c r="B15" i="28"/>
  <c r="AS41" i="11"/>
  <c r="AS41" i="12"/>
  <c r="AS41" i="14"/>
  <c r="A21" i="30" l="1"/>
  <c r="B23" i="30"/>
  <c r="B24" i="30"/>
  <c r="A22" i="30"/>
  <c r="A22" i="29"/>
  <c r="B24" i="29"/>
  <c r="B23" i="29"/>
  <c r="A21" i="29"/>
  <c r="A20" i="28"/>
  <c r="B22" i="28"/>
  <c r="A15" i="28"/>
  <c r="B17" i="28"/>
  <c r="B26" i="30" l="1"/>
  <c r="A24" i="30"/>
  <c r="A23" i="30"/>
  <c r="B25" i="30"/>
  <c r="A23" i="29"/>
  <c r="B25" i="29"/>
  <c r="B26" i="29"/>
  <c r="A24" i="29"/>
  <c r="B19" i="28"/>
  <c r="A17" i="28"/>
  <c r="B24" i="28"/>
  <c r="A22" i="28"/>
  <c r="A25" i="30" l="1"/>
  <c r="B27" i="30"/>
  <c r="A26" i="30"/>
  <c r="B28" i="30"/>
  <c r="A25" i="29"/>
  <c r="B27" i="29"/>
  <c r="A26" i="29"/>
  <c r="B28" i="29"/>
  <c r="A24" i="28"/>
  <c r="B26" i="28"/>
  <c r="B21" i="28"/>
  <c r="A19" i="28"/>
  <c r="G28" i="21"/>
  <c r="H28" i="21"/>
  <c r="G29" i="21"/>
  <c r="H29" i="21"/>
  <c r="G30" i="21"/>
  <c r="H30" i="21"/>
  <c r="G31" i="21"/>
  <c r="H31" i="21"/>
  <c r="G32" i="21"/>
  <c r="H32" i="21"/>
  <c r="G33" i="21"/>
  <c r="H33" i="21"/>
  <c r="G34" i="21"/>
  <c r="H34" i="21"/>
  <c r="G35" i="21"/>
  <c r="H35" i="21"/>
  <c r="G36" i="21"/>
  <c r="H36" i="21"/>
  <c r="G37" i="21"/>
  <c r="H37" i="21"/>
  <c r="B30" i="30" l="1"/>
  <c r="A28" i="30"/>
  <c r="A27" i="30"/>
  <c r="B29" i="30"/>
  <c r="B30" i="29"/>
  <c r="A28" i="29"/>
  <c r="B29" i="29"/>
  <c r="A27" i="29"/>
  <c r="B23" i="28"/>
  <c r="A21" i="28"/>
  <c r="B28" i="28"/>
  <c r="A26" i="28"/>
  <c r="A29" i="30" l="1"/>
  <c r="B31" i="30"/>
  <c r="A30" i="30"/>
  <c r="B32" i="30"/>
  <c r="A29" i="29"/>
  <c r="B31" i="29"/>
  <c r="B32" i="29"/>
  <c r="A30" i="29"/>
  <c r="A23" i="28"/>
  <c r="B25" i="28"/>
  <c r="A28" i="28"/>
  <c r="B30" i="28"/>
  <c r="B34" i="30" l="1"/>
  <c r="A32" i="30"/>
  <c r="A31" i="30"/>
  <c r="B33" i="30"/>
  <c r="B33" i="29"/>
  <c r="A31" i="29"/>
  <c r="A32" i="29"/>
  <c r="B34" i="29"/>
  <c r="B32" i="28"/>
  <c r="A30" i="28"/>
  <c r="B27" i="28"/>
  <c r="A25" i="28"/>
  <c r="AS27" i="11"/>
  <c r="A33" i="30" l="1"/>
  <c r="B35" i="30"/>
  <c r="A34" i="30"/>
  <c r="B36" i="30"/>
  <c r="A33" i="29"/>
  <c r="B35" i="29"/>
  <c r="B36" i="29"/>
  <c r="A34" i="29"/>
  <c r="A27" i="28"/>
  <c r="B29" i="28"/>
  <c r="B34" i="28"/>
  <c r="A32" i="28"/>
  <c r="R4" i="13"/>
  <c r="R5" i="13"/>
  <c r="R6" i="13"/>
  <c r="R7" i="13"/>
  <c r="R8" i="13"/>
  <c r="R9" i="13"/>
  <c r="R10" i="13"/>
  <c r="R11" i="13"/>
  <c r="R12" i="13"/>
  <c r="R13" i="13"/>
  <c r="B38" i="30" l="1"/>
  <c r="A36" i="30"/>
  <c r="A35" i="30"/>
  <c r="B37" i="30"/>
  <c r="A36" i="29"/>
  <c r="B38" i="29"/>
  <c r="A35" i="29"/>
  <c r="B37" i="29"/>
  <c r="B31" i="28"/>
  <c r="A29" i="28"/>
  <c r="B36" i="28"/>
  <c r="A34" i="28"/>
  <c r="M48" i="1"/>
  <c r="N48" i="1" s="1"/>
  <c r="A37" i="30" l="1"/>
  <c r="B39" i="30"/>
  <c r="A38" i="30"/>
  <c r="B40" i="30"/>
  <c r="A37" i="29"/>
  <c r="B39" i="29"/>
  <c r="B40" i="29"/>
  <c r="A38" i="29"/>
  <c r="B38" i="28"/>
  <c r="A36" i="28"/>
  <c r="A31" i="28"/>
  <c r="B33" i="28"/>
  <c r="R5" i="26"/>
  <c r="S5" i="26"/>
  <c r="T5" i="26"/>
  <c r="AA5" i="26"/>
  <c r="AB5" i="26"/>
  <c r="AF5" i="26"/>
  <c r="AG5" i="26"/>
  <c r="R6" i="26"/>
  <c r="S6" i="26"/>
  <c r="T6" i="26"/>
  <c r="AA6" i="26"/>
  <c r="AB6" i="26"/>
  <c r="AF6" i="26"/>
  <c r="AG6" i="26"/>
  <c r="R7" i="26"/>
  <c r="S7" i="26"/>
  <c r="T7" i="26"/>
  <c r="AA7" i="26"/>
  <c r="AB7" i="26"/>
  <c r="AF7" i="26"/>
  <c r="AG7" i="26"/>
  <c r="R8" i="26"/>
  <c r="S8" i="26"/>
  <c r="T8" i="26"/>
  <c r="AA8" i="26"/>
  <c r="AB8" i="26"/>
  <c r="AF8" i="26"/>
  <c r="AG8" i="26"/>
  <c r="R9" i="26"/>
  <c r="S9" i="26"/>
  <c r="T9" i="26"/>
  <c r="AA9" i="26"/>
  <c r="AB9" i="26"/>
  <c r="AF9" i="26"/>
  <c r="AG9" i="26"/>
  <c r="R10" i="26"/>
  <c r="S10" i="26"/>
  <c r="T10" i="26"/>
  <c r="AA10" i="26"/>
  <c r="AB10" i="26"/>
  <c r="AF10" i="26"/>
  <c r="AG10" i="26"/>
  <c r="R11" i="26"/>
  <c r="S11" i="26"/>
  <c r="T11" i="26"/>
  <c r="AA11" i="26"/>
  <c r="AB11" i="26"/>
  <c r="AF11" i="26"/>
  <c r="AG11" i="26"/>
  <c r="R12" i="26"/>
  <c r="S12" i="26"/>
  <c r="T12" i="26"/>
  <c r="AA12" i="26"/>
  <c r="AB12" i="26"/>
  <c r="AF12" i="26"/>
  <c r="AG12" i="26"/>
  <c r="R13" i="26"/>
  <c r="S13" i="26"/>
  <c r="T13" i="26"/>
  <c r="AA13" i="26"/>
  <c r="AB13" i="26"/>
  <c r="AF13" i="26"/>
  <c r="AG13" i="26"/>
  <c r="R14" i="26"/>
  <c r="S14" i="26"/>
  <c r="T14" i="26"/>
  <c r="AA14" i="26"/>
  <c r="AB14" i="26"/>
  <c r="AF14" i="26"/>
  <c r="AG14" i="26"/>
  <c r="R15" i="26"/>
  <c r="S15" i="26"/>
  <c r="T15" i="26"/>
  <c r="AA15" i="26"/>
  <c r="AB15" i="26"/>
  <c r="AF15" i="26"/>
  <c r="AG15" i="26"/>
  <c r="R16" i="26"/>
  <c r="S16" i="26"/>
  <c r="T16" i="26"/>
  <c r="AA16" i="26"/>
  <c r="AB16" i="26"/>
  <c r="AF16" i="26"/>
  <c r="AG16" i="26"/>
  <c r="R17" i="26"/>
  <c r="S17" i="26"/>
  <c r="T17" i="26"/>
  <c r="AA17" i="26"/>
  <c r="AB17" i="26"/>
  <c r="AF17" i="26"/>
  <c r="AG17" i="26"/>
  <c r="R18" i="26"/>
  <c r="S18" i="26"/>
  <c r="T18" i="26"/>
  <c r="AA18" i="26"/>
  <c r="AB18" i="26"/>
  <c r="AF18" i="26"/>
  <c r="AG18" i="26"/>
  <c r="R19" i="26"/>
  <c r="S19" i="26"/>
  <c r="T19" i="26"/>
  <c r="AA19" i="26"/>
  <c r="AB19" i="26"/>
  <c r="AF19" i="26"/>
  <c r="AG19" i="26"/>
  <c r="R20" i="26"/>
  <c r="S20" i="26"/>
  <c r="T20" i="26"/>
  <c r="AA20" i="26"/>
  <c r="AB20" i="26"/>
  <c r="AF20" i="26"/>
  <c r="AG20" i="26"/>
  <c r="R21" i="26"/>
  <c r="S21" i="26"/>
  <c r="T21" i="26"/>
  <c r="AA21" i="26"/>
  <c r="AB21" i="26"/>
  <c r="AF21" i="26"/>
  <c r="AG21" i="26"/>
  <c r="R22" i="26"/>
  <c r="S22" i="26"/>
  <c r="T22" i="26"/>
  <c r="AA22" i="26"/>
  <c r="AB22" i="26"/>
  <c r="AF22" i="26"/>
  <c r="AG22" i="26"/>
  <c r="R23" i="26"/>
  <c r="S23" i="26"/>
  <c r="T23" i="26"/>
  <c r="AA23" i="26"/>
  <c r="AB23" i="26"/>
  <c r="AF23" i="26"/>
  <c r="AG23" i="26"/>
  <c r="R24" i="26"/>
  <c r="S24" i="26"/>
  <c r="T24" i="26"/>
  <c r="AA24" i="26"/>
  <c r="AB24" i="26"/>
  <c r="AF24" i="26"/>
  <c r="AG24" i="26"/>
  <c r="R25" i="26"/>
  <c r="S25" i="26"/>
  <c r="T25" i="26"/>
  <c r="AA25" i="26"/>
  <c r="AB25" i="26"/>
  <c r="AF25" i="26"/>
  <c r="AG25" i="26"/>
  <c r="R26" i="26"/>
  <c r="S26" i="26"/>
  <c r="T26" i="26"/>
  <c r="AA26" i="26"/>
  <c r="AB26" i="26"/>
  <c r="AF26" i="26"/>
  <c r="AG26" i="26"/>
  <c r="R27" i="26"/>
  <c r="S27" i="26"/>
  <c r="T27" i="26"/>
  <c r="AA27" i="26"/>
  <c r="AB27" i="26"/>
  <c r="AF27" i="26"/>
  <c r="AG27" i="26"/>
  <c r="R28" i="26"/>
  <c r="S28" i="26"/>
  <c r="T28" i="26"/>
  <c r="AA28" i="26"/>
  <c r="AB28" i="26"/>
  <c r="AF28" i="26"/>
  <c r="AG28" i="26"/>
  <c r="R29" i="26"/>
  <c r="S29" i="26"/>
  <c r="T29" i="26"/>
  <c r="AA29" i="26"/>
  <c r="AB29" i="26"/>
  <c r="AF29" i="26"/>
  <c r="AG29" i="26"/>
  <c r="R30" i="26"/>
  <c r="S30" i="26"/>
  <c r="T30" i="26"/>
  <c r="AA30" i="26"/>
  <c r="AB30" i="26"/>
  <c r="AF30" i="26"/>
  <c r="AG30" i="26"/>
  <c r="R31" i="26"/>
  <c r="S31" i="26"/>
  <c r="T31" i="26"/>
  <c r="AA31" i="26"/>
  <c r="AB31" i="26"/>
  <c r="AF31" i="26"/>
  <c r="AG31" i="26"/>
  <c r="R32" i="26"/>
  <c r="S32" i="26"/>
  <c r="T32" i="26"/>
  <c r="AA32" i="26"/>
  <c r="AB32" i="26"/>
  <c r="AF32" i="26"/>
  <c r="AG32" i="26"/>
  <c r="R33" i="26"/>
  <c r="S33" i="26"/>
  <c r="T33" i="26"/>
  <c r="AA33" i="26"/>
  <c r="AB33" i="26"/>
  <c r="AF33" i="26"/>
  <c r="AG33" i="26"/>
  <c r="R34" i="26"/>
  <c r="S34" i="26"/>
  <c r="T34" i="26"/>
  <c r="AA34" i="26"/>
  <c r="AB34" i="26"/>
  <c r="AF34" i="26"/>
  <c r="AG34" i="26"/>
  <c r="R35" i="26"/>
  <c r="S35" i="26"/>
  <c r="T35" i="26"/>
  <c r="AA35" i="26"/>
  <c r="AB35" i="26"/>
  <c r="AF35" i="26"/>
  <c r="AG35" i="26"/>
  <c r="R36" i="26"/>
  <c r="S36" i="26"/>
  <c r="T36" i="26"/>
  <c r="AA36" i="26"/>
  <c r="AB36" i="26"/>
  <c r="AF36" i="26"/>
  <c r="AG36" i="26"/>
  <c r="R37" i="26"/>
  <c r="S37" i="26"/>
  <c r="T37" i="26"/>
  <c r="AA37" i="26"/>
  <c r="AB37" i="26"/>
  <c r="AF37" i="26"/>
  <c r="AG37" i="26"/>
  <c r="R38" i="26"/>
  <c r="S38" i="26"/>
  <c r="T38" i="26"/>
  <c r="AA38" i="26"/>
  <c r="AB38" i="26"/>
  <c r="AF38" i="26"/>
  <c r="AG38" i="26"/>
  <c r="R39" i="26"/>
  <c r="S39" i="26"/>
  <c r="T39" i="26"/>
  <c r="AA39" i="26"/>
  <c r="AB39" i="26"/>
  <c r="AF39" i="26"/>
  <c r="AG39" i="26"/>
  <c r="R40" i="26"/>
  <c r="S40" i="26"/>
  <c r="T40" i="26"/>
  <c r="AA40" i="26"/>
  <c r="AB40" i="26"/>
  <c r="AF40" i="26"/>
  <c r="AG40" i="26"/>
  <c r="R41" i="26"/>
  <c r="S41" i="26"/>
  <c r="T41" i="26"/>
  <c r="AA41" i="26"/>
  <c r="AB41" i="26"/>
  <c r="AF41" i="26"/>
  <c r="AG41" i="26"/>
  <c r="R42" i="26"/>
  <c r="S42" i="26"/>
  <c r="T42" i="26"/>
  <c r="AA42" i="26"/>
  <c r="AB42" i="26"/>
  <c r="AF42" i="26"/>
  <c r="AG42" i="26"/>
  <c r="R43" i="26"/>
  <c r="S43" i="26"/>
  <c r="T43" i="26"/>
  <c r="AA43" i="26"/>
  <c r="AB43" i="26"/>
  <c r="AF43" i="26"/>
  <c r="AG43" i="26"/>
  <c r="R44" i="26"/>
  <c r="S44" i="26"/>
  <c r="T44" i="26"/>
  <c r="AA44" i="26"/>
  <c r="AB44" i="26"/>
  <c r="AF44" i="26"/>
  <c r="AG44" i="26"/>
  <c r="R45" i="26"/>
  <c r="S45" i="26"/>
  <c r="T45" i="26"/>
  <c r="AA45" i="26"/>
  <c r="AB45" i="26"/>
  <c r="AF45" i="26"/>
  <c r="AG45" i="26"/>
  <c r="R46" i="26"/>
  <c r="S46" i="26"/>
  <c r="T46" i="26"/>
  <c r="AA46" i="26"/>
  <c r="AB46" i="26"/>
  <c r="AF46" i="26"/>
  <c r="AG46" i="26"/>
  <c r="R47" i="26"/>
  <c r="S47" i="26"/>
  <c r="T47" i="26"/>
  <c r="AA47" i="26"/>
  <c r="AB47" i="26"/>
  <c r="AF47" i="26"/>
  <c r="AG47" i="26"/>
  <c r="R48" i="26"/>
  <c r="S48" i="26"/>
  <c r="T48" i="26"/>
  <c r="AA48" i="26"/>
  <c r="AB48" i="26"/>
  <c r="AF48" i="26"/>
  <c r="AG48" i="26"/>
  <c r="R49" i="26"/>
  <c r="S49" i="26"/>
  <c r="T49" i="26"/>
  <c r="AA49" i="26"/>
  <c r="AB49" i="26"/>
  <c r="AF49" i="26"/>
  <c r="AG49" i="26"/>
  <c r="R50" i="26"/>
  <c r="S50" i="26"/>
  <c r="T50" i="26"/>
  <c r="AA50" i="26"/>
  <c r="AB50" i="26"/>
  <c r="AF50" i="26"/>
  <c r="AG50" i="26"/>
  <c r="R51" i="26"/>
  <c r="S51" i="26"/>
  <c r="T51" i="26"/>
  <c r="AA51" i="26"/>
  <c r="AB51" i="26"/>
  <c r="AF51" i="26"/>
  <c r="AG51" i="26"/>
  <c r="R52" i="26"/>
  <c r="S52" i="26"/>
  <c r="T52" i="26"/>
  <c r="AA52" i="26"/>
  <c r="AB52" i="26"/>
  <c r="AF52" i="26"/>
  <c r="AG52" i="26"/>
  <c r="R53" i="26"/>
  <c r="S53" i="26"/>
  <c r="T53" i="26"/>
  <c r="AA53" i="26"/>
  <c r="AB53" i="26"/>
  <c r="AF53" i="26"/>
  <c r="AG53" i="26"/>
  <c r="R54" i="26"/>
  <c r="S54" i="26"/>
  <c r="T54" i="26"/>
  <c r="AA54" i="26"/>
  <c r="AB54" i="26"/>
  <c r="AF54" i="26"/>
  <c r="AG54" i="26"/>
  <c r="R55" i="26"/>
  <c r="S55" i="26"/>
  <c r="T55" i="26"/>
  <c r="AA55" i="26"/>
  <c r="AB55" i="26"/>
  <c r="AF55" i="26"/>
  <c r="AG55" i="26"/>
  <c r="R56" i="26"/>
  <c r="S56" i="26"/>
  <c r="T56" i="26"/>
  <c r="AA56" i="26"/>
  <c r="AB56" i="26"/>
  <c r="AF56" i="26"/>
  <c r="AG56" i="26"/>
  <c r="R57" i="26"/>
  <c r="S57" i="26"/>
  <c r="T57" i="26"/>
  <c r="AA57" i="26"/>
  <c r="AB57" i="26"/>
  <c r="AF57" i="26"/>
  <c r="AG57" i="26"/>
  <c r="R58" i="26"/>
  <c r="S58" i="26"/>
  <c r="T58" i="26"/>
  <c r="AA58" i="26"/>
  <c r="AB58" i="26"/>
  <c r="AF58" i="26"/>
  <c r="AG58" i="26"/>
  <c r="R59" i="26"/>
  <c r="S59" i="26"/>
  <c r="T59" i="26"/>
  <c r="AA59" i="26"/>
  <c r="AB59" i="26"/>
  <c r="AF59" i="26"/>
  <c r="AG59" i="26"/>
  <c r="R60" i="26"/>
  <c r="S60" i="26"/>
  <c r="T60" i="26"/>
  <c r="AA60" i="26"/>
  <c r="AB60" i="26"/>
  <c r="AF60" i="26"/>
  <c r="AG60" i="26"/>
  <c r="R61" i="26"/>
  <c r="S61" i="26"/>
  <c r="T61" i="26"/>
  <c r="AA61" i="26"/>
  <c r="AB61" i="26"/>
  <c r="AF61" i="26"/>
  <c r="AG61" i="26"/>
  <c r="R62" i="26"/>
  <c r="S62" i="26"/>
  <c r="T62" i="26"/>
  <c r="AA62" i="26"/>
  <c r="AB62" i="26"/>
  <c r="AF62" i="26"/>
  <c r="AG62" i="26"/>
  <c r="R63" i="26"/>
  <c r="S63" i="26"/>
  <c r="T63" i="26"/>
  <c r="AA63" i="26"/>
  <c r="AB63" i="26"/>
  <c r="AF63" i="26"/>
  <c r="AG63" i="26"/>
  <c r="R64" i="26"/>
  <c r="S64" i="26"/>
  <c r="T64" i="26"/>
  <c r="AA64" i="26"/>
  <c r="AB64" i="26"/>
  <c r="AF64" i="26"/>
  <c r="AG64" i="26"/>
  <c r="R65" i="26"/>
  <c r="S65" i="26"/>
  <c r="T65" i="26"/>
  <c r="AA65" i="26"/>
  <c r="AB65" i="26"/>
  <c r="AF65" i="26"/>
  <c r="AG65" i="26"/>
  <c r="AS65" i="26"/>
  <c r="AS65" i="11"/>
  <c r="A39" i="30" l="1"/>
  <c r="B41" i="30"/>
  <c r="B42" i="30"/>
  <c r="A40" i="30"/>
  <c r="A40" i="29"/>
  <c r="B42" i="29"/>
  <c r="A39" i="29"/>
  <c r="B41" i="29"/>
  <c r="A33" i="28"/>
  <c r="B35" i="28"/>
  <c r="B40" i="28"/>
  <c r="A38" i="28"/>
  <c r="AS61" i="14"/>
  <c r="A42" i="30" l="1"/>
  <c r="B44" i="30"/>
  <c r="A41" i="30"/>
  <c r="B43" i="30"/>
  <c r="A41" i="29"/>
  <c r="B43" i="29"/>
  <c r="B44" i="29"/>
  <c r="A42" i="29"/>
  <c r="B42" i="28"/>
  <c r="A40" i="28"/>
  <c r="A35" i="28"/>
  <c r="B37" i="28"/>
  <c r="A43" i="30" l="1"/>
  <c r="B45" i="30"/>
  <c r="B46" i="30"/>
  <c r="A44" i="30"/>
  <c r="A44" i="29"/>
  <c r="B46" i="29"/>
  <c r="A43" i="29"/>
  <c r="B45" i="29"/>
  <c r="B44" i="28"/>
  <c r="A42" i="28"/>
  <c r="A37" i="28"/>
  <c r="B39" i="28"/>
  <c r="A46" i="30" l="1"/>
  <c r="B48" i="30"/>
  <c r="A45" i="30"/>
  <c r="B47" i="30"/>
  <c r="B48" i="29"/>
  <c r="A46" i="29"/>
  <c r="A45" i="29"/>
  <c r="B47" i="29"/>
  <c r="B46" i="28"/>
  <c r="A44" i="28"/>
  <c r="A39" i="28"/>
  <c r="B41" i="28"/>
  <c r="AS47" i="26"/>
  <c r="B50" i="30" l="1"/>
  <c r="A48" i="30"/>
  <c r="A47" i="30"/>
  <c r="B49" i="30"/>
  <c r="A47" i="29"/>
  <c r="B49" i="29"/>
  <c r="A48" i="29"/>
  <c r="B50" i="29"/>
  <c r="A41" i="28"/>
  <c r="B43" i="28"/>
  <c r="B48" i="28"/>
  <c r="A46" i="28"/>
  <c r="L26" i="1"/>
  <c r="J66" i="26"/>
  <c r="G26" i="1" s="1"/>
  <c r="AR65" i="26"/>
  <c r="AL65" i="26"/>
  <c r="AK65" i="26"/>
  <c r="AM65" i="26"/>
  <c r="H65" i="26"/>
  <c r="G65" i="26"/>
  <c r="AR64" i="26"/>
  <c r="AL64" i="26"/>
  <c r="AK64" i="26"/>
  <c r="AM64" i="26"/>
  <c r="H64" i="26"/>
  <c r="G64" i="26"/>
  <c r="AR63" i="26"/>
  <c r="AL63" i="26"/>
  <c r="AK63" i="26"/>
  <c r="AM63" i="26"/>
  <c r="H63" i="26"/>
  <c r="G63" i="26"/>
  <c r="AR62" i="26"/>
  <c r="AM62" i="26"/>
  <c r="AL62" i="26"/>
  <c r="AK62" i="26"/>
  <c r="H62" i="26"/>
  <c r="G62" i="26"/>
  <c r="AS61" i="26"/>
  <c r="AR61" i="26"/>
  <c r="AL61" i="26"/>
  <c r="AK61" i="26"/>
  <c r="AM61" i="26"/>
  <c r="H61" i="26"/>
  <c r="G61" i="26"/>
  <c r="AR60" i="26"/>
  <c r="AL60" i="26"/>
  <c r="AK60" i="26"/>
  <c r="AM60" i="26"/>
  <c r="H60" i="26"/>
  <c r="G60" i="26"/>
  <c r="AR59" i="26"/>
  <c r="AL59" i="26"/>
  <c r="AK59" i="26"/>
  <c r="AM59" i="26"/>
  <c r="H59" i="26"/>
  <c r="G59" i="26"/>
  <c r="AR58" i="26"/>
  <c r="AL58" i="26"/>
  <c r="AK58" i="26"/>
  <c r="AM58" i="26"/>
  <c r="H58" i="26"/>
  <c r="G58" i="26"/>
  <c r="AR57" i="26"/>
  <c r="AL57" i="26"/>
  <c r="AK57" i="26"/>
  <c r="AM57" i="26"/>
  <c r="H57" i="26"/>
  <c r="G57" i="26"/>
  <c r="AR56" i="26"/>
  <c r="AL56" i="26"/>
  <c r="AK56" i="26"/>
  <c r="AM56" i="26"/>
  <c r="H56" i="26"/>
  <c r="G56" i="26"/>
  <c r="AR55" i="26"/>
  <c r="AL55" i="26"/>
  <c r="AK55" i="26"/>
  <c r="AM55" i="26"/>
  <c r="H55" i="26"/>
  <c r="G55" i="26"/>
  <c r="AR54" i="26"/>
  <c r="AL54" i="26"/>
  <c r="AK54" i="26"/>
  <c r="AM54" i="26"/>
  <c r="H54" i="26"/>
  <c r="G54" i="26"/>
  <c r="AS53" i="26"/>
  <c r="AR53" i="26"/>
  <c r="AL53" i="26"/>
  <c r="AK53" i="26"/>
  <c r="AM53" i="26"/>
  <c r="H53" i="26"/>
  <c r="G53" i="26"/>
  <c r="AR52" i="26"/>
  <c r="AL52" i="26"/>
  <c r="AK52" i="26"/>
  <c r="AM52" i="26"/>
  <c r="H52" i="26"/>
  <c r="G52" i="26"/>
  <c r="AR51" i="26"/>
  <c r="AL51" i="26"/>
  <c r="AK51" i="26"/>
  <c r="AM51" i="26"/>
  <c r="H51" i="26"/>
  <c r="G51" i="26"/>
  <c r="AR50" i="26"/>
  <c r="AL50" i="26"/>
  <c r="AK50" i="26"/>
  <c r="AM50" i="26"/>
  <c r="H50" i="26"/>
  <c r="G50" i="26"/>
  <c r="AS49" i="26"/>
  <c r="AR49" i="26"/>
  <c r="AL49" i="26"/>
  <c r="AK49" i="26"/>
  <c r="AM49" i="26"/>
  <c r="H49" i="26"/>
  <c r="G49" i="26"/>
  <c r="AR48" i="26"/>
  <c r="AL48" i="26"/>
  <c r="AK48" i="26"/>
  <c r="AM48" i="26"/>
  <c r="H48" i="26"/>
  <c r="G48" i="26"/>
  <c r="AR47" i="26"/>
  <c r="AL47" i="26"/>
  <c r="AK47" i="26"/>
  <c r="AM47" i="26"/>
  <c r="H47" i="26"/>
  <c r="G47" i="26"/>
  <c r="AR46" i="26"/>
  <c r="AL46" i="26"/>
  <c r="AK46" i="26"/>
  <c r="AM46" i="26"/>
  <c r="H46" i="26"/>
  <c r="G46" i="26"/>
  <c r="AR45" i="26"/>
  <c r="AL45" i="26"/>
  <c r="AK45" i="26"/>
  <c r="AM45" i="26"/>
  <c r="H45" i="26"/>
  <c r="G45" i="26"/>
  <c r="AR44" i="26"/>
  <c r="AL44" i="26"/>
  <c r="AK44" i="26"/>
  <c r="AM44" i="26"/>
  <c r="H44" i="26"/>
  <c r="G44" i="26"/>
  <c r="AR43" i="26"/>
  <c r="AL43" i="26"/>
  <c r="AK43" i="26"/>
  <c r="AM43" i="26"/>
  <c r="H43" i="26"/>
  <c r="G43" i="26"/>
  <c r="AR42" i="26"/>
  <c r="AL42" i="26"/>
  <c r="AK42" i="26"/>
  <c r="AM42" i="26"/>
  <c r="H42" i="26"/>
  <c r="G42" i="26"/>
  <c r="AR41" i="26"/>
  <c r="AL41" i="26"/>
  <c r="AK41" i="26"/>
  <c r="AM41" i="26"/>
  <c r="H41" i="26"/>
  <c r="G41" i="26"/>
  <c r="AR40" i="26"/>
  <c r="AL40" i="26"/>
  <c r="AK40" i="26"/>
  <c r="AM40" i="26"/>
  <c r="H40" i="26"/>
  <c r="G40" i="26"/>
  <c r="AS39" i="26"/>
  <c r="AR39" i="26"/>
  <c r="AL39" i="26"/>
  <c r="AK39" i="26"/>
  <c r="AM39" i="26"/>
  <c r="H39" i="26"/>
  <c r="G39" i="26"/>
  <c r="AR38" i="26"/>
  <c r="AL38" i="26"/>
  <c r="AK38" i="26"/>
  <c r="AM38" i="26"/>
  <c r="H38" i="26"/>
  <c r="G38" i="26"/>
  <c r="AR37" i="26"/>
  <c r="AM37" i="26"/>
  <c r="AL37" i="26"/>
  <c r="AK37" i="26"/>
  <c r="H37" i="26"/>
  <c r="G37" i="26"/>
  <c r="AR36" i="26"/>
  <c r="AL36" i="26"/>
  <c r="AK36" i="26"/>
  <c r="AM36" i="26"/>
  <c r="H36" i="26"/>
  <c r="G36" i="26"/>
  <c r="AR35" i="26"/>
  <c r="AL35" i="26"/>
  <c r="AK35" i="26"/>
  <c r="AM35" i="26"/>
  <c r="H35" i="26"/>
  <c r="G35" i="26"/>
  <c r="AR34" i="26"/>
  <c r="AL34" i="26"/>
  <c r="AK34" i="26"/>
  <c r="AM34" i="26"/>
  <c r="H34" i="26"/>
  <c r="G34" i="26"/>
  <c r="AS33" i="26"/>
  <c r="AR33" i="26"/>
  <c r="AL33" i="26"/>
  <c r="AK33" i="26"/>
  <c r="AM33" i="26"/>
  <c r="H33" i="26"/>
  <c r="G33" i="26"/>
  <c r="AR32" i="26"/>
  <c r="AL32" i="26"/>
  <c r="AK32" i="26"/>
  <c r="AM32" i="26"/>
  <c r="H32" i="26"/>
  <c r="G32" i="26"/>
  <c r="AR31" i="26"/>
  <c r="AM31" i="26"/>
  <c r="AL31" i="26"/>
  <c r="AK31" i="26"/>
  <c r="H31" i="26"/>
  <c r="G31" i="26"/>
  <c r="AR30" i="26"/>
  <c r="AL30" i="26"/>
  <c r="AK30" i="26"/>
  <c r="AM30" i="26"/>
  <c r="H30" i="26"/>
  <c r="G30" i="26"/>
  <c r="AR29" i="26"/>
  <c r="AM29" i="26"/>
  <c r="AL29" i="26"/>
  <c r="AK29" i="26"/>
  <c r="H29" i="26"/>
  <c r="G29" i="26"/>
  <c r="AR28" i="26"/>
  <c r="AL28" i="26"/>
  <c r="AK28" i="26"/>
  <c r="AM28" i="26"/>
  <c r="H28" i="26"/>
  <c r="G28" i="26"/>
  <c r="AR27" i="26"/>
  <c r="AL27" i="26"/>
  <c r="AK27" i="26"/>
  <c r="AM27" i="26"/>
  <c r="H27" i="26"/>
  <c r="G27" i="26"/>
  <c r="AR26" i="26"/>
  <c r="AL26" i="26"/>
  <c r="AK26" i="26"/>
  <c r="AM26" i="26"/>
  <c r="H26" i="26"/>
  <c r="G26" i="26"/>
  <c r="AR25" i="26"/>
  <c r="AL25" i="26"/>
  <c r="AK25" i="26"/>
  <c r="AM25" i="26"/>
  <c r="H25" i="26"/>
  <c r="G25" i="26"/>
  <c r="AR24" i="26"/>
  <c r="AL24" i="26"/>
  <c r="AK24" i="26"/>
  <c r="AM24" i="26"/>
  <c r="H24" i="26"/>
  <c r="G24" i="26"/>
  <c r="AR23" i="26"/>
  <c r="AL23" i="26"/>
  <c r="AK23" i="26"/>
  <c r="AM23" i="26"/>
  <c r="H23" i="26"/>
  <c r="G23" i="26"/>
  <c r="AR22" i="26"/>
  <c r="AL22" i="26"/>
  <c r="AK22" i="26"/>
  <c r="AM22" i="26"/>
  <c r="H22" i="26"/>
  <c r="G22" i="26"/>
  <c r="AR21" i="26"/>
  <c r="AL21" i="26"/>
  <c r="AK21" i="26"/>
  <c r="AM21" i="26"/>
  <c r="H21" i="26"/>
  <c r="G21" i="26"/>
  <c r="AR20" i="26"/>
  <c r="AM20" i="26"/>
  <c r="AL20" i="26"/>
  <c r="AK20" i="26"/>
  <c r="H20" i="26"/>
  <c r="G20" i="26"/>
  <c r="AS19" i="26"/>
  <c r="AR19" i="26"/>
  <c r="AL19" i="26"/>
  <c r="AK19" i="26"/>
  <c r="AM19" i="26"/>
  <c r="H19" i="26"/>
  <c r="G19" i="26"/>
  <c r="AR18" i="26"/>
  <c r="AL18" i="26"/>
  <c r="AK18" i="26"/>
  <c r="AM18" i="26"/>
  <c r="H18" i="26"/>
  <c r="G18" i="26"/>
  <c r="AR17" i="26"/>
  <c r="AL17" i="26"/>
  <c r="AK17" i="26"/>
  <c r="AM17" i="26"/>
  <c r="H17" i="26"/>
  <c r="G17" i="26"/>
  <c r="AR16" i="26"/>
  <c r="AL16" i="26"/>
  <c r="AK16" i="26"/>
  <c r="AM16" i="26"/>
  <c r="H16" i="26"/>
  <c r="G16" i="26"/>
  <c r="AR15" i="26"/>
  <c r="AM15" i="26"/>
  <c r="AL15" i="26"/>
  <c r="AK15" i="26"/>
  <c r="H15" i="26"/>
  <c r="G15" i="26"/>
  <c r="AR14" i="26"/>
  <c r="AM14" i="26"/>
  <c r="AL14" i="26"/>
  <c r="AK14" i="26"/>
  <c r="H14" i="26"/>
  <c r="G14" i="26"/>
  <c r="AR13" i="26"/>
  <c r="AL13" i="26"/>
  <c r="AK13" i="26"/>
  <c r="AM13" i="26"/>
  <c r="H13" i="26"/>
  <c r="G13" i="26"/>
  <c r="AR12" i="26"/>
  <c r="AL12" i="26"/>
  <c r="AK12" i="26"/>
  <c r="AM12" i="26"/>
  <c r="H12" i="26"/>
  <c r="G12" i="26"/>
  <c r="AR11" i="26"/>
  <c r="AL11" i="26"/>
  <c r="AK11" i="26"/>
  <c r="AM11" i="26"/>
  <c r="H11" i="26"/>
  <c r="G11" i="26"/>
  <c r="AR10" i="26"/>
  <c r="AL10" i="26"/>
  <c r="AK10" i="26"/>
  <c r="AM10" i="26"/>
  <c r="H10" i="26"/>
  <c r="G10" i="26"/>
  <c r="AR9" i="26"/>
  <c r="AL9" i="26"/>
  <c r="AK9" i="26"/>
  <c r="AM9" i="26"/>
  <c r="H9" i="26"/>
  <c r="G9" i="26"/>
  <c r="AR8" i="26"/>
  <c r="AL8" i="26"/>
  <c r="AK8" i="26"/>
  <c r="AM8" i="26"/>
  <c r="H8" i="26"/>
  <c r="G8" i="26"/>
  <c r="AR7" i="26"/>
  <c r="AL7" i="26"/>
  <c r="AK7" i="26"/>
  <c r="AM7" i="26"/>
  <c r="H7" i="26"/>
  <c r="G7" i="26"/>
  <c r="AR6" i="26"/>
  <c r="AM6" i="26"/>
  <c r="AL6" i="26"/>
  <c r="AK6" i="26"/>
  <c r="H6" i="26"/>
  <c r="G6" i="26"/>
  <c r="B6" i="26"/>
  <c r="B8" i="26" s="1"/>
  <c r="A8" i="26" s="1"/>
  <c r="AR5" i="26"/>
  <c r="AL5" i="26"/>
  <c r="AK5" i="26"/>
  <c r="AM5" i="26"/>
  <c r="H5" i="26"/>
  <c r="G5" i="26"/>
  <c r="B5" i="26"/>
  <c r="A5" i="26" s="1"/>
  <c r="AR4" i="26"/>
  <c r="AL4" i="26"/>
  <c r="AK4" i="26"/>
  <c r="AG4" i="26"/>
  <c r="AF4" i="26"/>
  <c r="AB4" i="26"/>
  <c r="AA4" i="26"/>
  <c r="T4" i="26"/>
  <c r="S4" i="26"/>
  <c r="R4" i="26"/>
  <c r="AM4" i="26" s="1"/>
  <c r="H4" i="26"/>
  <c r="G4" i="26"/>
  <c r="A4" i="26"/>
  <c r="AP1" i="26"/>
  <c r="L22" i="1"/>
  <c r="J66" i="27"/>
  <c r="G22" i="1" s="1"/>
  <c r="AL65" i="27"/>
  <c r="AK65" i="27"/>
  <c r="AG65" i="27"/>
  <c r="AF65" i="27"/>
  <c r="AB65" i="27"/>
  <c r="AA65" i="27"/>
  <c r="T65" i="27"/>
  <c r="S65" i="27"/>
  <c r="R65" i="27"/>
  <c r="AM65" i="27" s="1"/>
  <c r="H65" i="27"/>
  <c r="G65" i="27"/>
  <c r="AL64" i="27"/>
  <c r="AK64" i="27"/>
  <c r="AG64" i="27"/>
  <c r="AF64" i="27"/>
  <c r="AB64" i="27"/>
  <c r="AA64" i="27"/>
  <c r="T64" i="27"/>
  <c r="S64" i="27"/>
  <c r="R64" i="27"/>
  <c r="AM64" i="27" s="1"/>
  <c r="H64" i="27"/>
  <c r="G64" i="27"/>
  <c r="AR63" i="27"/>
  <c r="AL63" i="27"/>
  <c r="AK63" i="27"/>
  <c r="AG63" i="27"/>
  <c r="AF63" i="27"/>
  <c r="AB63" i="27"/>
  <c r="AA63" i="27"/>
  <c r="T63" i="27"/>
  <c r="S63" i="27"/>
  <c r="R63" i="27"/>
  <c r="AM63" i="27" s="1"/>
  <c r="H63" i="27"/>
  <c r="G63" i="27"/>
  <c r="AR62" i="27"/>
  <c r="AL62" i="27"/>
  <c r="AK62" i="27"/>
  <c r="AG62" i="27"/>
  <c r="AF62" i="27"/>
  <c r="AB62" i="27"/>
  <c r="AA62" i="27"/>
  <c r="T62" i="27"/>
  <c r="S62" i="27"/>
  <c r="R62" i="27"/>
  <c r="AM62" i="27" s="1"/>
  <c r="H62" i="27"/>
  <c r="G62" i="27"/>
  <c r="AS61" i="27"/>
  <c r="AR61" i="27"/>
  <c r="AL61" i="27"/>
  <c r="AK61" i="27"/>
  <c r="AG61" i="27"/>
  <c r="AF61" i="27"/>
  <c r="AB61" i="27"/>
  <c r="AA61" i="27"/>
  <c r="T61" i="27"/>
  <c r="S61" i="27"/>
  <c r="R61" i="27"/>
  <c r="AM61" i="27" s="1"/>
  <c r="H61" i="27"/>
  <c r="G61" i="27"/>
  <c r="AR60" i="27"/>
  <c r="AL60" i="27"/>
  <c r="AK60" i="27"/>
  <c r="AG60" i="27"/>
  <c r="AF60" i="27"/>
  <c r="AB60" i="27"/>
  <c r="AA60" i="27"/>
  <c r="T60" i="27"/>
  <c r="S60" i="27"/>
  <c r="R60" i="27"/>
  <c r="AM60" i="27" s="1"/>
  <c r="H60" i="27"/>
  <c r="G60" i="27"/>
  <c r="AR59" i="27"/>
  <c r="AL59" i="27"/>
  <c r="AK59" i="27"/>
  <c r="AG59" i="27"/>
  <c r="AF59" i="27"/>
  <c r="AB59" i="27"/>
  <c r="AA59" i="27"/>
  <c r="T59" i="27"/>
  <c r="S59" i="27"/>
  <c r="R59" i="27"/>
  <c r="AM59" i="27" s="1"/>
  <c r="H59" i="27"/>
  <c r="G59" i="27"/>
  <c r="AR58" i="27"/>
  <c r="AL58" i="27"/>
  <c r="AK58" i="27"/>
  <c r="AG58" i="27"/>
  <c r="AF58" i="27"/>
  <c r="AB58" i="27"/>
  <c r="AA58" i="27"/>
  <c r="T58" i="27"/>
  <c r="S58" i="27"/>
  <c r="R58" i="27"/>
  <c r="AM58" i="27" s="1"/>
  <c r="H58" i="27"/>
  <c r="G58" i="27"/>
  <c r="AR57" i="27"/>
  <c r="AL57" i="27"/>
  <c r="AK57" i="27"/>
  <c r="AG57" i="27"/>
  <c r="AF57" i="27"/>
  <c r="AB57" i="27"/>
  <c r="AA57" i="27"/>
  <c r="T57" i="27"/>
  <c r="S57" i="27"/>
  <c r="R57" i="27"/>
  <c r="AM57" i="27" s="1"/>
  <c r="H57" i="27"/>
  <c r="G57" i="27"/>
  <c r="AR56" i="27"/>
  <c r="AL56" i="27"/>
  <c r="AK56" i="27"/>
  <c r="AG56" i="27"/>
  <c r="AF56" i="27"/>
  <c r="AB56" i="27"/>
  <c r="AA56" i="27"/>
  <c r="T56" i="27"/>
  <c r="S56" i="27"/>
  <c r="R56" i="27"/>
  <c r="AM56" i="27" s="1"/>
  <c r="H56" i="27"/>
  <c r="G56" i="27"/>
  <c r="AS55" i="27"/>
  <c r="AR55" i="27"/>
  <c r="AL55" i="27"/>
  <c r="AK55" i="27"/>
  <c r="AG55" i="27"/>
  <c r="AF55" i="27"/>
  <c r="AB55" i="27"/>
  <c r="AA55" i="27"/>
  <c r="T55" i="27"/>
  <c r="S55" i="27"/>
  <c r="R55" i="27"/>
  <c r="AM55" i="27" s="1"/>
  <c r="H55" i="27"/>
  <c r="G55" i="27"/>
  <c r="AR54" i="27"/>
  <c r="AL54" i="27"/>
  <c r="AK54" i="27"/>
  <c r="AG54" i="27"/>
  <c r="AF54" i="27"/>
  <c r="AB54" i="27"/>
  <c r="AA54" i="27"/>
  <c r="T54" i="27"/>
  <c r="S54" i="27"/>
  <c r="R54" i="27"/>
  <c r="AM54" i="27" s="1"/>
  <c r="H54" i="27"/>
  <c r="G54" i="27"/>
  <c r="AS53" i="27"/>
  <c r="AR53" i="27"/>
  <c r="AL53" i="27"/>
  <c r="AK53" i="27"/>
  <c r="AG53" i="27"/>
  <c r="AF53" i="27"/>
  <c r="AB53" i="27"/>
  <c r="AA53" i="27"/>
  <c r="T53" i="27"/>
  <c r="S53" i="27"/>
  <c r="R53" i="27"/>
  <c r="AM53" i="27" s="1"/>
  <c r="H53" i="27"/>
  <c r="G53" i="27"/>
  <c r="AR52" i="27"/>
  <c r="AL52" i="27"/>
  <c r="AK52" i="27"/>
  <c r="AG52" i="27"/>
  <c r="AF52" i="27"/>
  <c r="AB52" i="27"/>
  <c r="AA52" i="27"/>
  <c r="T52" i="27"/>
  <c r="S52" i="27"/>
  <c r="R52" i="27"/>
  <c r="AM52" i="27" s="1"/>
  <c r="H52" i="27"/>
  <c r="G52" i="27"/>
  <c r="AR51" i="27"/>
  <c r="AL51" i="27"/>
  <c r="AK51" i="27"/>
  <c r="AG51" i="27"/>
  <c r="AF51" i="27"/>
  <c r="AB51" i="27"/>
  <c r="AA51" i="27"/>
  <c r="T51" i="27"/>
  <c r="S51" i="27"/>
  <c r="R51" i="27"/>
  <c r="AM51" i="27" s="1"/>
  <c r="H51" i="27"/>
  <c r="G51" i="27"/>
  <c r="AR50" i="27"/>
  <c r="AL50" i="27"/>
  <c r="AK50" i="27"/>
  <c r="AG50" i="27"/>
  <c r="AF50" i="27"/>
  <c r="AB50" i="27"/>
  <c r="AA50" i="27"/>
  <c r="T50" i="27"/>
  <c r="S50" i="27"/>
  <c r="R50" i="27"/>
  <c r="AM50" i="27" s="1"/>
  <c r="H50" i="27"/>
  <c r="G50" i="27"/>
  <c r="AR49" i="27"/>
  <c r="AL49" i="27"/>
  <c r="AK49" i="27"/>
  <c r="AG49" i="27"/>
  <c r="AF49" i="27"/>
  <c r="AB49" i="27"/>
  <c r="AA49" i="27"/>
  <c r="T49" i="27"/>
  <c r="S49" i="27"/>
  <c r="R49" i="27"/>
  <c r="AM49" i="27" s="1"/>
  <c r="H49" i="27"/>
  <c r="G49" i="27"/>
  <c r="AR48" i="27"/>
  <c r="AL48" i="27"/>
  <c r="AK48" i="27"/>
  <c r="AG48" i="27"/>
  <c r="AF48" i="27"/>
  <c r="AB48" i="27"/>
  <c r="AA48" i="27"/>
  <c r="T48" i="27"/>
  <c r="S48" i="27"/>
  <c r="R48" i="27"/>
  <c r="AM48" i="27" s="1"/>
  <c r="H48" i="27"/>
  <c r="G48" i="27"/>
  <c r="AR47" i="27"/>
  <c r="AL47" i="27"/>
  <c r="AK47" i="27"/>
  <c r="AG47" i="27"/>
  <c r="AF47" i="27"/>
  <c r="AB47" i="27"/>
  <c r="AA47" i="27"/>
  <c r="T47" i="27"/>
  <c r="S47" i="27"/>
  <c r="R47" i="27"/>
  <c r="AM47" i="27" s="1"/>
  <c r="H47" i="27"/>
  <c r="G47" i="27"/>
  <c r="AR46" i="27"/>
  <c r="AL46" i="27"/>
  <c r="AK46" i="27"/>
  <c r="AG46" i="27"/>
  <c r="AF46" i="27"/>
  <c r="AB46" i="27"/>
  <c r="AA46" i="27"/>
  <c r="T46" i="27"/>
  <c r="S46" i="27"/>
  <c r="R46" i="27"/>
  <c r="AM46" i="27" s="1"/>
  <c r="H46" i="27"/>
  <c r="G46" i="27"/>
  <c r="AR45" i="27"/>
  <c r="AL45" i="27"/>
  <c r="AK45" i="27"/>
  <c r="AG45" i="27"/>
  <c r="AF45" i="27"/>
  <c r="AB45" i="27"/>
  <c r="AA45" i="27"/>
  <c r="T45" i="27"/>
  <c r="S45" i="27"/>
  <c r="R45" i="27"/>
  <c r="AM45" i="27" s="1"/>
  <c r="H45" i="27"/>
  <c r="G45" i="27"/>
  <c r="AR44" i="27"/>
  <c r="AL44" i="27"/>
  <c r="AK44" i="27"/>
  <c r="AG44" i="27"/>
  <c r="AF44" i="27"/>
  <c r="AB44" i="27"/>
  <c r="AA44" i="27"/>
  <c r="T44" i="27"/>
  <c r="S44" i="27"/>
  <c r="R44" i="27"/>
  <c r="AM44" i="27" s="1"/>
  <c r="H44" i="27"/>
  <c r="G44" i="27"/>
  <c r="AR43" i="27"/>
  <c r="AL43" i="27"/>
  <c r="AK43" i="27"/>
  <c r="AG43" i="27"/>
  <c r="AF43" i="27"/>
  <c r="AB43" i="27"/>
  <c r="AA43" i="27"/>
  <c r="T43" i="27"/>
  <c r="S43" i="27"/>
  <c r="R43" i="27"/>
  <c r="AM43" i="27" s="1"/>
  <c r="H43" i="27"/>
  <c r="G43" i="27"/>
  <c r="AR42" i="27"/>
  <c r="AL42" i="27"/>
  <c r="AK42" i="27"/>
  <c r="AG42" i="27"/>
  <c r="AF42" i="27"/>
  <c r="AB42" i="27"/>
  <c r="AA42" i="27"/>
  <c r="T42" i="27"/>
  <c r="S42" i="27"/>
  <c r="R42" i="27"/>
  <c r="AM42" i="27" s="1"/>
  <c r="H42" i="27"/>
  <c r="G42" i="27"/>
  <c r="AS41" i="27"/>
  <c r="AR41" i="27"/>
  <c r="AL41" i="27"/>
  <c r="AK41" i="27"/>
  <c r="AG41" i="27"/>
  <c r="AF41" i="27"/>
  <c r="AB41" i="27"/>
  <c r="AA41" i="27"/>
  <c r="T41" i="27"/>
  <c r="S41" i="27"/>
  <c r="R41" i="27"/>
  <c r="AM41" i="27" s="1"/>
  <c r="H41" i="27"/>
  <c r="G41" i="27"/>
  <c r="AR40" i="27"/>
  <c r="AL40" i="27"/>
  <c r="AK40" i="27"/>
  <c r="AG40" i="27"/>
  <c r="AF40" i="27"/>
  <c r="AB40" i="27"/>
  <c r="AA40" i="27"/>
  <c r="T40" i="27"/>
  <c r="S40" i="27"/>
  <c r="R40" i="27"/>
  <c r="AM40" i="27" s="1"/>
  <c r="H40" i="27"/>
  <c r="G40" i="27"/>
  <c r="AS39" i="27"/>
  <c r="AR39" i="27"/>
  <c r="AL39" i="27"/>
  <c r="AK39" i="27"/>
  <c r="AG39" i="27"/>
  <c r="AF39" i="27"/>
  <c r="AB39" i="27"/>
  <c r="AA39" i="27"/>
  <c r="T39" i="27"/>
  <c r="S39" i="27"/>
  <c r="R39" i="27"/>
  <c r="AM39" i="27" s="1"/>
  <c r="H39" i="27"/>
  <c r="G39" i="27"/>
  <c r="AR38" i="27"/>
  <c r="AL38" i="27"/>
  <c r="AK38" i="27"/>
  <c r="AG38" i="27"/>
  <c r="AF38" i="27"/>
  <c r="AB38" i="27"/>
  <c r="AA38" i="27"/>
  <c r="T38" i="27"/>
  <c r="S38" i="27"/>
  <c r="R38" i="27"/>
  <c r="AM38" i="27" s="1"/>
  <c r="H38" i="27"/>
  <c r="G38" i="27"/>
  <c r="AR37" i="27"/>
  <c r="AL37" i="27"/>
  <c r="AK37" i="27"/>
  <c r="AG37" i="27"/>
  <c r="AF37" i="27"/>
  <c r="AB37" i="27"/>
  <c r="AA37" i="27"/>
  <c r="T37" i="27"/>
  <c r="S37" i="27"/>
  <c r="R37" i="27"/>
  <c r="AM37" i="27" s="1"/>
  <c r="H37" i="27"/>
  <c r="G37" i="27"/>
  <c r="AR36" i="27"/>
  <c r="AL36" i="27"/>
  <c r="AK36" i="27"/>
  <c r="AG36" i="27"/>
  <c r="AF36" i="27"/>
  <c r="AB36" i="27"/>
  <c r="AA36" i="27"/>
  <c r="T36" i="27"/>
  <c r="S36" i="27"/>
  <c r="R36" i="27"/>
  <c r="AM36" i="27" s="1"/>
  <c r="H36" i="27"/>
  <c r="G36" i="27"/>
  <c r="AR35" i="27"/>
  <c r="AL35" i="27"/>
  <c r="AK35" i="27"/>
  <c r="AG35" i="27"/>
  <c r="AF35" i="27"/>
  <c r="AB35" i="27"/>
  <c r="AA35" i="27"/>
  <c r="T35" i="27"/>
  <c r="S35" i="27"/>
  <c r="R35" i="27"/>
  <c r="AM35" i="27" s="1"/>
  <c r="H35" i="27"/>
  <c r="G35" i="27"/>
  <c r="AR34" i="27"/>
  <c r="AL34" i="27"/>
  <c r="AK34" i="27"/>
  <c r="AG34" i="27"/>
  <c r="AF34" i="27"/>
  <c r="AB34" i="27"/>
  <c r="AA34" i="27"/>
  <c r="T34" i="27"/>
  <c r="S34" i="27"/>
  <c r="R34" i="27"/>
  <c r="AM34" i="27" s="1"/>
  <c r="H34" i="27"/>
  <c r="G34" i="27"/>
  <c r="AR33" i="27"/>
  <c r="AL33" i="27"/>
  <c r="AK33" i="27"/>
  <c r="AG33" i="27"/>
  <c r="AF33" i="27"/>
  <c r="AB33" i="27"/>
  <c r="AA33" i="27"/>
  <c r="T33" i="27"/>
  <c r="S33" i="27"/>
  <c r="R33" i="27"/>
  <c r="AM33" i="27" s="1"/>
  <c r="H33" i="27"/>
  <c r="G33" i="27"/>
  <c r="AR32" i="27"/>
  <c r="AL32" i="27"/>
  <c r="AK32" i="27"/>
  <c r="AG32" i="27"/>
  <c r="AF32" i="27"/>
  <c r="AB32" i="27"/>
  <c r="AA32" i="27"/>
  <c r="T32" i="27"/>
  <c r="S32" i="27"/>
  <c r="R32" i="27"/>
  <c r="AM32" i="27" s="1"/>
  <c r="H32" i="27"/>
  <c r="G32" i="27"/>
  <c r="AR31" i="27"/>
  <c r="AL31" i="27"/>
  <c r="AK31" i="27"/>
  <c r="AG31" i="27"/>
  <c r="AF31" i="27"/>
  <c r="AB31" i="27"/>
  <c r="AA31" i="27"/>
  <c r="T31" i="27"/>
  <c r="S31" i="27"/>
  <c r="R31" i="27"/>
  <c r="AM31" i="27" s="1"/>
  <c r="H31" i="27"/>
  <c r="G31" i="27"/>
  <c r="AR30" i="27"/>
  <c r="AL30" i="27"/>
  <c r="AK30" i="27"/>
  <c r="AG30" i="27"/>
  <c r="AF30" i="27"/>
  <c r="AB30" i="27"/>
  <c r="AA30" i="27"/>
  <c r="T30" i="27"/>
  <c r="S30" i="27"/>
  <c r="R30" i="27"/>
  <c r="AM30" i="27" s="1"/>
  <c r="H30" i="27"/>
  <c r="G30" i="27"/>
  <c r="AR29" i="27"/>
  <c r="AL29" i="27"/>
  <c r="AK29" i="27"/>
  <c r="AG29" i="27"/>
  <c r="AF29" i="27"/>
  <c r="AB29" i="27"/>
  <c r="AA29" i="27"/>
  <c r="T29" i="27"/>
  <c r="S29" i="27"/>
  <c r="R29" i="27"/>
  <c r="AM29" i="27" s="1"/>
  <c r="H29" i="27"/>
  <c r="G29" i="27"/>
  <c r="AR28" i="27"/>
  <c r="AL28" i="27"/>
  <c r="AK28" i="27"/>
  <c r="AG28" i="27"/>
  <c r="AF28" i="27"/>
  <c r="AB28" i="27"/>
  <c r="AA28" i="27"/>
  <c r="T28" i="27"/>
  <c r="S28" i="27"/>
  <c r="R28" i="27"/>
  <c r="AM28" i="27" s="1"/>
  <c r="H28" i="27"/>
  <c r="G28" i="27"/>
  <c r="AR27" i="27"/>
  <c r="AL27" i="27"/>
  <c r="AK27" i="27"/>
  <c r="AG27" i="27"/>
  <c r="AF27" i="27"/>
  <c r="AB27" i="27"/>
  <c r="AA27" i="27"/>
  <c r="T27" i="27"/>
  <c r="S27" i="27"/>
  <c r="R27" i="27"/>
  <c r="AM27" i="27" s="1"/>
  <c r="G27" i="27"/>
  <c r="AR26" i="27"/>
  <c r="AL26" i="27"/>
  <c r="AK26" i="27"/>
  <c r="AG26" i="27"/>
  <c r="AF26" i="27"/>
  <c r="AB26" i="27"/>
  <c r="AA26" i="27"/>
  <c r="T26" i="27"/>
  <c r="S26" i="27"/>
  <c r="R26" i="27"/>
  <c r="AM26" i="27" s="1"/>
  <c r="G26" i="27"/>
  <c r="AR25" i="27"/>
  <c r="AL25" i="27"/>
  <c r="AK25" i="27"/>
  <c r="AG25" i="27"/>
  <c r="AF25" i="27"/>
  <c r="AB25" i="27"/>
  <c r="AA25" i="27"/>
  <c r="T25" i="27"/>
  <c r="S25" i="27"/>
  <c r="R25" i="27"/>
  <c r="AM25" i="27" s="1"/>
  <c r="AR24" i="27"/>
  <c r="AL24" i="27"/>
  <c r="AK24" i="27"/>
  <c r="AG24" i="27"/>
  <c r="AF24" i="27"/>
  <c r="AB24" i="27"/>
  <c r="AA24" i="27"/>
  <c r="T24" i="27"/>
  <c r="S24" i="27"/>
  <c r="R24" i="27"/>
  <c r="AM24" i="27" s="1"/>
  <c r="G25" i="27" s="1"/>
  <c r="AR23" i="27"/>
  <c r="AL23" i="27"/>
  <c r="AK23" i="27"/>
  <c r="AG23" i="27"/>
  <c r="AF23" i="27"/>
  <c r="AB23" i="27"/>
  <c r="AA23" i="27"/>
  <c r="T23" i="27"/>
  <c r="S23" i="27"/>
  <c r="R23" i="27"/>
  <c r="AM23" i="27" s="1"/>
  <c r="G24" i="27" s="1"/>
  <c r="AR22" i="27"/>
  <c r="AL22" i="27"/>
  <c r="AK22" i="27"/>
  <c r="AG22" i="27"/>
  <c r="AF22" i="27"/>
  <c r="AB22" i="27"/>
  <c r="AA22" i="27"/>
  <c r="T22" i="27"/>
  <c r="S22" i="27"/>
  <c r="R22" i="27"/>
  <c r="AM22" i="27" s="1"/>
  <c r="G23" i="27" s="1"/>
  <c r="AR21" i="27"/>
  <c r="AL21" i="27"/>
  <c r="AK21" i="27"/>
  <c r="AG21" i="27"/>
  <c r="AF21" i="27"/>
  <c r="AB21" i="27"/>
  <c r="AA21" i="27"/>
  <c r="T21" i="27"/>
  <c r="S21" i="27"/>
  <c r="R21" i="27"/>
  <c r="AM21" i="27" s="1"/>
  <c r="G22" i="27" s="1"/>
  <c r="AR20" i="27"/>
  <c r="AL20" i="27"/>
  <c r="AK20" i="27"/>
  <c r="AG20" i="27"/>
  <c r="AF20" i="27"/>
  <c r="AB20" i="27"/>
  <c r="AA20" i="27"/>
  <c r="T20" i="27"/>
  <c r="S20" i="27"/>
  <c r="R20" i="27"/>
  <c r="AM20" i="27" s="1"/>
  <c r="G21" i="27" s="1"/>
  <c r="AR19" i="27"/>
  <c r="AL19" i="27"/>
  <c r="AK19" i="27"/>
  <c r="AG19" i="27"/>
  <c r="AF19" i="27"/>
  <c r="AB19" i="27"/>
  <c r="AA19" i="27"/>
  <c r="T19" i="27"/>
  <c r="S19" i="27"/>
  <c r="R19" i="27"/>
  <c r="AM19" i="27" s="1"/>
  <c r="G20" i="27" s="1"/>
  <c r="AR18" i="27"/>
  <c r="AL18" i="27"/>
  <c r="AK18" i="27"/>
  <c r="AG18" i="27"/>
  <c r="AF18" i="27"/>
  <c r="AB18" i="27"/>
  <c r="AA18" i="27"/>
  <c r="T18" i="27"/>
  <c r="S18" i="27"/>
  <c r="R18" i="27"/>
  <c r="AM18" i="27" s="1"/>
  <c r="G19" i="27" s="1"/>
  <c r="AR17" i="27"/>
  <c r="AL17" i="27"/>
  <c r="AK17" i="27"/>
  <c r="AG17" i="27"/>
  <c r="AF17" i="27"/>
  <c r="AB17" i="27"/>
  <c r="AA17" i="27"/>
  <c r="T17" i="27"/>
  <c r="S17" i="27"/>
  <c r="R17" i="27"/>
  <c r="AM17" i="27" s="1"/>
  <c r="G18" i="27" s="1"/>
  <c r="AR16" i="27"/>
  <c r="AL16" i="27"/>
  <c r="AK16" i="27"/>
  <c r="AG16" i="27"/>
  <c r="AF16" i="27"/>
  <c r="AB16" i="27"/>
  <c r="AA16" i="27"/>
  <c r="T16" i="27"/>
  <c r="S16" i="27"/>
  <c r="R16" i="27"/>
  <c r="AM16" i="27" s="1"/>
  <c r="G17" i="27" s="1"/>
  <c r="AR15" i="27"/>
  <c r="AL15" i="27"/>
  <c r="AK15" i="27"/>
  <c r="AG15" i="27"/>
  <c r="AF15" i="27"/>
  <c r="AB15" i="27"/>
  <c r="AA15" i="27"/>
  <c r="T15" i="27"/>
  <c r="S15" i="27"/>
  <c r="R15" i="27"/>
  <c r="AM15" i="27" s="1"/>
  <c r="G16" i="27" s="1"/>
  <c r="AR14" i="27"/>
  <c r="AL14" i="27"/>
  <c r="AK14" i="27"/>
  <c r="AG14" i="27"/>
  <c r="AF14" i="27"/>
  <c r="AB14" i="27"/>
  <c r="AA14" i="27"/>
  <c r="T14" i="27"/>
  <c r="S14" i="27"/>
  <c r="R14" i="27"/>
  <c r="AM14" i="27" s="1"/>
  <c r="G15" i="27" s="1"/>
  <c r="H14" i="27"/>
  <c r="G14" i="27"/>
  <c r="AR13" i="27"/>
  <c r="AL13" i="27"/>
  <c r="AK13" i="27"/>
  <c r="AG13" i="27"/>
  <c r="AF13" i="27"/>
  <c r="AB13" i="27"/>
  <c r="AA13" i="27"/>
  <c r="T13" i="27"/>
  <c r="S13" i="27"/>
  <c r="R13" i="27"/>
  <c r="AM13" i="27" s="1"/>
  <c r="H13" i="27"/>
  <c r="G13" i="27"/>
  <c r="AR12" i="27"/>
  <c r="AL12" i="27"/>
  <c r="AK12" i="27"/>
  <c r="AG12" i="27"/>
  <c r="AF12" i="27"/>
  <c r="AB12" i="27"/>
  <c r="AA12" i="27"/>
  <c r="T12" i="27"/>
  <c r="S12" i="27"/>
  <c r="R12" i="27"/>
  <c r="AM12" i="27" s="1"/>
  <c r="H12" i="27"/>
  <c r="G12" i="27"/>
  <c r="AR11" i="27"/>
  <c r="AL11" i="27"/>
  <c r="AK11" i="27"/>
  <c r="AG11" i="27"/>
  <c r="AF11" i="27"/>
  <c r="AB11" i="27"/>
  <c r="AA11" i="27"/>
  <c r="T11" i="27"/>
  <c r="S11" i="27"/>
  <c r="R11" i="27"/>
  <c r="AM11" i="27" s="1"/>
  <c r="AR10" i="27"/>
  <c r="AL10" i="27"/>
  <c r="AK10" i="27"/>
  <c r="AG10" i="27"/>
  <c r="AF10" i="27"/>
  <c r="AB10" i="27"/>
  <c r="AA10" i="27"/>
  <c r="T10" i="27"/>
  <c r="S10" i="27"/>
  <c r="R10" i="27"/>
  <c r="AM10" i="27" s="1"/>
  <c r="G11" i="27" s="1"/>
  <c r="AR9" i="27"/>
  <c r="AL9" i="27"/>
  <c r="AK9" i="27"/>
  <c r="AG9" i="27"/>
  <c r="AF9" i="27"/>
  <c r="AB9" i="27"/>
  <c r="AA9" i="27"/>
  <c r="T9" i="27"/>
  <c r="S9" i="27"/>
  <c r="R9" i="27"/>
  <c r="AM9" i="27" s="1"/>
  <c r="G10" i="27" s="1"/>
  <c r="AR8" i="27"/>
  <c r="AL8" i="27"/>
  <c r="AK8" i="27"/>
  <c r="AG8" i="27"/>
  <c r="AF8" i="27"/>
  <c r="AB8" i="27"/>
  <c r="AA8" i="27"/>
  <c r="T8" i="27"/>
  <c r="S8" i="27"/>
  <c r="R8" i="27"/>
  <c r="AM8" i="27" s="1"/>
  <c r="G9" i="27" s="1"/>
  <c r="AR7" i="27"/>
  <c r="AL7" i="27"/>
  <c r="AK7" i="27"/>
  <c r="AG7" i="27"/>
  <c r="AF7" i="27"/>
  <c r="AB7" i="27"/>
  <c r="AA7" i="27"/>
  <c r="T7" i="27"/>
  <c r="S7" i="27"/>
  <c r="R7" i="27"/>
  <c r="AM7" i="27" s="1"/>
  <c r="G8" i="27" s="1"/>
  <c r="AR6" i="27"/>
  <c r="AL6" i="27"/>
  <c r="AK6" i="27"/>
  <c r="AG6" i="27"/>
  <c r="AF6" i="27"/>
  <c r="AB6" i="27"/>
  <c r="AA6" i="27"/>
  <c r="T6" i="27"/>
  <c r="S6" i="27"/>
  <c r="R6" i="27"/>
  <c r="AM6" i="27" s="1"/>
  <c r="G7" i="27" s="1"/>
  <c r="B6" i="27"/>
  <c r="B8" i="27" s="1"/>
  <c r="AR5" i="27"/>
  <c r="AL5" i="27"/>
  <c r="AK5" i="27"/>
  <c r="AG5" i="27"/>
  <c r="AF5" i="27"/>
  <c r="AB5" i="27"/>
  <c r="AA5" i="27"/>
  <c r="T5" i="27"/>
  <c r="S5" i="27"/>
  <c r="R5" i="27"/>
  <c r="AM5" i="27" s="1"/>
  <c r="G6" i="27" s="1"/>
  <c r="G5" i="27"/>
  <c r="B5" i="27"/>
  <c r="A5" i="27" s="1"/>
  <c r="AR4" i="27"/>
  <c r="AL4" i="27"/>
  <c r="AK4" i="27"/>
  <c r="AG4" i="27"/>
  <c r="AF4" i="27"/>
  <c r="AB4" i="27"/>
  <c r="AA4" i="27"/>
  <c r="T4" i="27"/>
  <c r="S4" i="27"/>
  <c r="R4" i="27"/>
  <c r="AM4" i="27" s="1"/>
  <c r="H4" i="27"/>
  <c r="G4" i="27"/>
  <c r="A4" i="27"/>
  <c r="AP1" i="27"/>
  <c r="L5" i="1"/>
  <c r="G5" i="1"/>
  <c r="AR65" i="22"/>
  <c r="AL65" i="22"/>
  <c r="AK65" i="22"/>
  <c r="AG65" i="22"/>
  <c r="AF65" i="22"/>
  <c r="T65" i="22"/>
  <c r="S65" i="22"/>
  <c r="R65" i="22"/>
  <c r="AM65" i="22" s="1"/>
  <c r="H65" i="22"/>
  <c r="G65" i="22"/>
  <c r="AR64" i="22"/>
  <c r="AL64" i="22"/>
  <c r="AK64" i="22"/>
  <c r="AG64" i="22"/>
  <c r="AF64" i="22"/>
  <c r="T64" i="22"/>
  <c r="S64" i="22"/>
  <c r="R64" i="22"/>
  <c r="AM64" i="22" s="1"/>
  <c r="H64" i="22"/>
  <c r="G64" i="22"/>
  <c r="AR63" i="22"/>
  <c r="AL63" i="22"/>
  <c r="AK63" i="22"/>
  <c r="AG63" i="22"/>
  <c r="AF63" i="22"/>
  <c r="T63" i="22"/>
  <c r="S63" i="22"/>
  <c r="R63" i="22"/>
  <c r="AM63" i="22" s="1"/>
  <c r="H63" i="22"/>
  <c r="G63" i="22"/>
  <c r="AR62" i="22"/>
  <c r="AL62" i="22"/>
  <c r="AK62" i="22"/>
  <c r="AG62" i="22"/>
  <c r="AF62" i="22"/>
  <c r="T62" i="22"/>
  <c r="S62" i="22"/>
  <c r="R62" i="22"/>
  <c r="AM62" i="22" s="1"/>
  <c r="H62" i="22"/>
  <c r="G62" i="22"/>
  <c r="AR61" i="22"/>
  <c r="AL61" i="22"/>
  <c r="AK61" i="22"/>
  <c r="AG61" i="22"/>
  <c r="AF61" i="22"/>
  <c r="T61" i="22"/>
  <c r="S61" i="22"/>
  <c r="R61" i="22"/>
  <c r="AM61" i="22" s="1"/>
  <c r="H61" i="22"/>
  <c r="G61" i="22"/>
  <c r="AR60" i="22"/>
  <c r="AL60" i="22"/>
  <c r="AK60" i="22"/>
  <c r="AG60" i="22"/>
  <c r="AF60" i="22"/>
  <c r="T60" i="22"/>
  <c r="S60" i="22"/>
  <c r="R60" i="22"/>
  <c r="AM60" i="22" s="1"/>
  <c r="H60" i="22"/>
  <c r="G60" i="22"/>
  <c r="AR59" i="22"/>
  <c r="AL59" i="22"/>
  <c r="AK59" i="22"/>
  <c r="AG59" i="22"/>
  <c r="AF59" i="22"/>
  <c r="T59" i="22"/>
  <c r="S59" i="22"/>
  <c r="R59" i="22"/>
  <c r="AM59" i="22" s="1"/>
  <c r="H59" i="22"/>
  <c r="G59" i="22"/>
  <c r="AR58" i="22"/>
  <c r="AL58" i="22"/>
  <c r="AK58" i="22"/>
  <c r="AG58" i="22"/>
  <c r="AF58" i="22"/>
  <c r="T58" i="22"/>
  <c r="S58" i="22"/>
  <c r="R58" i="22"/>
  <c r="AM58" i="22" s="1"/>
  <c r="H58" i="22"/>
  <c r="G58" i="22"/>
  <c r="AR57" i="22"/>
  <c r="AL57" i="22"/>
  <c r="AK57" i="22"/>
  <c r="AG57" i="22"/>
  <c r="AF57" i="22"/>
  <c r="T57" i="22"/>
  <c r="S57" i="22"/>
  <c r="R57" i="22"/>
  <c r="AM57" i="22" s="1"/>
  <c r="H57" i="22"/>
  <c r="G57" i="22"/>
  <c r="AR56" i="22"/>
  <c r="AL56" i="22"/>
  <c r="AK56" i="22"/>
  <c r="AG56" i="22"/>
  <c r="AF56" i="22"/>
  <c r="T56" i="22"/>
  <c r="S56" i="22"/>
  <c r="R56" i="22"/>
  <c r="AM56" i="22" s="1"/>
  <c r="H56" i="22"/>
  <c r="G56" i="22"/>
  <c r="AR55" i="22"/>
  <c r="AL55" i="22"/>
  <c r="AK55" i="22"/>
  <c r="AG55" i="22"/>
  <c r="AF55" i="22"/>
  <c r="T55" i="22"/>
  <c r="S55" i="22"/>
  <c r="R55" i="22"/>
  <c r="AM55" i="22" s="1"/>
  <c r="H55" i="22"/>
  <c r="G55" i="22"/>
  <c r="AR54" i="22"/>
  <c r="AL54" i="22"/>
  <c r="AK54" i="22"/>
  <c r="AG54" i="22"/>
  <c r="AF54" i="22"/>
  <c r="T54" i="22"/>
  <c r="S54" i="22"/>
  <c r="R54" i="22"/>
  <c r="AM54" i="22" s="1"/>
  <c r="H54" i="22"/>
  <c r="G54" i="22"/>
  <c r="AR53" i="22"/>
  <c r="AL53" i="22"/>
  <c r="AK53" i="22"/>
  <c r="AG53" i="22"/>
  <c r="AF53" i="22"/>
  <c r="T53" i="22"/>
  <c r="S53" i="22"/>
  <c r="R53" i="22"/>
  <c r="AM53" i="22" s="1"/>
  <c r="H53" i="22"/>
  <c r="G53" i="22"/>
  <c r="AR52" i="22"/>
  <c r="AL52" i="22"/>
  <c r="AK52" i="22"/>
  <c r="AG52" i="22"/>
  <c r="AF52" i="22"/>
  <c r="T52" i="22"/>
  <c r="S52" i="22"/>
  <c r="R52" i="22"/>
  <c r="AM52" i="22" s="1"/>
  <c r="H52" i="22"/>
  <c r="G52" i="22"/>
  <c r="AR51" i="22"/>
  <c r="AL51" i="22"/>
  <c r="AK51" i="22"/>
  <c r="AG51" i="22"/>
  <c r="AF51" i="22"/>
  <c r="T51" i="22"/>
  <c r="S51" i="22"/>
  <c r="R51" i="22"/>
  <c r="AM51" i="22" s="1"/>
  <c r="H51" i="22"/>
  <c r="G51" i="22"/>
  <c r="AR50" i="22"/>
  <c r="AL50" i="22"/>
  <c r="AK50" i="22"/>
  <c r="AG50" i="22"/>
  <c r="AF50" i="22"/>
  <c r="T50" i="22"/>
  <c r="S50" i="22"/>
  <c r="R50" i="22"/>
  <c r="AM50" i="22" s="1"/>
  <c r="H50" i="22"/>
  <c r="G50" i="22"/>
  <c r="AR49" i="22"/>
  <c r="AL49" i="22"/>
  <c r="AK49" i="22"/>
  <c r="AG49" i="22"/>
  <c r="AF49" i="22"/>
  <c r="T49" i="22"/>
  <c r="S49" i="22"/>
  <c r="R49" i="22"/>
  <c r="AM49" i="22" s="1"/>
  <c r="H49" i="22"/>
  <c r="G49" i="22"/>
  <c r="AR48" i="22"/>
  <c r="AL48" i="22"/>
  <c r="AK48" i="22"/>
  <c r="AG48" i="22"/>
  <c r="AF48" i="22"/>
  <c r="T48" i="22"/>
  <c r="S48" i="22"/>
  <c r="R48" i="22"/>
  <c r="AM48" i="22" s="1"/>
  <c r="H48" i="22"/>
  <c r="G48" i="22"/>
  <c r="AR47" i="22"/>
  <c r="AL47" i="22"/>
  <c r="AK47" i="22"/>
  <c r="AG47" i="22"/>
  <c r="AF47" i="22"/>
  <c r="T47" i="22"/>
  <c r="S47" i="22"/>
  <c r="R47" i="22"/>
  <c r="AM47" i="22" s="1"/>
  <c r="H47" i="22"/>
  <c r="G47" i="22"/>
  <c r="AR46" i="22"/>
  <c r="AL46" i="22"/>
  <c r="AK46" i="22"/>
  <c r="AG46" i="22"/>
  <c r="AF46" i="22"/>
  <c r="T46" i="22"/>
  <c r="S46" i="22"/>
  <c r="R46" i="22"/>
  <c r="AM46" i="22" s="1"/>
  <c r="H46" i="22"/>
  <c r="G46" i="22"/>
  <c r="AR45" i="22"/>
  <c r="AL45" i="22"/>
  <c r="AK45" i="22"/>
  <c r="AG45" i="22"/>
  <c r="AF45" i="22"/>
  <c r="T45" i="22"/>
  <c r="S45" i="22"/>
  <c r="R45" i="22"/>
  <c r="AM45" i="22" s="1"/>
  <c r="H45" i="22"/>
  <c r="G45" i="22"/>
  <c r="AR44" i="22"/>
  <c r="AL44" i="22"/>
  <c r="AK44" i="22"/>
  <c r="AG44" i="22"/>
  <c r="AF44" i="22"/>
  <c r="T44" i="22"/>
  <c r="S44" i="22"/>
  <c r="R44" i="22"/>
  <c r="AM44" i="22" s="1"/>
  <c r="H44" i="22"/>
  <c r="G44" i="22"/>
  <c r="AR43" i="22"/>
  <c r="AL43" i="22"/>
  <c r="AK43" i="22"/>
  <c r="AG43" i="22"/>
  <c r="AF43" i="22"/>
  <c r="T43" i="22"/>
  <c r="S43" i="22"/>
  <c r="R43" i="22"/>
  <c r="AM43" i="22" s="1"/>
  <c r="H43" i="22"/>
  <c r="G43" i="22"/>
  <c r="AR42" i="22"/>
  <c r="AL42" i="22"/>
  <c r="AK42" i="22"/>
  <c r="AG42" i="22"/>
  <c r="AF42" i="22"/>
  <c r="T42" i="22"/>
  <c r="S42" i="22"/>
  <c r="R42" i="22"/>
  <c r="AM42" i="22" s="1"/>
  <c r="H42" i="22"/>
  <c r="G42" i="22"/>
  <c r="AR41" i="22"/>
  <c r="AL41" i="22"/>
  <c r="AK41" i="22"/>
  <c r="AG41" i="22"/>
  <c r="AF41" i="22"/>
  <c r="T41" i="22"/>
  <c r="S41" i="22"/>
  <c r="R41" i="22"/>
  <c r="AM41" i="22" s="1"/>
  <c r="H41" i="22"/>
  <c r="G41" i="22"/>
  <c r="AR40" i="22"/>
  <c r="AK40" i="22"/>
  <c r="AG40" i="22"/>
  <c r="AF40" i="22"/>
  <c r="T40" i="22"/>
  <c r="S40" i="22"/>
  <c r="R40" i="22"/>
  <c r="AM40" i="22" s="1"/>
  <c r="H40" i="22"/>
  <c r="G40" i="22"/>
  <c r="AR39" i="22"/>
  <c r="AL39" i="22"/>
  <c r="AK39" i="22"/>
  <c r="AG39" i="22"/>
  <c r="AF39" i="22"/>
  <c r="T39" i="22"/>
  <c r="S39" i="22"/>
  <c r="R39" i="22"/>
  <c r="AM39" i="22" s="1"/>
  <c r="H39" i="22"/>
  <c r="G39" i="22"/>
  <c r="AR38" i="22"/>
  <c r="AL38" i="22"/>
  <c r="AK38" i="22"/>
  <c r="AG38" i="22"/>
  <c r="AF38" i="22"/>
  <c r="T38" i="22"/>
  <c r="S38" i="22"/>
  <c r="R38" i="22"/>
  <c r="AM38" i="22" s="1"/>
  <c r="H38" i="22"/>
  <c r="G38" i="22"/>
  <c r="AR37" i="22"/>
  <c r="AL37" i="22"/>
  <c r="AK37" i="22"/>
  <c r="AG37" i="22"/>
  <c r="AF37" i="22"/>
  <c r="T37" i="22"/>
  <c r="S37" i="22"/>
  <c r="R37" i="22"/>
  <c r="AM37" i="22" s="1"/>
  <c r="H37" i="22"/>
  <c r="G37" i="22"/>
  <c r="AR36" i="22"/>
  <c r="AL36" i="22"/>
  <c r="AK36" i="22"/>
  <c r="AG36" i="22"/>
  <c r="AF36" i="22"/>
  <c r="T36" i="22"/>
  <c r="S36" i="22"/>
  <c r="R36" i="22"/>
  <c r="AM36" i="22" s="1"/>
  <c r="H36" i="22"/>
  <c r="G36" i="22"/>
  <c r="AR35" i="22"/>
  <c r="AL35" i="22"/>
  <c r="AK35" i="22"/>
  <c r="AG35" i="22"/>
  <c r="AF35" i="22"/>
  <c r="T35" i="22"/>
  <c r="S35" i="22"/>
  <c r="R35" i="22"/>
  <c r="AM35" i="22" s="1"/>
  <c r="H35" i="22"/>
  <c r="G35" i="22"/>
  <c r="AR34" i="22"/>
  <c r="AL34" i="22"/>
  <c r="AK34" i="22"/>
  <c r="AG34" i="22"/>
  <c r="AF34" i="22"/>
  <c r="T34" i="22"/>
  <c r="S34" i="22"/>
  <c r="R34" i="22"/>
  <c r="AM34" i="22" s="1"/>
  <c r="H34" i="22"/>
  <c r="G34" i="22"/>
  <c r="AR33" i="22"/>
  <c r="AL33" i="22"/>
  <c r="AK33" i="22"/>
  <c r="AG33" i="22"/>
  <c r="AF33" i="22"/>
  <c r="T33" i="22"/>
  <c r="S33" i="22"/>
  <c r="R33" i="22"/>
  <c r="AM33" i="22" s="1"/>
  <c r="H33" i="22"/>
  <c r="G33" i="22"/>
  <c r="AR32" i="22"/>
  <c r="AL32" i="22"/>
  <c r="AK32" i="22"/>
  <c r="AG32" i="22"/>
  <c r="AF32" i="22"/>
  <c r="T32" i="22"/>
  <c r="S32" i="22"/>
  <c r="R32" i="22"/>
  <c r="AM32" i="22" s="1"/>
  <c r="H32" i="22"/>
  <c r="G32" i="22"/>
  <c r="AR31" i="22"/>
  <c r="AL31" i="22"/>
  <c r="AK31" i="22"/>
  <c r="AG31" i="22"/>
  <c r="AF31" i="22"/>
  <c r="T31" i="22"/>
  <c r="S31" i="22"/>
  <c r="R31" i="22"/>
  <c r="AM31" i="22" s="1"/>
  <c r="H31" i="22"/>
  <c r="G31" i="22"/>
  <c r="AR30" i="22"/>
  <c r="AL30" i="22"/>
  <c r="AK30" i="22"/>
  <c r="AG30" i="22"/>
  <c r="AF30" i="22"/>
  <c r="T30" i="22"/>
  <c r="S30" i="22"/>
  <c r="R30" i="22"/>
  <c r="AM30" i="22" s="1"/>
  <c r="H30" i="22"/>
  <c r="G30" i="22"/>
  <c r="AR29" i="22"/>
  <c r="AL29" i="22"/>
  <c r="AK29" i="22"/>
  <c r="AG29" i="22"/>
  <c r="AF29" i="22"/>
  <c r="T29" i="22"/>
  <c r="S29" i="22"/>
  <c r="R29" i="22"/>
  <c r="AM29" i="22" s="1"/>
  <c r="H29" i="22"/>
  <c r="G29" i="22"/>
  <c r="AR28" i="22"/>
  <c r="AL28" i="22"/>
  <c r="AK28" i="22"/>
  <c r="AG28" i="22"/>
  <c r="AF28" i="22"/>
  <c r="T28" i="22"/>
  <c r="S28" i="22"/>
  <c r="R28" i="22"/>
  <c r="AM28" i="22" s="1"/>
  <c r="H28" i="22"/>
  <c r="G28" i="22"/>
  <c r="AR27" i="22"/>
  <c r="AL27" i="22"/>
  <c r="AK27" i="22"/>
  <c r="AG27" i="22"/>
  <c r="AF27" i="22"/>
  <c r="T27" i="22"/>
  <c r="S27" i="22"/>
  <c r="R27" i="22"/>
  <c r="AM27" i="22" s="1"/>
  <c r="H27" i="22"/>
  <c r="G27" i="22"/>
  <c r="AR26" i="22"/>
  <c r="AL26" i="22"/>
  <c r="AK26" i="22"/>
  <c r="AG26" i="22"/>
  <c r="AF26" i="22"/>
  <c r="T26" i="22"/>
  <c r="S26" i="22"/>
  <c r="R26" i="22"/>
  <c r="AM26" i="22" s="1"/>
  <c r="H26" i="22"/>
  <c r="G26" i="22"/>
  <c r="AR25" i="22"/>
  <c r="AL25" i="22"/>
  <c r="AK25" i="22"/>
  <c r="AG25" i="22"/>
  <c r="AF25" i="22"/>
  <c r="T25" i="22"/>
  <c r="S25" i="22"/>
  <c r="R25" i="22"/>
  <c r="AM25" i="22" s="1"/>
  <c r="H25" i="22"/>
  <c r="G25" i="22"/>
  <c r="AR24" i="22"/>
  <c r="AL24" i="22"/>
  <c r="AK24" i="22"/>
  <c r="AG24" i="22"/>
  <c r="AF24" i="22"/>
  <c r="T24" i="22"/>
  <c r="S24" i="22"/>
  <c r="R24" i="22"/>
  <c r="AM24" i="22" s="1"/>
  <c r="H24" i="22"/>
  <c r="G24" i="22"/>
  <c r="AR23" i="22"/>
  <c r="AL23" i="22"/>
  <c r="AK23" i="22"/>
  <c r="AG23" i="22"/>
  <c r="AF23" i="22"/>
  <c r="T23" i="22"/>
  <c r="S23" i="22"/>
  <c r="R23" i="22"/>
  <c r="AM23" i="22" s="1"/>
  <c r="H23" i="22"/>
  <c r="G23" i="22"/>
  <c r="AR22" i="22"/>
  <c r="AL22" i="22"/>
  <c r="AK22" i="22"/>
  <c r="AG22" i="22"/>
  <c r="AF22" i="22"/>
  <c r="T22" i="22"/>
  <c r="S22" i="22"/>
  <c r="R22" i="22"/>
  <c r="AM22" i="22" s="1"/>
  <c r="H22" i="22"/>
  <c r="G22" i="22"/>
  <c r="AR21" i="22"/>
  <c r="AL21" i="22"/>
  <c r="AK21" i="22"/>
  <c r="AG21" i="22"/>
  <c r="AF21" i="22"/>
  <c r="T21" i="22"/>
  <c r="S21" i="22"/>
  <c r="R21" i="22"/>
  <c r="AM21" i="22" s="1"/>
  <c r="H21" i="22"/>
  <c r="G21" i="22"/>
  <c r="AR20" i="22"/>
  <c r="AL20" i="22"/>
  <c r="AK20" i="22"/>
  <c r="AG20" i="22"/>
  <c r="AF20" i="22"/>
  <c r="T20" i="22"/>
  <c r="S20" i="22"/>
  <c r="R20" i="22"/>
  <c r="AM20" i="22" s="1"/>
  <c r="H20" i="22"/>
  <c r="G20" i="22"/>
  <c r="AR19" i="22"/>
  <c r="AL19" i="22"/>
  <c r="AK19" i="22"/>
  <c r="AG19" i="22"/>
  <c r="AF19" i="22"/>
  <c r="T19" i="22"/>
  <c r="S19" i="22"/>
  <c r="R19" i="22"/>
  <c r="AM19" i="22" s="1"/>
  <c r="H19" i="22"/>
  <c r="G19" i="22"/>
  <c r="AR18" i="22"/>
  <c r="AL18" i="22"/>
  <c r="AK18" i="22"/>
  <c r="AG18" i="22"/>
  <c r="AF18" i="22"/>
  <c r="T18" i="22"/>
  <c r="S18" i="22"/>
  <c r="R18" i="22"/>
  <c r="AM18" i="22" s="1"/>
  <c r="H18" i="22"/>
  <c r="G18" i="22"/>
  <c r="AR17" i="22"/>
  <c r="AL17" i="22"/>
  <c r="AK17" i="22"/>
  <c r="AG17" i="22"/>
  <c r="AF17" i="22"/>
  <c r="T17" i="22"/>
  <c r="S17" i="22"/>
  <c r="R17" i="22"/>
  <c r="AM17" i="22" s="1"/>
  <c r="H17" i="22"/>
  <c r="G17" i="22"/>
  <c r="AR16" i="22"/>
  <c r="AL16" i="22"/>
  <c r="AK16" i="22"/>
  <c r="AG16" i="22"/>
  <c r="AF16" i="22"/>
  <c r="T16" i="22"/>
  <c r="S16" i="22"/>
  <c r="R16" i="22"/>
  <c r="AM16" i="22" s="1"/>
  <c r="H16" i="22"/>
  <c r="G16" i="22"/>
  <c r="AR15" i="22"/>
  <c r="AL15" i="22"/>
  <c r="AK15" i="22"/>
  <c r="AG15" i="22"/>
  <c r="AF15" i="22"/>
  <c r="T15" i="22"/>
  <c r="S15" i="22"/>
  <c r="R15" i="22"/>
  <c r="AM15" i="22" s="1"/>
  <c r="H15" i="22"/>
  <c r="G15" i="22"/>
  <c r="AR14" i="22"/>
  <c r="AL14" i="22"/>
  <c r="AK14" i="22"/>
  <c r="AG14" i="22"/>
  <c r="AF14" i="22"/>
  <c r="T14" i="22"/>
  <c r="S14" i="22"/>
  <c r="R14" i="22"/>
  <c r="AM14" i="22" s="1"/>
  <c r="H14" i="22"/>
  <c r="G14" i="22"/>
  <c r="AR13" i="22"/>
  <c r="AL13" i="22"/>
  <c r="AK13" i="22"/>
  <c r="AG13" i="22"/>
  <c r="AF13" i="22"/>
  <c r="T13" i="22"/>
  <c r="S13" i="22"/>
  <c r="R13" i="22"/>
  <c r="AM13" i="22" s="1"/>
  <c r="H13" i="22"/>
  <c r="G13" i="22"/>
  <c r="AR12" i="22"/>
  <c r="AL12" i="22"/>
  <c r="AK12" i="22"/>
  <c r="AG12" i="22"/>
  <c r="AF12" i="22"/>
  <c r="T12" i="22"/>
  <c r="S12" i="22"/>
  <c r="R12" i="22"/>
  <c r="AM12" i="22" s="1"/>
  <c r="H12" i="22"/>
  <c r="G12" i="22"/>
  <c r="AR11" i="22"/>
  <c r="AL11" i="22"/>
  <c r="AK11" i="22"/>
  <c r="AG11" i="22"/>
  <c r="AF11" i="22"/>
  <c r="T11" i="22"/>
  <c r="S11" i="22"/>
  <c r="R11" i="22"/>
  <c r="AM11" i="22" s="1"/>
  <c r="H11" i="22"/>
  <c r="G11" i="22"/>
  <c r="AR10" i="22"/>
  <c r="AL10" i="22"/>
  <c r="AK10" i="22"/>
  <c r="AG10" i="22"/>
  <c r="AF10" i="22"/>
  <c r="T10" i="22"/>
  <c r="S10" i="22"/>
  <c r="R10" i="22"/>
  <c r="AM10" i="22" s="1"/>
  <c r="H10" i="22"/>
  <c r="G10" i="22"/>
  <c r="AR9" i="22"/>
  <c r="AL9" i="22"/>
  <c r="AK9" i="22"/>
  <c r="AG9" i="22"/>
  <c r="AF9" i="22"/>
  <c r="T9" i="22"/>
  <c r="S9" i="22"/>
  <c r="R9" i="22"/>
  <c r="AM9" i="22" s="1"/>
  <c r="H9" i="22"/>
  <c r="G9" i="22"/>
  <c r="AR8" i="22"/>
  <c r="AL8" i="22"/>
  <c r="AK8" i="22"/>
  <c r="AG8" i="22"/>
  <c r="AF8" i="22"/>
  <c r="T8" i="22"/>
  <c r="S8" i="22"/>
  <c r="R8" i="22"/>
  <c r="AM8" i="22" s="1"/>
  <c r="H8" i="22"/>
  <c r="G8" i="22"/>
  <c r="AR7" i="22"/>
  <c r="AL7" i="22"/>
  <c r="AK7" i="22"/>
  <c r="AG7" i="22"/>
  <c r="AF7" i="22"/>
  <c r="T7" i="22"/>
  <c r="S7" i="22"/>
  <c r="R7" i="22"/>
  <c r="AM7" i="22" s="1"/>
  <c r="H7" i="22"/>
  <c r="G7" i="22"/>
  <c r="AR6" i="22"/>
  <c r="AL6" i="22"/>
  <c r="AK6" i="22"/>
  <c r="AG6" i="22"/>
  <c r="AF6" i="22"/>
  <c r="T6" i="22"/>
  <c r="S6" i="22"/>
  <c r="R6" i="22"/>
  <c r="AM6" i="22" s="1"/>
  <c r="H6" i="22"/>
  <c r="G6" i="22"/>
  <c r="B6" i="22"/>
  <c r="B8" i="22" s="1"/>
  <c r="AR5" i="22"/>
  <c r="AL5" i="22"/>
  <c r="AK5" i="22"/>
  <c r="AG5" i="22"/>
  <c r="AF5" i="22"/>
  <c r="T5" i="22"/>
  <c r="S5" i="22"/>
  <c r="R5" i="22"/>
  <c r="AM5" i="22" s="1"/>
  <c r="H5" i="22"/>
  <c r="G5" i="22"/>
  <c r="B5" i="22"/>
  <c r="A5" i="22" s="1"/>
  <c r="AR4" i="22"/>
  <c r="AL4" i="22"/>
  <c r="AK4" i="22"/>
  <c r="AG4" i="22"/>
  <c r="AF4" i="22"/>
  <c r="T4" i="22"/>
  <c r="S4" i="22"/>
  <c r="R4" i="22"/>
  <c r="AM4" i="22" s="1"/>
  <c r="H4" i="22"/>
  <c r="G4" i="22"/>
  <c r="A4" i="22"/>
  <c r="AP1" i="22"/>
  <c r="B7" i="26" l="1"/>
  <c r="AO64" i="26"/>
  <c r="AT21" i="27"/>
  <c r="AT35" i="27"/>
  <c r="B7" i="27"/>
  <c r="B9" i="27" s="1"/>
  <c r="AO5" i="26"/>
  <c r="AM66" i="22"/>
  <c r="H5" i="1" s="1"/>
  <c r="A49" i="30"/>
  <c r="B51" i="30"/>
  <c r="A50" i="30"/>
  <c r="B52" i="30"/>
  <c r="B52" i="29"/>
  <c r="A50" i="29"/>
  <c r="A49" i="29"/>
  <c r="B51" i="29"/>
  <c r="B50" i="28"/>
  <c r="A48" i="28"/>
  <c r="A43" i="28"/>
  <c r="B45" i="28"/>
  <c r="AN21" i="26"/>
  <c r="AN34" i="27"/>
  <c r="AN36" i="27"/>
  <c r="AO40" i="27"/>
  <c r="AN41" i="27"/>
  <c r="AN62" i="27"/>
  <c r="AN63" i="27"/>
  <c r="AN65" i="27"/>
  <c r="AO33" i="26"/>
  <c r="AN4" i="26"/>
  <c r="AO4" i="26"/>
  <c r="AN9" i="22"/>
  <c r="AO10" i="22"/>
  <c r="AO45" i="26"/>
  <c r="AT65" i="26"/>
  <c r="AT47" i="26"/>
  <c r="AO59" i="26"/>
  <c r="AO16" i="26"/>
  <c r="AO34" i="27"/>
  <c r="AO33" i="27"/>
  <c r="AO35" i="27"/>
  <c r="AO13" i="27"/>
  <c r="AO38" i="27"/>
  <c r="AO39" i="27"/>
  <c r="AO45" i="27"/>
  <c r="AO47" i="27"/>
  <c r="AO52" i="27"/>
  <c r="AO53" i="27"/>
  <c r="AN10" i="27"/>
  <c r="H11" i="27" s="1"/>
  <c r="AO11" i="27" s="1"/>
  <c r="AO36" i="27"/>
  <c r="AN37" i="27"/>
  <c r="AN38" i="27"/>
  <c r="AN42" i="27"/>
  <c r="AN43" i="27"/>
  <c r="AO62" i="27"/>
  <c r="AN16" i="27"/>
  <c r="H17" i="27" s="1"/>
  <c r="AO17" i="27" s="1"/>
  <c r="AN20" i="27"/>
  <c r="H21" i="27" s="1"/>
  <c r="AO21" i="27" s="1"/>
  <c r="AO37" i="27"/>
  <c r="AO42" i="27"/>
  <c r="AO43" i="27"/>
  <c r="AO29" i="27"/>
  <c r="A6" i="27"/>
  <c r="AO11" i="22"/>
  <c r="AN58" i="22"/>
  <c r="AN59" i="22"/>
  <c r="AN5" i="22"/>
  <c r="AN17" i="22"/>
  <c r="AO21" i="22"/>
  <c r="AN26" i="22"/>
  <c r="B7" i="22"/>
  <c r="A6" i="22"/>
  <c r="AO62" i="26"/>
  <c r="AN64" i="26"/>
  <c r="AO63" i="26"/>
  <c r="AN62" i="26"/>
  <c r="AN63" i="26"/>
  <c r="AO63" i="27"/>
  <c r="AO64" i="27"/>
  <c r="AO65" i="27"/>
  <c r="AN62" i="22"/>
  <c r="AN65" i="22"/>
  <c r="AO62" i="22"/>
  <c r="AO63" i="22"/>
  <c r="AO64" i="22"/>
  <c r="AO65" i="22"/>
  <c r="AN60" i="26"/>
  <c r="AO60" i="26"/>
  <c r="AN61" i="26"/>
  <c r="AO51" i="27"/>
  <c r="AN60" i="27"/>
  <c r="AN61" i="27"/>
  <c r="AO57" i="27"/>
  <c r="AO59" i="22"/>
  <c r="AO60" i="22"/>
  <c r="AO51" i="22"/>
  <c r="AN61" i="22"/>
  <c r="AO58" i="22"/>
  <c r="AO50" i="26"/>
  <c r="AO51" i="26"/>
  <c r="AO58" i="26"/>
  <c r="AN49" i="26"/>
  <c r="AO54" i="26"/>
  <c r="AO55" i="26"/>
  <c r="AO56" i="26"/>
  <c r="AO57" i="26"/>
  <c r="AN58" i="26"/>
  <c r="AN59" i="26"/>
  <c r="AO61" i="27"/>
  <c r="AO58" i="27"/>
  <c r="AO59" i="27"/>
  <c r="AO60" i="27"/>
  <c r="AN56" i="27"/>
  <c r="AN57" i="27"/>
  <c r="AN48" i="27"/>
  <c r="AN58" i="27"/>
  <c r="AO53" i="22"/>
  <c r="AO48" i="26"/>
  <c r="AN48" i="26"/>
  <c r="AN51" i="26"/>
  <c r="AP51" i="26" s="1"/>
  <c r="AN52" i="26"/>
  <c r="AO53" i="26"/>
  <c r="AN54" i="26"/>
  <c r="AN57" i="26"/>
  <c r="AT61" i="26"/>
  <c r="AO49" i="26"/>
  <c r="AN53" i="26"/>
  <c r="AN55" i="27"/>
  <c r="AN50" i="27"/>
  <c r="AO48" i="27"/>
  <c r="AN51" i="27"/>
  <c r="AO54" i="27"/>
  <c r="AO49" i="27"/>
  <c r="AN52" i="27"/>
  <c r="AO55" i="22"/>
  <c r="AN48" i="22"/>
  <c r="AO54" i="22"/>
  <c r="AO49" i="22"/>
  <c r="AN51" i="22"/>
  <c r="AN56" i="22"/>
  <c r="AN57" i="22"/>
  <c r="AO50" i="22"/>
  <c r="AN53" i="22"/>
  <c r="AO56" i="22"/>
  <c r="AO57" i="22"/>
  <c r="AN50" i="22"/>
  <c r="AO47" i="22"/>
  <c r="AN34" i="26"/>
  <c r="AO39" i="26"/>
  <c r="AN39" i="26"/>
  <c r="AO46" i="26"/>
  <c r="AO36" i="26"/>
  <c r="AN41" i="26"/>
  <c r="AN47" i="26"/>
  <c r="AN35" i="26"/>
  <c r="AN37" i="26"/>
  <c r="AO40" i="26"/>
  <c r="AN40" i="26"/>
  <c r="AO41" i="26"/>
  <c r="AN44" i="26"/>
  <c r="AN45" i="26"/>
  <c r="AN46" i="26"/>
  <c r="AO38" i="26"/>
  <c r="AO35" i="26"/>
  <c r="AO44" i="26"/>
  <c r="AN46" i="27"/>
  <c r="AN44" i="27"/>
  <c r="AN45" i="27"/>
  <c r="AO37" i="22"/>
  <c r="AO42" i="22"/>
  <c r="AN46" i="22"/>
  <c r="AN41" i="22"/>
  <c r="AO41" i="22"/>
  <c r="AN42" i="22"/>
  <c r="AN44" i="22"/>
  <c r="AN45" i="22"/>
  <c r="AO43" i="22"/>
  <c r="AO34" i="22"/>
  <c r="AO35" i="22"/>
  <c r="AO38" i="22"/>
  <c r="AO39" i="22"/>
  <c r="AN40" i="22"/>
  <c r="AN35" i="22"/>
  <c r="AN37" i="22"/>
  <c r="AO40" i="22"/>
  <c r="AN34" i="22"/>
  <c r="AO12" i="26"/>
  <c r="AO22" i="26"/>
  <c r="AO17" i="26"/>
  <c r="AO19" i="26"/>
  <c r="AN20" i="26"/>
  <c r="AN7" i="26"/>
  <c r="AN8" i="26"/>
  <c r="AN11" i="26"/>
  <c r="AN12" i="26"/>
  <c r="AN13" i="26"/>
  <c r="AN25" i="26"/>
  <c r="AN29" i="26"/>
  <c r="AO18" i="26"/>
  <c r="AN5" i="26"/>
  <c r="AP5" i="26" s="1"/>
  <c r="AO9" i="26"/>
  <c r="AO10" i="26"/>
  <c r="AO11" i="26"/>
  <c r="AO25" i="26"/>
  <c r="AO6" i="26"/>
  <c r="AO13" i="26"/>
  <c r="AO14" i="26"/>
  <c r="AN15" i="26"/>
  <c r="AO27" i="26"/>
  <c r="AO29" i="26"/>
  <c r="AN30" i="26"/>
  <c r="AN16" i="26"/>
  <c r="AN19" i="26"/>
  <c r="AN22" i="26"/>
  <c r="AN24" i="26"/>
  <c r="AO30" i="26"/>
  <c r="AO31" i="26"/>
  <c r="AN32" i="26"/>
  <c r="AN33" i="26"/>
  <c r="AO8" i="26"/>
  <c r="AO21" i="26"/>
  <c r="AN26" i="26"/>
  <c r="AT49" i="26"/>
  <c r="AT19" i="26"/>
  <c r="AT39" i="26"/>
  <c r="AN6" i="26"/>
  <c r="AN14" i="26"/>
  <c r="AT33" i="26"/>
  <c r="AN38" i="26"/>
  <c r="AT53" i="26"/>
  <c r="AO47" i="26"/>
  <c r="A7" i="26"/>
  <c r="B9" i="26"/>
  <c r="B10" i="26"/>
  <c r="AO15" i="26"/>
  <c r="AN43" i="26"/>
  <c r="AO7" i="26"/>
  <c r="AM66" i="26"/>
  <c r="H26" i="1" s="1"/>
  <c r="A6" i="26"/>
  <c r="AN9" i="26"/>
  <c r="AN10" i="26"/>
  <c r="AN17" i="26"/>
  <c r="AN18" i="26"/>
  <c r="AO20" i="26"/>
  <c r="AO23" i="26"/>
  <c r="AO26" i="26"/>
  <c r="AN27" i="26"/>
  <c r="AN28" i="26"/>
  <c r="AN31" i="26"/>
  <c r="AO32" i="26"/>
  <c r="AO34" i="26"/>
  <c r="AN50" i="26"/>
  <c r="AO52" i="26"/>
  <c r="AO24" i="26"/>
  <c r="AO37" i="26"/>
  <c r="AN42" i="26"/>
  <c r="AO61" i="26"/>
  <c r="AN65" i="26"/>
  <c r="AN23" i="26"/>
  <c r="AO28" i="26"/>
  <c r="AN36" i="26"/>
  <c r="AO42" i="26"/>
  <c r="AO43" i="26"/>
  <c r="AN55" i="26"/>
  <c r="AP55" i="26" s="1"/>
  <c r="AN56" i="26"/>
  <c r="AO65" i="26"/>
  <c r="AN8" i="27"/>
  <c r="H9" i="27" s="1"/>
  <c r="AO9" i="27" s="1"/>
  <c r="AN24" i="27"/>
  <c r="H25" i="27" s="1"/>
  <c r="AO25" i="27" s="1"/>
  <c r="AN29" i="27"/>
  <c r="AN30" i="27"/>
  <c r="AO28" i="27"/>
  <c r="AN4" i="27"/>
  <c r="H5" i="27" s="1"/>
  <c r="AO5" i="27" s="1"/>
  <c r="AN25" i="27"/>
  <c r="H26" i="27" s="1"/>
  <c r="AO26" i="27" s="1"/>
  <c r="AN12" i="27"/>
  <c r="AO31" i="27"/>
  <c r="AN14" i="27"/>
  <c r="H15" i="27" s="1"/>
  <c r="AO15" i="27" s="1"/>
  <c r="AN22" i="27"/>
  <c r="H23" i="27" s="1"/>
  <c r="AO23" i="27" s="1"/>
  <c r="AN23" i="27"/>
  <c r="H24" i="27" s="1"/>
  <c r="AO24" i="27" s="1"/>
  <c r="AN28" i="27"/>
  <c r="AO32" i="27"/>
  <c r="AN33" i="27"/>
  <c r="AO4" i="27"/>
  <c r="AN7" i="27"/>
  <c r="H8" i="27" s="1"/>
  <c r="AN13" i="27"/>
  <c r="AN26" i="27"/>
  <c r="H27" i="27" s="1"/>
  <c r="AO27" i="27" s="1"/>
  <c r="AO30" i="27"/>
  <c r="AN32" i="27"/>
  <c r="AO14" i="27"/>
  <c r="AN17" i="27"/>
  <c r="H18" i="27" s="1"/>
  <c r="AO18" i="27" s="1"/>
  <c r="AN18" i="27"/>
  <c r="AM66" i="27"/>
  <c r="H22" i="1" s="1"/>
  <c r="AN19" i="27"/>
  <c r="H20" i="27" s="1"/>
  <c r="AO20" i="27" s="1"/>
  <c r="A7" i="27"/>
  <c r="AO12" i="27"/>
  <c r="AN15" i="27"/>
  <c r="H16" i="27" s="1"/>
  <c r="AO16" i="27" s="1"/>
  <c r="A8" i="27"/>
  <c r="B10" i="27"/>
  <c r="AN5" i="27"/>
  <c r="H6" i="27" s="1"/>
  <c r="AO6" i="27" s="1"/>
  <c r="AN6" i="27"/>
  <c r="H7" i="27" s="1"/>
  <c r="AO7" i="27" s="1"/>
  <c r="AO8" i="27"/>
  <c r="AN9" i="27"/>
  <c r="H10" i="27" s="1"/>
  <c r="AO10" i="27" s="1"/>
  <c r="AN11" i="27"/>
  <c r="AO56" i="27"/>
  <c r="AN59" i="27"/>
  <c r="AN64" i="27"/>
  <c r="AN21" i="27"/>
  <c r="H22" i="27" s="1"/>
  <c r="AO22" i="27" s="1"/>
  <c r="AN27" i="27"/>
  <c r="AN39" i="27"/>
  <c r="AT53" i="27"/>
  <c r="AO41" i="27"/>
  <c r="AT41" i="27"/>
  <c r="AN40" i="27"/>
  <c r="AO50" i="27"/>
  <c r="AN53" i="27"/>
  <c r="AO55" i="27"/>
  <c r="AT39" i="27"/>
  <c r="AN31" i="27"/>
  <c r="AN35" i="27"/>
  <c r="AT55" i="27"/>
  <c r="AO44" i="27"/>
  <c r="AO46" i="27"/>
  <c r="AN47" i="27"/>
  <c r="AT61" i="27"/>
  <c r="AN49" i="27"/>
  <c r="AN54" i="27"/>
  <c r="AN30" i="22"/>
  <c r="AO13" i="22"/>
  <c r="AO9" i="22"/>
  <c r="AN12" i="22"/>
  <c r="AO7" i="22"/>
  <c r="AN8" i="22"/>
  <c r="AO18" i="22"/>
  <c r="AO19" i="22"/>
  <c r="AO8" i="22"/>
  <c r="AO25" i="22"/>
  <c r="AO5" i="22"/>
  <c r="AO31" i="22"/>
  <c r="AN4" i="22"/>
  <c r="AO6" i="22"/>
  <c r="AN10" i="22"/>
  <c r="AN13" i="22"/>
  <c r="AN16" i="22"/>
  <c r="AN28" i="22"/>
  <c r="AN29" i="22"/>
  <c r="AO33" i="22"/>
  <c r="AO4" i="22"/>
  <c r="AP4" i="22" s="1"/>
  <c r="AO14" i="22"/>
  <c r="AO15" i="22"/>
  <c r="AO16" i="22"/>
  <c r="AO22" i="22"/>
  <c r="AO23" i="22"/>
  <c r="AN24" i="22"/>
  <c r="AN19" i="22"/>
  <c r="AN21" i="22"/>
  <c r="AO24" i="22"/>
  <c r="AN25" i="22"/>
  <c r="AN32" i="22"/>
  <c r="AO27" i="22"/>
  <c r="AO17" i="22"/>
  <c r="AN18" i="22"/>
  <c r="AP18" i="22" s="1"/>
  <c r="AO26" i="22"/>
  <c r="AN11" i="22"/>
  <c r="A8" i="22"/>
  <c r="B10" i="22"/>
  <c r="AO12" i="22"/>
  <c r="AN20" i="22"/>
  <c r="AN23" i="22"/>
  <c r="AO28" i="22"/>
  <c r="AN36" i="22"/>
  <c r="AN39" i="22"/>
  <c r="AO44" i="22"/>
  <c r="AN52" i="22"/>
  <c r="AN55" i="22"/>
  <c r="AO29" i="22"/>
  <c r="AO45" i="22"/>
  <c r="AN60" i="22"/>
  <c r="AN6" i="22"/>
  <c r="AN7" i="22"/>
  <c r="AN14" i="22"/>
  <c r="AN15" i="22"/>
  <c r="AN22" i="22"/>
  <c r="AO30" i="22"/>
  <c r="AN33" i="22"/>
  <c r="AN38" i="22"/>
  <c r="AO46" i="22"/>
  <c r="AN49" i="22"/>
  <c r="AN54" i="22"/>
  <c r="AN27" i="22"/>
  <c r="AO32" i="22"/>
  <c r="AN43" i="22"/>
  <c r="AO48" i="22"/>
  <c r="AO61" i="22"/>
  <c r="AO20" i="22"/>
  <c r="AN31" i="22"/>
  <c r="AO36" i="22"/>
  <c r="AN47" i="22"/>
  <c r="AO52" i="22"/>
  <c r="AN63" i="22"/>
  <c r="AN64" i="22"/>
  <c r="AP34" i="22" l="1"/>
  <c r="AP64" i="22"/>
  <c r="AP62" i="27"/>
  <c r="AP65" i="27"/>
  <c r="AU35" i="27"/>
  <c r="AU21" i="27"/>
  <c r="AV35" i="27"/>
  <c r="AP19" i="22"/>
  <c r="AP21" i="26"/>
  <c r="AP35" i="22"/>
  <c r="AP63" i="22"/>
  <c r="AP60" i="22"/>
  <c r="AP63" i="27"/>
  <c r="AP47" i="27"/>
  <c r="AO66" i="22"/>
  <c r="J5" i="1" s="1"/>
  <c r="AN66" i="22"/>
  <c r="I5" i="1" s="1"/>
  <c r="AP37" i="27"/>
  <c r="A51" i="30"/>
  <c r="B53" i="30"/>
  <c r="B54" i="30"/>
  <c r="A52" i="30"/>
  <c r="A51" i="29"/>
  <c r="B53" i="29"/>
  <c r="A52" i="29"/>
  <c r="B54" i="29"/>
  <c r="A45" i="28"/>
  <c r="B47" i="28"/>
  <c r="B52" i="28"/>
  <c r="A50" i="28"/>
  <c r="AP16" i="26"/>
  <c r="AP9" i="22"/>
  <c r="AP4" i="26"/>
  <c r="AP36" i="27"/>
  <c r="AP26" i="22"/>
  <c r="AP50" i="26"/>
  <c r="AP42" i="22"/>
  <c r="AP45" i="26"/>
  <c r="AP45" i="27"/>
  <c r="AP54" i="27"/>
  <c r="AP53" i="27"/>
  <c r="AP38" i="27"/>
  <c r="AP34" i="27"/>
  <c r="AP10" i="22"/>
  <c r="AP29" i="27"/>
  <c r="AP39" i="27"/>
  <c r="AP30" i="27"/>
  <c r="AP35" i="27"/>
  <c r="AP22" i="26"/>
  <c r="AP22" i="27"/>
  <c r="AP18" i="27"/>
  <c r="H19" i="27"/>
  <c r="AO19" i="27" s="1"/>
  <c r="AV21" i="27" s="1"/>
  <c r="AP21" i="22"/>
  <c r="AP11" i="27"/>
  <c r="AP5" i="27"/>
  <c r="AP6" i="27"/>
  <c r="AP8" i="27"/>
  <c r="AP10" i="27"/>
  <c r="AP25" i="26"/>
  <c r="AP40" i="26"/>
  <c r="AP57" i="26"/>
  <c r="AP8" i="26"/>
  <c r="AU47" i="26"/>
  <c r="AP63" i="26"/>
  <c r="AV65" i="26"/>
  <c r="AV47" i="26"/>
  <c r="AP27" i="26"/>
  <c r="AP9" i="26"/>
  <c r="AP19" i="26"/>
  <c r="AP64" i="26"/>
  <c r="AP12" i="26"/>
  <c r="AP33" i="26"/>
  <c r="AP29" i="26"/>
  <c r="AP11" i="26"/>
  <c r="AP59" i="26"/>
  <c r="AU65" i="26"/>
  <c r="AP31" i="27"/>
  <c r="AP17" i="27"/>
  <c r="AP20" i="27"/>
  <c r="AP42" i="27"/>
  <c r="AP52" i="27"/>
  <c r="AP28" i="27"/>
  <c r="AP9" i="27"/>
  <c r="AP14" i="27"/>
  <c r="AP43" i="27"/>
  <c r="AP64" i="27"/>
  <c r="AP16" i="27"/>
  <c r="AP25" i="27"/>
  <c r="AP24" i="27"/>
  <c r="AP51" i="27"/>
  <c r="AP12" i="27"/>
  <c r="AP56" i="22"/>
  <c r="AP65" i="22"/>
  <c r="AP59" i="22"/>
  <c r="AP58" i="22"/>
  <c r="AP13" i="22"/>
  <c r="AP30" i="22"/>
  <c r="AP6" i="22"/>
  <c r="AP5" i="22"/>
  <c r="AP62" i="22"/>
  <c r="AP17" i="22"/>
  <c r="B9" i="22"/>
  <c r="A7" i="22"/>
  <c r="AP62" i="26"/>
  <c r="AP58" i="26"/>
  <c r="AP60" i="26"/>
  <c r="AP49" i="26"/>
  <c r="AP61" i="26"/>
  <c r="AP56" i="27"/>
  <c r="AP61" i="27"/>
  <c r="AP57" i="27"/>
  <c r="AP60" i="27"/>
  <c r="AP59" i="27"/>
  <c r="AP51" i="22"/>
  <c r="AP61" i="22"/>
  <c r="AP48" i="22"/>
  <c r="AP58" i="27"/>
  <c r="AP56" i="26"/>
  <c r="AP48" i="26"/>
  <c r="AV61" i="26"/>
  <c r="AP53" i="26"/>
  <c r="AP49" i="27"/>
  <c r="AP55" i="27"/>
  <c r="AP48" i="27"/>
  <c r="AP50" i="22"/>
  <c r="AP55" i="22"/>
  <c r="AP54" i="26"/>
  <c r="AP52" i="26"/>
  <c r="AU61" i="27"/>
  <c r="AP46" i="22"/>
  <c r="AP54" i="22"/>
  <c r="AP53" i="22"/>
  <c r="AP49" i="22"/>
  <c r="AP57" i="22"/>
  <c r="AP43" i="22"/>
  <c r="AP37" i="22"/>
  <c r="AP41" i="22"/>
  <c r="AP44" i="27"/>
  <c r="AP38" i="26"/>
  <c r="AP41" i="26"/>
  <c r="AP46" i="26"/>
  <c r="AP39" i="26"/>
  <c r="AP47" i="26"/>
  <c r="AP42" i="26"/>
  <c r="AV53" i="26"/>
  <c r="AP43" i="26"/>
  <c r="AP35" i="26"/>
  <c r="AP44" i="26"/>
  <c r="AP34" i="26"/>
  <c r="AV55" i="27"/>
  <c r="AP45" i="22"/>
  <c r="AP44" i="22"/>
  <c r="AP38" i="22"/>
  <c r="AP39" i="22"/>
  <c r="AP40" i="22"/>
  <c r="AP36" i="22"/>
  <c r="AP32" i="26"/>
  <c r="AP15" i="26"/>
  <c r="AP13" i="26"/>
  <c r="AP31" i="26"/>
  <c r="AP17" i="26"/>
  <c r="AP24" i="26"/>
  <c r="AP14" i="26"/>
  <c r="AP30" i="26"/>
  <c r="AV19" i="26"/>
  <c r="AP23" i="26"/>
  <c r="AP7" i="26"/>
  <c r="AU53" i="26"/>
  <c r="AV33" i="26"/>
  <c r="AO66" i="26"/>
  <c r="J26" i="1" s="1"/>
  <c r="AU19" i="26"/>
  <c r="AP6" i="26"/>
  <c r="AV49" i="26"/>
  <c r="AP37" i="26"/>
  <c r="AU61" i="26"/>
  <c r="AP65" i="26"/>
  <c r="AP28" i="26"/>
  <c r="AP18" i="26"/>
  <c r="AU33" i="26"/>
  <c r="AU39" i="26"/>
  <c r="AP10" i="26"/>
  <c r="AV39" i="26"/>
  <c r="AP26" i="26"/>
  <c r="AU49" i="26"/>
  <c r="AP36" i="26"/>
  <c r="AN66" i="26"/>
  <c r="I26" i="1" s="1"/>
  <c r="B12" i="26"/>
  <c r="A10" i="26"/>
  <c r="B11" i="26"/>
  <c r="A9" i="26"/>
  <c r="AP20" i="26"/>
  <c r="AP4" i="27"/>
  <c r="AV41" i="27"/>
  <c r="AV39" i="27"/>
  <c r="AP26" i="27"/>
  <c r="AP21" i="27"/>
  <c r="AP33" i="27"/>
  <c r="AP15" i="27"/>
  <c r="AP32" i="27"/>
  <c r="AP13" i="27"/>
  <c r="AP7" i="27"/>
  <c r="AP23" i="27"/>
  <c r="AP27" i="27"/>
  <c r="AU39" i="27"/>
  <c r="AP41" i="27"/>
  <c r="AN66" i="27"/>
  <c r="I22" i="1" s="1"/>
  <c r="AP46" i="27"/>
  <c r="AU55" i="27"/>
  <c r="AU41" i="27"/>
  <c r="AP40" i="27"/>
  <c r="AU53" i="27"/>
  <c r="AP50" i="27"/>
  <c r="A9" i="27"/>
  <c r="B11" i="27"/>
  <c r="AV53" i="27"/>
  <c r="AV61" i="27"/>
  <c r="B12" i="27"/>
  <c r="A10" i="27"/>
  <c r="AP23" i="22"/>
  <c r="AP12" i="22"/>
  <c r="AP8" i="22"/>
  <c r="AP14" i="22"/>
  <c r="AP16" i="22"/>
  <c r="AP27" i="22"/>
  <c r="AP22" i="22"/>
  <c r="AP28" i="22"/>
  <c r="AP25" i="22"/>
  <c r="AP29" i="22"/>
  <c r="AP24" i="22"/>
  <c r="AP33" i="22"/>
  <c r="AP31" i="22"/>
  <c r="B12" i="22"/>
  <c r="A10" i="22"/>
  <c r="AP47" i="22"/>
  <c r="AP7" i="22"/>
  <c r="AP52" i="22"/>
  <c r="AP20" i="22"/>
  <c r="AP11" i="22"/>
  <c r="AP32" i="22"/>
  <c r="AP15" i="22"/>
  <c r="M5" i="1" l="1"/>
  <c r="N5" i="1" s="1"/>
  <c r="AP66" i="22"/>
  <c r="A54" i="30"/>
  <c r="B56" i="30"/>
  <c r="A53" i="30"/>
  <c r="B55" i="30"/>
  <c r="B56" i="29"/>
  <c r="A54" i="29"/>
  <c r="A53" i="29"/>
  <c r="B55" i="29"/>
  <c r="B54" i="28"/>
  <c r="A52" i="28"/>
  <c r="A47" i="28"/>
  <c r="B49" i="28"/>
  <c r="AO66" i="27"/>
  <c r="J22" i="1" s="1"/>
  <c r="M22" i="1" s="1"/>
  <c r="N22" i="1" s="1"/>
  <c r="AP19" i="27"/>
  <c r="A9" i="22"/>
  <c r="B11" i="22"/>
  <c r="M26" i="1"/>
  <c r="N26" i="1" s="1"/>
  <c r="A11" i="26"/>
  <c r="B13" i="26"/>
  <c r="A12" i="26"/>
  <c r="B14" i="26"/>
  <c r="A11" i="27"/>
  <c r="B13" i="27"/>
  <c r="A12" i="27"/>
  <c r="B14" i="27"/>
  <c r="A12" i="22"/>
  <c r="B14" i="22"/>
  <c r="A55" i="30" l="1"/>
  <c r="B57" i="30"/>
  <c r="B58" i="30"/>
  <c r="A56" i="30"/>
  <c r="A55" i="29"/>
  <c r="B57" i="29"/>
  <c r="A56" i="29"/>
  <c r="B58" i="29"/>
  <c r="A49" i="28"/>
  <c r="B51" i="28"/>
  <c r="B56" i="28"/>
  <c r="A54" i="28"/>
  <c r="B13" i="22"/>
  <c r="A11" i="22"/>
  <c r="A13" i="26"/>
  <c r="B15" i="26"/>
  <c r="B16" i="26"/>
  <c r="A14" i="26"/>
  <c r="B16" i="27"/>
  <c r="A14" i="27"/>
  <c r="A13" i="27"/>
  <c r="B15" i="27"/>
  <c r="B16" i="22"/>
  <c r="A14" i="22"/>
  <c r="A58" i="30" l="1"/>
  <c r="B60" i="30"/>
  <c r="A57" i="30"/>
  <c r="B59" i="30"/>
  <c r="B60" i="29"/>
  <c r="A58" i="29"/>
  <c r="A57" i="29"/>
  <c r="B59" i="29"/>
  <c r="B58" i="28"/>
  <c r="A56" i="28"/>
  <c r="A51" i="28"/>
  <c r="B53" i="28"/>
  <c r="A13" i="22"/>
  <c r="B15" i="22"/>
  <c r="A16" i="26"/>
  <c r="B18" i="26"/>
  <c r="A15" i="26"/>
  <c r="B17" i="26"/>
  <c r="A15" i="27"/>
  <c r="B17" i="27"/>
  <c r="A16" i="27"/>
  <c r="B18" i="27"/>
  <c r="A16" i="22"/>
  <c r="B18" i="22"/>
  <c r="AS19" i="11"/>
  <c r="B62" i="30" l="1"/>
  <c r="A60" i="30"/>
  <c r="A59" i="30"/>
  <c r="B61" i="30"/>
  <c r="A59" i="29"/>
  <c r="B61" i="29"/>
  <c r="A60" i="29"/>
  <c r="B62" i="29"/>
  <c r="A53" i="28"/>
  <c r="B55" i="28"/>
  <c r="B60" i="28"/>
  <c r="A58" i="28"/>
  <c r="B17" i="22"/>
  <c r="A15" i="22"/>
  <c r="B20" i="26"/>
  <c r="A18" i="26"/>
  <c r="B19" i="26"/>
  <c r="A17" i="26"/>
  <c r="B20" i="27"/>
  <c r="A18" i="27"/>
  <c r="A17" i="27"/>
  <c r="B19" i="27"/>
  <c r="B20" i="22"/>
  <c r="A18" i="22"/>
  <c r="A62" i="30" l="1"/>
  <c r="B64" i="30"/>
  <c r="A64" i="30" s="1"/>
  <c r="A61" i="30"/>
  <c r="B63" i="30"/>
  <c r="A61" i="29"/>
  <c r="B63" i="29"/>
  <c r="B64" i="29"/>
  <c r="A64" i="29" s="1"/>
  <c r="A62" i="29"/>
  <c r="B62" i="28"/>
  <c r="A60" i="28"/>
  <c r="A55" i="28"/>
  <c r="B57" i="28"/>
  <c r="B19" i="22"/>
  <c r="A17" i="22"/>
  <c r="B21" i="26"/>
  <c r="A19" i="26"/>
  <c r="B22" i="26"/>
  <c r="A20" i="26"/>
  <c r="B22" i="27"/>
  <c r="A20" i="27"/>
  <c r="A19" i="27"/>
  <c r="B21" i="27"/>
  <c r="B22" i="22"/>
  <c r="A20" i="22"/>
  <c r="A63" i="30" l="1"/>
  <c r="B65" i="30"/>
  <c r="A65" i="30" s="1"/>
  <c r="A63" i="29"/>
  <c r="B65" i="29"/>
  <c r="A65" i="29" s="1"/>
  <c r="B64" i="28"/>
  <c r="A64" i="28" s="1"/>
  <c r="A62" i="28"/>
  <c r="A57" i="28"/>
  <c r="B59" i="28"/>
  <c r="B21" i="22"/>
  <c r="A19" i="22"/>
  <c r="A22" i="26"/>
  <c r="B24" i="26"/>
  <c r="B23" i="26"/>
  <c r="A21" i="26"/>
  <c r="B23" i="27"/>
  <c r="A21" i="27"/>
  <c r="B24" i="27"/>
  <c r="A22" i="27"/>
  <c r="A22" i="22"/>
  <c r="B24" i="22"/>
  <c r="M33" i="1"/>
  <c r="M34" i="1"/>
  <c r="M35" i="1"/>
  <c r="M36" i="1"/>
  <c r="M37" i="1"/>
  <c r="M38" i="1"/>
  <c r="M39" i="1"/>
  <c r="M40" i="1"/>
  <c r="M41" i="1"/>
  <c r="A59" i="28" l="1"/>
  <c r="B61" i="28"/>
  <c r="A21" i="22"/>
  <c r="B23" i="22"/>
  <c r="B25" i="26"/>
  <c r="A23" i="26"/>
  <c r="B26" i="26"/>
  <c r="A24" i="26"/>
  <c r="B26" i="27"/>
  <c r="A24" i="27"/>
  <c r="A23" i="27"/>
  <c r="B25" i="27"/>
  <c r="B26" i="22"/>
  <c r="A24" i="22"/>
  <c r="A61" i="28" l="1"/>
  <c r="B63" i="28"/>
  <c r="B25" i="22"/>
  <c r="A23" i="22"/>
  <c r="A26" i="26"/>
  <c r="B28" i="26"/>
  <c r="A25" i="26"/>
  <c r="B27" i="26"/>
  <c r="B28" i="27"/>
  <c r="A26" i="27"/>
  <c r="A25" i="27"/>
  <c r="B27" i="27"/>
  <c r="B28" i="22"/>
  <c r="A26" i="22"/>
  <c r="AB34" i="14"/>
  <c r="A63" i="28" l="1"/>
  <c r="B65" i="28"/>
  <c r="A65" i="28" s="1"/>
  <c r="A25" i="22"/>
  <c r="B27" i="22"/>
  <c r="B30" i="26"/>
  <c r="A28" i="26"/>
  <c r="B29" i="26"/>
  <c r="A27" i="26"/>
  <c r="A27" i="27"/>
  <c r="B29" i="27"/>
  <c r="A28" i="27"/>
  <c r="B30" i="27"/>
  <c r="B30" i="22"/>
  <c r="A28" i="22"/>
  <c r="R26" i="12"/>
  <c r="S26" i="12"/>
  <c r="T26" i="12"/>
  <c r="R27" i="12"/>
  <c r="S27" i="12"/>
  <c r="T27" i="12"/>
  <c r="R28" i="12"/>
  <c r="S28" i="12"/>
  <c r="T28" i="12"/>
  <c r="R29" i="12"/>
  <c r="S29" i="12"/>
  <c r="T29" i="12"/>
  <c r="R30" i="12"/>
  <c r="S30" i="12"/>
  <c r="T30" i="12"/>
  <c r="R31" i="12"/>
  <c r="S31" i="12"/>
  <c r="T31" i="12"/>
  <c r="R32" i="12"/>
  <c r="S32" i="12"/>
  <c r="T32" i="12"/>
  <c r="R33" i="12"/>
  <c r="S33" i="12"/>
  <c r="T33" i="12"/>
  <c r="R34" i="12"/>
  <c r="S34" i="12"/>
  <c r="T34" i="12"/>
  <c r="R35" i="12"/>
  <c r="S35" i="12"/>
  <c r="T35" i="12"/>
  <c r="B29" i="22" l="1"/>
  <c r="A27" i="22"/>
  <c r="A29" i="26"/>
  <c r="B31" i="26"/>
  <c r="A30" i="26"/>
  <c r="B32" i="26"/>
  <c r="B32" i="27"/>
  <c r="A30" i="27"/>
  <c r="A29" i="27"/>
  <c r="B31" i="27"/>
  <c r="B32" i="22"/>
  <c r="A30" i="22"/>
  <c r="L29" i="1"/>
  <c r="L28" i="1"/>
  <c r="L27" i="1"/>
  <c r="L25" i="1"/>
  <c r="L24" i="1"/>
  <c r="L23" i="1"/>
  <c r="L21" i="1"/>
  <c r="L20" i="1"/>
  <c r="L6" i="1"/>
  <c r="L8" i="1"/>
  <c r="L9" i="1"/>
  <c r="L10" i="1"/>
  <c r="L11" i="1"/>
  <c r="L13" i="1"/>
  <c r="L15" i="1"/>
  <c r="L16" i="1"/>
  <c r="AQ1" i="17" s="1"/>
  <c r="AF5" i="2"/>
  <c r="AG5" i="2"/>
  <c r="AF6" i="2"/>
  <c r="AG6" i="2"/>
  <c r="AF7" i="2"/>
  <c r="AG7" i="2"/>
  <c r="AF8" i="2"/>
  <c r="AG8" i="2"/>
  <c r="AF9" i="2"/>
  <c r="AG9" i="2"/>
  <c r="AF10" i="2"/>
  <c r="AG10" i="2"/>
  <c r="AF11" i="2"/>
  <c r="AG11" i="2"/>
  <c r="AF12" i="2"/>
  <c r="AG12" i="2"/>
  <c r="AF13" i="2"/>
  <c r="AG13" i="2"/>
  <c r="AF14" i="2"/>
  <c r="AG14" i="2"/>
  <c r="AF15" i="2"/>
  <c r="AG15" i="2"/>
  <c r="AF16" i="2"/>
  <c r="AG16" i="2"/>
  <c r="AF17" i="2"/>
  <c r="AG17" i="2"/>
  <c r="AF18" i="2"/>
  <c r="AG18" i="2"/>
  <c r="AF19" i="2"/>
  <c r="AG19" i="2"/>
  <c r="AF20" i="2"/>
  <c r="AG20" i="2"/>
  <c r="AF21" i="2"/>
  <c r="AG21" i="2"/>
  <c r="AF22" i="2"/>
  <c r="AG22" i="2"/>
  <c r="AF23" i="2"/>
  <c r="AG23" i="2"/>
  <c r="AF24" i="2"/>
  <c r="AG24" i="2"/>
  <c r="AF25" i="2"/>
  <c r="AG25" i="2"/>
  <c r="AF26" i="2"/>
  <c r="AG26" i="2"/>
  <c r="AF27" i="2"/>
  <c r="AG27" i="2"/>
  <c r="AF28" i="2"/>
  <c r="AG28" i="2"/>
  <c r="AF29" i="2"/>
  <c r="AG29" i="2"/>
  <c r="AF30" i="2"/>
  <c r="AG30" i="2"/>
  <c r="AF31" i="2"/>
  <c r="AG31" i="2"/>
  <c r="AF32" i="2"/>
  <c r="AG32" i="2"/>
  <c r="AF33" i="2"/>
  <c r="AG33" i="2"/>
  <c r="AF34" i="2"/>
  <c r="AG34" i="2"/>
  <c r="AF35" i="2"/>
  <c r="AG35" i="2"/>
  <c r="AF36" i="2"/>
  <c r="AG36" i="2"/>
  <c r="AF37" i="2"/>
  <c r="AG37" i="2"/>
  <c r="AF38" i="2"/>
  <c r="AG38" i="2"/>
  <c r="AF39" i="2"/>
  <c r="AG39" i="2"/>
  <c r="AF40" i="2"/>
  <c r="AG40" i="2"/>
  <c r="AF41" i="2"/>
  <c r="AG41" i="2"/>
  <c r="AF42" i="2"/>
  <c r="AG42" i="2"/>
  <c r="AF43" i="2"/>
  <c r="AG43" i="2"/>
  <c r="AF44" i="2"/>
  <c r="AG44" i="2"/>
  <c r="AF45" i="2"/>
  <c r="AG45" i="2"/>
  <c r="AF46" i="2"/>
  <c r="AG46" i="2"/>
  <c r="AF47" i="2"/>
  <c r="AG47" i="2"/>
  <c r="AF48" i="2"/>
  <c r="AG48" i="2"/>
  <c r="AF49" i="2"/>
  <c r="AG49" i="2"/>
  <c r="AF50" i="2"/>
  <c r="AG50" i="2"/>
  <c r="AF51" i="2"/>
  <c r="AG51" i="2"/>
  <c r="AF52" i="2"/>
  <c r="AG52" i="2"/>
  <c r="AF53" i="2"/>
  <c r="AG53" i="2"/>
  <c r="AF54" i="2"/>
  <c r="AG54" i="2"/>
  <c r="AF55" i="2"/>
  <c r="AG55" i="2"/>
  <c r="AF56" i="2"/>
  <c r="AG56" i="2"/>
  <c r="AF57" i="2"/>
  <c r="AG57" i="2"/>
  <c r="AF58" i="2"/>
  <c r="AG58" i="2"/>
  <c r="AF59" i="2"/>
  <c r="AG59" i="2"/>
  <c r="AF60" i="2"/>
  <c r="AG60" i="2"/>
  <c r="AF61" i="2"/>
  <c r="AG61" i="2"/>
  <c r="AF62" i="2"/>
  <c r="AG62" i="2"/>
  <c r="AF63" i="2"/>
  <c r="AG63" i="2"/>
  <c r="AF64" i="2"/>
  <c r="AG64" i="2"/>
  <c r="AF65" i="2"/>
  <c r="AG65" i="2"/>
  <c r="AA5" i="2"/>
  <c r="AB5" i="2"/>
  <c r="AA6" i="2"/>
  <c r="AB6" i="2"/>
  <c r="AA7" i="2"/>
  <c r="AB7" i="2"/>
  <c r="AA8" i="2"/>
  <c r="AB8" i="2"/>
  <c r="AA9" i="2"/>
  <c r="AB9" i="2"/>
  <c r="AA10" i="2"/>
  <c r="AB10" i="2"/>
  <c r="AA11" i="2"/>
  <c r="AB11" i="2"/>
  <c r="AA12" i="2"/>
  <c r="AB12" i="2"/>
  <c r="AA13" i="2"/>
  <c r="AB13" i="2"/>
  <c r="AA14" i="2"/>
  <c r="AB14" i="2"/>
  <c r="AA15" i="2"/>
  <c r="AB15" i="2"/>
  <c r="AA16" i="2"/>
  <c r="AB16" i="2"/>
  <c r="AA17" i="2"/>
  <c r="AB17" i="2"/>
  <c r="AA18" i="2"/>
  <c r="AB18" i="2"/>
  <c r="AA19" i="2"/>
  <c r="AB19" i="2"/>
  <c r="AA20" i="2"/>
  <c r="AB20" i="2"/>
  <c r="AA21" i="2"/>
  <c r="AB21" i="2"/>
  <c r="AA22" i="2"/>
  <c r="AB22" i="2"/>
  <c r="AA23" i="2"/>
  <c r="AB23" i="2"/>
  <c r="AA24" i="2"/>
  <c r="AB24" i="2"/>
  <c r="AA25" i="2"/>
  <c r="AB25" i="2"/>
  <c r="AA26" i="2"/>
  <c r="AB26" i="2"/>
  <c r="AA27" i="2"/>
  <c r="AB27" i="2"/>
  <c r="AA28" i="2"/>
  <c r="AB28" i="2"/>
  <c r="AA29" i="2"/>
  <c r="AB29" i="2"/>
  <c r="AA30" i="2"/>
  <c r="AB30" i="2"/>
  <c r="AA31" i="2"/>
  <c r="AB31" i="2"/>
  <c r="AA32" i="2"/>
  <c r="AB32" i="2"/>
  <c r="AA33" i="2"/>
  <c r="AB33" i="2"/>
  <c r="AA34" i="2"/>
  <c r="AB34" i="2"/>
  <c r="AA35" i="2"/>
  <c r="AB35" i="2"/>
  <c r="AA36" i="2"/>
  <c r="AB36" i="2"/>
  <c r="AA37" i="2"/>
  <c r="AB37" i="2"/>
  <c r="AA38" i="2"/>
  <c r="AB38" i="2"/>
  <c r="AA39" i="2"/>
  <c r="AB39" i="2"/>
  <c r="AA40" i="2"/>
  <c r="AB40" i="2"/>
  <c r="AA41" i="2"/>
  <c r="AB41" i="2"/>
  <c r="AA42" i="2"/>
  <c r="AB42" i="2"/>
  <c r="AA43" i="2"/>
  <c r="AB43" i="2"/>
  <c r="AA44" i="2"/>
  <c r="AB44" i="2"/>
  <c r="AA45" i="2"/>
  <c r="AB45" i="2"/>
  <c r="AA46" i="2"/>
  <c r="AB46" i="2"/>
  <c r="AA47" i="2"/>
  <c r="AB47" i="2"/>
  <c r="AA48" i="2"/>
  <c r="AB48" i="2"/>
  <c r="AA49" i="2"/>
  <c r="AB49" i="2"/>
  <c r="AA50" i="2"/>
  <c r="AB50" i="2"/>
  <c r="AA51" i="2"/>
  <c r="AB51" i="2"/>
  <c r="AA52" i="2"/>
  <c r="AB52" i="2"/>
  <c r="AA53" i="2"/>
  <c r="AB53" i="2"/>
  <c r="AA54" i="2"/>
  <c r="AB54" i="2"/>
  <c r="AA55" i="2"/>
  <c r="AB55" i="2"/>
  <c r="AA56" i="2"/>
  <c r="AB56" i="2"/>
  <c r="AA57" i="2"/>
  <c r="AB57" i="2"/>
  <c r="AA58" i="2"/>
  <c r="AB58" i="2"/>
  <c r="AA59" i="2"/>
  <c r="AB59" i="2"/>
  <c r="AA60" i="2"/>
  <c r="AB60" i="2"/>
  <c r="AA61" i="2"/>
  <c r="AB61" i="2"/>
  <c r="AA62" i="2"/>
  <c r="AB62" i="2"/>
  <c r="AA63" i="2"/>
  <c r="AB63" i="2"/>
  <c r="AA64" i="2"/>
  <c r="AB64" i="2"/>
  <c r="AA65" i="2"/>
  <c r="AB65" i="2"/>
  <c r="G5" i="2"/>
  <c r="H5" i="2"/>
  <c r="G6" i="2"/>
  <c r="H6" i="2"/>
  <c r="G7" i="2"/>
  <c r="H7" i="2"/>
  <c r="G8" i="2"/>
  <c r="H8" i="2"/>
  <c r="G9" i="2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AA44" i="20"/>
  <c r="AA45" i="20"/>
  <c r="AA46" i="20"/>
  <c r="AA47" i="20"/>
  <c r="AA48" i="20"/>
  <c r="AA49" i="20"/>
  <c r="AA50" i="20"/>
  <c r="AA51" i="20"/>
  <c r="AA52" i="20"/>
  <c r="AA53" i="20"/>
  <c r="AA54" i="20"/>
  <c r="AA55" i="20"/>
  <c r="AA56" i="20"/>
  <c r="AA57" i="20"/>
  <c r="AA58" i="20"/>
  <c r="AA59" i="20"/>
  <c r="AA60" i="20"/>
  <c r="AA61" i="20"/>
  <c r="AA62" i="20"/>
  <c r="AA63" i="20"/>
  <c r="A29" i="22" l="1"/>
  <c r="B31" i="22"/>
  <c r="B34" i="26"/>
  <c r="A32" i="26"/>
  <c r="B33" i="26"/>
  <c r="A31" i="26"/>
  <c r="A31" i="27"/>
  <c r="B33" i="27"/>
  <c r="A32" i="27"/>
  <c r="B34" i="27"/>
  <c r="B34" i="22"/>
  <c r="A32" i="22"/>
  <c r="B33" i="22" l="1"/>
  <c r="A31" i="22"/>
  <c r="B35" i="26"/>
  <c r="A33" i="26"/>
  <c r="A34" i="26"/>
  <c r="B36" i="26"/>
  <c r="B36" i="27"/>
  <c r="A34" i="27"/>
  <c r="A33" i="27"/>
  <c r="B35" i="27"/>
  <c r="A34" i="22"/>
  <c r="B36" i="22"/>
  <c r="B35" i="22" l="1"/>
  <c r="A33" i="22"/>
  <c r="A36" i="26"/>
  <c r="B38" i="26"/>
  <c r="A35" i="26"/>
  <c r="B37" i="26"/>
  <c r="A35" i="27"/>
  <c r="B37" i="27"/>
  <c r="A36" i="27"/>
  <c r="B38" i="27"/>
  <c r="B38" i="22"/>
  <c r="A36" i="22"/>
  <c r="AK44" i="18"/>
  <c r="AL44" i="18"/>
  <c r="AK45" i="18"/>
  <c r="AL45" i="18"/>
  <c r="AK46" i="18"/>
  <c r="AL46" i="18"/>
  <c r="AK47" i="18"/>
  <c r="AL47" i="18"/>
  <c r="AK48" i="18"/>
  <c r="AL48" i="18"/>
  <c r="AK49" i="18"/>
  <c r="AL49" i="18"/>
  <c r="AK50" i="18"/>
  <c r="AL50" i="18"/>
  <c r="AK51" i="18"/>
  <c r="AL51" i="18"/>
  <c r="B37" i="22" l="1"/>
  <c r="A35" i="22"/>
  <c r="B39" i="26"/>
  <c r="A37" i="26"/>
  <c r="B40" i="26"/>
  <c r="A38" i="26"/>
  <c r="A38" i="27"/>
  <c r="B40" i="27"/>
  <c r="A37" i="27"/>
  <c r="B39" i="27"/>
  <c r="A38" i="22"/>
  <c r="B40" i="22"/>
  <c r="A37" i="22" l="1"/>
  <c r="B39" i="22"/>
  <c r="A40" i="26"/>
  <c r="B42" i="26"/>
  <c r="B41" i="26"/>
  <c r="A39" i="26"/>
  <c r="B41" i="27"/>
  <c r="A39" i="27"/>
  <c r="B42" i="27"/>
  <c r="A40" i="27"/>
  <c r="B42" i="22"/>
  <c r="A40" i="22"/>
  <c r="AS29" i="8"/>
  <c r="B41" i="22" l="1"/>
  <c r="A39" i="22"/>
  <c r="A41" i="26"/>
  <c r="B43" i="26"/>
  <c r="B44" i="26"/>
  <c r="A42" i="26"/>
  <c r="A42" i="27"/>
  <c r="B44" i="27"/>
  <c r="B43" i="27"/>
  <c r="A41" i="27"/>
  <c r="B44" i="22"/>
  <c r="A42" i="22"/>
  <c r="AG16" i="5"/>
  <c r="AG17" i="5"/>
  <c r="AG18" i="5"/>
  <c r="AG19" i="5"/>
  <c r="AG20" i="5"/>
  <c r="AG21" i="5"/>
  <c r="AG22" i="5"/>
  <c r="AG23" i="5"/>
  <c r="AG24" i="5"/>
  <c r="AG25" i="5"/>
  <c r="A41" i="22" l="1"/>
  <c r="B43" i="22"/>
  <c r="A44" i="26"/>
  <c r="B46" i="26"/>
  <c r="A43" i="26"/>
  <c r="B45" i="26"/>
  <c r="A43" i="27"/>
  <c r="B45" i="27"/>
  <c r="B46" i="27"/>
  <c r="A44" i="27"/>
  <c r="B46" i="22"/>
  <c r="A44" i="22"/>
  <c r="M46" i="1"/>
  <c r="M47" i="1"/>
  <c r="M49" i="1"/>
  <c r="M50" i="1"/>
  <c r="M51" i="1"/>
  <c r="M52" i="1"/>
  <c r="M53" i="1"/>
  <c r="M54" i="1"/>
  <c r="M56" i="1"/>
  <c r="M57" i="1"/>
  <c r="M45" i="1"/>
  <c r="B45" i="22" l="1"/>
  <c r="A43" i="22"/>
  <c r="B47" i="26"/>
  <c r="A45" i="26"/>
  <c r="B48" i="26"/>
  <c r="A46" i="26"/>
  <c r="A46" i="27"/>
  <c r="B48" i="27"/>
  <c r="A45" i="27"/>
  <c r="B47" i="27"/>
  <c r="B48" i="22"/>
  <c r="A46" i="22"/>
  <c r="K17" i="1"/>
  <c r="A45" i="22" l="1"/>
  <c r="B47" i="22"/>
  <c r="B50" i="26"/>
  <c r="A48" i="26"/>
  <c r="A47" i="26"/>
  <c r="B49" i="26"/>
  <c r="B50" i="27"/>
  <c r="A48" i="27"/>
  <c r="A47" i="27"/>
  <c r="B49" i="27"/>
  <c r="B50" i="22"/>
  <c r="A48" i="22"/>
  <c r="G4" i="12"/>
  <c r="G5" i="12"/>
  <c r="G6" i="12"/>
  <c r="G7" i="12"/>
  <c r="B49" i="22" l="1"/>
  <c r="A47" i="22"/>
  <c r="B51" i="26"/>
  <c r="A49" i="26"/>
  <c r="B52" i="26"/>
  <c r="A50" i="26"/>
  <c r="A49" i="27"/>
  <c r="B51" i="27"/>
  <c r="A50" i="27"/>
  <c r="B52" i="27"/>
  <c r="A50" i="22"/>
  <c r="B52" i="22"/>
  <c r="H11" i="18"/>
  <c r="G11" i="18"/>
  <c r="H10" i="18"/>
  <c r="G10" i="18"/>
  <c r="H9" i="18"/>
  <c r="G9" i="18"/>
  <c r="H8" i="18"/>
  <c r="G8" i="18"/>
  <c r="H7" i="18"/>
  <c r="G7" i="18"/>
  <c r="H6" i="18"/>
  <c r="G6" i="18"/>
  <c r="H5" i="18"/>
  <c r="G5" i="18"/>
  <c r="H4" i="18"/>
  <c r="G4" i="18"/>
  <c r="AF5" i="3"/>
  <c r="AG5" i="3"/>
  <c r="AF6" i="3"/>
  <c r="AG6" i="3"/>
  <c r="AF7" i="3"/>
  <c r="AG7" i="3"/>
  <c r="AF8" i="3"/>
  <c r="AG8" i="3"/>
  <c r="AF9" i="3"/>
  <c r="AG9" i="3"/>
  <c r="AF10" i="3"/>
  <c r="AG10" i="3"/>
  <c r="AF11" i="3"/>
  <c r="AG11" i="3"/>
  <c r="AF12" i="3"/>
  <c r="AG12" i="3"/>
  <c r="AF13" i="3"/>
  <c r="AG13" i="3"/>
  <c r="AF14" i="3"/>
  <c r="AG14" i="3"/>
  <c r="AF15" i="3"/>
  <c r="AG15" i="3"/>
  <c r="AF16" i="3"/>
  <c r="AG16" i="3"/>
  <c r="AF17" i="3"/>
  <c r="AG17" i="3"/>
  <c r="AF18" i="3"/>
  <c r="AG18" i="3"/>
  <c r="AF19" i="3"/>
  <c r="AG19" i="3"/>
  <c r="AF20" i="3"/>
  <c r="AG20" i="3"/>
  <c r="AF21" i="3"/>
  <c r="AG21" i="3"/>
  <c r="AF22" i="3"/>
  <c r="AG22" i="3"/>
  <c r="AF23" i="3"/>
  <c r="AG23" i="3"/>
  <c r="AF24" i="3"/>
  <c r="AG24" i="3"/>
  <c r="AF25" i="3"/>
  <c r="AG25" i="3"/>
  <c r="AF26" i="3"/>
  <c r="AG26" i="3"/>
  <c r="AF27" i="3"/>
  <c r="AG27" i="3"/>
  <c r="AF28" i="3"/>
  <c r="AG28" i="3"/>
  <c r="AF29" i="3"/>
  <c r="AG29" i="3"/>
  <c r="AF30" i="3"/>
  <c r="AG30" i="3"/>
  <c r="AF31" i="3"/>
  <c r="AG31" i="3"/>
  <c r="AF32" i="3"/>
  <c r="AG32" i="3"/>
  <c r="AF33" i="3"/>
  <c r="AG33" i="3"/>
  <c r="AF34" i="3"/>
  <c r="AG34" i="3"/>
  <c r="AF35" i="3"/>
  <c r="AG35" i="3"/>
  <c r="AF36" i="3"/>
  <c r="AG36" i="3"/>
  <c r="AF37" i="3"/>
  <c r="AG37" i="3"/>
  <c r="AF38" i="3"/>
  <c r="AG38" i="3"/>
  <c r="AF39" i="3"/>
  <c r="AG39" i="3"/>
  <c r="AF40" i="3"/>
  <c r="AG40" i="3"/>
  <c r="AF41" i="3"/>
  <c r="AG41" i="3"/>
  <c r="AF42" i="3"/>
  <c r="AG42" i="3"/>
  <c r="AF43" i="3"/>
  <c r="AG43" i="3"/>
  <c r="AF44" i="3"/>
  <c r="AG44" i="3"/>
  <c r="AF45" i="3"/>
  <c r="AG45" i="3"/>
  <c r="AF46" i="3"/>
  <c r="AG46" i="3"/>
  <c r="AF47" i="3"/>
  <c r="AG47" i="3"/>
  <c r="AF48" i="3"/>
  <c r="AG48" i="3"/>
  <c r="AF49" i="3"/>
  <c r="AG49" i="3"/>
  <c r="AF50" i="3"/>
  <c r="AG50" i="3"/>
  <c r="AF51" i="3"/>
  <c r="AG51" i="3"/>
  <c r="AF52" i="3"/>
  <c r="AG52" i="3"/>
  <c r="AF53" i="3"/>
  <c r="AG53" i="3"/>
  <c r="AF54" i="3"/>
  <c r="AG54" i="3"/>
  <c r="AF55" i="3"/>
  <c r="AG55" i="3"/>
  <c r="AF56" i="3"/>
  <c r="AG56" i="3"/>
  <c r="AF57" i="3"/>
  <c r="AG57" i="3"/>
  <c r="AF58" i="3"/>
  <c r="AG58" i="3"/>
  <c r="AF59" i="3"/>
  <c r="AG59" i="3"/>
  <c r="AF60" i="3"/>
  <c r="AG60" i="3"/>
  <c r="AF61" i="3"/>
  <c r="AG61" i="3"/>
  <c r="AF62" i="3"/>
  <c r="AG62" i="3"/>
  <c r="AF63" i="3"/>
  <c r="AG63" i="3"/>
  <c r="AF64" i="3"/>
  <c r="AG64" i="3"/>
  <c r="AF65" i="3"/>
  <c r="AG65" i="3"/>
  <c r="AA14" i="3"/>
  <c r="AB14" i="3"/>
  <c r="AA15" i="3"/>
  <c r="AB15" i="3"/>
  <c r="AA16" i="3"/>
  <c r="AB16" i="3"/>
  <c r="AA17" i="3"/>
  <c r="AB17" i="3"/>
  <c r="AA18" i="3"/>
  <c r="AB18" i="3"/>
  <c r="AA19" i="3"/>
  <c r="AB19" i="3"/>
  <c r="AA20" i="3"/>
  <c r="AB20" i="3"/>
  <c r="AA21" i="3"/>
  <c r="AB21" i="3"/>
  <c r="AA22" i="3"/>
  <c r="AB22" i="3"/>
  <c r="AA23" i="3"/>
  <c r="AB23" i="3"/>
  <c r="AA24" i="3"/>
  <c r="AB24" i="3"/>
  <c r="AA25" i="3"/>
  <c r="AB25" i="3"/>
  <c r="AA26" i="3"/>
  <c r="AB26" i="3"/>
  <c r="AA27" i="3"/>
  <c r="AB27" i="3"/>
  <c r="AA28" i="3"/>
  <c r="AB28" i="3"/>
  <c r="AA29" i="3"/>
  <c r="AB29" i="3"/>
  <c r="AA30" i="3"/>
  <c r="AB30" i="3"/>
  <c r="AA31" i="3"/>
  <c r="AB31" i="3"/>
  <c r="AA32" i="3"/>
  <c r="AB32" i="3"/>
  <c r="AA33" i="3"/>
  <c r="AB33" i="3"/>
  <c r="AA34" i="3"/>
  <c r="AB34" i="3"/>
  <c r="AA35" i="3"/>
  <c r="AB35" i="3"/>
  <c r="AA36" i="3"/>
  <c r="AB36" i="3"/>
  <c r="AA37" i="3"/>
  <c r="AB37" i="3"/>
  <c r="AA38" i="3"/>
  <c r="AB38" i="3"/>
  <c r="AA39" i="3"/>
  <c r="AB39" i="3"/>
  <c r="AA40" i="3"/>
  <c r="AB40" i="3"/>
  <c r="AA41" i="3"/>
  <c r="AB41" i="3"/>
  <c r="AA42" i="3"/>
  <c r="AB42" i="3"/>
  <c r="AA43" i="3"/>
  <c r="AB43" i="3"/>
  <c r="AA44" i="3"/>
  <c r="AB44" i="3"/>
  <c r="AA45" i="3"/>
  <c r="AB45" i="3"/>
  <c r="AA46" i="3"/>
  <c r="AB46" i="3"/>
  <c r="AA47" i="3"/>
  <c r="AB47" i="3"/>
  <c r="AA48" i="3"/>
  <c r="AB48" i="3"/>
  <c r="AA49" i="3"/>
  <c r="AB49" i="3"/>
  <c r="AA50" i="3"/>
  <c r="AB50" i="3"/>
  <c r="AA51" i="3"/>
  <c r="AB51" i="3"/>
  <c r="AA52" i="3"/>
  <c r="AB52" i="3"/>
  <c r="AA53" i="3"/>
  <c r="AB53" i="3"/>
  <c r="AA54" i="3"/>
  <c r="AB54" i="3"/>
  <c r="AA55" i="3"/>
  <c r="AB55" i="3"/>
  <c r="AA56" i="3"/>
  <c r="AB56" i="3"/>
  <c r="AA57" i="3"/>
  <c r="AB57" i="3"/>
  <c r="AA58" i="3"/>
  <c r="AB58" i="3"/>
  <c r="AA59" i="3"/>
  <c r="AB59" i="3"/>
  <c r="AA60" i="3"/>
  <c r="AB60" i="3"/>
  <c r="AA61" i="3"/>
  <c r="AB61" i="3"/>
  <c r="AA62" i="3"/>
  <c r="AB62" i="3"/>
  <c r="AA63" i="3"/>
  <c r="AB63" i="3"/>
  <c r="AA64" i="3"/>
  <c r="AB64" i="3"/>
  <c r="AA65" i="3"/>
  <c r="AB65" i="3"/>
  <c r="R5" i="3"/>
  <c r="S5" i="3"/>
  <c r="T5" i="3"/>
  <c r="R6" i="3"/>
  <c r="S6" i="3"/>
  <c r="T6" i="3"/>
  <c r="R7" i="3"/>
  <c r="S7" i="3"/>
  <c r="T7" i="3"/>
  <c r="R8" i="3"/>
  <c r="S8" i="3"/>
  <c r="T8" i="3"/>
  <c r="R9" i="3"/>
  <c r="S9" i="3"/>
  <c r="T9" i="3"/>
  <c r="R10" i="3"/>
  <c r="S10" i="3"/>
  <c r="T10" i="3"/>
  <c r="R11" i="3"/>
  <c r="S11" i="3"/>
  <c r="T11" i="3"/>
  <c r="R12" i="3"/>
  <c r="S12" i="3"/>
  <c r="T12" i="3"/>
  <c r="R13" i="3"/>
  <c r="S13" i="3"/>
  <c r="T13" i="3"/>
  <c r="R14" i="3"/>
  <c r="S14" i="3"/>
  <c r="T14" i="3"/>
  <c r="R15" i="3"/>
  <c r="S15" i="3"/>
  <c r="T15" i="3"/>
  <c r="R16" i="3"/>
  <c r="S16" i="3"/>
  <c r="T16" i="3"/>
  <c r="R17" i="3"/>
  <c r="S17" i="3"/>
  <c r="T17" i="3"/>
  <c r="R18" i="3"/>
  <c r="S18" i="3"/>
  <c r="T18" i="3"/>
  <c r="R19" i="3"/>
  <c r="S19" i="3"/>
  <c r="T19" i="3"/>
  <c r="R20" i="3"/>
  <c r="S20" i="3"/>
  <c r="T20" i="3"/>
  <c r="R21" i="3"/>
  <c r="S21" i="3"/>
  <c r="T21" i="3"/>
  <c r="R22" i="3"/>
  <c r="S22" i="3"/>
  <c r="T22" i="3"/>
  <c r="R23" i="3"/>
  <c r="S23" i="3"/>
  <c r="T23" i="3"/>
  <c r="R24" i="3"/>
  <c r="S24" i="3"/>
  <c r="T24" i="3"/>
  <c r="R25" i="3"/>
  <c r="S25" i="3"/>
  <c r="T25" i="3"/>
  <c r="R26" i="3"/>
  <c r="S26" i="3"/>
  <c r="T26" i="3"/>
  <c r="R27" i="3"/>
  <c r="S27" i="3"/>
  <c r="T27" i="3"/>
  <c r="R28" i="3"/>
  <c r="S28" i="3"/>
  <c r="T28" i="3"/>
  <c r="R29" i="3"/>
  <c r="S29" i="3"/>
  <c r="T29" i="3"/>
  <c r="R30" i="3"/>
  <c r="S30" i="3"/>
  <c r="T30" i="3"/>
  <c r="R31" i="3"/>
  <c r="S31" i="3"/>
  <c r="T31" i="3"/>
  <c r="S32" i="3"/>
  <c r="T32" i="3"/>
  <c r="S33" i="3"/>
  <c r="T33" i="3"/>
  <c r="S34" i="3"/>
  <c r="T34" i="3"/>
  <c r="S35" i="3"/>
  <c r="T35" i="3"/>
  <c r="S36" i="3"/>
  <c r="T36" i="3"/>
  <c r="S37" i="3"/>
  <c r="T37" i="3"/>
  <c r="S38" i="3"/>
  <c r="T38" i="3"/>
  <c r="S39" i="3"/>
  <c r="T39" i="3"/>
  <c r="S40" i="3"/>
  <c r="T40" i="3"/>
  <c r="S41" i="3"/>
  <c r="T41" i="3"/>
  <c r="S42" i="3"/>
  <c r="T42" i="3"/>
  <c r="S43" i="3"/>
  <c r="T43" i="3"/>
  <c r="S44" i="3"/>
  <c r="T44" i="3"/>
  <c r="S45" i="3"/>
  <c r="T45" i="3"/>
  <c r="R46" i="3"/>
  <c r="S46" i="3"/>
  <c r="T46" i="3"/>
  <c r="R47" i="3"/>
  <c r="S47" i="3"/>
  <c r="T47" i="3"/>
  <c r="R48" i="3"/>
  <c r="S48" i="3"/>
  <c r="T48" i="3"/>
  <c r="R49" i="3"/>
  <c r="S49" i="3"/>
  <c r="T49" i="3"/>
  <c r="R50" i="3"/>
  <c r="S50" i="3"/>
  <c r="T50" i="3"/>
  <c r="R51" i="3"/>
  <c r="S51" i="3"/>
  <c r="T51" i="3"/>
  <c r="R52" i="3"/>
  <c r="S52" i="3"/>
  <c r="T52" i="3"/>
  <c r="R53" i="3"/>
  <c r="S53" i="3"/>
  <c r="T53" i="3"/>
  <c r="R54" i="3"/>
  <c r="S54" i="3"/>
  <c r="T54" i="3"/>
  <c r="R55" i="3"/>
  <c r="S55" i="3"/>
  <c r="T55" i="3"/>
  <c r="R56" i="3"/>
  <c r="S56" i="3"/>
  <c r="T56" i="3"/>
  <c r="R57" i="3"/>
  <c r="S57" i="3"/>
  <c r="T57" i="3"/>
  <c r="R58" i="3"/>
  <c r="S58" i="3"/>
  <c r="T58" i="3"/>
  <c r="R59" i="3"/>
  <c r="S59" i="3"/>
  <c r="T59" i="3"/>
  <c r="R60" i="3"/>
  <c r="S60" i="3"/>
  <c r="T60" i="3"/>
  <c r="R61" i="3"/>
  <c r="S61" i="3"/>
  <c r="T61" i="3"/>
  <c r="R62" i="3"/>
  <c r="S62" i="3"/>
  <c r="T62" i="3"/>
  <c r="R63" i="3"/>
  <c r="S63" i="3"/>
  <c r="T63" i="3"/>
  <c r="R64" i="3"/>
  <c r="S64" i="3"/>
  <c r="T64" i="3"/>
  <c r="R65" i="3"/>
  <c r="S65" i="3"/>
  <c r="T65" i="3"/>
  <c r="G5" i="3"/>
  <c r="H5" i="3"/>
  <c r="G6" i="3"/>
  <c r="H6" i="3"/>
  <c r="G7" i="3"/>
  <c r="H7" i="3"/>
  <c r="G8" i="3"/>
  <c r="H8" i="3"/>
  <c r="G9" i="3"/>
  <c r="H9" i="3"/>
  <c r="G10" i="3"/>
  <c r="H10" i="3"/>
  <c r="G11" i="3"/>
  <c r="H11" i="3"/>
  <c r="G12" i="3"/>
  <c r="H12" i="3"/>
  <c r="G13" i="3"/>
  <c r="H13" i="3"/>
  <c r="G14" i="3"/>
  <c r="H14" i="3"/>
  <c r="G15" i="3"/>
  <c r="H15" i="3"/>
  <c r="G16" i="3"/>
  <c r="H16" i="3"/>
  <c r="G17" i="3"/>
  <c r="H17" i="3"/>
  <c r="G18" i="3"/>
  <c r="H18" i="3"/>
  <c r="G19" i="3"/>
  <c r="H19" i="3"/>
  <c r="G20" i="3"/>
  <c r="H20" i="3"/>
  <c r="G21" i="3"/>
  <c r="H21" i="3"/>
  <c r="G22" i="3"/>
  <c r="H22" i="3"/>
  <c r="G23" i="3"/>
  <c r="H23" i="3"/>
  <c r="G24" i="3"/>
  <c r="H24" i="3"/>
  <c r="G25" i="3"/>
  <c r="H25" i="3"/>
  <c r="G26" i="3"/>
  <c r="H26" i="3"/>
  <c r="G27" i="3"/>
  <c r="H27" i="3"/>
  <c r="G28" i="3"/>
  <c r="H28" i="3"/>
  <c r="G29" i="3"/>
  <c r="H29" i="3"/>
  <c r="G30" i="3"/>
  <c r="H30" i="3"/>
  <c r="G31" i="3"/>
  <c r="H31" i="3"/>
  <c r="G32" i="3"/>
  <c r="H32" i="3"/>
  <c r="G33" i="3"/>
  <c r="H33" i="3"/>
  <c r="G34" i="3"/>
  <c r="H34" i="3"/>
  <c r="G35" i="3"/>
  <c r="H35" i="3"/>
  <c r="G36" i="3"/>
  <c r="H36" i="3"/>
  <c r="G37" i="3"/>
  <c r="H37" i="3"/>
  <c r="G38" i="3"/>
  <c r="H38" i="3"/>
  <c r="G39" i="3"/>
  <c r="H39" i="3"/>
  <c r="G40" i="3"/>
  <c r="H40" i="3"/>
  <c r="G41" i="3"/>
  <c r="H41" i="3"/>
  <c r="G42" i="3"/>
  <c r="H42" i="3"/>
  <c r="G43" i="3"/>
  <c r="H43" i="3"/>
  <c r="G44" i="3"/>
  <c r="H44" i="3"/>
  <c r="G45" i="3"/>
  <c r="H45" i="3"/>
  <c r="G46" i="3"/>
  <c r="H46" i="3"/>
  <c r="G47" i="3"/>
  <c r="H47" i="3"/>
  <c r="G48" i="3"/>
  <c r="H48" i="3"/>
  <c r="G49" i="3"/>
  <c r="H49" i="3"/>
  <c r="G50" i="3"/>
  <c r="H50" i="3"/>
  <c r="G51" i="3"/>
  <c r="H51" i="3"/>
  <c r="G52" i="3"/>
  <c r="H52" i="3"/>
  <c r="G53" i="3"/>
  <c r="H53" i="3"/>
  <c r="G54" i="3"/>
  <c r="H54" i="3"/>
  <c r="G55" i="3"/>
  <c r="H55" i="3"/>
  <c r="G56" i="3"/>
  <c r="H56" i="3"/>
  <c r="G57" i="3"/>
  <c r="H57" i="3"/>
  <c r="G58" i="3"/>
  <c r="H58" i="3"/>
  <c r="G59" i="3"/>
  <c r="H59" i="3"/>
  <c r="G60" i="3"/>
  <c r="H60" i="3"/>
  <c r="G61" i="3"/>
  <c r="H61" i="3"/>
  <c r="G62" i="3"/>
  <c r="H62" i="3"/>
  <c r="G63" i="3"/>
  <c r="H63" i="3"/>
  <c r="G64" i="3"/>
  <c r="H64" i="3"/>
  <c r="G65" i="3"/>
  <c r="H65" i="3"/>
  <c r="A49" i="22" l="1"/>
  <c r="B51" i="22"/>
  <c r="B54" i="26"/>
  <c r="A52" i="26"/>
  <c r="B53" i="26"/>
  <c r="A51" i="26"/>
  <c r="A52" i="27"/>
  <c r="B54" i="27"/>
  <c r="A51" i="27"/>
  <c r="B53" i="27"/>
  <c r="B54" i="22"/>
  <c r="A52" i="22"/>
  <c r="G42" i="1"/>
  <c r="H42" i="1"/>
  <c r="I42" i="1"/>
  <c r="J42" i="1"/>
  <c r="B53" i="22" l="1"/>
  <c r="A51" i="22"/>
  <c r="B55" i="26"/>
  <c r="A53" i="26"/>
  <c r="A54" i="26"/>
  <c r="B56" i="26"/>
  <c r="B55" i="27"/>
  <c r="A53" i="27"/>
  <c r="B56" i="27"/>
  <c r="A54" i="27"/>
  <c r="A54" i="22"/>
  <c r="B56" i="22"/>
  <c r="AS49" i="8"/>
  <c r="A53" i="22" l="1"/>
  <c r="B55" i="22"/>
  <c r="B58" i="26"/>
  <c r="A56" i="26"/>
  <c r="B57" i="26"/>
  <c r="A55" i="26"/>
  <c r="A56" i="27"/>
  <c r="B58" i="27"/>
  <c r="B57" i="27"/>
  <c r="A55" i="27"/>
  <c r="B58" i="22"/>
  <c r="A56" i="22"/>
  <c r="B57" i="22" l="1"/>
  <c r="A55" i="22"/>
  <c r="A57" i="26"/>
  <c r="B59" i="26"/>
  <c r="A58" i="26"/>
  <c r="B60" i="26"/>
  <c r="A57" i="27"/>
  <c r="B59" i="27"/>
  <c r="B60" i="27"/>
  <c r="A58" i="27"/>
  <c r="B60" i="22"/>
  <c r="A58" i="22"/>
  <c r="G4" i="5"/>
  <c r="H4" i="5"/>
  <c r="G5" i="5"/>
  <c r="H5" i="5"/>
  <c r="G6" i="5"/>
  <c r="H6" i="5"/>
  <c r="G7" i="5"/>
  <c r="H7" i="5"/>
  <c r="G8" i="5"/>
  <c r="H8" i="5"/>
  <c r="G9" i="5"/>
  <c r="H9" i="5"/>
  <c r="G10" i="5"/>
  <c r="H10" i="5"/>
  <c r="G11" i="5"/>
  <c r="H11" i="5"/>
  <c r="A57" i="22" l="1"/>
  <c r="B59" i="22"/>
  <c r="B62" i="26"/>
  <c r="A60" i="26"/>
  <c r="B61" i="26"/>
  <c r="A59" i="26"/>
  <c r="B62" i="27"/>
  <c r="A60" i="27"/>
  <c r="A59" i="27"/>
  <c r="B61" i="27"/>
  <c r="B62" i="22"/>
  <c r="A60" i="22"/>
  <c r="AA4" i="21"/>
  <c r="AB4" i="21"/>
  <c r="AA5" i="21"/>
  <c r="AB5" i="21"/>
  <c r="AA6" i="21"/>
  <c r="AB6" i="21"/>
  <c r="AA7" i="21"/>
  <c r="AB7" i="21"/>
  <c r="AA8" i="21"/>
  <c r="AB8" i="21"/>
  <c r="AA9" i="21"/>
  <c r="AB9" i="21"/>
  <c r="AA10" i="21"/>
  <c r="AB10" i="21"/>
  <c r="AA11" i="21"/>
  <c r="AB11" i="21"/>
  <c r="AA12" i="21"/>
  <c r="AB12" i="21"/>
  <c r="AA13" i="21"/>
  <c r="AB13" i="21"/>
  <c r="AA14" i="21"/>
  <c r="AB14" i="21"/>
  <c r="AA15" i="21"/>
  <c r="AB15" i="21"/>
  <c r="AA16" i="21"/>
  <c r="AB16" i="21"/>
  <c r="AA17" i="21"/>
  <c r="AB17" i="21"/>
  <c r="AA18" i="21"/>
  <c r="AB18" i="21"/>
  <c r="AA19" i="21"/>
  <c r="AB19" i="21"/>
  <c r="AA20" i="21"/>
  <c r="AB20" i="21"/>
  <c r="AA21" i="21"/>
  <c r="AB21" i="21"/>
  <c r="AA22" i="21"/>
  <c r="AB22" i="21"/>
  <c r="AA23" i="21"/>
  <c r="AB23" i="21"/>
  <c r="AA24" i="21"/>
  <c r="AB24" i="21"/>
  <c r="AA25" i="21"/>
  <c r="AB25" i="21"/>
  <c r="AA26" i="21"/>
  <c r="AB26" i="21"/>
  <c r="AA27" i="21"/>
  <c r="AB27" i="21"/>
  <c r="AA28" i="21"/>
  <c r="AB28" i="21"/>
  <c r="AA29" i="21"/>
  <c r="AB29" i="21"/>
  <c r="AA30" i="21"/>
  <c r="AB30" i="21"/>
  <c r="AA31" i="21"/>
  <c r="AB31" i="21"/>
  <c r="AA32" i="21"/>
  <c r="AB32" i="21"/>
  <c r="AA33" i="21"/>
  <c r="AB33" i="21"/>
  <c r="AA34" i="21"/>
  <c r="AB34" i="21"/>
  <c r="AA35" i="21"/>
  <c r="AB35" i="21"/>
  <c r="AA36" i="21"/>
  <c r="AB36" i="21"/>
  <c r="AA37" i="21"/>
  <c r="AB37" i="21"/>
  <c r="AA38" i="21"/>
  <c r="AB38" i="21"/>
  <c r="AA39" i="21"/>
  <c r="AB39" i="21"/>
  <c r="AA40" i="21"/>
  <c r="AB40" i="21"/>
  <c r="AA41" i="21"/>
  <c r="AB41" i="21"/>
  <c r="AA42" i="21"/>
  <c r="AB42" i="21"/>
  <c r="AA43" i="21"/>
  <c r="AB43" i="21"/>
  <c r="AA44" i="21"/>
  <c r="AB44" i="21"/>
  <c r="AA45" i="21"/>
  <c r="AB45" i="21"/>
  <c r="AA46" i="21"/>
  <c r="AB46" i="21"/>
  <c r="AA47" i="21"/>
  <c r="AB47" i="21"/>
  <c r="AA48" i="21"/>
  <c r="AB48" i="21"/>
  <c r="AA49" i="21"/>
  <c r="AB49" i="21"/>
  <c r="AA50" i="21"/>
  <c r="AB50" i="21"/>
  <c r="AA51" i="21"/>
  <c r="AB51" i="21"/>
  <c r="AA52" i="21"/>
  <c r="AB52" i="21"/>
  <c r="AA53" i="21"/>
  <c r="AB53" i="21"/>
  <c r="AA54" i="21"/>
  <c r="AB54" i="21"/>
  <c r="AA55" i="21"/>
  <c r="AB55" i="21"/>
  <c r="AA56" i="21"/>
  <c r="AB56" i="21"/>
  <c r="AA57" i="21"/>
  <c r="AB57" i="21"/>
  <c r="AA58" i="21"/>
  <c r="AB58" i="21"/>
  <c r="AA59" i="21"/>
  <c r="AB59" i="21"/>
  <c r="AA60" i="21"/>
  <c r="AB60" i="21"/>
  <c r="AA61" i="21"/>
  <c r="AB61" i="21"/>
  <c r="AA62" i="21"/>
  <c r="AB62" i="21"/>
  <c r="AA63" i="21"/>
  <c r="AB63" i="21"/>
  <c r="B61" i="22" l="1"/>
  <c r="A59" i="22"/>
  <c r="B63" i="26"/>
  <c r="A61" i="26"/>
  <c r="A62" i="26"/>
  <c r="B64" i="26"/>
  <c r="A64" i="26" s="1"/>
  <c r="B63" i="27"/>
  <c r="A61" i="27"/>
  <c r="A62" i="27"/>
  <c r="B64" i="27"/>
  <c r="A64" i="27" s="1"/>
  <c r="A62" i="22"/>
  <c r="B64" i="22"/>
  <c r="A64" i="22" s="1"/>
  <c r="A61" i="22" l="1"/>
  <c r="B63" i="22"/>
  <c r="A63" i="26"/>
  <c r="B65" i="26"/>
  <c r="A65" i="26" s="1"/>
  <c r="B65" i="27"/>
  <c r="A65" i="27" s="1"/>
  <c r="A63" i="27"/>
  <c r="AS53" i="8"/>
  <c r="B65" i="22" l="1"/>
  <c r="A65" i="22" s="1"/>
  <c r="A63" i="22"/>
  <c r="R6" i="21"/>
  <c r="AM6" i="21" s="1"/>
  <c r="S6" i="21"/>
  <c r="T6" i="21"/>
  <c r="AF6" i="21"/>
  <c r="AG6" i="21"/>
  <c r="AK6" i="21"/>
  <c r="AL6" i="21"/>
  <c r="R7" i="21"/>
  <c r="AM7" i="21" s="1"/>
  <c r="S7" i="21"/>
  <c r="T7" i="21"/>
  <c r="AF7" i="21"/>
  <c r="AG7" i="21"/>
  <c r="AK7" i="21"/>
  <c r="AL7" i="21"/>
  <c r="R8" i="21"/>
  <c r="S8" i="21"/>
  <c r="T8" i="21"/>
  <c r="AF8" i="21"/>
  <c r="AG8" i="21"/>
  <c r="AK8" i="21"/>
  <c r="AL8" i="21"/>
  <c r="R9" i="21"/>
  <c r="AM9" i="21" s="1"/>
  <c r="S9" i="21"/>
  <c r="T9" i="21"/>
  <c r="AF9" i="21"/>
  <c r="AG9" i="21"/>
  <c r="AK9" i="21"/>
  <c r="AL9" i="21"/>
  <c r="R10" i="21"/>
  <c r="AM10" i="21" s="1"/>
  <c r="S10" i="21"/>
  <c r="T10" i="21"/>
  <c r="AF10" i="21"/>
  <c r="AG10" i="21"/>
  <c r="AK10" i="21"/>
  <c r="AL10" i="21"/>
  <c r="R11" i="21"/>
  <c r="AM11" i="21" s="1"/>
  <c r="S11" i="21"/>
  <c r="T11" i="21"/>
  <c r="AF11" i="21"/>
  <c r="AG11" i="21"/>
  <c r="AK11" i="21"/>
  <c r="AL11" i="21"/>
  <c r="R12" i="21"/>
  <c r="AM12" i="21" s="1"/>
  <c r="S12" i="21"/>
  <c r="T12" i="21"/>
  <c r="AF12" i="21"/>
  <c r="AG12" i="21"/>
  <c r="AK12" i="21"/>
  <c r="AL12" i="21"/>
  <c r="R13" i="21"/>
  <c r="AM13" i="21" s="1"/>
  <c r="S13" i="21"/>
  <c r="T13" i="21"/>
  <c r="AF13" i="21"/>
  <c r="AG13" i="21"/>
  <c r="AK13" i="21"/>
  <c r="AL13" i="21"/>
  <c r="R14" i="21"/>
  <c r="AM14" i="21" s="1"/>
  <c r="S14" i="21"/>
  <c r="T14" i="21"/>
  <c r="AF14" i="21"/>
  <c r="AG14" i="21"/>
  <c r="AK14" i="21"/>
  <c r="AL14" i="21"/>
  <c r="R15" i="21"/>
  <c r="AM15" i="21" s="1"/>
  <c r="S15" i="21"/>
  <c r="T15" i="21"/>
  <c r="AF15" i="21"/>
  <c r="AG15" i="21"/>
  <c r="AK15" i="21"/>
  <c r="AL15" i="21"/>
  <c r="R16" i="21"/>
  <c r="AM16" i="21" s="1"/>
  <c r="S16" i="21"/>
  <c r="T16" i="21"/>
  <c r="AF16" i="21"/>
  <c r="AG16" i="21"/>
  <c r="AK16" i="21"/>
  <c r="AL16" i="21"/>
  <c r="R17" i="21"/>
  <c r="AM17" i="21" s="1"/>
  <c r="S17" i="21"/>
  <c r="T17" i="21"/>
  <c r="AF17" i="21"/>
  <c r="AG17" i="21"/>
  <c r="AK17" i="21"/>
  <c r="AL17" i="21"/>
  <c r="R18" i="21"/>
  <c r="AM18" i="21" s="1"/>
  <c r="S18" i="21"/>
  <c r="T18" i="21"/>
  <c r="AF18" i="21"/>
  <c r="AG18" i="21"/>
  <c r="AK18" i="21"/>
  <c r="AL18" i="21"/>
  <c r="R19" i="21"/>
  <c r="AM19" i="21" s="1"/>
  <c r="S19" i="21"/>
  <c r="T19" i="21"/>
  <c r="AF19" i="21"/>
  <c r="AG19" i="21"/>
  <c r="AK19" i="21"/>
  <c r="AL19" i="21"/>
  <c r="R20" i="21"/>
  <c r="AM20" i="21" s="1"/>
  <c r="S20" i="21"/>
  <c r="T20" i="21"/>
  <c r="AF20" i="21"/>
  <c r="AG20" i="21"/>
  <c r="AK20" i="21"/>
  <c r="AL20" i="21"/>
  <c r="R21" i="21"/>
  <c r="AM21" i="21" s="1"/>
  <c r="S21" i="21"/>
  <c r="T21" i="21"/>
  <c r="AF21" i="21"/>
  <c r="AG21" i="21"/>
  <c r="AK21" i="21"/>
  <c r="AL21" i="21"/>
  <c r="R22" i="21"/>
  <c r="AM22" i="21" s="1"/>
  <c r="S22" i="21"/>
  <c r="T22" i="21"/>
  <c r="AF22" i="21"/>
  <c r="AG22" i="21"/>
  <c r="AK22" i="21"/>
  <c r="AL22" i="21"/>
  <c r="R23" i="21"/>
  <c r="AM23" i="21" s="1"/>
  <c r="S23" i="21"/>
  <c r="T23" i="21"/>
  <c r="AF23" i="21"/>
  <c r="AG23" i="21"/>
  <c r="AK23" i="21"/>
  <c r="AL23" i="21"/>
  <c r="R24" i="21"/>
  <c r="AM24" i="21" s="1"/>
  <c r="S24" i="21"/>
  <c r="T24" i="21"/>
  <c r="AF24" i="21"/>
  <c r="AG24" i="21"/>
  <c r="AK24" i="21"/>
  <c r="AL24" i="21"/>
  <c r="R25" i="21"/>
  <c r="AM25" i="21" s="1"/>
  <c r="S25" i="21"/>
  <c r="T25" i="21"/>
  <c r="AF25" i="21"/>
  <c r="AG25" i="21"/>
  <c r="AK25" i="21"/>
  <c r="AL25" i="21"/>
  <c r="R26" i="21"/>
  <c r="AM26" i="21" s="1"/>
  <c r="S26" i="21"/>
  <c r="T26" i="21"/>
  <c r="AF26" i="21"/>
  <c r="AG26" i="21"/>
  <c r="AK26" i="21"/>
  <c r="AL26" i="21"/>
  <c r="R27" i="21"/>
  <c r="AM27" i="21" s="1"/>
  <c r="S27" i="21"/>
  <c r="T27" i="21"/>
  <c r="AF27" i="21"/>
  <c r="AG27" i="21"/>
  <c r="AK27" i="21"/>
  <c r="AL27" i="21"/>
  <c r="R28" i="21"/>
  <c r="AM28" i="21" s="1"/>
  <c r="S28" i="21"/>
  <c r="T28" i="21"/>
  <c r="AF28" i="21"/>
  <c r="AG28" i="21"/>
  <c r="AK28" i="21"/>
  <c r="AL28" i="21"/>
  <c r="R29" i="21"/>
  <c r="AM29" i="21" s="1"/>
  <c r="S29" i="21"/>
  <c r="T29" i="21"/>
  <c r="AF29" i="21"/>
  <c r="AG29" i="21"/>
  <c r="AK29" i="21"/>
  <c r="AL29" i="21"/>
  <c r="R30" i="21"/>
  <c r="AM30" i="21" s="1"/>
  <c r="S30" i="21"/>
  <c r="T30" i="21"/>
  <c r="AF30" i="21"/>
  <c r="AG30" i="21"/>
  <c r="AK30" i="21"/>
  <c r="AL30" i="21"/>
  <c r="R31" i="21"/>
  <c r="AM31" i="21" s="1"/>
  <c r="S31" i="21"/>
  <c r="T31" i="21"/>
  <c r="AF31" i="21"/>
  <c r="AG31" i="21"/>
  <c r="AK31" i="21"/>
  <c r="AL31" i="21"/>
  <c r="R32" i="21"/>
  <c r="AM32" i="21" s="1"/>
  <c r="S32" i="21"/>
  <c r="T32" i="21"/>
  <c r="AF32" i="21"/>
  <c r="AG32" i="21"/>
  <c r="AK32" i="21"/>
  <c r="AL32" i="21"/>
  <c r="R33" i="21"/>
  <c r="AM33" i="21" s="1"/>
  <c r="S33" i="21"/>
  <c r="T33" i="21"/>
  <c r="AF33" i="21"/>
  <c r="AG33" i="21"/>
  <c r="AK33" i="21"/>
  <c r="AL33" i="21"/>
  <c r="R34" i="21"/>
  <c r="AM34" i="21" s="1"/>
  <c r="S34" i="21"/>
  <c r="T34" i="21"/>
  <c r="AF34" i="21"/>
  <c r="AG34" i="21"/>
  <c r="AK34" i="21"/>
  <c r="AL34" i="21"/>
  <c r="R35" i="21"/>
  <c r="AM35" i="21" s="1"/>
  <c r="S35" i="21"/>
  <c r="T35" i="21"/>
  <c r="AF35" i="21"/>
  <c r="AG35" i="21"/>
  <c r="AK35" i="21"/>
  <c r="AL35" i="21"/>
  <c r="R36" i="21"/>
  <c r="AM36" i="21" s="1"/>
  <c r="S36" i="21"/>
  <c r="T36" i="21"/>
  <c r="AF36" i="21"/>
  <c r="AG36" i="21"/>
  <c r="AK36" i="21"/>
  <c r="AL36" i="21"/>
  <c r="R37" i="21"/>
  <c r="AM37" i="21" s="1"/>
  <c r="S37" i="21"/>
  <c r="T37" i="21"/>
  <c r="AF37" i="21"/>
  <c r="AG37" i="21"/>
  <c r="AK37" i="21"/>
  <c r="AL37" i="21"/>
  <c r="R38" i="21"/>
  <c r="S38" i="21"/>
  <c r="T38" i="21"/>
  <c r="AF38" i="21"/>
  <c r="AG38" i="21"/>
  <c r="AK38" i="21"/>
  <c r="AL38" i="21"/>
  <c r="R39" i="21"/>
  <c r="AM39" i="21" s="1"/>
  <c r="S39" i="21"/>
  <c r="T39" i="21"/>
  <c r="AF39" i="21"/>
  <c r="AG39" i="21"/>
  <c r="AK39" i="21"/>
  <c r="AL39" i="21"/>
  <c r="R40" i="21"/>
  <c r="AM40" i="21" s="1"/>
  <c r="S40" i="21"/>
  <c r="T40" i="21"/>
  <c r="AF40" i="21"/>
  <c r="AG40" i="21"/>
  <c r="AK40" i="21"/>
  <c r="AL40" i="21"/>
  <c r="G6" i="21"/>
  <c r="H6" i="21"/>
  <c r="G7" i="21"/>
  <c r="H7" i="21"/>
  <c r="G8" i="21"/>
  <c r="H8" i="21"/>
  <c r="G9" i="21"/>
  <c r="H9" i="21"/>
  <c r="G10" i="21"/>
  <c r="H10" i="21"/>
  <c r="G11" i="21"/>
  <c r="H11" i="21"/>
  <c r="G12" i="21"/>
  <c r="H12" i="21"/>
  <c r="G13" i="21"/>
  <c r="H13" i="21"/>
  <c r="G14" i="21"/>
  <c r="H14" i="21"/>
  <c r="G15" i="21"/>
  <c r="H15" i="21"/>
  <c r="G16" i="21"/>
  <c r="H16" i="21"/>
  <c r="G17" i="21"/>
  <c r="H17" i="21"/>
  <c r="G18" i="21"/>
  <c r="H18" i="21"/>
  <c r="G19" i="21"/>
  <c r="H19" i="21"/>
  <c r="G20" i="21"/>
  <c r="H20" i="21"/>
  <c r="G21" i="21"/>
  <c r="H21" i="21"/>
  <c r="G22" i="21"/>
  <c r="H22" i="21"/>
  <c r="G23" i="21"/>
  <c r="H23" i="21"/>
  <c r="G24" i="21"/>
  <c r="H24" i="21"/>
  <c r="G25" i="21"/>
  <c r="H25" i="21"/>
  <c r="G26" i="21"/>
  <c r="H26" i="21"/>
  <c r="G27" i="21"/>
  <c r="H27" i="21"/>
  <c r="G38" i="21"/>
  <c r="H38" i="21"/>
  <c r="G39" i="21"/>
  <c r="H39" i="21"/>
  <c r="G5" i="21"/>
  <c r="H5" i="21"/>
  <c r="V71" i="21"/>
  <c r="W71" i="21" s="1"/>
  <c r="Z70" i="21"/>
  <c r="Y70" i="21"/>
  <c r="Z69" i="21"/>
  <c r="Y69" i="21"/>
  <c r="Y71" i="21" s="1"/>
  <c r="J66" i="21"/>
  <c r="G15" i="1" s="1"/>
  <c r="AR65" i="21"/>
  <c r="AL65" i="21"/>
  <c r="AK65" i="21"/>
  <c r="AG65" i="21"/>
  <c r="AF65" i="21"/>
  <c r="AB65" i="21"/>
  <c r="AA65" i="21"/>
  <c r="T65" i="21"/>
  <c r="S65" i="21"/>
  <c r="R65" i="21"/>
  <c r="AM65" i="21" s="1"/>
  <c r="H65" i="21"/>
  <c r="G65" i="21"/>
  <c r="AR64" i="21"/>
  <c r="AL64" i="21"/>
  <c r="AK64" i="21"/>
  <c r="AG64" i="21"/>
  <c r="AF64" i="21"/>
  <c r="AB64" i="21"/>
  <c r="AA64" i="21"/>
  <c r="T64" i="21"/>
  <c r="S64" i="21"/>
  <c r="R64" i="21"/>
  <c r="AM64" i="21" s="1"/>
  <c r="H64" i="21"/>
  <c r="G64" i="21"/>
  <c r="AL63" i="21"/>
  <c r="AK63" i="21"/>
  <c r="AG63" i="21"/>
  <c r="AF63" i="21"/>
  <c r="T63" i="21"/>
  <c r="S63" i="21"/>
  <c r="R63" i="21"/>
  <c r="AM63" i="21" s="1"/>
  <c r="H63" i="21"/>
  <c r="G63" i="21"/>
  <c r="AR62" i="21"/>
  <c r="AL62" i="21"/>
  <c r="AK62" i="21"/>
  <c r="AG62" i="21"/>
  <c r="AF62" i="21"/>
  <c r="T62" i="21"/>
  <c r="S62" i="21"/>
  <c r="R62" i="21"/>
  <c r="AM62" i="21" s="1"/>
  <c r="H62" i="21"/>
  <c r="G62" i="21"/>
  <c r="AR61" i="21"/>
  <c r="AL61" i="21"/>
  <c r="AK61" i="21"/>
  <c r="AG61" i="21"/>
  <c r="AF61" i="21"/>
  <c r="T61" i="21"/>
  <c r="S61" i="21"/>
  <c r="R61" i="21"/>
  <c r="AM61" i="21" s="1"/>
  <c r="H61" i="21"/>
  <c r="G61" i="21"/>
  <c r="AR60" i="21"/>
  <c r="AL60" i="21"/>
  <c r="AK60" i="21"/>
  <c r="AG60" i="21"/>
  <c r="AF60" i="21"/>
  <c r="T60" i="21"/>
  <c r="S60" i="21"/>
  <c r="R60" i="21"/>
  <c r="AM60" i="21" s="1"/>
  <c r="H60" i="21"/>
  <c r="G60" i="21"/>
  <c r="AR59" i="21"/>
  <c r="AL59" i="21"/>
  <c r="AK59" i="21"/>
  <c r="AG59" i="21"/>
  <c r="AF59" i="21"/>
  <c r="T59" i="21"/>
  <c r="S59" i="21"/>
  <c r="R59" i="21"/>
  <c r="AM59" i="21" s="1"/>
  <c r="H59" i="21"/>
  <c r="G59" i="21"/>
  <c r="AR58" i="21"/>
  <c r="AL58" i="21"/>
  <c r="AK58" i="21"/>
  <c r="AG58" i="21"/>
  <c r="AF58" i="21"/>
  <c r="T58" i="21"/>
  <c r="S58" i="21"/>
  <c r="R58" i="21"/>
  <c r="AM58" i="21" s="1"/>
  <c r="H58" i="21"/>
  <c r="G58" i="21"/>
  <c r="AR57" i="21"/>
  <c r="AL57" i="21"/>
  <c r="AK57" i="21"/>
  <c r="AG57" i="21"/>
  <c r="AF57" i="21"/>
  <c r="T57" i="21"/>
  <c r="S57" i="21"/>
  <c r="R57" i="21"/>
  <c r="AM57" i="21" s="1"/>
  <c r="H57" i="21"/>
  <c r="G57" i="21"/>
  <c r="AR56" i="21"/>
  <c r="AL56" i="21"/>
  <c r="AK56" i="21"/>
  <c r="AG56" i="21"/>
  <c r="AF56" i="21"/>
  <c r="T56" i="21"/>
  <c r="S56" i="21"/>
  <c r="R56" i="21"/>
  <c r="AM56" i="21" s="1"/>
  <c r="H56" i="21"/>
  <c r="G56" i="21"/>
  <c r="AR55" i="21"/>
  <c r="AL55" i="21"/>
  <c r="AK55" i="21"/>
  <c r="AG55" i="21"/>
  <c r="AF55" i="21"/>
  <c r="T55" i="21"/>
  <c r="S55" i="21"/>
  <c r="R55" i="21"/>
  <c r="AM55" i="21" s="1"/>
  <c r="H55" i="21"/>
  <c r="G55" i="21"/>
  <c r="AR54" i="21"/>
  <c r="AL54" i="21"/>
  <c r="AK54" i="21"/>
  <c r="AG54" i="21"/>
  <c r="AF54" i="21"/>
  <c r="T54" i="21"/>
  <c r="S54" i="21"/>
  <c r="R54" i="21"/>
  <c r="AM54" i="21" s="1"/>
  <c r="H54" i="21"/>
  <c r="G54" i="21"/>
  <c r="AR53" i="21"/>
  <c r="AL53" i="21"/>
  <c r="AK53" i="21"/>
  <c r="AG53" i="21"/>
  <c r="AF53" i="21"/>
  <c r="T53" i="21"/>
  <c r="S53" i="21"/>
  <c r="R53" i="21"/>
  <c r="AM53" i="21" s="1"/>
  <c r="H53" i="21"/>
  <c r="G53" i="21"/>
  <c r="AR52" i="21"/>
  <c r="AL52" i="21"/>
  <c r="AK52" i="21"/>
  <c r="AG52" i="21"/>
  <c r="AF52" i="21"/>
  <c r="T52" i="21"/>
  <c r="S52" i="21"/>
  <c r="R52" i="21"/>
  <c r="AM52" i="21" s="1"/>
  <c r="H52" i="21"/>
  <c r="G52" i="21"/>
  <c r="AR51" i="21"/>
  <c r="AL51" i="21"/>
  <c r="AK51" i="21"/>
  <c r="AG51" i="21"/>
  <c r="AF51" i="21"/>
  <c r="T51" i="21"/>
  <c r="S51" i="21"/>
  <c r="R51" i="21"/>
  <c r="AM51" i="21" s="1"/>
  <c r="H51" i="21"/>
  <c r="G51" i="21"/>
  <c r="AR50" i="21"/>
  <c r="AL50" i="21"/>
  <c r="AK50" i="21"/>
  <c r="AG50" i="21"/>
  <c r="AF50" i="21"/>
  <c r="T50" i="21"/>
  <c r="S50" i="21"/>
  <c r="R50" i="21"/>
  <c r="AM50" i="21" s="1"/>
  <c r="H50" i="21"/>
  <c r="G50" i="21"/>
  <c r="AR49" i="21"/>
  <c r="AL49" i="21"/>
  <c r="AK49" i="21"/>
  <c r="AG49" i="21"/>
  <c r="AF49" i="21"/>
  <c r="T49" i="21"/>
  <c r="S49" i="21"/>
  <c r="R49" i="21"/>
  <c r="AM49" i="21" s="1"/>
  <c r="H49" i="21"/>
  <c r="G49" i="21"/>
  <c r="AR48" i="21"/>
  <c r="AL48" i="21"/>
  <c r="AK48" i="21"/>
  <c r="AG48" i="21"/>
  <c r="AF48" i="21"/>
  <c r="T48" i="21"/>
  <c r="S48" i="21"/>
  <c r="R48" i="21"/>
  <c r="AM48" i="21" s="1"/>
  <c r="H48" i="21"/>
  <c r="G48" i="21"/>
  <c r="AR47" i="21"/>
  <c r="AL47" i="21"/>
  <c r="AK47" i="21"/>
  <c r="AG47" i="21"/>
  <c r="AF47" i="21"/>
  <c r="T47" i="21"/>
  <c r="S47" i="21"/>
  <c r="R47" i="21"/>
  <c r="AM47" i="21" s="1"/>
  <c r="H47" i="21"/>
  <c r="G47" i="21"/>
  <c r="AR46" i="21"/>
  <c r="AL46" i="21"/>
  <c r="AK46" i="21"/>
  <c r="AG46" i="21"/>
  <c r="AF46" i="21"/>
  <c r="T46" i="21"/>
  <c r="S46" i="21"/>
  <c r="R46" i="21"/>
  <c r="AM46" i="21" s="1"/>
  <c r="H46" i="21"/>
  <c r="G46" i="21"/>
  <c r="AR45" i="21"/>
  <c r="AL45" i="21"/>
  <c r="AK45" i="21"/>
  <c r="AG45" i="21"/>
  <c r="AF45" i="21"/>
  <c r="T45" i="21"/>
  <c r="S45" i="21"/>
  <c r="R45" i="21"/>
  <c r="AM45" i="21" s="1"/>
  <c r="H45" i="21"/>
  <c r="G45" i="21"/>
  <c r="AR44" i="21"/>
  <c r="AL44" i="21"/>
  <c r="AK44" i="21"/>
  <c r="AG44" i="21"/>
  <c r="AF44" i="21"/>
  <c r="T44" i="21"/>
  <c r="S44" i="21"/>
  <c r="R44" i="21"/>
  <c r="AM44" i="21" s="1"/>
  <c r="H44" i="21"/>
  <c r="G44" i="21"/>
  <c r="AR43" i="21"/>
  <c r="AL43" i="21"/>
  <c r="AK43" i="21"/>
  <c r="AG43" i="21"/>
  <c r="AF43" i="21"/>
  <c r="T43" i="21"/>
  <c r="S43" i="21"/>
  <c r="R43" i="21"/>
  <c r="AM43" i="21" s="1"/>
  <c r="H43" i="21"/>
  <c r="G43" i="21"/>
  <c r="AR42" i="21"/>
  <c r="AL42" i="21"/>
  <c r="AK42" i="21"/>
  <c r="AG42" i="21"/>
  <c r="AF42" i="21"/>
  <c r="T42" i="21"/>
  <c r="S42" i="21"/>
  <c r="R42" i="21"/>
  <c r="AM42" i="21" s="1"/>
  <c r="H42" i="21"/>
  <c r="G42" i="21"/>
  <c r="AR41" i="21"/>
  <c r="AL41" i="21"/>
  <c r="AK41" i="21"/>
  <c r="AG41" i="21"/>
  <c r="AF41" i="21"/>
  <c r="T41" i="21"/>
  <c r="S41" i="21"/>
  <c r="R41" i="21"/>
  <c r="AM41" i="21" s="1"/>
  <c r="H41" i="21"/>
  <c r="G41" i="21"/>
  <c r="AR40" i="21"/>
  <c r="H40" i="21"/>
  <c r="G40" i="21"/>
  <c r="AR39" i="21"/>
  <c r="AR38" i="21"/>
  <c r="AM38" i="21"/>
  <c r="AR37" i="21"/>
  <c r="AR36" i="21"/>
  <c r="AR35" i="21"/>
  <c r="AR34" i="21"/>
  <c r="AR33" i="21"/>
  <c r="AR32" i="21"/>
  <c r="AR31" i="21"/>
  <c r="AR30" i="21"/>
  <c r="AR29" i="21"/>
  <c r="AR28" i="21"/>
  <c r="AR27" i="21"/>
  <c r="AR26" i="21"/>
  <c r="AR25" i="21"/>
  <c r="AR24" i="21"/>
  <c r="AR23" i="21"/>
  <c r="AR22" i="21"/>
  <c r="AR21" i="21"/>
  <c r="AR20" i="21"/>
  <c r="AR19" i="21"/>
  <c r="AR18" i="21"/>
  <c r="AR17" i="21"/>
  <c r="AR16" i="21"/>
  <c r="AR15" i="21"/>
  <c r="AR14" i="21"/>
  <c r="AR13" i="21"/>
  <c r="AR12" i="21"/>
  <c r="AR11" i="21"/>
  <c r="AR10" i="21"/>
  <c r="AR9" i="21"/>
  <c r="AR8" i="21"/>
  <c r="AM8" i="21"/>
  <c r="AR7" i="21"/>
  <c r="AR6" i="21"/>
  <c r="B6" i="21"/>
  <c r="A6" i="21" s="1"/>
  <c r="AR5" i="21"/>
  <c r="AL5" i="21"/>
  <c r="AK5" i="21"/>
  <c r="AG5" i="21"/>
  <c r="AF5" i="21"/>
  <c r="T5" i="21"/>
  <c r="S5" i="21"/>
  <c r="R5" i="21"/>
  <c r="AM5" i="21" s="1"/>
  <c r="B5" i="21"/>
  <c r="A5" i="21" s="1"/>
  <c r="AR4" i="21"/>
  <c r="AL4" i="21"/>
  <c r="AK4" i="21"/>
  <c r="AG4" i="21"/>
  <c r="AF4" i="21"/>
  <c r="T4" i="21"/>
  <c r="S4" i="21"/>
  <c r="R4" i="21"/>
  <c r="H4" i="21"/>
  <c r="G4" i="21"/>
  <c r="A4" i="21"/>
  <c r="AP1" i="21"/>
  <c r="Z71" i="21" l="1"/>
  <c r="X71" i="21" s="1"/>
  <c r="AN15" i="21"/>
  <c r="AN23" i="21"/>
  <c r="AO20" i="21"/>
  <c r="AO12" i="21"/>
  <c r="AN64" i="21"/>
  <c r="AN65" i="21"/>
  <c r="AO64" i="21"/>
  <c r="AN31" i="21"/>
  <c r="AN27" i="21"/>
  <c r="AO10" i="21"/>
  <c r="AO8" i="21"/>
  <c r="AO40" i="21"/>
  <c r="AO37" i="21"/>
  <c r="AN28" i="21"/>
  <c r="AO33" i="21"/>
  <c r="AO28" i="21"/>
  <c r="AO21" i="21"/>
  <c r="AO11" i="21"/>
  <c r="AO16" i="21"/>
  <c r="AO9" i="21"/>
  <c r="AN37" i="21"/>
  <c r="AP37" i="21" s="1"/>
  <c r="AO26" i="21"/>
  <c r="AN21" i="21"/>
  <c r="AN17" i="21"/>
  <c r="AN13" i="21"/>
  <c r="AN9" i="21"/>
  <c r="AN29" i="21"/>
  <c r="AO36" i="21"/>
  <c r="AO49" i="21"/>
  <c r="AN6" i="21"/>
  <c r="AN44" i="21"/>
  <c r="AO18" i="21"/>
  <c r="AO14" i="21"/>
  <c r="AO6" i="21"/>
  <c r="AO4" i="21"/>
  <c r="AN5" i="21"/>
  <c r="AN39" i="21"/>
  <c r="AN35" i="21"/>
  <c r="AN19" i="21"/>
  <c r="AN11" i="21"/>
  <c r="AN7" i="21"/>
  <c r="AN4" i="21"/>
  <c r="AO5" i="21"/>
  <c r="AN24" i="21"/>
  <c r="AN18" i="21"/>
  <c r="AN16" i="21"/>
  <c r="AN10" i="21"/>
  <c r="AN8" i="21"/>
  <c r="AN26" i="21"/>
  <c r="AN20" i="21"/>
  <c r="AN14" i="21"/>
  <c r="AN12" i="21"/>
  <c r="AP12" i="21" s="1"/>
  <c r="AN34" i="21"/>
  <c r="AN60" i="21"/>
  <c r="AN62" i="21"/>
  <c r="AN63" i="21"/>
  <c r="AO63" i="21"/>
  <c r="AO60" i="21"/>
  <c r="AO61" i="21"/>
  <c r="AN54" i="21"/>
  <c r="AO54" i="21"/>
  <c r="AO55" i="21"/>
  <c r="AN56" i="21"/>
  <c r="AN57" i="21"/>
  <c r="AN58" i="21"/>
  <c r="AN59" i="21"/>
  <c r="AO56" i="21"/>
  <c r="AO57" i="21"/>
  <c r="AO59" i="21"/>
  <c r="AO41" i="21"/>
  <c r="AO42" i="21"/>
  <c r="AO43" i="21"/>
  <c r="AN48" i="21"/>
  <c r="AN50" i="21"/>
  <c r="AN53" i="21"/>
  <c r="AO44" i="21"/>
  <c r="AN46" i="21"/>
  <c r="AN47" i="21"/>
  <c r="AO50" i="21"/>
  <c r="AO51" i="21"/>
  <c r="AN52" i="21"/>
  <c r="AO45" i="21"/>
  <c r="AO47" i="21"/>
  <c r="AO53" i="21"/>
  <c r="AN42" i="21"/>
  <c r="AN43" i="21"/>
  <c r="AO34" i="21"/>
  <c r="R66" i="21"/>
  <c r="AN32" i="21"/>
  <c r="AN40" i="21"/>
  <c r="AO35" i="21"/>
  <c r="AO29" i="21"/>
  <c r="AO27" i="21"/>
  <c r="AO25" i="21"/>
  <c r="AO19" i="21"/>
  <c r="AO17" i="21"/>
  <c r="AO15" i="21"/>
  <c r="AP15" i="21" s="1"/>
  <c r="AO13" i="21"/>
  <c r="AO7" i="21"/>
  <c r="AO24" i="21"/>
  <c r="AO32" i="21"/>
  <c r="AN36" i="21"/>
  <c r="S66" i="21"/>
  <c r="AM4" i="21"/>
  <c r="AM66" i="21" s="1"/>
  <c r="H15" i="1" s="1"/>
  <c r="B8" i="21"/>
  <c r="AN22" i="21"/>
  <c r="AN30" i="21"/>
  <c r="AN38" i="21"/>
  <c r="AO52" i="21"/>
  <c r="AN55" i="21"/>
  <c r="T66" i="21"/>
  <c r="B7" i="21"/>
  <c r="AO22" i="21"/>
  <c r="AO23" i="21"/>
  <c r="AP23" i="21" s="1"/>
  <c r="AO30" i="21"/>
  <c r="AO31" i="21"/>
  <c r="AO38" i="21"/>
  <c r="AO39" i="21"/>
  <c r="AO46" i="21"/>
  <c r="AO48" i="21"/>
  <c r="AN49" i="21"/>
  <c r="AN51" i="21"/>
  <c r="AO62" i="21"/>
  <c r="AN25" i="21"/>
  <c r="AN33" i="21"/>
  <c r="AN41" i="21"/>
  <c r="AN45" i="21"/>
  <c r="AO58" i="21"/>
  <c r="AN61" i="21"/>
  <c r="AO65" i="21"/>
  <c r="AP65" i="21" s="1"/>
  <c r="AP64" i="21" l="1"/>
  <c r="AP31" i="21"/>
  <c r="AP10" i="21"/>
  <c r="AP8" i="21"/>
  <c r="AP40" i="21"/>
  <c r="AP60" i="21"/>
  <c r="AP33" i="21"/>
  <c r="AP49" i="21"/>
  <c r="AP27" i="21"/>
  <c r="AP28" i="21"/>
  <c r="AP21" i="21"/>
  <c r="AP48" i="21"/>
  <c r="AP29" i="21"/>
  <c r="AP9" i="21"/>
  <c r="AP11" i="21"/>
  <c r="AP17" i="21"/>
  <c r="AP16" i="21"/>
  <c r="AP50" i="21"/>
  <c r="AP6" i="21"/>
  <c r="AP26" i="21"/>
  <c r="AP44" i="21"/>
  <c r="AP32" i="21"/>
  <c r="AP5" i="21"/>
  <c r="AP18" i="21"/>
  <c r="AP13" i="21"/>
  <c r="AP4" i="21"/>
  <c r="AP39" i="21"/>
  <c r="AP20" i="21"/>
  <c r="AP7" i="21"/>
  <c r="AP19" i="21"/>
  <c r="AP34" i="21"/>
  <c r="AP24" i="21"/>
  <c r="AP58" i="21"/>
  <c r="AP14" i="21"/>
  <c r="AP42" i="21"/>
  <c r="AP63" i="21"/>
  <c r="AP25" i="21"/>
  <c r="AP55" i="21"/>
  <c r="AP41" i="21"/>
  <c r="AP57" i="21"/>
  <c r="AP62" i="21"/>
  <c r="AP61" i="21"/>
  <c r="AP59" i="21"/>
  <c r="AP56" i="21"/>
  <c r="AP54" i="21"/>
  <c r="AP43" i="21"/>
  <c r="AP53" i="21"/>
  <c r="AP52" i="21"/>
  <c r="AP47" i="21"/>
  <c r="AP45" i="21"/>
  <c r="AP46" i="21"/>
  <c r="AP51" i="21"/>
  <c r="AP35" i="21"/>
  <c r="AP36" i="21"/>
  <c r="AO66" i="21"/>
  <c r="J15" i="1" s="1"/>
  <c r="AN66" i="21"/>
  <c r="I15" i="1" s="1"/>
  <c r="AP38" i="21"/>
  <c r="B9" i="21"/>
  <c r="A7" i="21"/>
  <c r="AP30" i="21"/>
  <c r="B10" i="21"/>
  <c r="A8" i="21"/>
  <c r="AP22" i="21"/>
  <c r="M15" i="1" l="1"/>
  <c r="N15" i="1" s="1"/>
  <c r="A10" i="21"/>
  <c r="B12" i="21"/>
  <c r="A9" i="21"/>
  <c r="B11" i="21"/>
  <c r="B14" i="21" l="1"/>
  <c r="A12" i="21"/>
  <c r="B13" i="21"/>
  <c r="A11" i="21"/>
  <c r="A13" i="21" l="1"/>
  <c r="B15" i="21"/>
  <c r="A14" i="21"/>
  <c r="B16" i="21"/>
  <c r="B18" i="21" l="1"/>
  <c r="A16" i="21"/>
  <c r="A15" i="21"/>
  <c r="B17" i="21"/>
  <c r="B20" i="21" l="1"/>
  <c r="A18" i="21"/>
  <c r="A17" i="21"/>
  <c r="B19" i="21"/>
  <c r="B21" i="21" l="1"/>
  <c r="A19" i="21"/>
  <c r="A20" i="21"/>
  <c r="B22" i="21"/>
  <c r="B23" i="21" l="1"/>
  <c r="A21" i="21"/>
  <c r="B24" i="21"/>
  <c r="A22" i="21"/>
  <c r="A24" i="21" l="1"/>
  <c r="B26" i="21"/>
  <c r="A23" i="21"/>
  <c r="B25" i="21"/>
  <c r="B27" i="21" l="1"/>
  <c r="A25" i="21"/>
  <c r="B28" i="21"/>
  <c r="A26" i="21"/>
  <c r="A28" i="21" l="1"/>
  <c r="B30" i="21"/>
  <c r="A27" i="21"/>
  <c r="B29" i="21"/>
  <c r="B32" i="21" l="1"/>
  <c r="A30" i="21"/>
  <c r="B31" i="21"/>
  <c r="A29" i="21"/>
  <c r="A32" i="21" l="1"/>
  <c r="B34" i="21"/>
  <c r="A31" i="21"/>
  <c r="B33" i="21"/>
  <c r="B36" i="21" l="1"/>
  <c r="A34" i="21"/>
  <c r="B35" i="21"/>
  <c r="A33" i="21"/>
  <c r="A35" i="21" l="1"/>
  <c r="B37" i="21"/>
  <c r="A36" i="21"/>
  <c r="B38" i="21"/>
  <c r="B40" i="21" l="1"/>
  <c r="A38" i="21"/>
  <c r="A37" i="21"/>
  <c r="B39" i="21"/>
  <c r="A39" i="21" l="1"/>
  <c r="B41" i="21"/>
  <c r="A40" i="21"/>
  <c r="B42" i="21"/>
  <c r="B43" i="21" l="1"/>
  <c r="A41" i="21"/>
  <c r="B44" i="21"/>
  <c r="A42" i="21"/>
  <c r="A44" i="21" l="1"/>
  <c r="B46" i="21"/>
  <c r="A43" i="21"/>
  <c r="B45" i="21"/>
  <c r="B48" i="21" l="1"/>
  <c r="A46" i="21"/>
  <c r="A45" i="21"/>
  <c r="B47" i="21"/>
  <c r="A47" i="21" l="1"/>
  <c r="B49" i="21"/>
  <c r="A48" i="21"/>
  <c r="B50" i="21"/>
  <c r="B52" i="21" l="1"/>
  <c r="A50" i="21"/>
  <c r="A49" i="21"/>
  <c r="B51" i="21"/>
  <c r="A51" i="21" l="1"/>
  <c r="B53" i="21"/>
  <c r="A52" i="21"/>
  <c r="B54" i="21"/>
  <c r="B56" i="21" l="1"/>
  <c r="A54" i="21"/>
  <c r="A53" i="21"/>
  <c r="B55" i="21"/>
  <c r="A55" i="21" l="1"/>
  <c r="B57" i="21"/>
  <c r="A56" i="21"/>
  <c r="B58" i="21"/>
  <c r="B60" i="21" l="1"/>
  <c r="A58" i="21"/>
  <c r="A57" i="21"/>
  <c r="B59" i="21"/>
  <c r="A59" i="21" l="1"/>
  <c r="B61" i="21"/>
  <c r="A60" i="21"/>
  <c r="B62" i="21"/>
  <c r="A61" i="21" l="1"/>
  <c r="B63" i="21"/>
  <c r="B64" i="21"/>
  <c r="A64" i="21" s="1"/>
  <c r="A62" i="21"/>
  <c r="A63" i="21" l="1"/>
  <c r="B65" i="21"/>
  <c r="A65" i="21" s="1"/>
  <c r="AS39" i="9" l="1"/>
  <c r="G26" i="20" l="1"/>
  <c r="H26" i="20"/>
  <c r="G27" i="20"/>
  <c r="H27" i="20"/>
  <c r="G28" i="20"/>
  <c r="H28" i="20"/>
  <c r="G29" i="20"/>
  <c r="H29" i="20"/>
  <c r="G30" i="20"/>
  <c r="H30" i="20"/>
  <c r="G31" i="20"/>
  <c r="H31" i="20"/>
  <c r="G32" i="20"/>
  <c r="H32" i="20"/>
  <c r="G33" i="20"/>
  <c r="H33" i="20"/>
  <c r="G34" i="20"/>
  <c r="H34" i="20"/>
  <c r="G35" i="20"/>
  <c r="H35" i="20"/>
  <c r="G36" i="20"/>
  <c r="H36" i="20"/>
  <c r="G37" i="20"/>
  <c r="H37" i="20"/>
  <c r="G38" i="20"/>
  <c r="H38" i="20"/>
  <c r="G39" i="20"/>
  <c r="H39" i="20"/>
  <c r="N54" i="1" l="1"/>
  <c r="AA18" i="10" l="1"/>
  <c r="AB18" i="10"/>
  <c r="AF18" i="10"/>
  <c r="AG18" i="10"/>
  <c r="AA19" i="10"/>
  <c r="AB19" i="10"/>
  <c r="AF19" i="10"/>
  <c r="AG19" i="10"/>
  <c r="AA20" i="10"/>
  <c r="AB20" i="10"/>
  <c r="AF20" i="10"/>
  <c r="AG20" i="10"/>
  <c r="AA21" i="10"/>
  <c r="AB21" i="10"/>
  <c r="AF21" i="10"/>
  <c r="AG21" i="10"/>
  <c r="AA22" i="10"/>
  <c r="AB22" i="10"/>
  <c r="AF22" i="10"/>
  <c r="AG22" i="10"/>
  <c r="AA23" i="10"/>
  <c r="AB23" i="10"/>
  <c r="AF23" i="10"/>
  <c r="AG23" i="10"/>
  <c r="AA24" i="10"/>
  <c r="AB24" i="10"/>
  <c r="AF24" i="10"/>
  <c r="AG24" i="10"/>
  <c r="AA25" i="10"/>
  <c r="AB25" i="10"/>
  <c r="AF25" i="10"/>
  <c r="AG25" i="10"/>
  <c r="AS25" i="9" l="1"/>
  <c r="AS25" i="8" l="1"/>
  <c r="AA12" i="11" l="1"/>
  <c r="AB12" i="11"/>
  <c r="AA13" i="11"/>
  <c r="AB13" i="11"/>
  <c r="AA14" i="11"/>
  <c r="AB14" i="11"/>
  <c r="AA15" i="11"/>
  <c r="AB15" i="11"/>
  <c r="AA16" i="11"/>
  <c r="AB16" i="11"/>
  <c r="AA17" i="11"/>
  <c r="AB17" i="11"/>
  <c r="AA18" i="11"/>
  <c r="AB18" i="11"/>
  <c r="AA19" i="11"/>
  <c r="AB19" i="11"/>
  <c r="AA20" i="11"/>
  <c r="AB20" i="11"/>
  <c r="AA21" i="11"/>
  <c r="AB21" i="11"/>
  <c r="AA22" i="11"/>
  <c r="AB22" i="11"/>
  <c r="AA23" i="11"/>
  <c r="AB23" i="11"/>
  <c r="AA24" i="11"/>
  <c r="AB24" i="11"/>
  <c r="AA25" i="11"/>
  <c r="AB25" i="11"/>
  <c r="AA26" i="11"/>
  <c r="AB26" i="11"/>
  <c r="AA27" i="11"/>
  <c r="AB27" i="11"/>
  <c r="AA28" i="11"/>
  <c r="AB28" i="11"/>
  <c r="AA29" i="11"/>
  <c r="AB29" i="11"/>
  <c r="AA30" i="11"/>
  <c r="AB30" i="11"/>
  <c r="AA31" i="11"/>
  <c r="AB31" i="11"/>
  <c r="AA32" i="11"/>
  <c r="AB32" i="11"/>
  <c r="AA33" i="11"/>
  <c r="AB33" i="11"/>
  <c r="AA34" i="11"/>
  <c r="AB34" i="11"/>
  <c r="AA35" i="11"/>
  <c r="AB35" i="11"/>
  <c r="AA36" i="11"/>
  <c r="AB36" i="11"/>
  <c r="AA37" i="11"/>
  <c r="AB37" i="11"/>
  <c r="AA38" i="11"/>
  <c r="AB38" i="11"/>
  <c r="AA39" i="11"/>
  <c r="AB39" i="11"/>
  <c r="AA40" i="11"/>
  <c r="AB40" i="11"/>
  <c r="AA41" i="11"/>
  <c r="AB41" i="11"/>
  <c r="AA42" i="11"/>
  <c r="AB42" i="11"/>
  <c r="AA43" i="11"/>
  <c r="AB43" i="11"/>
  <c r="AA44" i="11"/>
  <c r="AB44" i="11"/>
  <c r="AA45" i="11"/>
  <c r="AB45" i="11"/>
  <c r="AA46" i="11"/>
  <c r="AB46" i="11"/>
  <c r="AA47" i="11"/>
  <c r="AB47" i="11"/>
  <c r="AA48" i="11"/>
  <c r="AB48" i="11"/>
  <c r="AA49" i="11"/>
  <c r="AB49" i="11"/>
  <c r="AA50" i="11"/>
  <c r="AB50" i="11"/>
  <c r="AA51" i="11"/>
  <c r="AB51" i="11"/>
  <c r="AA52" i="11"/>
  <c r="AB52" i="11"/>
  <c r="AA53" i="11"/>
  <c r="AB53" i="11"/>
  <c r="AA54" i="11"/>
  <c r="AB54" i="11"/>
  <c r="AA55" i="11"/>
  <c r="AB55" i="11"/>
  <c r="AA56" i="11"/>
  <c r="AB56" i="11"/>
  <c r="AA57" i="11"/>
  <c r="AB57" i="11"/>
  <c r="AA58" i="11"/>
  <c r="AB58" i="11"/>
  <c r="AA59" i="11"/>
  <c r="AB59" i="11"/>
  <c r="AA60" i="11"/>
  <c r="AB60" i="11"/>
  <c r="AA61" i="11"/>
  <c r="AB61" i="11"/>
  <c r="AA62" i="11"/>
  <c r="AB62" i="11"/>
  <c r="AA63" i="11"/>
  <c r="AB63" i="11"/>
  <c r="AA64" i="11"/>
  <c r="AB64" i="11"/>
  <c r="AA65" i="11"/>
  <c r="AB65" i="11"/>
  <c r="AA12" i="5" l="1"/>
  <c r="AB12" i="5"/>
  <c r="AA13" i="5"/>
  <c r="AB13" i="5"/>
  <c r="AA14" i="5"/>
  <c r="AB14" i="5"/>
  <c r="AA15" i="5"/>
  <c r="AB15" i="5"/>
  <c r="AA16" i="5"/>
  <c r="AB16" i="5"/>
  <c r="AA17" i="5"/>
  <c r="AB17" i="5"/>
  <c r="AA18" i="5"/>
  <c r="AB18" i="5"/>
  <c r="AA19" i="5"/>
  <c r="AB19" i="5"/>
  <c r="AA20" i="5"/>
  <c r="AB20" i="5"/>
  <c r="AA21" i="5"/>
  <c r="AB21" i="5"/>
  <c r="AA22" i="5"/>
  <c r="AB22" i="5"/>
  <c r="AA23" i="5"/>
  <c r="AB23" i="5"/>
  <c r="AA24" i="5"/>
  <c r="AB24" i="5"/>
  <c r="AA25" i="5"/>
  <c r="AB25" i="5"/>
  <c r="AA26" i="5"/>
  <c r="AB26" i="5"/>
  <c r="AA27" i="5"/>
  <c r="AB27" i="5"/>
  <c r="AA28" i="5"/>
  <c r="AB28" i="5"/>
  <c r="AA29" i="5"/>
  <c r="AB29" i="5"/>
  <c r="AA30" i="5"/>
  <c r="AB30" i="5"/>
  <c r="AA31" i="5"/>
  <c r="AB31" i="5"/>
  <c r="AA32" i="5"/>
  <c r="AB32" i="5"/>
  <c r="AA33" i="5"/>
  <c r="AB33" i="5"/>
  <c r="AA34" i="5"/>
  <c r="AB34" i="5"/>
  <c r="AA35" i="5"/>
  <c r="AB35" i="5"/>
  <c r="AA36" i="5"/>
  <c r="AB36" i="5"/>
  <c r="AA37" i="5"/>
  <c r="AB37" i="5"/>
  <c r="AA38" i="5"/>
  <c r="AB38" i="5"/>
  <c r="AA39" i="5"/>
  <c r="AB39" i="5"/>
  <c r="AA40" i="5"/>
  <c r="AB40" i="5"/>
  <c r="AA41" i="5"/>
  <c r="AB41" i="5"/>
  <c r="AA42" i="5"/>
  <c r="AB42" i="5"/>
  <c r="AA43" i="5"/>
  <c r="AB43" i="5"/>
  <c r="AA44" i="5"/>
  <c r="AB44" i="5"/>
  <c r="AA45" i="5"/>
  <c r="AB45" i="5"/>
  <c r="AA46" i="5"/>
  <c r="AB46" i="5"/>
  <c r="AA47" i="5"/>
  <c r="AB47" i="5"/>
  <c r="AA48" i="5"/>
  <c r="AB48" i="5"/>
  <c r="AA49" i="5"/>
  <c r="AB49" i="5"/>
  <c r="AA50" i="5"/>
  <c r="AB50" i="5"/>
  <c r="AA51" i="5"/>
  <c r="AB51" i="5"/>
  <c r="AA52" i="5"/>
  <c r="AB52" i="5"/>
  <c r="AA53" i="5"/>
  <c r="AB53" i="5"/>
  <c r="AA54" i="5"/>
  <c r="AB54" i="5"/>
  <c r="AA55" i="5"/>
  <c r="AB55" i="5"/>
  <c r="AA56" i="5"/>
  <c r="AB56" i="5"/>
  <c r="AA57" i="5"/>
  <c r="AB57" i="5"/>
  <c r="AA58" i="5"/>
  <c r="AB58" i="5"/>
  <c r="AA59" i="5"/>
  <c r="AB59" i="5"/>
  <c r="AA60" i="5"/>
  <c r="AB60" i="5"/>
  <c r="AA61" i="5"/>
  <c r="AB61" i="5"/>
  <c r="AA62" i="5"/>
  <c r="AB62" i="5"/>
  <c r="AA63" i="5"/>
  <c r="AB63" i="5"/>
  <c r="AA64" i="5"/>
  <c r="AB64" i="5"/>
  <c r="AA65" i="5"/>
  <c r="AB65" i="5"/>
  <c r="AA4" i="11" l="1"/>
  <c r="AA5" i="11"/>
  <c r="AB5" i="11"/>
  <c r="AA6" i="11"/>
  <c r="AB6" i="11"/>
  <c r="AA7" i="11"/>
  <c r="AB7" i="11"/>
  <c r="AA8" i="11"/>
  <c r="AB8" i="11"/>
  <c r="AA9" i="11"/>
  <c r="AB9" i="11"/>
  <c r="AA10" i="11"/>
  <c r="AB10" i="11"/>
  <c r="AA11" i="11"/>
  <c r="AB11" i="11"/>
  <c r="AB4" i="11"/>
  <c r="AA5" i="5" l="1"/>
  <c r="AB5" i="5"/>
  <c r="AA6" i="5"/>
  <c r="AB6" i="5"/>
  <c r="AA7" i="5"/>
  <c r="AB7" i="5"/>
  <c r="AA8" i="5"/>
  <c r="AB8" i="5"/>
  <c r="AA9" i="5"/>
  <c r="AB9" i="5"/>
  <c r="AA10" i="5"/>
  <c r="AB10" i="5"/>
  <c r="AA11" i="5"/>
  <c r="AB11" i="5"/>
  <c r="AB4" i="5"/>
  <c r="AA4" i="5"/>
  <c r="R4" i="3" l="1"/>
  <c r="T4" i="3"/>
  <c r="S4" i="3"/>
  <c r="N51" i="1" l="1"/>
  <c r="AR31" i="14"/>
  <c r="AS59" i="12" l="1"/>
  <c r="AA32" i="7" l="1"/>
  <c r="AA33" i="7"/>
  <c r="AA34" i="7"/>
  <c r="AA35" i="7"/>
  <c r="AA36" i="7"/>
  <c r="AA37" i="7"/>
  <c r="AA38" i="7"/>
  <c r="AA39" i="7"/>
  <c r="AA40" i="7"/>
  <c r="AA41" i="7"/>
  <c r="AA42" i="7"/>
  <c r="AA43" i="7"/>
  <c r="AA44" i="7"/>
  <c r="AA45" i="7"/>
  <c r="AA46" i="7"/>
  <c r="AA47" i="7"/>
  <c r="AA48" i="7"/>
  <c r="AA49" i="7"/>
  <c r="AA50" i="7"/>
  <c r="AA51" i="7"/>
  <c r="AA52" i="7"/>
  <c r="AA53" i="7"/>
  <c r="N56" i="1" l="1"/>
  <c r="AF52" i="14" l="1"/>
  <c r="AG52" i="14"/>
  <c r="AF53" i="14"/>
  <c r="AG53" i="14"/>
  <c r="AF54" i="14"/>
  <c r="AG54" i="14"/>
  <c r="AF55" i="14"/>
  <c r="AG55" i="14"/>
  <c r="AF56" i="14"/>
  <c r="AG56" i="14"/>
  <c r="AF57" i="14"/>
  <c r="AG57" i="14"/>
  <c r="AF58" i="14"/>
  <c r="AG58" i="14"/>
  <c r="AF59" i="14"/>
  <c r="AG59" i="14"/>
  <c r="AF60" i="14"/>
  <c r="AG60" i="14"/>
  <c r="AF61" i="14"/>
  <c r="AG61" i="14"/>
  <c r="R60" i="5" l="1"/>
  <c r="AM60" i="5" s="1"/>
  <c r="S60" i="5"/>
  <c r="T60" i="5"/>
  <c r="R61" i="5"/>
  <c r="AM61" i="5" s="1"/>
  <c r="S61" i="5"/>
  <c r="T61" i="5"/>
  <c r="R62" i="5"/>
  <c r="AM62" i="5" s="1"/>
  <c r="S62" i="5"/>
  <c r="T62" i="5"/>
  <c r="R63" i="5"/>
  <c r="AM63" i="5" s="1"/>
  <c r="S63" i="5"/>
  <c r="T63" i="5"/>
  <c r="R64" i="5"/>
  <c r="AM64" i="5" s="1"/>
  <c r="S64" i="5"/>
  <c r="T64" i="5"/>
  <c r="R65" i="5"/>
  <c r="AM65" i="5" s="1"/>
  <c r="S65" i="5"/>
  <c r="T65" i="5"/>
  <c r="G60" i="5"/>
  <c r="H60" i="5"/>
  <c r="AF60" i="5"/>
  <c r="AG60" i="5"/>
  <c r="AK60" i="5"/>
  <c r="AL60" i="5"/>
  <c r="G61" i="5"/>
  <c r="H61" i="5"/>
  <c r="AF61" i="5"/>
  <c r="AG61" i="5"/>
  <c r="AK61" i="5"/>
  <c r="AL61" i="5"/>
  <c r="G62" i="5"/>
  <c r="H62" i="5"/>
  <c r="AF62" i="5"/>
  <c r="AG62" i="5"/>
  <c r="AK62" i="5"/>
  <c r="AL62" i="5"/>
  <c r="G63" i="5"/>
  <c r="H63" i="5"/>
  <c r="AF63" i="5"/>
  <c r="AG63" i="5"/>
  <c r="AK63" i="5"/>
  <c r="AL63" i="5"/>
  <c r="G64" i="5"/>
  <c r="H64" i="5"/>
  <c r="AF64" i="5"/>
  <c r="AG64" i="5"/>
  <c r="AK64" i="5"/>
  <c r="AL64" i="5"/>
  <c r="G65" i="5"/>
  <c r="H65" i="5"/>
  <c r="AF65" i="5"/>
  <c r="AG65" i="5"/>
  <c r="AK65" i="5"/>
  <c r="AL65" i="5"/>
  <c r="AO64" i="5" l="1"/>
  <c r="AN64" i="5"/>
  <c r="AO65" i="5"/>
  <c r="AN65" i="5"/>
  <c r="AN60" i="5"/>
  <c r="AN62" i="5"/>
  <c r="AN63" i="5"/>
  <c r="AN61" i="5"/>
  <c r="AS65" i="12" l="1"/>
  <c r="N45" i="1" l="1"/>
  <c r="N46" i="1"/>
  <c r="N47" i="1"/>
  <c r="N49" i="1"/>
  <c r="N50" i="1"/>
  <c r="N52" i="1"/>
  <c r="N53" i="1"/>
  <c r="N57" i="1"/>
  <c r="V71" i="20" l="1"/>
  <c r="Z70" i="20"/>
  <c r="Y70" i="20"/>
  <c r="Z69" i="20"/>
  <c r="Y69" i="20"/>
  <c r="J66" i="20"/>
  <c r="G10" i="1" s="1"/>
  <c r="AR65" i="20"/>
  <c r="AL65" i="20"/>
  <c r="AK65" i="20"/>
  <c r="AG65" i="20"/>
  <c r="AF65" i="20"/>
  <c r="AB65" i="20"/>
  <c r="AA65" i="20"/>
  <c r="T65" i="20"/>
  <c r="S65" i="20"/>
  <c r="R65" i="20"/>
  <c r="AM65" i="20" s="1"/>
  <c r="H65" i="20"/>
  <c r="G65" i="20"/>
  <c r="AR64" i="20"/>
  <c r="AL64" i="20"/>
  <c r="AK64" i="20"/>
  <c r="AG64" i="20"/>
  <c r="AF64" i="20"/>
  <c r="AB64" i="20"/>
  <c r="AA64" i="20"/>
  <c r="T64" i="20"/>
  <c r="S64" i="20"/>
  <c r="R64" i="20"/>
  <c r="AM64" i="20" s="1"/>
  <c r="H64" i="20"/>
  <c r="G64" i="20"/>
  <c r="AL63" i="20"/>
  <c r="AK63" i="20"/>
  <c r="AG63" i="20"/>
  <c r="AF63" i="20"/>
  <c r="AB63" i="20"/>
  <c r="T63" i="20"/>
  <c r="S63" i="20"/>
  <c r="R63" i="20"/>
  <c r="AM63" i="20" s="1"/>
  <c r="H63" i="20"/>
  <c r="G63" i="20"/>
  <c r="AR62" i="20"/>
  <c r="AL62" i="20"/>
  <c r="AK62" i="20"/>
  <c r="AG62" i="20"/>
  <c r="AF62" i="20"/>
  <c r="AB62" i="20"/>
  <c r="T62" i="20"/>
  <c r="S62" i="20"/>
  <c r="R62" i="20"/>
  <c r="AM62" i="20" s="1"/>
  <c r="H62" i="20"/>
  <c r="G62" i="20"/>
  <c r="AR61" i="20"/>
  <c r="AL61" i="20"/>
  <c r="AK61" i="20"/>
  <c r="AG61" i="20"/>
  <c r="AF61" i="20"/>
  <c r="AB61" i="20"/>
  <c r="T61" i="20"/>
  <c r="S61" i="20"/>
  <c r="R61" i="20"/>
  <c r="AM61" i="20" s="1"/>
  <c r="H61" i="20"/>
  <c r="G61" i="20"/>
  <c r="AR60" i="20"/>
  <c r="AL60" i="20"/>
  <c r="AK60" i="20"/>
  <c r="AG60" i="20"/>
  <c r="AF60" i="20"/>
  <c r="AB60" i="20"/>
  <c r="T60" i="20"/>
  <c r="S60" i="20"/>
  <c r="R60" i="20"/>
  <c r="AM60" i="20" s="1"/>
  <c r="H60" i="20"/>
  <c r="G60" i="20"/>
  <c r="AR59" i="20"/>
  <c r="AL59" i="20"/>
  <c r="AK59" i="20"/>
  <c r="AG59" i="20"/>
  <c r="AF59" i="20"/>
  <c r="AB59" i="20"/>
  <c r="T59" i="20"/>
  <c r="S59" i="20"/>
  <c r="R59" i="20"/>
  <c r="AM59" i="20" s="1"/>
  <c r="H59" i="20"/>
  <c r="G59" i="20"/>
  <c r="AR58" i="20"/>
  <c r="AL58" i="20"/>
  <c r="AK58" i="20"/>
  <c r="AG58" i="20"/>
  <c r="AF58" i="20"/>
  <c r="AB58" i="20"/>
  <c r="T58" i="20"/>
  <c r="S58" i="20"/>
  <c r="R58" i="20"/>
  <c r="AM58" i="20" s="1"/>
  <c r="H58" i="20"/>
  <c r="G58" i="20"/>
  <c r="AR57" i="20"/>
  <c r="AL57" i="20"/>
  <c r="AK57" i="20"/>
  <c r="AG57" i="20"/>
  <c r="AF57" i="20"/>
  <c r="AB57" i="20"/>
  <c r="T57" i="20"/>
  <c r="S57" i="20"/>
  <c r="R57" i="20"/>
  <c r="AM57" i="20" s="1"/>
  <c r="H57" i="20"/>
  <c r="G57" i="20"/>
  <c r="AR56" i="20"/>
  <c r="AL56" i="20"/>
  <c r="AK56" i="20"/>
  <c r="AG56" i="20"/>
  <c r="AF56" i="20"/>
  <c r="AB56" i="20"/>
  <c r="T56" i="20"/>
  <c r="S56" i="20"/>
  <c r="R56" i="20"/>
  <c r="AM56" i="20" s="1"/>
  <c r="H56" i="20"/>
  <c r="G56" i="20"/>
  <c r="AR55" i="20"/>
  <c r="AL55" i="20"/>
  <c r="AK55" i="20"/>
  <c r="AG55" i="20"/>
  <c r="AF55" i="20"/>
  <c r="AB55" i="20"/>
  <c r="T55" i="20"/>
  <c r="S55" i="20"/>
  <c r="R55" i="20"/>
  <c r="AM55" i="20" s="1"/>
  <c r="H55" i="20"/>
  <c r="G55" i="20"/>
  <c r="AR54" i="20"/>
  <c r="AL54" i="20"/>
  <c r="AK54" i="20"/>
  <c r="AG54" i="20"/>
  <c r="AF54" i="20"/>
  <c r="AB54" i="20"/>
  <c r="T54" i="20"/>
  <c r="S54" i="20"/>
  <c r="R54" i="20"/>
  <c r="AM54" i="20" s="1"/>
  <c r="H54" i="20"/>
  <c r="G54" i="20"/>
  <c r="AR53" i="20"/>
  <c r="AL53" i="20"/>
  <c r="AK53" i="20"/>
  <c r="AG53" i="20"/>
  <c r="AF53" i="20"/>
  <c r="AB53" i="20"/>
  <c r="T53" i="20"/>
  <c r="S53" i="20"/>
  <c r="R53" i="20"/>
  <c r="AM53" i="20" s="1"/>
  <c r="H53" i="20"/>
  <c r="G53" i="20"/>
  <c r="AR52" i="20"/>
  <c r="AL52" i="20"/>
  <c r="AK52" i="20"/>
  <c r="AG52" i="20"/>
  <c r="AF52" i="20"/>
  <c r="AB52" i="20"/>
  <c r="T52" i="20"/>
  <c r="S52" i="20"/>
  <c r="R52" i="20"/>
  <c r="AM52" i="20" s="1"/>
  <c r="H52" i="20"/>
  <c r="G52" i="20"/>
  <c r="AR51" i="20"/>
  <c r="AL51" i="20"/>
  <c r="AK51" i="20"/>
  <c r="AG51" i="20"/>
  <c r="AF51" i="20"/>
  <c r="AB51" i="20"/>
  <c r="T51" i="20"/>
  <c r="S51" i="20"/>
  <c r="R51" i="20"/>
  <c r="AM51" i="20" s="1"/>
  <c r="H51" i="20"/>
  <c r="G51" i="20"/>
  <c r="AR50" i="20"/>
  <c r="AL50" i="20"/>
  <c r="AK50" i="20"/>
  <c r="AG50" i="20"/>
  <c r="AF50" i="20"/>
  <c r="AB50" i="20"/>
  <c r="T50" i="20"/>
  <c r="S50" i="20"/>
  <c r="R50" i="20"/>
  <c r="AM50" i="20" s="1"/>
  <c r="H50" i="20"/>
  <c r="G50" i="20"/>
  <c r="AR49" i="20"/>
  <c r="AL49" i="20"/>
  <c r="AK49" i="20"/>
  <c r="AG49" i="20"/>
  <c r="AF49" i="20"/>
  <c r="AB49" i="20"/>
  <c r="T49" i="20"/>
  <c r="S49" i="20"/>
  <c r="R49" i="20"/>
  <c r="AM49" i="20" s="1"/>
  <c r="H49" i="20"/>
  <c r="G49" i="20"/>
  <c r="AR48" i="20"/>
  <c r="AL48" i="20"/>
  <c r="AK48" i="20"/>
  <c r="AG48" i="20"/>
  <c r="AF48" i="20"/>
  <c r="AB48" i="20"/>
  <c r="T48" i="20"/>
  <c r="S48" i="20"/>
  <c r="R48" i="20"/>
  <c r="AM48" i="20" s="1"/>
  <c r="H48" i="20"/>
  <c r="G48" i="20"/>
  <c r="AR47" i="20"/>
  <c r="AL47" i="20"/>
  <c r="AK47" i="20"/>
  <c r="AG47" i="20"/>
  <c r="AF47" i="20"/>
  <c r="AB47" i="20"/>
  <c r="T47" i="20"/>
  <c r="S47" i="20"/>
  <c r="R47" i="20"/>
  <c r="AM47" i="20" s="1"/>
  <c r="H47" i="20"/>
  <c r="G47" i="20"/>
  <c r="AR46" i="20"/>
  <c r="AL46" i="20"/>
  <c r="AK46" i="20"/>
  <c r="AG46" i="20"/>
  <c r="AF46" i="20"/>
  <c r="AB46" i="20"/>
  <c r="T46" i="20"/>
  <c r="S46" i="20"/>
  <c r="R46" i="20"/>
  <c r="AM46" i="20" s="1"/>
  <c r="H46" i="20"/>
  <c r="G46" i="20"/>
  <c r="AR45" i="20"/>
  <c r="AL45" i="20"/>
  <c r="AK45" i="20"/>
  <c r="AG45" i="20"/>
  <c r="AF45" i="20"/>
  <c r="AB45" i="20"/>
  <c r="T45" i="20"/>
  <c r="S45" i="20"/>
  <c r="R45" i="20"/>
  <c r="AM45" i="20" s="1"/>
  <c r="H45" i="20"/>
  <c r="G45" i="20"/>
  <c r="AR44" i="20"/>
  <c r="AL44" i="20"/>
  <c r="AK44" i="20"/>
  <c r="AG44" i="20"/>
  <c r="AF44" i="20"/>
  <c r="AB44" i="20"/>
  <c r="T44" i="20"/>
  <c r="S44" i="20"/>
  <c r="R44" i="20"/>
  <c r="AM44" i="20" s="1"/>
  <c r="H44" i="20"/>
  <c r="G44" i="20"/>
  <c r="AR43" i="20"/>
  <c r="AL43" i="20"/>
  <c r="AK43" i="20"/>
  <c r="AG43" i="20"/>
  <c r="AF43" i="20"/>
  <c r="AB43" i="20"/>
  <c r="AA43" i="20"/>
  <c r="T43" i="20"/>
  <c r="S43" i="20"/>
  <c r="R43" i="20"/>
  <c r="AM43" i="20" s="1"/>
  <c r="H43" i="20"/>
  <c r="G43" i="20"/>
  <c r="AR42" i="20"/>
  <c r="AL42" i="20"/>
  <c r="AK42" i="20"/>
  <c r="AG42" i="20"/>
  <c r="AF42" i="20"/>
  <c r="AB42" i="20"/>
  <c r="AA42" i="20"/>
  <c r="T42" i="20"/>
  <c r="S42" i="20"/>
  <c r="R42" i="20"/>
  <c r="AM42" i="20" s="1"/>
  <c r="H42" i="20"/>
  <c r="G42" i="20"/>
  <c r="AR41" i="20"/>
  <c r="AL41" i="20"/>
  <c r="AK41" i="20"/>
  <c r="AG41" i="20"/>
  <c r="AF41" i="20"/>
  <c r="AB41" i="20"/>
  <c r="AA41" i="20"/>
  <c r="T41" i="20"/>
  <c r="S41" i="20"/>
  <c r="R41" i="20"/>
  <c r="AM41" i="20" s="1"/>
  <c r="H41" i="20"/>
  <c r="G41" i="20"/>
  <c r="AR40" i="20"/>
  <c r="AL40" i="20"/>
  <c r="AK40" i="20"/>
  <c r="AG40" i="20"/>
  <c r="AF40" i="20"/>
  <c r="AB40" i="20"/>
  <c r="AA40" i="20"/>
  <c r="T40" i="20"/>
  <c r="S40" i="20"/>
  <c r="R40" i="20"/>
  <c r="AM40" i="20" s="1"/>
  <c r="H40" i="20"/>
  <c r="G40" i="20"/>
  <c r="AR39" i="20"/>
  <c r="AL39" i="20"/>
  <c r="AK39" i="20"/>
  <c r="AG39" i="20"/>
  <c r="AF39" i="20"/>
  <c r="AB39" i="20"/>
  <c r="AA39" i="20"/>
  <c r="T39" i="20"/>
  <c r="S39" i="20"/>
  <c r="R39" i="20"/>
  <c r="AM39" i="20" s="1"/>
  <c r="AR38" i="20"/>
  <c r="AL38" i="20"/>
  <c r="AK38" i="20"/>
  <c r="AG38" i="20"/>
  <c r="AF38" i="20"/>
  <c r="AB38" i="20"/>
  <c r="AA38" i="20"/>
  <c r="T38" i="20"/>
  <c r="S38" i="20"/>
  <c r="R38" i="20"/>
  <c r="AM38" i="20" s="1"/>
  <c r="AR37" i="20"/>
  <c r="AL37" i="20"/>
  <c r="AK37" i="20"/>
  <c r="AG37" i="20"/>
  <c r="AF37" i="20"/>
  <c r="AB37" i="20"/>
  <c r="AA37" i="20"/>
  <c r="T37" i="20"/>
  <c r="S37" i="20"/>
  <c r="R37" i="20"/>
  <c r="AM37" i="20" s="1"/>
  <c r="AR36" i="20"/>
  <c r="AL36" i="20"/>
  <c r="AK36" i="20"/>
  <c r="AG36" i="20"/>
  <c r="AF36" i="20"/>
  <c r="AB36" i="20"/>
  <c r="AA36" i="20"/>
  <c r="T36" i="20"/>
  <c r="S36" i="20"/>
  <c r="R36" i="20"/>
  <c r="AM36" i="20" s="1"/>
  <c r="AR35" i="20"/>
  <c r="AL35" i="20"/>
  <c r="AK35" i="20"/>
  <c r="AG35" i="20"/>
  <c r="AF35" i="20"/>
  <c r="AB35" i="20"/>
  <c r="AA35" i="20"/>
  <c r="T35" i="20"/>
  <c r="S35" i="20"/>
  <c r="R35" i="20"/>
  <c r="AM35" i="20" s="1"/>
  <c r="AR34" i="20"/>
  <c r="AL34" i="20"/>
  <c r="AK34" i="20"/>
  <c r="AG34" i="20"/>
  <c r="AF34" i="20"/>
  <c r="AB34" i="20"/>
  <c r="AA34" i="20"/>
  <c r="T34" i="20"/>
  <c r="S34" i="20"/>
  <c r="R34" i="20"/>
  <c r="AM34" i="20" s="1"/>
  <c r="AR33" i="20"/>
  <c r="AL33" i="20"/>
  <c r="AK33" i="20"/>
  <c r="AG33" i="20"/>
  <c r="AF33" i="20"/>
  <c r="AB33" i="20"/>
  <c r="AA33" i="20"/>
  <c r="T33" i="20"/>
  <c r="S33" i="20"/>
  <c r="R33" i="20"/>
  <c r="AM33" i="20" s="1"/>
  <c r="AR32" i="20"/>
  <c r="AL32" i="20"/>
  <c r="AK32" i="20"/>
  <c r="AG32" i="20"/>
  <c r="AF32" i="20"/>
  <c r="AB32" i="20"/>
  <c r="AA32" i="20"/>
  <c r="T32" i="20"/>
  <c r="S32" i="20"/>
  <c r="R32" i="20"/>
  <c r="AM32" i="20" s="1"/>
  <c r="AR31" i="20"/>
  <c r="AL31" i="20"/>
  <c r="AK31" i="20"/>
  <c r="AG31" i="20"/>
  <c r="AF31" i="20"/>
  <c r="AB31" i="20"/>
  <c r="AA31" i="20"/>
  <c r="T31" i="20"/>
  <c r="S31" i="20"/>
  <c r="R31" i="20"/>
  <c r="AM31" i="20" s="1"/>
  <c r="AR30" i="20"/>
  <c r="AL30" i="20"/>
  <c r="AK30" i="20"/>
  <c r="AG30" i="20"/>
  <c r="AF30" i="20"/>
  <c r="AB30" i="20"/>
  <c r="AA30" i="20"/>
  <c r="T30" i="20"/>
  <c r="S30" i="20"/>
  <c r="R30" i="20"/>
  <c r="AM30" i="20" s="1"/>
  <c r="AR29" i="20"/>
  <c r="AL29" i="20"/>
  <c r="AK29" i="20"/>
  <c r="AG29" i="20"/>
  <c r="AF29" i="20"/>
  <c r="AB29" i="20"/>
  <c r="AA29" i="20"/>
  <c r="T29" i="20"/>
  <c r="S29" i="20"/>
  <c r="R29" i="20"/>
  <c r="AM29" i="20" s="1"/>
  <c r="AR28" i="20"/>
  <c r="AL28" i="20"/>
  <c r="AK28" i="20"/>
  <c r="AG28" i="20"/>
  <c r="AF28" i="20"/>
  <c r="AB28" i="20"/>
  <c r="AA28" i="20"/>
  <c r="T28" i="20"/>
  <c r="S28" i="20"/>
  <c r="R28" i="20"/>
  <c r="AM28" i="20" s="1"/>
  <c r="AR27" i="20"/>
  <c r="AL27" i="20"/>
  <c r="AK27" i="20"/>
  <c r="AG27" i="20"/>
  <c r="AF27" i="20"/>
  <c r="AB27" i="20"/>
  <c r="AA27" i="20"/>
  <c r="T27" i="20"/>
  <c r="S27" i="20"/>
  <c r="R27" i="20"/>
  <c r="AM27" i="20" s="1"/>
  <c r="AR26" i="20"/>
  <c r="AL26" i="20"/>
  <c r="AK26" i="20"/>
  <c r="AG26" i="20"/>
  <c r="AF26" i="20"/>
  <c r="AB26" i="20"/>
  <c r="AA26" i="20"/>
  <c r="T26" i="20"/>
  <c r="S26" i="20"/>
  <c r="R26" i="20"/>
  <c r="AM26" i="20" s="1"/>
  <c r="AR25" i="20"/>
  <c r="AL25" i="20"/>
  <c r="AK25" i="20"/>
  <c r="AG25" i="20"/>
  <c r="AF25" i="20"/>
  <c r="AB25" i="20"/>
  <c r="AA25" i="20"/>
  <c r="T25" i="20"/>
  <c r="S25" i="20"/>
  <c r="R25" i="20"/>
  <c r="AM25" i="20" s="1"/>
  <c r="H25" i="20"/>
  <c r="G25" i="20"/>
  <c r="AR24" i="20"/>
  <c r="AL24" i="20"/>
  <c r="AK24" i="20"/>
  <c r="AG24" i="20"/>
  <c r="AF24" i="20"/>
  <c r="AB24" i="20"/>
  <c r="AA24" i="20"/>
  <c r="T24" i="20"/>
  <c r="S24" i="20"/>
  <c r="R24" i="20"/>
  <c r="AM24" i="20" s="1"/>
  <c r="H24" i="20"/>
  <c r="G24" i="20"/>
  <c r="AR23" i="20"/>
  <c r="AL23" i="20"/>
  <c r="AK23" i="20"/>
  <c r="AG23" i="20"/>
  <c r="AF23" i="20"/>
  <c r="AB23" i="20"/>
  <c r="AA23" i="20"/>
  <c r="T23" i="20"/>
  <c r="S23" i="20"/>
  <c r="R23" i="20"/>
  <c r="AM23" i="20" s="1"/>
  <c r="H23" i="20"/>
  <c r="G23" i="20"/>
  <c r="AR22" i="20"/>
  <c r="AL22" i="20"/>
  <c r="AK22" i="20"/>
  <c r="AG22" i="20"/>
  <c r="AF22" i="20"/>
  <c r="AB22" i="20"/>
  <c r="AA22" i="20"/>
  <c r="T22" i="20"/>
  <c r="S22" i="20"/>
  <c r="R22" i="20"/>
  <c r="AM22" i="20" s="1"/>
  <c r="H22" i="20"/>
  <c r="G22" i="20"/>
  <c r="AR21" i="20"/>
  <c r="AL21" i="20"/>
  <c r="AK21" i="20"/>
  <c r="AG21" i="20"/>
  <c r="AF21" i="20"/>
  <c r="AB21" i="20"/>
  <c r="AA21" i="20"/>
  <c r="T21" i="20"/>
  <c r="S21" i="20"/>
  <c r="R21" i="20"/>
  <c r="AM21" i="20" s="1"/>
  <c r="H21" i="20"/>
  <c r="G21" i="20"/>
  <c r="AR20" i="20"/>
  <c r="AL20" i="20"/>
  <c r="AK20" i="20"/>
  <c r="AG20" i="20"/>
  <c r="AF20" i="20"/>
  <c r="AB20" i="20"/>
  <c r="AA20" i="20"/>
  <c r="T20" i="20"/>
  <c r="S20" i="20"/>
  <c r="R20" i="20"/>
  <c r="AM20" i="20" s="1"/>
  <c r="H20" i="20"/>
  <c r="G20" i="20"/>
  <c r="AR19" i="20"/>
  <c r="AL19" i="20"/>
  <c r="AK19" i="20"/>
  <c r="AG19" i="20"/>
  <c r="AF19" i="20"/>
  <c r="AB19" i="20"/>
  <c r="AA19" i="20"/>
  <c r="T19" i="20"/>
  <c r="S19" i="20"/>
  <c r="R19" i="20"/>
  <c r="AM19" i="20" s="1"/>
  <c r="H19" i="20"/>
  <c r="G19" i="20"/>
  <c r="AR18" i="20"/>
  <c r="AL18" i="20"/>
  <c r="AK18" i="20"/>
  <c r="AG18" i="20"/>
  <c r="AF18" i="20"/>
  <c r="AB18" i="20"/>
  <c r="AA18" i="20"/>
  <c r="T18" i="20"/>
  <c r="S18" i="20"/>
  <c r="R18" i="20"/>
  <c r="AM18" i="20" s="1"/>
  <c r="H18" i="20"/>
  <c r="G18" i="20"/>
  <c r="AR17" i="20"/>
  <c r="AL17" i="20"/>
  <c r="AK17" i="20"/>
  <c r="AG17" i="20"/>
  <c r="AF17" i="20"/>
  <c r="AB17" i="20"/>
  <c r="AA17" i="20"/>
  <c r="T17" i="20"/>
  <c r="S17" i="20"/>
  <c r="R17" i="20"/>
  <c r="AM17" i="20" s="1"/>
  <c r="H17" i="20"/>
  <c r="G17" i="20"/>
  <c r="AR16" i="20"/>
  <c r="AL16" i="20"/>
  <c r="AK16" i="20"/>
  <c r="AG16" i="20"/>
  <c r="AF16" i="20"/>
  <c r="AB16" i="20"/>
  <c r="AA16" i="20"/>
  <c r="T16" i="20"/>
  <c r="S16" i="20"/>
  <c r="R16" i="20"/>
  <c r="AM16" i="20" s="1"/>
  <c r="H16" i="20"/>
  <c r="G16" i="20"/>
  <c r="AR15" i="20"/>
  <c r="AL15" i="20"/>
  <c r="AK15" i="20"/>
  <c r="AG15" i="20"/>
  <c r="AF15" i="20"/>
  <c r="AB15" i="20"/>
  <c r="AA15" i="20"/>
  <c r="T15" i="20"/>
  <c r="S15" i="20"/>
  <c r="R15" i="20"/>
  <c r="AM15" i="20" s="1"/>
  <c r="H15" i="20"/>
  <c r="G15" i="20"/>
  <c r="AR14" i="20"/>
  <c r="AL14" i="20"/>
  <c r="AK14" i="20"/>
  <c r="AG14" i="20"/>
  <c r="AF14" i="20"/>
  <c r="AB14" i="20"/>
  <c r="AA14" i="20"/>
  <c r="T14" i="20"/>
  <c r="S14" i="20"/>
  <c r="R14" i="20"/>
  <c r="AM14" i="20" s="1"/>
  <c r="H14" i="20"/>
  <c r="G14" i="20"/>
  <c r="AR13" i="20"/>
  <c r="AL13" i="20"/>
  <c r="AK13" i="20"/>
  <c r="AG13" i="20"/>
  <c r="AF13" i="20"/>
  <c r="AB13" i="20"/>
  <c r="AA13" i="20"/>
  <c r="T13" i="20"/>
  <c r="S13" i="20"/>
  <c r="R13" i="20"/>
  <c r="AM13" i="20" s="1"/>
  <c r="H13" i="20"/>
  <c r="G13" i="20"/>
  <c r="AR12" i="20"/>
  <c r="AL12" i="20"/>
  <c r="AK12" i="20"/>
  <c r="AG12" i="20"/>
  <c r="AF12" i="20"/>
  <c r="AB12" i="20"/>
  <c r="AA12" i="20"/>
  <c r="T12" i="20"/>
  <c r="S12" i="20"/>
  <c r="R12" i="20"/>
  <c r="AM12" i="20" s="1"/>
  <c r="H12" i="20"/>
  <c r="G12" i="20"/>
  <c r="AR11" i="20"/>
  <c r="AL11" i="20"/>
  <c r="AK11" i="20"/>
  <c r="AG11" i="20"/>
  <c r="AF11" i="20"/>
  <c r="AB11" i="20"/>
  <c r="AA11" i="20"/>
  <c r="T11" i="20"/>
  <c r="S11" i="20"/>
  <c r="R11" i="20"/>
  <c r="AM11" i="20" s="1"/>
  <c r="H11" i="20"/>
  <c r="G11" i="20"/>
  <c r="AR10" i="20"/>
  <c r="AL10" i="20"/>
  <c r="AK10" i="20"/>
  <c r="AG10" i="20"/>
  <c r="AF10" i="20"/>
  <c r="AB10" i="20"/>
  <c r="AA10" i="20"/>
  <c r="T10" i="20"/>
  <c r="S10" i="20"/>
  <c r="R10" i="20"/>
  <c r="AM10" i="20" s="1"/>
  <c r="H10" i="20"/>
  <c r="G10" i="20"/>
  <c r="AR9" i="20"/>
  <c r="AL9" i="20"/>
  <c r="AK9" i="20"/>
  <c r="AG9" i="20"/>
  <c r="AF9" i="20"/>
  <c r="AB9" i="20"/>
  <c r="AA9" i="20"/>
  <c r="T9" i="20"/>
  <c r="S9" i="20"/>
  <c r="R9" i="20"/>
  <c r="AM9" i="20" s="1"/>
  <c r="H9" i="20"/>
  <c r="G9" i="20"/>
  <c r="AR8" i="20"/>
  <c r="AL8" i="20"/>
  <c r="AK8" i="20"/>
  <c r="AG8" i="20"/>
  <c r="AF8" i="20"/>
  <c r="AB8" i="20"/>
  <c r="AA8" i="20"/>
  <c r="T8" i="20"/>
  <c r="S8" i="20"/>
  <c r="R8" i="20"/>
  <c r="AM8" i="20" s="1"/>
  <c r="H8" i="20"/>
  <c r="G8" i="20"/>
  <c r="AR7" i="20"/>
  <c r="AL7" i="20"/>
  <c r="AK7" i="20"/>
  <c r="AG7" i="20"/>
  <c r="AF7" i="20"/>
  <c r="AB7" i="20"/>
  <c r="AA7" i="20"/>
  <c r="T7" i="20"/>
  <c r="S7" i="20"/>
  <c r="R7" i="20"/>
  <c r="AM7" i="20" s="1"/>
  <c r="H7" i="20"/>
  <c r="G7" i="20"/>
  <c r="AR6" i="20"/>
  <c r="AL6" i="20"/>
  <c r="AK6" i="20"/>
  <c r="AG6" i="20"/>
  <c r="AF6" i="20"/>
  <c r="AB6" i="20"/>
  <c r="AA6" i="20"/>
  <c r="T6" i="20"/>
  <c r="S6" i="20"/>
  <c r="R6" i="20"/>
  <c r="AM6" i="20" s="1"/>
  <c r="H6" i="20"/>
  <c r="G6" i="20"/>
  <c r="B6" i="20"/>
  <c r="B8" i="20" s="1"/>
  <c r="AR5" i="20"/>
  <c r="AL5" i="20"/>
  <c r="AK5" i="20"/>
  <c r="AG5" i="20"/>
  <c r="AF5" i="20"/>
  <c r="AB5" i="20"/>
  <c r="AA5" i="20"/>
  <c r="T5" i="20"/>
  <c r="S5" i="20"/>
  <c r="R5" i="20"/>
  <c r="AM5" i="20" s="1"/>
  <c r="H5" i="20"/>
  <c r="G5" i="20"/>
  <c r="B5" i="20"/>
  <c r="A5" i="20" s="1"/>
  <c r="AR4" i="20"/>
  <c r="AL4" i="20"/>
  <c r="AK4" i="20"/>
  <c r="AG4" i="20"/>
  <c r="AF4" i="20"/>
  <c r="AB4" i="20"/>
  <c r="AA4" i="20"/>
  <c r="T4" i="20"/>
  <c r="S4" i="20"/>
  <c r="R4" i="20"/>
  <c r="H4" i="20"/>
  <c r="G4" i="20"/>
  <c r="A4" i="20"/>
  <c r="AP1" i="20"/>
  <c r="Z71" i="20" l="1"/>
  <c r="X71" i="20" s="1"/>
  <c r="AO59" i="20"/>
  <c r="AO60" i="20"/>
  <c r="AO52" i="20"/>
  <c r="AN51" i="20"/>
  <c r="AN19" i="20"/>
  <c r="AN61" i="20"/>
  <c r="AN62" i="20"/>
  <c r="AN64" i="20"/>
  <c r="AN53" i="20"/>
  <c r="AN54" i="20"/>
  <c r="AN65" i="20"/>
  <c r="AO20" i="20"/>
  <c r="AO24" i="20"/>
  <c r="AN25" i="20"/>
  <c r="AO28" i="20"/>
  <c r="AO50" i="20"/>
  <c r="AO54" i="20"/>
  <c r="AN55" i="20"/>
  <c r="AN56" i="20"/>
  <c r="AO61" i="20"/>
  <c r="AO62" i="20"/>
  <c r="AN63" i="20"/>
  <c r="AO64" i="20"/>
  <c r="AO65" i="20"/>
  <c r="AO32" i="20"/>
  <c r="AO51" i="20"/>
  <c r="AN52" i="20"/>
  <c r="AO55" i="20"/>
  <c r="AO56" i="20"/>
  <c r="AN57" i="20"/>
  <c r="AN58" i="20"/>
  <c r="AO63" i="20"/>
  <c r="Y71" i="20"/>
  <c r="W71" i="20" s="1"/>
  <c r="AO48" i="20"/>
  <c r="AO57" i="20"/>
  <c r="AO58" i="20"/>
  <c r="AN59" i="20"/>
  <c r="AP59" i="20" s="1"/>
  <c r="AN60" i="20"/>
  <c r="A6" i="20"/>
  <c r="AO36" i="20"/>
  <c r="AO40" i="20"/>
  <c r="AO44" i="20"/>
  <c r="AN8" i="20"/>
  <c r="AN9" i="20"/>
  <c r="AN10" i="20"/>
  <c r="AN11" i="20"/>
  <c r="AO39" i="20"/>
  <c r="AO23" i="20"/>
  <c r="AO6" i="20"/>
  <c r="AO9" i="20"/>
  <c r="AN29" i="20"/>
  <c r="AN31" i="20"/>
  <c r="AN48" i="20"/>
  <c r="AO4" i="20"/>
  <c r="AN5" i="20"/>
  <c r="AN16" i="20"/>
  <c r="AN17" i="20"/>
  <c r="AN18" i="20"/>
  <c r="AN20" i="20"/>
  <c r="AO30" i="20"/>
  <c r="AN35" i="20"/>
  <c r="AN36" i="20"/>
  <c r="AO46" i="20"/>
  <c r="AO7" i="20"/>
  <c r="AO8" i="20"/>
  <c r="AN32" i="20"/>
  <c r="AN45" i="20"/>
  <c r="AN47" i="20"/>
  <c r="R66" i="20"/>
  <c r="AO5" i="20"/>
  <c r="AO14" i="20"/>
  <c r="AO15" i="20"/>
  <c r="AO16" i="20"/>
  <c r="AO17" i="20"/>
  <c r="AO34" i="20"/>
  <c r="AO35" i="20"/>
  <c r="AN41" i="20"/>
  <c r="AO11" i="20"/>
  <c r="AN12" i="20"/>
  <c r="AN13" i="20"/>
  <c r="AO18" i="20"/>
  <c r="AN27" i="20"/>
  <c r="AN37" i="20"/>
  <c r="AO42" i="20"/>
  <c r="AO47" i="20"/>
  <c r="AN4" i="20"/>
  <c r="AN6" i="20"/>
  <c r="AN7" i="20"/>
  <c r="AO12" i="20"/>
  <c r="AO13" i="20"/>
  <c r="AN14" i="20"/>
  <c r="AN15" i="20"/>
  <c r="AP15" i="20" s="1"/>
  <c r="AO22" i="20"/>
  <c r="AN23" i="20"/>
  <c r="AN24" i="20"/>
  <c r="AO27" i="20"/>
  <c r="AN33" i="20"/>
  <c r="AO38" i="20"/>
  <c r="AN39" i="20"/>
  <c r="AN40" i="20"/>
  <c r="AO43" i="20"/>
  <c r="AN49" i="20"/>
  <c r="AO10" i="20"/>
  <c r="AO19" i="20"/>
  <c r="AN21" i="20"/>
  <c r="AO26" i="20"/>
  <c r="AN28" i="20"/>
  <c r="AP28" i="20" s="1"/>
  <c r="AO31" i="20"/>
  <c r="AN43" i="20"/>
  <c r="AN44" i="20"/>
  <c r="A8" i="20"/>
  <c r="B10" i="20"/>
  <c r="B7" i="20"/>
  <c r="AO21" i="20"/>
  <c r="AN26" i="20"/>
  <c r="AO29" i="20"/>
  <c r="AN34" i="20"/>
  <c r="AO37" i="20"/>
  <c r="AN42" i="20"/>
  <c r="AO45" i="20"/>
  <c r="AN50" i="20"/>
  <c r="AO53" i="20"/>
  <c r="S66" i="20"/>
  <c r="AM4" i="20"/>
  <c r="AM66" i="20" s="1"/>
  <c r="H10" i="1" s="1"/>
  <c r="AN22" i="20"/>
  <c r="AO25" i="20"/>
  <c r="AN30" i="20"/>
  <c r="AO33" i="20"/>
  <c r="AN38" i="20"/>
  <c r="AO41" i="20"/>
  <c r="AN46" i="20"/>
  <c r="AO49" i="20"/>
  <c r="T66" i="20"/>
  <c r="AP14" i="20" l="1"/>
  <c r="AP7" i="20"/>
  <c r="AP31" i="20"/>
  <c r="AP60" i="20"/>
  <c r="AP64" i="20"/>
  <c r="AP65" i="20"/>
  <c r="AP39" i="20"/>
  <c r="AP11" i="20"/>
  <c r="AP58" i="20"/>
  <c r="AP44" i="20"/>
  <c r="AP37" i="20"/>
  <c r="AP51" i="20"/>
  <c r="AP52" i="20"/>
  <c r="AP61" i="20"/>
  <c r="AP57" i="20"/>
  <c r="AP53" i="20"/>
  <c r="AP46" i="20"/>
  <c r="AP19" i="20"/>
  <c r="AP4" i="20"/>
  <c r="AP20" i="20"/>
  <c r="AP50" i="20"/>
  <c r="AP48" i="20"/>
  <c r="AP62" i="20"/>
  <c r="AP54" i="20"/>
  <c r="AP40" i="20"/>
  <c r="AP35" i="20"/>
  <c r="AP21" i="20"/>
  <c r="AP24" i="20"/>
  <c r="AP56" i="20"/>
  <c r="AP32" i="20"/>
  <c r="AP63" i="20"/>
  <c r="AP55" i="20"/>
  <c r="AP17" i="20"/>
  <c r="AP8" i="20"/>
  <c r="AP10" i="20"/>
  <c r="AP6" i="20"/>
  <c r="AP49" i="20"/>
  <c r="AP36" i="20"/>
  <c r="AP29" i="20"/>
  <c r="AP23" i="20"/>
  <c r="AP9" i="20"/>
  <c r="AP16" i="20"/>
  <c r="AP5" i="20"/>
  <c r="AP12" i="20"/>
  <c r="AP47" i="20"/>
  <c r="AP18" i="20"/>
  <c r="AP33" i="20"/>
  <c r="AP13" i="20"/>
  <c r="AP43" i="20"/>
  <c r="AP42" i="20"/>
  <c r="AP27" i="20"/>
  <c r="AP34" i="20"/>
  <c r="AP45" i="20"/>
  <c r="AP38" i="20"/>
  <c r="AP22" i="20"/>
  <c r="AO66" i="20"/>
  <c r="J10" i="1" s="1"/>
  <c r="AP41" i="20"/>
  <c r="AP25" i="20"/>
  <c r="AP30" i="20"/>
  <c r="A10" i="20"/>
  <c r="B12" i="20"/>
  <c r="AP26" i="20"/>
  <c r="A7" i="20"/>
  <c r="B9" i="20"/>
  <c r="AN66" i="20"/>
  <c r="I10" i="1" s="1"/>
  <c r="M10" i="1" l="1"/>
  <c r="N10" i="1" s="1"/>
  <c r="B11" i="20"/>
  <c r="A9" i="20"/>
  <c r="A12" i="20"/>
  <c r="B14" i="20"/>
  <c r="A11" i="20" l="1"/>
  <c r="B13" i="20"/>
  <c r="B16" i="20"/>
  <c r="A14" i="20"/>
  <c r="B15" i="20" l="1"/>
  <c r="A13" i="20"/>
  <c r="A16" i="20"/>
  <c r="B18" i="20"/>
  <c r="A18" i="20" l="1"/>
  <c r="B20" i="20"/>
  <c r="A15" i="20"/>
  <c r="B17" i="20"/>
  <c r="B19" i="20" l="1"/>
  <c r="A17" i="20"/>
  <c r="A20" i="20"/>
  <c r="B22" i="20"/>
  <c r="B21" i="20" l="1"/>
  <c r="A19" i="20"/>
  <c r="A22" i="20"/>
  <c r="B24" i="20"/>
  <c r="B23" i="20" l="1"/>
  <c r="A21" i="20"/>
  <c r="A24" i="20"/>
  <c r="B26" i="20"/>
  <c r="A26" i="20" l="1"/>
  <c r="B28" i="20"/>
  <c r="B25" i="20"/>
  <c r="A23" i="20"/>
  <c r="B27" i="20" l="1"/>
  <c r="A25" i="20"/>
  <c r="A28" i="20"/>
  <c r="B30" i="20"/>
  <c r="B29" i="20" l="1"/>
  <c r="A27" i="20"/>
  <c r="A30" i="20"/>
  <c r="B32" i="20"/>
  <c r="A32" i="20" l="1"/>
  <c r="B34" i="20"/>
  <c r="B31" i="20"/>
  <c r="A29" i="20"/>
  <c r="B33" i="20" l="1"/>
  <c r="A31" i="20"/>
  <c r="A34" i="20"/>
  <c r="B36" i="20"/>
  <c r="A36" i="20" l="1"/>
  <c r="B38" i="20"/>
  <c r="B35" i="20"/>
  <c r="A33" i="20"/>
  <c r="B37" i="20" l="1"/>
  <c r="A35" i="20"/>
  <c r="A38" i="20"/>
  <c r="B40" i="20"/>
  <c r="A40" i="20" l="1"/>
  <c r="B42" i="20"/>
  <c r="B39" i="20"/>
  <c r="A37" i="20"/>
  <c r="B41" i="20" l="1"/>
  <c r="A39" i="20"/>
  <c r="A42" i="20"/>
  <c r="B44" i="20"/>
  <c r="A44" i="20" l="1"/>
  <c r="B46" i="20"/>
  <c r="B43" i="20"/>
  <c r="A41" i="20"/>
  <c r="B45" i="20" l="1"/>
  <c r="A43" i="20"/>
  <c r="A46" i="20"/>
  <c r="B48" i="20"/>
  <c r="A48" i="20" l="1"/>
  <c r="B50" i="20"/>
  <c r="B47" i="20"/>
  <c r="A45" i="20"/>
  <c r="B49" i="20" l="1"/>
  <c r="A47" i="20"/>
  <c r="A50" i="20"/>
  <c r="B52" i="20"/>
  <c r="A52" i="20" l="1"/>
  <c r="B54" i="20"/>
  <c r="B51" i="20"/>
  <c r="A49" i="20"/>
  <c r="B53" i="20" l="1"/>
  <c r="A51" i="20"/>
  <c r="B56" i="20"/>
  <c r="A54" i="20"/>
  <c r="A56" i="20" l="1"/>
  <c r="B58" i="20"/>
  <c r="B55" i="20"/>
  <c r="A53" i="20"/>
  <c r="A55" i="20" l="1"/>
  <c r="B57" i="20"/>
  <c r="B60" i="20"/>
  <c r="A58" i="20"/>
  <c r="A60" i="20" l="1"/>
  <c r="B62" i="20"/>
  <c r="A57" i="20"/>
  <c r="B59" i="20"/>
  <c r="A59" i="20" l="1"/>
  <c r="B61" i="20"/>
  <c r="B64" i="20"/>
  <c r="A64" i="20" s="1"/>
  <c r="A62" i="20"/>
  <c r="A61" i="20" l="1"/>
  <c r="B63" i="20"/>
  <c r="A63" i="20" l="1"/>
  <c r="B65" i="20"/>
  <c r="A65" i="20" s="1"/>
  <c r="AA26" i="10" l="1"/>
  <c r="AA27" i="10"/>
  <c r="AA28" i="10"/>
  <c r="AA29" i="10"/>
  <c r="AA30" i="10"/>
  <c r="AA31" i="10"/>
  <c r="AA32" i="10"/>
  <c r="AA33" i="10"/>
  <c r="AA34" i="10"/>
  <c r="AA35" i="10"/>
  <c r="AA36" i="10"/>
  <c r="AA37" i="10"/>
  <c r="AA38" i="10"/>
  <c r="AA39" i="10"/>
  <c r="AA40" i="10"/>
  <c r="AA41" i="10"/>
  <c r="AS55" i="9" l="1"/>
  <c r="G42" i="10" l="1"/>
  <c r="H42" i="10"/>
  <c r="G43" i="10"/>
  <c r="H43" i="10"/>
  <c r="G44" i="10"/>
  <c r="H44" i="10"/>
  <c r="G45" i="10"/>
  <c r="H45" i="10"/>
  <c r="J66" i="19" l="1"/>
  <c r="G24" i="1" s="1"/>
  <c r="AR65" i="19"/>
  <c r="AM65" i="19"/>
  <c r="AR64" i="19"/>
  <c r="AM64" i="19"/>
  <c r="AR63" i="19"/>
  <c r="AM63" i="19"/>
  <c r="AR62" i="19"/>
  <c r="AM62" i="19"/>
  <c r="AR61" i="19"/>
  <c r="AM61" i="19"/>
  <c r="AR60" i="19"/>
  <c r="AM60" i="19"/>
  <c r="AR59" i="19"/>
  <c r="AM59" i="19"/>
  <c r="AR58" i="19"/>
  <c r="AM58" i="19"/>
  <c r="AR57" i="19"/>
  <c r="AM57" i="19"/>
  <c r="AR56" i="19"/>
  <c r="AM56" i="19"/>
  <c r="AR55" i="19"/>
  <c r="AM55" i="19"/>
  <c r="AR54" i="19"/>
  <c r="AM54" i="19"/>
  <c r="AR53" i="19"/>
  <c r="AM53" i="19"/>
  <c r="AR52" i="19"/>
  <c r="AM52" i="19"/>
  <c r="AR51" i="19"/>
  <c r="AM51" i="19"/>
  <c r="AR50" i="19"/>
  <c r="AM50" i="19"/>
  <c r="AR49" i="19"/>
  <c r="AM49" i="19"/>
  <c r="AR48" i="19"/>
  <c r="AM48" i="19"/>
  <c r="AR47" i="19"/>
  <c r="AM47" i="19"/>
  <c r="AR46" i="19"/>
  <c r="AM46" i="19"/>
  <c r="AR45" i="19"/>
  <c r="AM45" i="19"/>
  <c r="AR44" i="19"/>
  <c r="AM44" i="19"/>
  <c r="AR43" i="19"/>
  <c r="AM43" i="19"/>
  <c r="AR42" i="19"/>
  <c r="AM42" i="19"/>
  <c r="AR41" i="19"/>
  <c r="AM41" i="19"/>
  <c r="AR40" i="19"/>
  <c r="AM40" i="19"/>
  <c r="AR39" i="19"/>
  <c r="AM39" i="19"/>
  <c r="AR38" i="19"/>
  <c r="AM38" i="19"/>
  <c r="AR37" i="19"/>
  <c r="AM37" i="19"/>
  <c r="AR36" i="19"/>
  <c r="AM36" i="19"/>
  <c r="AR35" i="19"/>
  <c r="AM35" i="19"/>
  <c r="AR34" i="19"/>
  <c r="AM34" i="19"/>
  <c r="AR33" i="19"/>
  <c r="AM33" i="19"/>
  <c r="AR32" i="19"/>
  <c r="AM32" i="19"/>
  <c r="AR31" i="19"/>
  <c r="AM31" i="19"/>
  <c r="AR30" i="19"/>
  <c r="AM30" i="19"/>
  <c r="AR29" i="19"/>
  <c r="AM29" i="19"/>
  <c r="AR28" i="19"/>
  <c r="AM28" i="19"/>
  <c r="AR27" i="19"/>
  <c r="AM27" i="19"/>
  <c r="AR26" i="19"/>
  <c r="AM26" i="19"/>
  <c r="AR25" i="19"/>
  <c r="AM25" i="19"/>
  <c r="AR24" i="19"/>
  <c r="AM24" i="19"/>
  <c r="AR23" i="19"/>
  <c r="AM23" i="19"/>
  <c r="AR22" i="19"/>
  <c r="AM22" i="19"/>
  <c r="AR21" i="19"/>
  <c r="AM21" i="19"/>
  <c r="AR20" i="19"/>
  <c r="AM20" i="19"/>
  <c r="AR19" i="19"/>
  <c r="AM19" i="19"/>
  <c r="AR18" i="19"/>
  <c r="AM18" i="19"/>
  <c r="AR17" i="19"/>
  <c r="AM17" i="19"/>
  <c r="AR16" i="19"/>
  <c r="AM16" i="19"/>
  <c r="AR15" i="19"/>
  <c r="AM15" i="19"/>
  <c r="AR14" i="19"/>
  <c r="AM14" i="19"/>
  <c r="AR13" i="19"/>
  <c r="AM13" i="19"/>
  <c r="AR12" i="19"/>
  <c r="AM12" i="19"/>
  <c r="AR11" i="19"/>
  <c r="AM11" i="19"/>
  <c r="AR10" i="19"/>
  <c r="AM10" i="19"/>
  <c r="AR9" i="19"/>
  <c r="AM9" i="19"/>
  <c r="AR8" i="19"/>
  <c r="AM8" i="19"/>
  <c r="AR7" i="19"/>
  <c r="AM7" i="19"/>
  <c r="AR6" i="19"/>
  <c r="AM6" i="19"/>
  <c r="B6" i="19"/>
  <c r="B8" i="19" s="1"/>
  <c r="B10" i="19" s="1"/>
  <c r="AR5" i="19"/>
  <c r="AM5" i="19"/>
  <c r="B5" i="19"/>
  <c r="AR4" i="19"/>
  <c r="AL4" i="19"/>
  <c r="AK4" i="19"/>
  <c r="AG4" i="19"/>
  <c r="AF4" i="19"/>
  <c r="AB4" i="19"/>
  <c r="AA4" i="19"/>
  <c r="T4" i="19"/>
  <c r="S4" i="19"/>
  <c r="R4" i="19"/>
  <c r="AM4" i="19" s="1"/>
  <c r="H4" i="19"/>
  <c r="G4" i="19"/>
  <c r="A4" i="19"/>
  <c r="AP1" i="19"/>
  <c r="AT59" i="19" l="1"/>
  <c r="AT65" i="19"/>
  <c r="AT45" i="19"/>
  <c r="AT31" i="19"/>
  <c r="AT17" i="19"/>
  <c r="AN60" i="19"/>
  <c r="AO58" i="19"/>
  <c r="AO59" i="19"/>
  <c r="AN61" i="19"/>
  <c r="AO52" i="19"/>
  <c r="AN54" i="19"/>
  <c r="AO55" i="19"/>
  <c r="AN56" i="19"/>
  <c r="AN57" i="19"/>
  <c r="AO62" i="19"/>
  <c r="AO63" i="19"/>
  <c r="AN64" i="19"/>
  <c r="AN65" i="19"/>
  <c r="AO53" i="19"/>
  <c r="AN55" i="19"/>
  <c r="AO60" i="19"/>
  <c r="AO61" i="19"/>
  <c r="AN62" i="19"/>
  <c r="AN63" i="19"/>
  <c r="AP63" i="19" s="1"/>
  <c r="AO49" i="19"/>
  <c r="AO56" i="19"/>
  <c r="AO57" i="19"/>
  <c r="AN58" i="19"/>
  <c r="AN59" i="19"/>
  <c r="AO64" i="19"/>
  <c r="AO65" i="19"/>
  <c r="AO50" i="19"/>
  <c r="AN51" i="19"/>
  <c r="AO46" i="19"/>
  <c r="AN47" i="19"/>
  <c r="AN48" i="19"/>
  <c r="AO30" i="19"/>
  <c r="AO44" i="19"/>
  <c r="AN45" i="19"/>
  <c r="AN37" i="19"/>
  <c r="AO38" i="19"/>
  <c r="AN43" i="19"/>
  <c r="AN26" i="19"/>
  <c r="AO23" i="19"/>
  <c r="AN22" i="19"/>
  <c r="A6" i="19"/>
  <c r="AO9" i="19"/>
  <c r="AO27" i="19"/>
  <c r="AN10" i="19"/>
  <c r="AO42" i="19"/>
  <c r="AN46" i="19"/>
  <c r="AO51" i="19"/>
  <c r="AN52" i="19"/>
  <c r="AN53" i="19"/>
  <c r="AO47" i="19"/>
  <c r="AO48" i="19"/>
  <c r="AN49" i="19"/>
  <c r="AN50" i="19"/>
  <c r="AO54" i="19"/>
  <c r="AO29" i="19"/>
  <c r="AO12" i="19"/>
  <c r="AN14" i="19"/>
  <c r="AN15" i="19"/>
  <c r="AO25" i="19"/>
  <c r="AO16" i="19"/>
  <c r="AO17" i="19"/>
  <c r="AN18" i="19"/>
  <c r="AN19" i="19"/>
  <c r="AO32" i="19"/>
  <c r="AN33" i="19"/>
  <c r="AN34" i="19"/>
  <c r="AO13" i="19"/>
  <c r="AO40" i="19"/>
  <c r="AN4" i="19"/>
  <c r="AN6" i="19"/>
  <c r="AO21" i="19"/>
  <c r="AO36" i="19"/>
  <c r="AO5" i="19"/>
  <c r="AN41" i="19"/>
  <c r="AO11" i="19"/>
  <c r="AN12" i="19"/>
  <c r="AN13" i="19"/>
  <c r="AO19" i="19"/>
  <c r="AN20" i="19"/>
  <c r="AN24" i="19"/>
  <c r="AN28" i="19"/>
  <c r="AN31" i="19"/>
  <c r="AN38" i="19"/>
  <c r="AO41" i="19"/>
  <c r="AN5" i="19"/>
  <c r="AO7" i="19"/>
  <c r="AN8" i="19"/>
  <c r="AN9" i="19"/>
  <c r="AO14" i="19"/>
  <c r="AO15" i="19"/>
  <c r="AN16" i="19"/>
  <c r="AN17" i="19"/>
  <c r="AO22" i="19"/>
  <c r="AN23" i="19"/>
  <c r="AO26" i="19"/>
  <c r="AN27" i="19"/>
  <c r="AN30" i="19"/>
  <c r="AO33" i="19"/>
  <c r="AO34" i="19"/>
  <c r="AN35" i="19"/>
  <c r="AN39" i="19"/>
  <c r="AM66" i="19"/>
  <c r="H24" i="1" s="1"/>
  <c r="AO4" i="19"/>
  <c r="A5" i="19"/>
  <c r="B7" i="19"/>
  <c r="A10" i="19"/>
  <c r="B12" i="19"/>
  <c r="A8" i="19"/>
  <c r="AO6" i="19"/>
  <c r="AN7" i="19"/>
  <c r="AO8" i="19"/>
  <c r="AO10" i="19"/>
  <c r="AN11" i="19"/>
  <c r="AO18" i="19"/>
  <c r="AN21" i="19"/>
  <c r="AO24" i="19"/>
  <c r="AN29" i="19"/>
  <c r="AO31" i="19"/>
  <c r="AN36" i="19"/>
  <c r="AO39" i="19"/>
  <c r="AN44" i="19"/>
  <c r="AO37" i="19"/>
  <c r="AN42" i="19"/>
  <c r="AO45" i="19"/>
  <c r="AO20" i="19"/>
  <c r="AN25" i="19"/>
  <c r="AO28" i="19"/>
  <c r="AN32" i="19"/>
  <c r="AO35" i="19"/>
  <c r="AN40" i="19"/>
  <c r="AO43" i="19"/>
  <c r="AS41" i="9"/>
  <c r="AU59" i="19" l="1"/>
  <c r="AV59" i="19"/>
  <c r="AU65" i="19"/>
  <c r="AV65" i="19"/>
  <c r="AV45" i="19"/>
  <c r="AU45" i="19"/>
  <c r="AV31" i="19"/>
  <c r="AU31" i="19"/>
  <c r="AP14" i="19"/>
  <c r="AP49" i="19"/>
  <c r="AP48" i="19"/>
  <c r="AU17" i="19"/>
  <c r="AV17" i="19"/>
  <c r="AP12" i="19"/>
  <c r="AP5" i="19"/>
  <c r="AP62" i="19"/>
  <c r="AP39" i="19"/>
  <c r="AP44" i="19"/>
  <c r="AP37" i="19"/>
  <c r="AP59" i="19"/>
  <c r="AP58" i="19"/>
  <c r="AP23" i="19"/>
  <c r="AP52" i="19"/>
  <c r="AP60" i="19"/>
  <c r="AP57" i="19"/>
  <c r="AP61" i="19"/>
  <c r="AP50" i="19"/>
  <c r="AP51" i="19"/>
  <c r="AP55" i="19"/>
  <c r="AP56" i="19"/>
  <c r="AP54" i="19"/>
  <c r="AP53" i="19"/>
  <c r="AP65" i="19"/>
  <c r="AP26" i="19"/>
  <c r="AP64" i="19"/>
  <c r="AP45" i="19"/>
  <c r="AP42" i="19"/>
  <c r="AP46" i="19"/>
  <c r="AP47" i="19"/>
  <c r="AP30" i="19"/>
  <c r="AP27" i="19"/>
  <c r="AP41" i="19"/>
  <c r="AP33" i="19"/>
  <c r="AP22" i="19"/>
  <c r="AP6" i="19"/>
  <c r="AP20" i="19"/>
  <c r="AP4" i="19"/>
  <c r="AP9" i="19"/>
  <c r="AP16" i="19"/>
  <c r="AP21" i="19"/>
  <c r="AP19" i="19"/>
  <c r="AP17" i="19"/>
  <c r="AP13" i="19"/>
  <c r="AP29" i="19"/>
  <c r="AP34" i="19"/>
  <c r="AP15" i="19"/>
  <c r="AP36" i="19"/>
  <c r="AP24" i="19"/>
  <c r="AP35" i="19"/>
  <c r="AP7" i="19"/>
  <c r="AP28" i="19"/>
  <c r="AP8" i="19"/>
  <c r="AP38" i="19"/>
  <c r="AP11" i="19"/>
  <c r="AP10" i="19"/>
  <c r="A7" i="19"/>
  <c r="B9" i="19"/>
  <c r="AP43" i="19"/>
  <c r="AN66" i="19"/>
  <c r="I24" i="1" s="1"/>
  <c r="AP40" i="19"/>
  <c r="AP32" i="19"/>
  <c r="AP31" i="19"/>
  <c r="AP18" i="19"/>
  <c r="AP25" i="19"/>
  <c r="B14" i="19"/>
  <c r="A12" i="19"/>
  <c r="AO66" i="19"/>
  <c r="J24" i="1" s="1"/>
  <c r="M24" i="1" l="1"/>
  <c r="N24" i="1" s="1"/>
  <c r="A14" i="19"/>
  <c r="B16" i="19"/>
  <c r="A9" i="19"/>
  <c r="B11" i="19"/>
  <c r="B13" i="19" l="1"/>
  <c r="A11" i="19"/>
  <c r="B18" i="19"/>
  <c r="A16" i="19"/>
  <c r="A13" i="19" l="1"/>
  <c r="B15" i="19"/>
  <c r="B20" i="19"/>
  <c r="A18" i="19"/>
  <c r="AK5" i="12"/>
  <c r="AL5" i="12"/>
  <c r="AK6" i="12"/>
  <c r="AL6" i="12"/>
  <c r="AK7" i="12"/>
  <c r="AL7" i="12"/>
  <c r="AK8" i="12"/>
  <c r="AL8" i="12"/>
  <c r="AK9" i="12"/>
  <c r="AL9" i="12"/>
  <c r="AK10" i="12"/>
  <c r="AL10" i="12"/>
  <c r="AK11" i="12"/>
  <c r="AL11" i="12"/>
  <c r="AK12" i="12"/>
  <c r="AL12" i="12"/>
  <c r="AK13" i="12"/>
  <c r="AL13" i="12"/>
  <c r="AK14" i="12"/>
  <c r="AL14" i="12"/>
  <c r="AK15" i="12"/>
  <c r="AL15" i="12"/>
  <c r="AK16" i="12"/>
  <c r="AL16" i="12"/>
  <c r="AK17" i="12"/>
  <c r="AL17" i="12"/>
  <c r="AK18" i="12"/>
  <c r="AL18" i="12"/>
  <c r="AK19" i="12"/>
  <c r="AL19" i="12"/>
  <c r="AK20" i="12"/>
  <c r="AL20" i="12"/>
  <c r="AK21" i="12"/>
  <c r="AL21" i="12"/>
  <c r="AK22" i="12"/>
  <c r="AL22" i="12"/>
  <c r="AK23" i="12"/>
  <c r="AL23" i="12"/>
  <c r="AK24" i="12"/>
  <c r="AL24" i="12"/>
  <c r="AK25" i="12"/>
  <c r="AL25" i="12"/>
  <c r="AK26" i="12"/>
  <c r="AL26" i="12"/>
  <c r="AK27" i="12"/>
  <c r="AL27" i="12"/>
  <c r="AK28" i="12"/>
  <c r="AL28" i="12"/>
  <c r="AK29" i="12"/>
  <c r="AL29" i="12"/>
  <c r="AK30" i="12"/>
  <c r="AL30" i="12"/>
  <c r="AK31" i="12"/>
  <c r="AL31" i="12"/>
  <c r="AK32" i="12"/>
  <c r="AL32" i="12"/>
  <c r="AK33" i="12"/>
  <c r="AL33" i="12"/>
  <c r="AK34" i="12"/>
  <c r="AL34" i="12"/>
  <c r="AK35" i="12"/>
  <c r="AL35" i="12"/>
  <c r="AK36" i="12"/>
  <c r="AL36" i="12"/>
  <c r="AK37" i="12"/>
  <c r="AL37" i="12"/>
  <c r="AK38" i="12"/>
  <c r="AL38" i="12"/>
  <c r="AK39" i="12"/>
  <c r="AL39" i="12"/>
  <c r="AK40" i="12"/>
  <c r="AL40" i="12"/>
  <c r="AK41" i="12"/>
  <c r="AL41" i="12"/>
  <c r="AK42" i="12"/>
  <c r="AL42" i="12"/>
  <c r="AK43" i="12"/>
  <c r="AL43" i="12"/>
  <c r="AK44" i="12"/>
  <c r="AL44" i="12"/>
  <c r="AK45" i="12"/>
  <c r="AL45" i="12"/>
  <c r="AK46" i="12"/>
  <c r="AL46" i="12"/>
  <c r="AK47" i="12"/>
  <c r="AL47" i="12"/>
  <c r="AK48" i="12"/>
  <c r="AL48" i="12"/>
  <c r="AK49" i="12"/>
  <c r="AL49" i="12"/>
  <c r="AK50" i="12"/>
  <c r="AL50" i="12"/>
  <c r="AK51" i="12"/>
  <c r="AL51" i="12"/>
  <c r="AK52" i="12"/>
  <c r="AL52" i="12"/>
  <c r="AK53" i="12"/>
  <c r="AL53" i="12"/>
  <c r="AK54" i="12"/>
  <c r="AL54" i="12"/>
  <c r="AK55" i="12"/>
  <c r="AL55" i="12"/>
  <c r="AK56" i="12"/>
  <c r="AL56" i="12"/>
  <c r="AK57" i="12"/>
  <c r="AL57" i="12"/>
  <c r="AK58" i="12"/>
  <c r="AL58" i="12"/>
  <c r="AK59" i="12"/>
  <c r="AL59" i="12"/>
  <c r="AK60" i="12"/>
  <c r="AL60" i="12"/>
  <c r="AK61" i="12"/>
  <c r="AL61" i="12"/>
  <c r="AK62" i="12"/>
  <c r="AL62" i="12"/>
  <c r="AK63" i="12"/>
  <c r="AL63" i="12"/>
  <c r="AK64" i="12"/>
  <c r="AL64" i="12"/>
  <c r="AK65" i="12"/>
  <c r="AL65" i="12"/>
  <c r="AF5" i="12"/>
  <c r="AG5" i="12"/>
  <c r="AF6" i="12"/>
  <c r="AG6" i="12"/>
  <c r="AF7" i="12"/>
  <c r="AG7" i="12"/>
  <c r="AF8" i="12"/>
  <c r="AG8" i="12"/>
  <c r="AF9" i="12"/>
  <c r="AG9" i="12"/>
  <c r="AF10" i="12"/>
  <c r="AG10" i="12"/>
  <c r="AF11" i="12"/>
  <c r="AG11" i="12"/>
  <c r="AF12" i="12"/>
  <c r="AG12" i="12"/>
  <c r="AF13" i="12"/>
  <c r="AG13" i="12"/>
  <c r="AF14" i="12"/>
  <c r="AG14" i="12"/>
  <c r="AF15" i="12"/>
  <c r="AG15" i="12"/>
  <c r="AF16" i="12"/>
  <c r="AG16" i="12"/>
  <c r="AF17" i="12"/>
  <c r="AG17" i="12"/>
  <c r="AF18" i="12"/>
  <c r="AG18" i="12"/>
  <c r="AF19" i="12"/>
  <c r="AG19" i="12"/>
  <c r="AF20" i="12"/>
  <c r="AG20" i="12"/>
  <c r="AF21" i="12"/>
  <c r="AG21" i="12"/>
  <c r="AF22" i="12"/>
  <c r="AG22" i="12"/>
  <c r="AF23" i="12"/>
  <c r="AG23" i="12"/>
  <c r="AF24" i="12"/>
  <c r="AG24" i="12"/>
  <c r="AF25" i="12"/>
  <c r="AG25" i="12"/>
  <c r="AF26" i="12"/>
  <c r="AG26" i="12"/>
  <c r="AF27" i="12"/>
  <c r="AG27" i="12"/>
  <c r="AF28" i="12"/>
  <c r="AG28" i="12"/>
  <c r="AF29" i="12"/>
  <c r="AG29" i="12"/>
  <c r="AF30" i="12"/>
  <c r="AG30" i="12"/>
  <c r="AF31" i="12"/>
  <c r="AG31" i="12"/>
  <c r="AF32" i="12"/>
  <c r="AG32" i="12"/>
  <c r="AF33" i="12"/>
  <c r="AG33" i="12"/>
  <c r="AF34" i="12"/>
  <c r="AG34" i="12"/>
  <c r="AF35" i="12"/>
  <c r="AG35" i="12"/>
  <c r="AF36" i="12"/>
  <c r="AG36" i="12"/>
  <c r="AF37" i="12"/>
  <c r="AG37" i="12"/>
  <c r="AF38" i="12"/>
  <c r="AG38" i="12"/>
  <c r="AF39" i="12"/>
  <c r="AG39" i="12"/>
  <c r="AF40" i="12"/>
  <c r="AG40" i="12"/>
  <c r="AF41" i="12"/>
  <c r="AG41" i="12"/>
  <c r="AF42" i="12"/>
  <c r="AG42" i="12"/>
  <c r="AF43" i="12"/>
  <c r="AG43" i="12"/>
  <c r="AF44" i="12"/>
  <c r="AG44" i="12"/>
  <c r="AF45" i="12"/>
  <c r="AG45" i="12"/>
  <c r="AF46" i="12"/>
  <c r="AG46" i="12"/>
  <c r="AF47" i="12"/>
  <c r="AG47" i="12"/>
  <c r="AF48" i="12"/>
  <c r="AG48" i="12"/>
  <c r="AF49" i="12"/>
  <c r="AG49" i="12"/>
  <c r="AF50" i="12"/>
  <c r="AG50" i="12"/>
  <c r="AF51" i="12"/>
  <c r="AG51" i="12"/>
  <c r="AF52" i="12"/>
  <c r="AG52" i="12"/>
  <c r="AF53" i="12"/>
  <c r="AG53" i="12"/>
  <c r="AF54" i="12"/>
  <c r="AG54" i="12"/>
  <c r="AF55" i="12"/>
  <c r="AG55" i="12"/>
  <c r="AF56" i="12"/>
  <c r="AG56" i="12"/>
  <c r="AF57" i="12"/>
  <c r="AG57" i="12"/>
  <c r="AF58" i="12"/>
  <c r="AG58" i="12"/>
  <c r="AF59" i="12"/>
  <c r="AG59" i="12"/>
  <c r="AF60" i="12"/>
  <c r="AG60" i="12"/>
  <c r="AF61" i="12"/>
  <c r="AG61" i="12"/>
  <c r="AF62" i="12"/>
  <c r="AG62" i="12"/>
  <c r="AF63" i="12"/>
  <c r="AG63" i="12"/>
  <c r="AF64" i="12"/>
  <c r="AG64" i="12"/>
  <c r="AF65" i="12"/>
  <c r="AG65" i="12"/>
  <c r="B22" i="19" l="1"/>
  <c r="A20" i="19"/>
  <c r="B17" i="19"/>
  <c r="A15" i="19"/>
  <c r="G28" i="8"/>
  <c r="H28" i="8"/>
  <c r="G29" i="8"/>
  <c r="H29" i="8"/>
  <c r="G30" i="8"/>
  <c r="H30" i="8"/>
  <c r="G31" i="8"/>
  <c r="H31" i="8"/>
  <c r="G32" i="8"/>
  <c r="H32" i="8"/>
  <c r="G33" i="8"/>
  <c r="H33" i="8"/>
  <c r="G34" i="8"/>
  <c r="H34" i="8"/>
  <c r="G35" i="8"/>
  <c r="H35" i="8"/>
  <c r="G36" i="8"/>
  <c r="H36" i="8"/>
  <c r="G37" i="8"/>
  <c r="H37" i="8"/>
  <c r="G38" i="8"/>
  <c r="H38" i="8"/>
  <c r="G39" i="8"/>
  <c r="H39" i="8"/>
  <c r="G40" i="8"/>
  <c r="H40" i="8"/>
  <c r="G41" i="8"/>
  <c r="H41" i="8"/>
  <c r="G42" i="8"/>
  <c r="H42" i="8"/>
  <c r="G43" i="8"/>
  <c r="H43" i="8"/>
  <c r="G44" i="8"/>
  <c r="H44" i="8"/>
  <c r="G45" i="8"/>
  <c r="H45" i="8"/>
  <c r="G46" i="8"/>
  <c r="H46" i="8"/>
  <c r="G47" i="8"/>
  <c r="H47" i="8"/>
  <c r="G48" i="8"/>
  <c r="H48" i="8"/>
  <c r="G49" i="8"/>
  <c r="H49" i="8"/>
  <c r="G50" i="8"/>
  <c r="H50" i="8"/>
  <c r="G51" i="8"/>
  <c r="H51" i="8"/>
  <c r="G52" i="8"/>
  <c r="H52" i="8"/>
  <c r="G53" i="8"/>
  <c r="H53" i="8"/>
  <c r="G54" i="8"/>
  <c r="H54" i="8"/>
  <c r="G55" i="8"/>
  <c r="H55" i="8"/>
  <c r="G56" i="8"/>
  <c r="H56" i="8"/>
  <c r="G57" i="8"/>
  <c r="H57" i="8"/>
  <c r="G58" i="8"/>
  <c r="H58" i="8"/>
  <c r="G59" i="8"/>
  <c r="H59" i="8"/>
  <c r="G60" i="8"/>
  <c r="H60" i="8"/>
  <c r="G61" i="8"/>
  <c r="H61" i="8"/>
  <c r="G62" i="8"/>
  <c r="H62" i="8"/>
  <c r="G63" i="8"/>
  <c r="H63" i="8"/>
  <c r="G64" i="8"/>
  <c r="H64" i="8"/>
  <c r="G65" i="8"/>
  <c r="H65" i="8"/>
  <c r="B24" i="19" l="1"/>
  <c r="A22" i="19"/>
  <c r="A17" i="19"/>
  <c r="B19" i="19"/>
  <c r="B26" i="19" l="1"/>
  <c r="A24" i="19"/>
  <c r="A19" i="19"/>
  <c r="B21" i="19"/>
  <c r="B28" i="19" l="1"/>
  <c r="A26" i="19"/>
  <c r="A21" i="19"/>
  <c r="B23" i="19"/>
  <c r="R14" i="10"/>
  <c r="S14" i="10"/>
  <c r="T14" i="10"/>
  <c r="R15" i="10"/>
  <c r="S15" i="10"/>
  <c r="T15" i="10"/>
  <c r="R16" i="10"/>
  <c r="S16" i="10"/>
  <c r="T16" i="10"/>
  <c r="R17" i="10"/>
  <c r="S17" i="10"/>
  <c r="T17" i="10"/>
  <c r="R18" i="10"/>
  <c r="S18" i="10"/>
  <c r="T18" i="10"/>
  <c r="R19" i="10"/>
  <c r="S19" i="10"/>
  <c r="T19" i="10"/>
  <c r="R20" i="10"/>
  <c r="S20" i="10"/>
  <c r="T20" i="10"/>
  <c r="R21" i="10"/>
  <c r="S21" i="10"/>
  <c r="T21" i="10"/>
  <c r="R22" i="10"/>
  <c r="S22" i="10"/>
  <c r="T22" i="10"/>
  <c r="R23" i="10"/>
  <c r="S23" i="10"/>
  <c r="T23" i="10"/>
  <c r="R24" i="10"/>
  <c r="S24" i="10"/>
  <c r="T24" i="10"/>
  <c r="R25" i="10"/>
  <c r="S25" i="10"/>
  <c r="T25" i="10"/>
  <c r="R26" i="10"/>
  <c r="S26" i="10"/>
  <c r="T26" i="10"/>
  <c r="R27" i="10"/>
  <c r="S27" i="10"/>
  <c r="T27" i="10"/>
  <c r="B30" i="19" l="1"/>
  <c r="A28" i="19"/>
  <c r="A23" i="19"/>
  <c r="B25" i="19"/>
  <c r="R14" i="18"/>
  <c r="S14" i="18"/>
  <c r="T14" i="18"/>
  <c r="R15" i="18"/>
  <c r="S15" i="18"/>
  <c r="T15" i="18"/>
  <c r="R16" i="18"/>
  <c r="S16" i="18"/>
  <c r="T16" i="18"/>
  <c r="R17" i="18"/>
  <c r="S17" i="18"/>
  <c r="T17" i="18"/>
  <c r="R18" i="18"/>
  <c r="S18" i="18"/>
  <c r="T18" i="18"/>
  <c r="R19" i="18"/>
  <c r="S19" i="18"/>
  <c r="T19" i="18"/>
  <c r="R20" i="18"/>
  <c r="S20" i="18"/>
  <c r="T20" i="18"/>
  <c r="R21" i="18"/>
  <c r="S21" i="18"/>
  <c r="T21" i="18"/>
  <c r="R22" i="18"/>
  <c r="S22" i="18"/>
  <c r="T22" i="18"/>
  <c r="R23" i="18"/>
  <c r="S23" i="18"/>
  <c r="T23" i="18"/>
  <c r="R24" i="18"/>
  <c r="S24" i="18"/>
  <c r="T24" i="18"/>
  <c r="R25" i="18"/>
  <c r="S25" i="18"/>
  <c r="T25" i="18"/>
  <c r="R26" i="18"/>
  <c r="S26" i="18"/>
  <c r="T26" i="18"/>
  <c r="R27" i="18"/>
  <c r="S27" i="18"/>
  <c r="T27" i="18"/>
  <c r="A30" i="19" l="1"/>
  <c r="B32" i="19"/>
  <c r="A25" i="19"/>
  <c r="B27" i="19"/>
  <c r="A27" i="19" l="1"/>
  <c r="B29" i="19"/>
  <c r="A32" i="19"/>
  <c r="B34" i="19"/>
  <c r="A34" i="19" l="1"/>
  <c r="B36" i="19"/>
  <c r="B31" i="19"/>
  <c r="A29" i="19"/>
  <c r="B33" i="19" l="1"/>
  <c r="A31" i="19"/>
  <c r="A36" i="19"/>
  <c r="B38" i="19"/>
  <c r="A38" i="19" l="1"/>
  <c r="B40" i="19"/>
  <c r="B35" i="19"/>
  <c r="A33" i="19"/>
  <c r="S11" i="5"/>
  <c r="B37" i="19" l="1"/>
  <c r="A35" i="19"/>
  <c r="A40" i="19"/>
  <c r="B42" i="19"/>
  <c r="AA4" i="8"/>
  <c r="AB4" i="8"/>
  <c r="AF4" i="8"/>
  <c r="AG4" i="8"/>
  <c r="AA5" i="8"/>
  <c r="AB5" i="8"/>
  <c r="AF5" i="8"/>
  <c r="AG5" i="8"/>
  <c r="AA6" i="8"/>
  <c r="AB6" i="8"/>
  <c r="AF6" i="8"/>
  <c r="AG6" i="8"/>
  <c r="AA7" i="8"/>
  <c r="AB7" i="8"/>
  <c r="AA8" i="8"/>
  <c r="AB8" i="8"/>
  <c r="AF8" i="8"/>
  <c r="AG8" i="8"/>
  <c r="AA9" i="8"/>
  <c r="AB9" i="8"/>
  <c r="AF9" i="8"/>
  <c r="AG9" i="8"/>
  <c r="A42" i="19" l="1"/>
  <c r="B44" i="19"/>
  <c r="B39" i="19"/>
  <c r="A37" i="19"/>
  <c r="B41" i="19" l="1"/>
  <c r="A39" i="19"/>
  <c r="A44" i="19"/>
  <c r="B46" i="19"/>
  <c r="N41" i="1"/>
  <c r="B43" i="19" l="1"/>
  <c r="A41" i="19"/>
  <c r="A46" i="19"/>
  <c r="B48" i="19"/>
  <c r="B45" i="19" l="1"/>
  <c r="A43" i="19"/>
  <c r="B50" i="19"/>
  <c r="A48" i="19"/>
  <c r="B52" i="19" l="1"/>
  <c r="A50" i="19"/>
  <c r="B47" i="19"/>
  <c r="A45" i="19"/>
  <c r="AS61" i="8"/>
  <c r="AS61" i="12"/>
  <c r="A47" i="19" l="1"/>
  <c r="B49" i="19"/>
  <c r="A52" i="19"/>
  <c r="B54" i="19"/>
  <c r="A54" i="19" l="1"/>
  <c r="B56" i="19"/>
  <c r="A49" i="19"/>
  <c r="B51" i="19"/>
  <c r="AA48" i="13"/>
  <c r="AA49" i="13"/>
  <c r="AA50" i="13"/>
  <c r="AA51" i="13"/>
  <c r="AA52" i="13"/>
  <c r="AA53" i="13"/>
  <c r="AA54" i="13"/>
  <c r="AA55" i="13"/>
  <c r="AA56" i="13"/>
  <c r="AA57" i="13"/>
  <c r="AA58" i="13"/>
  <c r="AA59" i="13"/>
  <c r="AA60" i="13"/>
  <c r="AA61" i="13"/>
  <c r="B53" i="19" l="1"/>
  <c r="A51" i="19"/>
  <c r="A56" i="19"/>
  <c r="B58" i="19"/>
  <c r="AS61" i="9"/>
  <c r="A58" i="19" l="1"/>
  <c r="B60" i="19"/>
  <c r="B55" i="19"/>
  <c r="A53" i="19"/>
  <c r="A55" i="19" l="1"/>
  <c r="B57" i="19"/>
  <c r="A60" i="19"/>
  <c r="B62" i="19"/>
  <c r="A62" i="19" l="1"/>
  <c r="B64" i="19"/>
  <c r="A64" i="19" s="1"/>
  <c r="B59" i="19"/>
  <c r="A57" i="19"/>
  <c r="A59" i="19" l="1"/>
  <c r="B61" i="19"/>
  <c r="B63" i="19" l="1"/>
  <c r="A61" i="19"/>
  <c r="A63" i="19" l="1"/>
  <c r="B65" i="19"/>
  <c r="A65" i="19" s="1"/>
  <c r="G34" i="4" l="1"/>
  <c r="G35" i="4"/>
  <c r="G36" i="4"/>
  <c r="G37" i="4"/>
  <c r="G38" i="4"/>
  <c r="G39" i="4"/>
  <c r="G40" i="4"/>
  <c r="G41" i="4"/>
  <c r="G42" i="4"/>
  <c r="V71" i="18" l="1"/>
  <c r="Z70" i="18"/>
  <c r="Y70" i="18"/>
  <c r="Z69" i="18"/>
  <c r="Y69" i="18"/>
  <c r="J66" i="18"/>
  <c r="G9" i="1" s="1"/>
  <c r="AR65" i="18"/>
  <c r="AL65" i="18"/>
  <c r="AK65" i="18"/>
  <c r="AG65" i="18"/>
  <c r="AF65" i="18"/>
  <c r="AB65" i="18"/>
  <c r="AA65" i="18"/>
  <c r="T65" i="18"/>
  <c r="S65" i="18"/>
  <c r="R65" i="18"/>
  <c r="AM65" i="18" s="1"/>
  <c r="H65" i="18"/>
  <c r="G65" i="18"/>
  <c r="AR64" i="18"/>
  <c r="AL64" i="18"/>
  <c r="AK64" i="18"/>
  <c r="AG64" i="18"/>
  <c r="AF64" i="18"/>
  <c r="AB64" i="18"/>
  <c r="AA64" i="18"/>
  <c r="T64" i="18"/>
  <c r="S64" i="18"/>
  <c r="R64" i="18"/>
  <c r="AM64" i="18" s="1"/>
  <c r="H64" i="18"/>
  <c r="G64" i="18"/>
  <c r="AL63" i="18"/>
  <c r="AK63" i="18"/>
  <c r="AG63" i="18"/>
  <c r="AF63" i="18"/>
  <c r="AB63" i="18"/>
  <c r="AA63" i="18"/>
  <c r="T63" i="18"/>
  <c r="S63" i="18"/>
  <c r="R63" i="18"/>
  <c r="AM63" i="18" s="1"/>
  <c r="H63" i="18"/>
  <c r="G63" i="18"/>
  <c r="AR62" i="18"/>
  <c r="AL62" i="18"/>
  <c r="AK62" i="18"/>
  <c r="AG62" i="18"/>
  <c r="AF62" i="18"/>
  <c r="AB62" i="18"/>
  <c r="AA62" i="18"/>
  <c r="T62" i="18"/>
  <c r="S62" i="18"/>
  <c r="R62" i="18"/>
  <c r="AM62" i="18" s="1"/>
  <c r="H62" i="18"/>
  <c r="G62" i="18"/>
  <c r="AR61" i="18"/>
  <c r="AL61" i="18"/>
  <c r="AK61" i="18"/>
  <c r="AG61" i="18"/>
  <c r="AF61" i="18"/>
  <c r="AB61" i="18"/>
  <c r="AA61" i="18"/>
  <c r="T61" i="18"/>
  <c r="S61" i="18"/>
  <c r="R61" i="18"/>
  <c r="AM61" i="18" s="1"/>
  <c r="H61" i="18"/>
  <c r="G61" i="18"/>
  <c r="AR60" i="18"/>
  <c r="AL60" i="18"/>
  <c r="AK60" i="18"/>
  <c r="AG60" i="18"/>
  <c r="AF60" i="18"/>
  <c r="AB60" i="18"/>
  <c r="AA60" i="18"/>
  <c r="T60" i="18"/>
  <c r="S60" i="18"/>
  <c r="R60" i="18"/>
  <c r="AM60" i="18" s="1"/>
  <c r="H60" i="18"/>
  <c r="G60" i="18"/>
  <c r="AR59" i="18"/>
  <c r="AL59" i="18"/>
  <c r="AK59" i="18"/>
  <c r="AG59" i="18"/>
  <c r="AF59" i="18"/>
  <c r="AB59" i="18"/>
  <c r="AA59" i="18"/>
  <c r="T59" i="18"/>
  <c r="S59" i="18"/>
  <c r="R59" i="18"/>
  <c r="AM59" i="18" s="1"/>
  <c r="H59" i="18"/>
  <c r="G59" i="18"/>
  <c r="AR58" i="18"/>
  <c r="AL58" i="18"/>
  <c r="AK58" i="18"/>
  <c r="AG58" i="18"/>
  <c r="AF58" i="18"/>
  <c r="AB58" i="18"/>
  <c r="AA58" i="18"/>
  <c r="T58" i="18"/>
  <c r="S58" i="18"/>
  <c r="R58" i="18"/>
  <c r="AM58" i="18" s="1"/>
  <c r="H58" i="18"/>
  <c r="G58" i="18"/>
  <c r="AR57" i="18"/>
  <c r="AL57" i="18"/>
  <c r="AK57" i="18"/>
  <c r="AG57" i="18"/>
  <c r="AF57" i="18"/>
  <c r="AB57" i="18"/>
  <c r="AA57" i="18"/>
  <c r="T57" i="18"/>
  <c r="S57" i="18"/>
  <c r="R57" i="18"/>
  <c r="AM57" i="18" s="1"/>
  <c r="H57" i="18"/>
  <c r="G57" i="18"/>
  <c r="AR56" i="18"/>
  <c r="AL56" i="18"/>
  <c r="AK56" i="18"/>
  <c r="AG56" i="18"/>
  <c r="AF56" i="18"/>
  <c r="AB56" i="18"/>
  <c r="AA56" i="18"/>
  <c r="T56" i="18"/>
  <c r="S56" i="18"/>
  <c r="R56" i="18"/>
  <c r="AM56" i="18" s="1"/>
  <c r="H56" i="18"/>
  <c r="G56" i="18"/>
  <c r="AR55" i="18"/>
  <c r="AL55" i="18"/>
  <c r="AK55" i="18"/>
  <c r="AG55" i="18"/>
  <c r="AF55" i="18"/>
  <c r="AB55" i="18"/>
  <c r="AA55" i="18"/>
  <c r="T55" i="18"/>
  <c r="S55" i="18"/>
  <c r="R55" i="18"/>
  <c r="AM55" i="18" s="1"/>
  <c r="H55" i="18"/>
  <c r="G55" i="18"/>
  <c r="AR54" i="18"/>
  <c r="AL54" i="18"/>
  <c r="AK54" i="18"/>
  <c r="AG54" i="18"/>
  <c r="AF54" i="18"/>
  <c r="AB54" i="18"/>
  <c r="AA54" i="18"/>
  <c r="T54" i="18"/>
  <c r="S54" i="18"/>
  <c r="R54" i="18"/>
  <c r="AM54" i="18" s="1"/>
  <c r="H54" i="18"/>
  <c r="G54" i="18"/>
  <c r="AR53" i="18"/>
  <c r="AL53" i="18"/>
  <c r="AK53" i="18"/>
  <c r="AG53" i="18"/>
  <c r="AF53" i="18"/>
  <c r="AB53" i="18"/>
  <c r="AA53" i="18"/>
  <c r="T53" i="18"/>
  <c r="S53" i="18"/>
  <c r="R53" i="18"/>
  <c r="AM53" i="18" s="1"/>
  <c r="H53" i="18"/>
  <c r="G53" i="18"/>
  <c r="AR52" i="18"/>
  <c r="AL52" i="18"/>
  <c r="AK52" i="18"/>
  <c r="AG52" i="18"/>
  <c r="AF52" i="18"/>
  <c r="AB52" i="18"/>
  <c r="AA52" i="18"/>
  <c r="T52" i="18"/>
  <c r="S52" i="18"/>
  <c r="R52" i="18"/>
  <c r="AM52" i="18" s="1"/>
  <c r="H52" i="18"/>
  <c r="G52" i="18"/>
  <c r="AR51" i="18"/>
  <c r="AG51" i="18"/>
  <c r="AF51" i="18"/>
  <c r="AB51" i="18"/>
  <c r="AA51" i="18"/>
  <c r="T51" i="18"/>
  <c r="S51" i="18"/>
  <c r="R51" i="18"/>
  <c r="AM51" i="18" s="1"/>
  <c r="H51" i="18"/>
  <c r="G51" i="18"/>
  <c r="AR50" i="18"/>
  <c r="AG50" i="18"/>
  <c r="AF50" i="18"/>
  <c r="AB50" i="18"/>
  <c r="AA50" i="18"/>
  <c r="T50" i="18"/>
  <c r="S50" i="18"/>
  <c r="R50" i="18"/>
  <c r="AM50" i="18" s="1"/>
  <c r="H50" i="18"/>
  <c r="G50" i="18"/>
  <c r="AR49" i="18"/>
  <c r="AG49" i="18"/>
  <c r="AF49" i="18"/>
  <c r="AB49" i="18"/>
  <c r="AA49" i="18"/>
  <c r="T49" i="18"/>
  <c r="S49" i="18"/>
  <c r="R49" i="18"/>
  <c r="AM49" i="18" s="1"/>
  <c r="H49" i="18"/>
  <c r="G49" i="18"/>
  <c r="AR48" i="18"/>
  <c r="AG48" i="18"/>
  <c r="AF48" i="18"/>
  <c r="AB48" i="18"/>
  <c r="AA48" i="18"/>
  <c r="T48" i="18"/>
  <c r="S48" i="18"/>
  <c r="R48" i="18"/>
  <c r="AM48" i="18" s="1"/>
  <c r="H48" i="18"/>
  <c r="G48" i="18"/>
  <c r="AR47" i="18"/>
  <c r="AG47" i="18"/>
  <c r="AF47" i="18"/>
  <c r="AB47" i="18"/>
  <c r="AA47" i="18"/>
  <c r="T47" i="18"/>
  <c r="S47" i="18"/>
  <c r="R47" i="18"/>
  <c r="AM47" i="18" s="1"/>
  <c r="H47" i="18"/>
  <c r="G47" i="18"/>
  <c r="AR46" i="18"/>
  <c r="AG46" i="18"/>
  <c r="AF46" i="18"/>
  <c r="AB46" i="18"/>
  <c r="AA46" i="18"/>
  <c r="T46" i="18"/>
  <c r="S46" i="18"/>
  <c r="R46" i="18"/>
  <c r="AM46" i="18" s="1"/>
  <c r="H46" i="18"/>
  <c r="G46" i="18"/>
  <c r="AR45" i="18"/>
  <c r="AG45" i="18"/>
  <c r="AF45" i="18"/>
  <c r="AB45" i="18"/>
  <c r="AA45" i="18"/>
  <c r="T45" i="18"/>
  <c r="S45" i="18"/>
  <c r="R45" i="18"/>
  <c r="AM45" i="18" s="1"/>
  <c r="H45" i="18"/>
  <c r="G45" i="18"/>
  <c r="AR44" i="18"/>
  <c r="AG44" i="18"/>
  <c r="AF44" i="18"/>
  <c r="AB44" i="18"/>
  <c r="AA44" i="18"/>
  <c r="T44" i="18"/>
  <c r="S44" i="18"/>
  <c r="R44" i="18"/>
  <c r="AM44" i="18" s="1"/>
  <c r="H44" i="18"/>
  <c r="G44" i="18"/>
  <c r="AR43" i="18"/>
  <c r="AL43" i="18"/>
  <c r="AK43" i="18"/>
  <c r="AG43" i="18"/>
  <c r="AF43" i="18"/>
  <c r="AB43" i="18"/>
  <c r="AA43" i="18"/>
  <c r="T43" i="18"/>
  <c r="S43" i="18"/>
  <c r="R43" i="18"/>
  <c r="AM43" i="18" s="1"/>
  <c r="H43" i="18"/>
  <c r="G43" i="18"/>
  <c r="AR42" i="18"/>
  <c r="AL42" i="18"/>
  <c r="AK42" i="18"/>
  <c r="AG42" i="18"/>
  <c r="AF42" i="18"/>
  <c r="AB42" i="18"/>
  <c r="AA42" i="18"/>
  <c r="T42" i="18"/>
  <c r="S42" i="18"/>
  <c r="R42" i="18"/>
  <c r="AM42" i="18" s="1"/>
  <c r="H42" i="18"/>
  <c r="G42" i="18"/>
  <c r="AR41" i="18"/>
  <c r="AL41" i="18"/>
  <c r="AK41" i="18"/>
  <c r="AG41" i="18"/>
  <c r="AF41" i="18"/>
  <c r="AB41" i="18"/>
  <c r="AA41" i="18"/>
  <c r="T41" i="18"/>
  <c r="S41" i="18"/>
  <c r="R41" i="18"/>
  <c r="AM41" i="18" s="1"/>
  <c r="H41" i="18"/>
  <c r="G41" i="18"/>
  <c r="AR40" i="18"/>
  <c r="AL40" i="18"/>
  <c r="AK40" i="18"/>
  <c r="AG40" i="18"/>
  <c r="AF40" i="18"/>
  <c r="AB40" i="18"/>
  <c r="AA40" i="18"/>
  <c r="T40" i="18"/>
  <c r="S40" i="18"/>
  <c r="R40" i="18"/>
  <c r="AM40" i="18" s="1"/>
  <c r="H40" i="18"/>
  <c r="G40" i="18"/>
  <c r="AR39" i="18"/>
  <c r="AL39" i="18"/>
  <c r="AK39" i="18"/>
  <c r="AG39" i="18"/>
  <c r="AF39" i="18"/>
  <c r="AB39" i="18"/>
  <c r="AA39" i="18"/>
  <c r="T39" i="18"/>
  <c r="S39" i="18"/>
  <c r="R39" i="18"/>
  <c r="AM39" i="18" s="1"/>
  <c r="H39" i="18"/>
  <c r="G39" i="18"/>
  <c r="AR38" i="18"/>
  <c r="AL38" i="18"/>
  <c r="AK38" i="18"/>
  <c r="AG38" i="18"/>
  <c r="AF38" i="18"/>
  <c r="AB38" i="18"/>
  <c r="AA38" i="18"/>
  <c r="T38" i="18"/>
  <c r="S38" i="18"/>
  <c r="R38" i="18"/>
  <c r="AM38" i="18" s="1"/>
  <c r="H38" i="18"/>
  <c r="G38" i="18"/>
  <c r="AR37" i="18"/>
  <c r="AL37" i="18"/>
  <c r="AK37" i="18"/>
  <c r="AG37" i="18"/>
  <c r="AF37" i="18"/>
  <c r="AB37" i="18"/>
  <c r="AA37" i="18"/>
  <c r="T37" i="18"/>
  <c r="S37" i="18"/>
  <c r="R37" i="18"/>
  <c r="AM37" i="18" s="1"/>
  <c r="H37" i="18"/>
  <c r="G37" i="18"/>
  <c r="AR36" i="18"/>
  <c r="AL36" i="18"/>
  <c r="AK36" i="18"/>
  <c r="AG36" i="18"/>
  <c r="AF36" i="18"/>
  <c r="AB36" i="18"/>
  <c r="AA36" i="18"/>
  <c r="T36" i="18"/>
  <c r="S36" i="18"/>
  <c r="R36" i="18"/>
  <c r="AM36" i="18" s="1"/>
  <c r="H36" i="18"/>
  <c r="G36" i="18"/>
  <c r="AR35" i="18"/>
  <c r="AL35" i="18"/>
  <c r="AK35" i="18"/>
  <c r="AG35" i="18"/>
  <c r="AF35" i="18"/>
  <c r="AB35" i="18"/>
  <c r="AA35" i="18"/>
  <c r="T35" i="18"/>
  <c r="S35" i="18"/>
  <c r="R35" i="18"/>
  <c r="AM35" i="18" s="1"/>
  <c r="H35" i="18"/>
  <c r="G35" i="18"/>
  <c r="AR34" i="18"/>
  <c r="AL34" i="18"/>
  <c r="AK34" i="18"/>
  <c r="AG34" i="18"/>
  <c r="AF34" i="18"/>
  <c r="AB34" i="18"/>
  <c r="AA34" i="18"/>
  <c r="T34" i="18"/>
  <c r="S34" i="18"/>
  <c r="R34" i="18"/>
  <c r="AM34" i="18" s="1"/>
  <c r="H34" i="18"/>
  <c r="G34" i="18"/>
  <c r="AR33" i="18"/>
  <c r="AL33" i="18"/>
  <c r="AK33" i="18"/>
  <c r="AG33" i="18"/>
  <c r="AF33" i="18"/>
  <c r="AB33" i="18"/>
  <c r="AA33" i="18"/>
  <c r="T33" i="18"/>
  <c r="S33" i="18"/>
  <c r="R33" i="18"/>
  <c r="AM33" i="18" s="1"/>
  <c r="H33" i="18"/>
  <c r="G33" i="18"/>
  <c r="AR32" i="18"/>
  <c r="AL32" i="18"/>
  <c r="AK32" i="18"/>
  <c r="AG32" i="18"/>
  <c r="AF32" i="18"/>
  <c r="AB32" i="18"/>
  <c r="AA32" i="18"/>
  <c r="T32" i="18"/>
  <c r="S32" i="18"/>
  <c r="R32" i="18"/>
  <c r="AM32" i="18" s="1"/>
  <c r="H32" i="18"/>
  <c r="G32" i="18"/>
  <c r="AR31" i="18"/>
  <c r="AL31" i="18"/>
  <c r="AK31" i="18"/>
  <c r="AG31" i="18"/>
  <c r="AF31" i="18"/>
  <c r="AB31" i="18"/>
  <c r="AA31" i="18"/>
  <c r="T31" i="18"/>
  <c r="S31" i="18"/>
  <c r="R31" i="18"/>
  <c r="AM31" i="18" s="1"/>
  <c r="H31" i="18"/>
  <c r="G31" i="18"/>
  <c r="AR30" i="18"/>
  <c r="AL30" i="18"/>
  <c r="AK30" i="18"/>
  <c r="AG30" i="18"/>
  <c r="AF30" i="18"/>
  <c r="AB30" i="18"/>
  <c r="AA30" i="18"/>
  <c r="T30" i="18"/>
  <c r="S30" i="18"/>
  <c r="R30" i="18"/>
  <c r="AM30" i="18" s="1"/>
  <c r="H30" i="18"/>
  <c r="G30" i="18"/>
  <c r="AR29" i="18"/>
  <c r="AL29" i="18"/>
  <c r="AK29" i="18"/>
  <c r="AG29" i="18"/>
  <c r="AF29" i="18"/>
  <c r="AB29" i="18"/>
  <c r="AA29" i="18"/>
  <c r="T29" i="18"/>
  <c r="S29" i="18"/>
  <c r="R29" i="18"/>
  <c r="AM29" i="18" s="1"/>
  <c r="H29" i="18"/>
  <c r="G29" i="18"/>
  <c r="AR28" i="18"/>
  <c r="AL28" i="18"/>
  <c r="AK28" i="18"/>
  <c r="AG28" i="18"/>
  <c r="AF28" i="18"/>
  <c r="AB28" i="18"/>
  <c r="AA28" i="18"/>
  <c r="T28" i="18"/>
  <c r="S28" i="18"/>
  <c r="R28" i="18"/>
  <c r="AM28" i="18" s="1"/>
  <c r="H28" i="18"/>
  <c r="G28" i="18"/>
  <c r="AR27" i="18"/>
  <c r="AM27" i="18"/>
  <c r="AL27" i="18"/>
  <c r="AK27" i="18"/>
  <c r="AG27" i="18"/>
  <c r="AF27" i="18"/>
  <c r="AB27" i="18"/>
  <c r="AA27" i="18"/>
  <c r="H27" i="18"/>
  <c r="G27" i="18"/>
  <c r="AR26" i="18"/>
  <c r="AL26" i="18"/>
  <c r="AK26" i="18"/>
  <c r="AG26" i="18"/>
  <c r="AF26" i="18"/>
  <c r="AB26" i="18"/>
  <c r="AA26" i="18"/>
  <c r="AM26" i="18"/>
  <c r="H26" i="18"/>
  <c r="G26" i="18"/>
  <c r="AR25" i="18"/>
  <c r="AL25" i="18"/>
  <c r="AK25" i="18"/>
  <c r="AG25" i="18"/>
  <c r="AF25" i="18"/>
  <c r="AB25" i="18"/>
  <c r="AA25" i="18"/>
  <c r="AM25" i="18"/>
  <c r="H25" i="18"/>
  <c r="G25" i="18"/>
  <c r="AR24" i="18"/>
  <c r="AL24" i="18"/>
  <c r="AK24" i="18"/>
  <c r="AG24" i="18"/>
  <c r="AF24" i="18"/>
  <c r="AB24" i="18"/>
  <c r="AA24" i="18"/>
  <c r="AM24" i="18"/>
  <c r="H24" i="18"/>
  <c r="G24" i="18"/>
  <c r="AR23" i="18"/>
  <c r="AL23" i="18"/>
  <c r="AK23" i="18"/>
  <c r="AG23" i="18"/>
  <c r="AF23" i="18"/>
  <c r="AB23" i="18"/>
  <c r="AA23" i="18"/>
  <c r="AM23" i="18"/>
  <c r="H23" i="18"/>
  <c r="G23" i="18"/>
  <c r="AR22" i="18"/>
  <c r="AL22" i="18"/>
  <c r="AK22" i="18"/>
  <c r="AG22" i="18"/>
  <c r="AF22" i="18"/>
  <c r="AB22" i="18"/>
  <c r="AA22" i="18"/>
  <c r="AM22" i="18"/>
  <c r="H22" i="18"/>
  <c r="G22" i="18"/>
  <c r="AR21" i="18"/>
  <c r="AL21" i="18"/>
  <c r="AK21" i="18"/>
  <c r="AG21" i="18"/>
  <c r="AF21" i="18"/>
  <c r="AB21" i="18"/>
  <c r="AA21" i="18"/>
  <c r="AM21" i="18"/>
  <c r="H21" i="18"/>
  <c r="G21" i="18"/>
  <c r="AR20" i="18"/>
  <c r="AL20" i="18"/>
  <c r="AK20" i="18"/>
  <c r="AG20" i="18"/>
  <c r="AF20" i="18"/>
  <c r="AB20" i="18"/>
  <c r="AA20" i="18"/>
  <c r="AM20" i="18"/>
  <c r="H20" i="18"/>
  <c r="G20" i="18"/>
  <c r="AR19" i="18"/>
  <c r="AL19" i="18"/>
  <c r="AK19" i="18"/>
  <c r="AG19" i="18"/>
  <c r="AF19" i="18"/>
  <c r="AB19" i="18"/>
  <c r="AA19" i="18"/>
  <c r="AM19" i="18"/>
  <c r="H19" i="18"/>
  <c r="G19" i="18"/>
  <c r="AR18" i="18"/>
  <c r="AL18" i="18"/>
  <c r="AK18" i="18"/>
  <c r="AG18" i="18"/>
  <c r="AF18" i="18"/>
  <c r="AB18" i="18"/>
  <c r="AA18" i="18"/>
  <c r="AM18" i="18"/>
  <c r="H18" i="18"/>
  <c r="G18" i="18"/>
  <c r="AR17" i="18"/>
  <c r="AL17" i="18"/>
  <c r="AK17" i="18"/>
  <c r="AG17" i="18"/>
  <c r="AF17" i="18"/>
  <c r="AB17" i="18"/>
  <c r="AA17" i="18"/>
  <c r="AM17" i="18"/>
  <c r="H17" i="18"/>
  <c r="G17" i="18"/>
  <c r="AR16" i="18"/>
  <c r="AL16" i="18"/>
  <c r="AK16" i="18"/>
  <c r="AG16" i="18"/>
  <c r="AF16" i="18"/>
  <c r="AB16" i="18"/>
  <c r="AA16" i="18"/>
  <c r="AM16" i="18"/>
  <c r="H16" i="18"/>
  <c r="G16" i="18"/>
  <c r="AR15" i="18"/>
  <c r="AL15" i="18"/>
  <c r="AK15" i="18"/>
  <c r="AG15" i="18"/>
  <c r="AF15" i="18"/>
  <c r="AB15" i="18"/>
  <c r="AA15" i="18"/>
  <c r="AM15" i="18"/>
  <c r="H15" i="18"/>
  <c r="G15" i="18"/>
  <c r="AR14" i="18"/>
  <c r="AL14" i="18"/>
  <c r="AK14" i="18"/>
  <c r="AG14" i="18"/>
  <c r="AF14" i="18"/>
  <c r="AB14" i="18"/>
  <c r="AA14" i="18"/>
  <c r="AM14" i="18"/>
  <c r="H14" i="18"/>
  <c r="G14" i="18"/>
  <c r="AR13" i="18"/>
  <c r="AL13" i="18"/>
  <c r="AK13" i="18"/>
  <c r="AG13" i="18"/>
  <c r="AF13" i="18"/>
  <c r="AB13" i="18"/>
  <c r="AA13" i="18"/>
  <c r="T13" i="18"/>
  <c r="S13" i="18"/>
  <c r="R13" i="18"/>
  <c r="AM13" i="18" s="1"/>
  <c r="H13" i="18"/>
  <c r="G13" i="18"/>
  <c r="AR12" i="18"/>
  <c r="AL12" i="18"/>
  <c r="AK12" i="18"/>
  <c r="AG12" i="18"/>
  <c r="AF12" i="18"/>
  <c r="AB12" i="18"/>
  <c r="AA12" i="18"/>
  <c r="T12" i="18"/>
  <c r="S12" i="18"/>
  <c r="R12" i="18"/>
  <c r="AM12" i="18" s="1"/>
  <c r="H12" i="18"/>
  <c r="G12" i="18"/>
  <c r="AR11" i="18"/>
  <c r="AL11" i="18"/>
  <c r="AK11" i="18"/>
  <c r="AG11" i="18"/>
  <c r="AF11" i="18"/>
  <c r="AB11" i="18"/>
  <c r="AA11" i="18"/>
  <c r="T11" i="18"/>
  <c r="S11" i="18"/>
  <c r="R11" i="18"/>
  <c r="AM11" i="18" s="1"/>
  <c r="AR10" i="18"/>
  <c r="AL10" i="18"/>
  <c r="AK10" i="18"/>
  <c r="AG10" i="18"/>
  <c r="AF10" i="18"/>
  <c r="AB10" i="18"/>
  <c r="AA10" i="18"/>
  <c r="T10" i="18"/>
  <c r="S10" i="18"/>
  <c r="R10" i="18"/>
  <c r="AM10" i="18" s="1"/>
  <c r="AR9" i="18"/>
  <c r="AL9" i="18"/>
  <c r="AK9" i="18"/>
  <c r="AG9" i="18"/>
  <c r="AF9" i="18"/>
  <c r="AB9" i="18"/>
  <c r="AA9" i="18"/>
  <c r="T9" i="18"/>
  <c r="S9" i="18"/>
  <c r="R9" i="18"/>
  <c r="AM9" i="18" s="1"/>
  <c r="AR8" i="18"/>
  <c r="AL8" i="18"/>
  <c r="AK8" i="18"/>
  <c r="AG8" i="18"/>
  <c r="AF8" i="18"/>
  <c r="AB8" i="18"/>
  <c r="AA8" i="18"/>
  <c r="T8" i="18"/>
  <c r="S8" i="18"/>
  <c r="R8" i="18"/>
  <c r="AM8" i="18" s="1"/>
  <c r="AR7" i="18"/>
  <c r="AL7" i="18"/>
  <c r="AK7" i="18"/>
  <c r="AG7" i="18"/>
  <c r="AF7" i="18"/>
  <c r="AB7" i="18"/>
  <c r="AA7" i="18"/>
  <c r="T7" i="18"/>
  <c r="S7" i="18"/>
  <c r="R7" i="18"/>
  <c r="AM7" i="18" s="1"/>
  <c r="AR6" i="18"/>
  <c r="AL6" i="18"/>
  <c r="AK6" i="18"/>
  <c r="AG6" i="18"/>
  <c r="AF6" i="18"/>
  <c r="AB6" i="18"/>
  <c r="AA6" i="18"/>
  <c r="T6" i="18"/>
  <c r="S6" i="18"/>
  <c r="R6" i="18"/>
  <c r="AM6" i="18" s="1"/>
  <c r="B6" i="18"/>
  <c r="B8" i="18" s="1"/>
  <c r="AR5" i="18"/>
  <c r="AL5" i="18"/>
  <c r="AK5" i="18"/>
  <c r="AG5" i="18"/>
  <c r="AF5" i="18"/>
  <c r="AB5" i="18"/>
  <c r="AA5" i="18"/>
  <c r="T5" i="18"/>
  <c r="S5" i="18"/>
  <c r="R5" i="18"/>
  <c r="AM5" i="18" s="1"/>
  <c r="B5" i="18"/>
  <c r="B7" i="18" s="1"/>
  <c r="AR4" i="18"/>
  <c r="AL4" i="18"/>
  <c r="AK4" i="18"/>
  <c r="AG4" i="18"/>
  <c r="AF4" i="18"/>
  <c r="AB4" i="18"/>
  <c r="AA4" i="18"/>
  <c r="T4" i="18"/>
  <c r="S4" i="18"/>
  <c r="R4" i="18"/>
  <c r="AM4" i="18" s="1"/>
  <c r="A4" i="18"/>
  <c r="AP1" i="18"/>
  <c r="Y71" i="18" l="1"/>
  <c r="W71" i="18" s="1"/>
  <c r="Z71" i="18"/>
  <c r="X71" i="18" s="1"/>
  <c r="A5" i="18"/>
  <c r="AN6" i="18"/>
  <c r="AO62" i="18"/>
  <c r="AO63" i="18"/>
  <c r="AO5" i="18"/>
  <c r="AO19" i="18"/>
  <c r="AO64" i="18"/>
  <c r="AN65" i="18"/>
  <c r="AN63" i="18"/>
  <c r="AN64" i="18"/>
  <c r="AO65" i="18"/>
  <c r="AN62" i="18"/>
  <c r="AN56" i="18"/>
  <c r="AN57" i="18"/>
  <c r="AN60" i="18"/>
  <c r="AN61" i="18"/>
  <c r="AO55" i="18"/>
  <c r="AO56" i="18"/>
  <c r="AO57" i="18"/>
  <c r="AN58" i="18"/>
  <c r="AN59" i="18"/>
  <c r="AO58" i="18"/>
  <c r="AO59" i="18"/>
  <c r="AN48" i="18"/>
  <c r="AN49" i="18"/>
  <c r="AO60" i="18"/>
  <c r="AO61" i="18"/>
  <c r="AN52" i="18"/>
  <c r="AN53" i="18"/>
  <c r="AN55" i="18"/>
  <c r="AO54" i="18"/>
  <c r="AO48" i="18"/>
  <c r="AO49" i="18"/>
  <c r="AN50" i="18"/>
  <c r="AN51" i="18"/>
  <c r="AO50" i="18"/>
  <c r="AO51" i="18"/>
  <c r="AO52" i="18"/>
  <c r="AO53" i="18"/>
  <c r="AN54" i="18"/>
  <c r="AO47" i="18"/>
  <c r="AN44" i="18"/>
  <c r="AN45" i="18"/>
  <c r="AN47" i="18"/>
  <c r="AO46" i="18"/>
  <c r="AN40" i="18"/>
  <c r="AN41" i="18"/>
  <c r="AO37" i="18"/>
  <c r="AO44" i="18"/>
  <c r="AO45" i="18"/>
  <c r="AN46" i="18"/>
  <c r="AN38" i="18"/>
  <c r="AO39" i="18"/>
  <c r="AN34" i="18"/>
  <c r="AO41" i="18"/>
  <c r="AN42" i="18"/>
  <c r="AN43" i="18"/>
  <c r="AO35" i="18"/>
  <c r="AN36" i="18"/>
  <c r="AN37" i="18"/>
  <c r="AP37" i="18" s="1"/>
  <c r="AO42" i="18"/>
  <c r="AO43" i="18"/>
  <c r="AN32" i="18"/>
  <c r="AN33" i="18"/>
  <c r="AO31" i="18"/>
  <c r="AO33" i="18"/>
  <c r="AN31" i="18"/>
  <c r="AO20" i="18"/>
  <c r="AO30" i="18"/>
  <c r="AN26" i="18"/>
  <c r="AN27" i="18"/>
  <c r="AN30" i="18"/>
  <c r="AO23" i="18"/>
  <c r="AN24" i="18"/>
  <c r="AO25" i="18"/>
  <c r="AO21" i="18"/>
  <c r="AN22" i="18"/>
  <c r="AN23" i="18"/>
  <c r="AO26" i="18"/>
  <c r="AO27" i="18"/>
  <c r="AN28" i="18"/>
  <c r="AO22" i="18"/>
  <c r="AO29" i="18"/>
  <c r="AO11" i="18"/>
  <c r="AO12" i="18"/>
  <c r="AN13" i="18"/>
  <c r="AN14" i="18"/>
  <c r="AN20" i="18"/>
  <c r="AO15" i="18"/>
  <c r="AO16" i="18"/>
  <c r="AN17" i="18"/>
  <c r="AN18" i="18"/>
  <c r="AO7" i="18"/>
  <c r="AO8" i="18"/>
  <c r="AN9" i="18"/>
  <c r="AN10" i="18"/>
  <c r="AN4" i="18"/>
  <c r="AN5" i="18"/>
  <c r="AO9" i="18"/>
  <c r="AO10" i="18"/>
  <c r="AN11" i="18"/>
  <c r="AN12" i="18"/>
  <c r="AO17" i="18"/>
  <c r="AO18" i="18"/>
  <c r="AN19" i="18"/>
  <c r="AO4" i="18"/>
  <c r="AO6" i="18"/>
  <c r="AN7" i="18"/>
  <c r="AN8" i="18"/>
  <c r="AO13" i="18"/>
  <c r="AO14" i="18"/>
  <c r="AN15" i="18"/>
  <c r="AN16" i="18"/>
  <c r="A7" i="18"/>
  <c r="B9" i="18"/>
  <c r="A8" i="18"/>
  <c r="B10" i="18"/>
  <c r="AM66" i="18"/>
  <c r="H9" i="1" s="1"/>
  <c r="T66" i="18"/>
  <c r="A6" i="18"/>
  <c r="AN21" i="18"/>
  <c r="AO24" i="18"/>
  <c r="AN29" i="18"/>
  <c r="AO32" i="18"/>
  <c r="AO34" i="18"/>
  <c r="AN35" i="18"/>
  <c r="AO36" i="18"/>
  <c r="AO38" i="18"/>
  <c r="AN39" i="18"/>
  <c r="AO40" i="18"/>
  <c r="R66" i="18"/>
  <c r="AN25" i="18"/>
  <c r="AO28" i="18"/>
  <c r="S66" i="18"/>
  <c r="N36" i="1"/>
  <c r="AP35" i="18" l="1"/>
  <c r="AP17" i="18"/>
  <c r="AP48" i="18"/>
  <c r="AP13" i="18"/>
  <c r="AP40" i="18"/>
  <c r="AP20" i="18"/>
  <c r="AP10" i="18"/>
  <c r="AP59" i="18"/>
  <c r="AP58" i="18"/>
  <c r="AP24" i="18"/>
  <c r="AP46" i="18"/>
  <c r="AP25" i="18"/>
  <c r="AP9" i="18"/>
  <c r="AP36" i="18"/>
  <c r="AP62" i="18"/>
  <c r="AP12" i="18"/>
  <c r="AP51" i="18"/>
  <c r="AP18" i="18"/>
  <c r="AP14" i="18"/>
  <c r="AP11" i="18"/>
  <c r="AP19" i="18"/>
  <c r="AP6" i="18"/>
  <c r="AP31" i="18"/>
  <c r="AP63" i="18"/>
  <c r="AP65" i="18"/>
  <c r="AP33" i="18"/>
  <c r="AP52" i="18"/>
  <c r="AP64" i="18"/>
  <c r="AP61" i="18"/>
  <c r="AP57" i="18"/>
  <c r="AP56" i="18"/>
  <c r="AP50" i="18"/>
  <c r="AP55" i="18"/>
  <c r="AP60" i="18"/>
  <c r="AP54" i="18"/>
  <c r="AP49" i="18"/>
  <c r="AP53" i="18"/>
  <c r="AP38" i="18"/>
  <c r="AP42" i="18"/>
  <c r="AP45" i="18"/>
  <c r="AP43" i="18"/>
  <c r="AP44" i="18"/>
  <c r="AP47" i="18"/>
  <c r="AP39" i="18"/>
  <c r="AP41" i="18"/>
  <c r="AP34" i="18"/>
  <c r="AP29" i="18"/>
  <c r="AP26" i="18"/>
  <c r="AP23" i="18"/>
  <c r="AP30" i="18"/>
  <c r="AP27" i="18"/>
  <c r="AP21" i="18"/>
  <c r="AP22" i="18"/>
  <c r="AP28" i="18"/>
  <c r="AP4" i="18"/>
  <c r="AP8" i="18"/>
  <c r="AP16" i="18"/>
  <c r="AP15" i="18"/>
  <c r="AP7" i="18"/>
  <c r="AP5" i="18"/>
  <c r="AO66" i="18"/>
  <c r="J9" i="1" s="1"/>
  <c r="AP32" i="18"/>
  <c r="AN66" i="18"/>
  <c r="I9" i="1" s="1"/>
  <c r="B12" i="18"/>
  <c r="A10" i="18"/>
  <c r="A9" i="18"/>
  <c r="B11" i="18"/>
  <c r="AF5" i="11"/>
  <c r="AG5" i="11"/>
  <c r="AF6" i="11"/>
  <c r="AG6" i="11"/>
  <c r="AF7" i="11"/>
  <c r="AG7" i="11"/>
  <c r="AF8" i="11"/>
  <c r="AG8" i="11"/>
  <c r="AF9" i="11"/>
  <c r="AG9" i="11"/>
  <c r="AF10" i="11"/>
  <c r="AG10" i="11"/>
  <c r="AF11" i="11"/>
  <c r="AG11" i="11"/>
  <c r="AF12" i="11"/>
  <c r="AG12" i="11"/>
  <c r="AF13" i="11"/>
  <c r="AG13" i="11"/>
  <c r="AF14" i="11"/>
  <c r="AG14" i="11"/>
  <c r="AF15" i="11"/>
  <c r="AG15" i="11"/>
  <c r="AF16" i="11"/>
  <c r="AG16" i="11"/>
  <c r="AF17" i="11"/>
  <c r="AG17" i="11"/>
  <c r="AF18" i="11"/>
  <c r="AG18" i="11"/>
  <c r="AK5" i="11"/>
  <c r="AL5" i="11"/>
  <c r="AK6" i="11"/>
  <c r="AL6" i="11"/>
  <c r="AK7" i="11"/>
  <c r="AL7" i="11"/>
  <c r="AK8" i="11"/>
  <c r="AL8" i="11"/>
  <c r="AK9" i="11"/>
  <c r="AL9" i="11"/>
  <c r="AK10" i="11"/>
  <c r="AL10" i="11"/>
  <c r="AK11" i="11"/>
  <c r="AL11" i="11"/>
  <c r="AK12" i="11"/>
  <c r="AL12" i="11"/>
  <c r="AK13" i="11"/>
  <c r="AL13" i="11"/>
  <c r="AK14" i="11"/>
  <c r="AL14" i="11"/>
  <c r="AK15" i="11"/>
  <c r="AL15" i="11"/>
  <c r="AK16" i="11"/>
  <c r="AL16" i="11"/>
  <c r="AK17" i="11"/>
  <c r="AL17" i="11"/>
  <c r="AK18" i="11"/>
  <c r="AL18" i="11"/>
  <c r="AK19" i="11"/>
  <c r="AL19" i="11"/>
  <c r="M9" i="1" l="1"/>
  <c r="N9" i="1" s="1"/>
  <c r="A12" i="18"/>
  <c r="B14" i="18"/>
  <c r="B13" i="18"/>
  <c r="A11" i="18"/>
  <c r="A13" i="18" l="1"/>
  <c r="B15" i="18"/>
  <c r="A14" i="18"/>
  <c r="B16" i="18"/>
  <c r="AS19" i="12"/>
  <c r="A16" i="18" l="1"/>
  <c r="B18" i="18"/>
  <c r="A15" i="18"/>
  <c r="B17" i="18"/>
  <c r="A17" i="18" l="1"/>
  <c r="B19" i="18"/>
  <c r="B20" i="18"/>
  <c r="A18" i="18"/>
  <c r="R5" i="4"/>
  <c r="S5" i="4"/>
  <c r="T5" i="4"/>
  <c r="R6" i="4"/>
  <c r="S6" i="4"/>
  <c r="T6" i="4"/>
  <c r="R7" i="4"/>
  <c r="S7" i="4"/>
  <c r="T7" i="4"/>
  <c r="R8" i="4"/>
  <c r="S8" i="4"/>
  <c r="T8" i="4"/>
  <c r="R9" i="4"/>
  <c r="S9" i="4"/>
  <c r="T9" i="4"/>
  <c r="R10" i="4"/>
  <c r="S10" i="4"/>
  <c r="T10" i="4"/>
  <c r="R11" i="4"/>
  <c r="S11" i="4"/>
  <c r="T11" i="4"/>
  <c r="R12" i="4"/>
  <c r="S12" i="4"/>
  <c r="T12" i="4"/>
  <c r="R13" i="4"/>
  <c r="S13" i="4"/>
  <c r="T13" i="4"/>
  <c r="R14" i="4"/>
  <c r="S14" i="4"/>
  <c r="T14" i="4"/>
  <c r="R15" i="4"/>
  <c r="S15" i="4"/>
  <c r="T15" i="4"/>
  <c r="R16" i="4"/>
  <c r="S16" i="4"/>
  <c r="T16" i="4"/>
  <c r="R17" i="4"/>
  <c r="S17" i="4"/>
  <c r="T17" i="4"/>
  <c r="R18" i="4"/>
  <c r="S18" i="4"/>
  <c r="T18" i="4"/>
  <c r="R19" i="4"/>
  <c r="S19" i="4"/>
  <c r="T19" i="4"/>
  <c r="R20" i="4"/>
  <c r="S20" i="4"/>
  <c r="T20" i="4"/>
  <c r="R21" i="4"/>
  <c r="S21" i="4"/>
  <c r="T21" i="4"/>
  <c r="R22" i="4"/>
  <c r="S22" i="4"/>
  <c r="T22" i="4"/>
  <c r="R23" i="4"/>
  <c r="S23" i="4"/>
  <c r="T23" i="4"/>
  <c r="R24" i="4"/>
  <c r="S24" i="4"/>
  <c r="T24" i="4"/>
  <c r="R25" i="4"/>
  <c r="S25" i="4"/>
  <c r="T25" i="4"/>
  <c r="R26" i="4"/>
  <c r="S26" i="4"/>
  <c r="T26" i="4"/>
  <c r="R27" i="4"/>
  <c r="S27" i="4"/>
  <c r="T27" i="4"/>
  <c r="R28" i="4"/>
  <c r="S28" i="4"/>
  <c r="T28" i="4"/>
  <c r="R29" i="4"/>
  <c r="S29" i="4"/>
  <c r="T29" i="4"/>
  <c r="R30" i="4"/>
  <c r="S30" i="4"/>
  <c r="T30" i="4"/>
  <c r="R31" i="4"/>
  <c r="S31" i="4"/>
  <c r="T31" i="4"/>
  <c r="R32" i="4"/>
  <c r="S32" i="4"/>
  <c r="T32" i="4"/>
  <c r="R33" i="4"/>
  <c r="S33" i="4"/>
  <c r="T33" i="4"/>
  <c r="R34" i="4"/>
  <c r="S34" i="4"/>
  <c r="T34" i="4"/>
  <c r="R35" i="4"/>
  <c r="S35" i="4"/>
  <c r="T35" i="4"/>
  <c r="R36" i="4"/>
  <c r="S36" i="4"/>
  <c r="T36" i="4"/>
  <c r="R37" i="4"/>
  <c r="S37" i="4"/>
  <c r="T37" i="4"/>
  <c r="R38" i="4"/>
  <c r="S38" i="4"/>
  <c r="T38" i="4"/>
  <c r="R39" i="4"/>
  <c r="S39" i="4"/>
  <c r="T39" i="4"/>
  <c r="R40" i="4"/>
  <c r="S40" i="4"/>
  <c r="T40" i="4"/>
  <c r="R41" i="4"/>
  <c r="S41" i="4"/>
  <c r="T41" i="4"/>
  <c r="R42" i="4"/>
  <c r="S42" i="4"/>
  <c r="T42" i="4"/>
  <c r="R43" i="4"/>
  <c r="S43" i="4"/>
  <c r="T43" i="4"/>
  <c r="R44" i="4"/>
  <c r="S44" i="4"/>
  <c r="T44" i="4"/>
  <c r="R45" i="4"/>
  <c r="S45" i="4"/>
  <c r="T45" i="4"/>
  <c r="R46" i="4"/>
  <c r="S46" i="4"/>
  <c r="T46" i="4"/>
  <c r="R47" i="4"/>
  <c r="S47" i="4"/>
  <c r="T47" i="4"/>
  <c r="R48" i="4"/>
  <c r="S48" i="4"/>
  <c r="T48" i="4"/>
  <c r="R49" i="4"/>
  <c r="S49" i="4"/>
  <c r="T49" i="4"/>
  <c r="R50" i="4"/>
  <c r="S50" i="4"/>
  <c r="T50" i="4"/>
  <c r="R51" i="4"/>
  <c r="S51" i="4"/>
  <c r="T51" i="4"/>
  <c r="R52" i="4"/>
  <c r="S52" i="4"/>
  <c r="T52" i="4"/>
  <c r="R53" i="4"/>
  <c r="S53" i="4"/>
  <c r="T53" i="4"/>
  <c r="R54" i="4"/>
  <c r="S54" i="4"/>
  <c r="T54" i="4"/>
  <c r="R55" i="4"/>
  <c r="S55" i="4"/>
  <c r="T55" i="4"/>
  <c r="R56" i="4"/>
  <c r="S56" i="4"/>
  <c r="T56" i="4"/>
  <c r="R57" i="4"/>
  <c r="S57" i="4"/>
  <c r="T57" i="4"/>
  <c r="R58" i="4"/>
  <c r="S58" i="4"/>
  <c r="T58" i="4"/>
  <c r="R59" i="4"/>
  <c r="S59" i="4"/>
  <c r="T59" i="4"/>
  <c r="R60" i="4"/>
  <c r="S60" i="4"/>
  <c r="T60" i="4"/>
  <c r="R61" i="4"/>
  <c r="S61" i="4"/>
  <c r="T61" i="4"/>
  <c r="R62" i="4"/>
  <c r="S62" i="4"/>
  <c r="T62" i="4"/>
  <c r="R63" i="4"/>
  <c r="S63" i="4"/>
  <c r="T63" i="4"/>
  <c r="R64" i="4"/>
  <c r="S64" i="4"/>
  <c r="T64" i="4"/>
  <c r="R65" i="4"/>
  <c r="S65" i="4"/>
  <c r="T65" i="4"/>
  <c r="B22" i="18" l="1"/>
  <c r="A20" i="18"/>
  <c r="B21" i="18"/>
  <c r="A19" i="18"/>
  <c r="AK5" i="5"/>
  <c r="AL5" i="5"/>
  <c r="AK6" i="5"/>
  <c r="AL6" i="5"/>
  <c r="AK7" i="5"/>
  <c r="AL7" i="5"/>
  <c r="AK8" i="5"/>
  <c r="AL8" i="5"/>
  <c r="AK9" i="5"/>
  <c r="AL9" i="5"/>
  <c r="AK10" i="5"/>
  <c r="AL10" i="5"/>
  <c r="AK11" i="5"/>
  <c r="AL11" i="5"/>
  <c r="AK12" i="5"/>
  <c r="AL12" i="5"/>
  <c r="AK13" i="5"/>
  <c r="AL13" i="5"/>
  <c r="AK14" i="5"/>
  <c r="AL14" i="5"/>
  <c r="AK15" i="5"/>
  <c r="AL15" i="5"/>
  <c r="AK16" i="5"/>
  <c r="AL16" i="5"/>
  <c r="AK17" i="5"/>
  <c r="AL17" i="5"/>
  <c r="AK18" i="5"/>
  <c r="AL18" i="5"/>
  <c r="AK19" i="5"/>
  <c r="AL19" i="5"/>
  <c r="AK20" i="5"/>
  <c r="AL20" i="5"/>
  <c r="AK21" i="5"/>
  <c r="AL21" i="5"/>
  <c r="AK22" i="5"/>
  <c r="AL22" i="5"/>
  <c r="AK23" i="5"/>
  <c r="AL23" i="5"/>
  <c r="AK24" i="5"/>
  <c r="AL24" i="5"/>
  <c r="AK25" i="5"/>
  <c r="AL25" i="5"/>
  <c r="AK26" i="5"/>
  <c r="AL26" i="5"/>
  <c r="AK27" i="5"/>
  <c r="AL27" i="5"/>
  <c r="AK28" i="5"/>
  <c r="AL28" i="5"/>
  <c r="AK29" i="5"/>
  <c r="AL29" i="5"/>
  <c r="AK30" i="5"/>
  <c r="AL30" i="5"/>
  <c r="AK31" i="5"/>
  <c r="AL31" i="5"/>
  <c r="AK32" i="5"/>
  <c r="AL32" i="5"/>
  <c r="AK33" i="5"/>
  <c r="AL33" i="5"/>
  <c r="AK34" i="5"/>
  <c r="AL34" i="5"/>
  <c r="AK35" i="5"/>
  <c r="AL35" i="5"/>
  <c r="AK36" i="5"/>
  <c r="AL36" i="5"/>
  <c r="AK37" i="5"/>
  <c r="AL37" i="5"/>
  <c r="AK38" i="5"/>
  <c r="AL38" i="5"/>
  <c r="AK39" i="5"/>
  <c r="AL39" i="5"/>
  <c r="AK40" i="5"/>
  <c r="AL40" i="5"/>
  <c r="AK41" i="5"/>
  <c r="AL41" i="5"/>
  <c r="AK42" i="5"/>
  <c r="AL42" i="5"/>
  <c r="AK43" i="5"/>
  <c r="AL43" i="5"/>
  <c r="AK44" i="5"/>
  <c r="AL44" i="5"/>
  <c r="AK45" i="5"/>
  <c r="AL45" i="5"/>
  <c r="AK46" i="5"/>
  <c r="AL46" i="5"/>
  <c r="AK47" i="5"/>
  <c r="AL47" i="5"/>
  <c r="AK48" i="5"/>
  <c r="AL48" i="5"/>
  <c r="AK49" i="5"/>
  <c r="AL49" i="5"/>
  <c r="AK50" i="5"/>
  <c r="AL50" i="5"/>
  <c r="AK51" i="5"/>
  <c r="AL51" i="5"/>
  <c r="AK52" i="5"/>
  <c r="AL52" i="5"/>
  <c r="AK53" i="5"/>
  <c r="AL53" i="5"/>
  <c r="AK54" i="5"/>
  <c r="AL54" i="5"/>
  <c r="AK55" i="5"/>
  <c r="AL55" i="5"/>
  <c r="AK56" i="5"/>
  <c r="AL56" i="5"/>
  <c r="AK57" i="5"/>
  <c r="AL57" i="5"/>
  <c r="AK58" i="5"/>
  <c r="AL58" i="5"/>
  <c r="AK59" i="5"/>
  <c r="AL59" i="5"/>
  <c r="R5" i="5"/>
  <c r="S5" i="5"/>
  <c r="T5" i="5"/>
  <c r="R6" i="5"/>
  <c r="S6" i="5"/>
  <c r="T6" i="5"/>
  <c r="R7" i="5"/>
  <c r="S7" i="5"/>
  <c r="T7" i="5"/>
  <c r="R8" i="5"/>
  <c r="S8" i="5"/>
  <c r="T8" i="5"/>
  <c r="R9" i="5"/>
  <c r="S9" i="5"/>
  <c r="T9" i="5"/>
  <c r="R10" i="5"/>
  <c r="S10" i="5"/>
  <c r="T10" i="5"/>
  <c r="R11" i="5"/>
  <c r="T11" i="5"/>
  <c r="R12" i="5"/>
  <c r="S12" i="5"/>
  <c r="T12" i="5"/>
  <c r="R13" i="5"/>
  <c r="S13" i="5"/>
  <c r="T13" i="5"/>
  <c r="R14" i="5"/>
  <c r="S14" i="5"/>
  <c r="T14" i="5"/>
  <c r="R15" i="5"/>
  <c r="S15" i="5"/>
  <c r="T15" i="5"/>
  <c r="R16" i="5"/>
  <c r="S16" i="5"/>
  <c r="T16" i="5"/>
  <c r="R17" i="5"/>
  <c r="S17" i="5"/>
  <c r="T17" i="5"/>
  <c r="R18" i="5"/>
  <c r="S18" i="5"/>
  <c r="T18" i="5"/>
  <c r="R19" i="5"/>
  <c r="S19" i="5"/>
  <c r="T19" i="5"/>
  <c r="R20" i="5"/>
  <c r="S20" i="5"/>
  <c r="T20" i="5"/>
  <c r="R21" i="5"/>
  <c r="S21" i="5"/>
  <c r="T21" i="5"/>
  <c r="R22" i="5"/>
  <c r="S22" i="5"/>
  <c r="T22" i="5"/>
  <c r="R23" i="5"/>
  <c r="S23" i="5"/>
  <c r="T23" i="5"/>
  <c r="R24" i="5"/>
  <c r="S24" i="5"/>
  <c r="T24" i="5"/>
  <c r="R25" i="5"/>
  <c r="S25" i="5"/>
  <c r="T25" i="5"/>
  <c r="R26" i="5"/>
  <c r="S26" i="5"/>
  <c r="T26" i="5"/>
  <c r="R27" i="5"/>
  <c r="S27" i="5"/>
  <c r="T27" i="5"/>
  <c r="R28" i="5"/>
  <c r="S28" i="5"/>
  <c r="T28" i="5"/>
  <c r="R29" i="5"/>
  <c r="S29" i="5"/>
  <c r="T29" i="5"/>
  <c r="R30" i="5"/>
  <c r="S30" i="5"/>
  <c r="T30" i="5"/>
  <c r="R31" i="5"/>
  <c r="S31" i="5"/>
  <c r="T31" i="5"/>
  <c r="R32" i="5"/>
  <c r="S32" i="5"/>
  <c r="T32" i="5"/>
  <c r="R33" i="5"/>
  <c r="S33" i="5"/>
  <c r="T33" i="5"/>
  <c r="R34" i="5"/>
  <c r="S34" i="5"/>
  <c r="T34" i="5"/>
  <c r="R35" i="5"/>
  <c r="S35" i="5"/>
  <c r="T35" i="5"/>
  <c r="R36" i="5"/>
  <c r="S36" i="5"/>
  <c r="T36" i="5"/>
  <c r="R37" i="5"/>
  <c r="S37" i="5"/>
  <c r="T37" i="5"/>
  <c r="R38" i="5"/>
  <c r="S38" i="5"/>
  <c r="T38" i="5"/>
  <c r="R39" i="5"/>
  <c r="S39" i="5"/>
  <c r="T39" i="5"/>
  <c r="R40" i="5"/>
  <c r="S40" i="5"/>
  <c r="T40" i="5"/>
  <c r="R41" i="5"/>
  <c r="S41" i="5"/>
  <c r="T41" i="5"/>
  <c r="R42" i="5"/>
  <c r="S42" i="5"/>
  <c r="T42" i="5"/>
  <c r="R43" i="5"/>
  <c r="S43" i="5"/>
  <c r="T43" i="5"/>
  <c r="R44" i="5"/>
  <c r="S44" i="5"/>
  <c r="T44" i="5"/>
  <c r="R45" i="5"/>
  <c r="S45" i="5"/>
  <c r="T45" i="5"/>
  <c r="R46" i="5"/>
  <c r="S46" i="5"/>
  <c r="T46" i="5"/>
  <c r="R47" i="5"/>
  <c r="S47" i="5"/>
  <c r="T47" i="5"/>
  <c r="R48" i="5"/>
  <c r="S48" i="5"/>
  <c r="T48" i="5"/>
  <c r="R49" i="5"/>
  <c r="S49" i="5"/>
  <c r="T49" i="5"/>
  <c r="R50" i="5"/>
  <c r="S50" i="5"/>
  <c r="T50" i="5"/>
  <c r="R51" i="5"/>
  <c r="S51" i="5"/>
  <c r="T51" i="5"/>
  <c r="R52" i="5"/>
  <c r="S52" i="5"/>
  <c r="T52" i="5"/>
  <c r="R53" i="5"/>
  <c r="S53" i="5"/>
  <c r="T53" i="5"/>
  <c r="R54" i="5"/>
  <c r="S54" i="5"/>
  <c r="T54" i="5"/>
  <c r="R55" i="5"/>
  <c r="S55" i="5"/>
  <c r="T55" i="5"/>
  <c r="R56" i="5"/>
  <c r="S56" i="5"/>
  <c r="T56" i="5"/>
  <c r="R57" i="5"/>
  <c r="S57" i="5"/>
  <c r="T57" i="5"/>
  <c r="R58" i="5"/>
  <c r="S58" i="5"/>
  <c r="T58" i="5"/>
  <c r="R59" i="5"/>
  <c r="S59" i="5"/>
  <c r="T59" i="5"/>
  <c r="B24" i="18" l="1"/>
  <c r="A22" i="18"/>
  <c r="A21" i="18"/>
  <c r="B23" i="18"/>
  <c r="G12" i="5"/>
  <c r="H12" i="5"/>
  <c r="G13" i="5"/>
  <c r="H13" i="5"/>
  <c r="G14" i="5"/>
  <c r="H14" i="5"/>
  <c r="G15" i="5"/>
  <c r="H15" i="5"/>
  <c r="G16" i="5"/>
  <c r="H16" i="5"/>
  <c r="G17" i="5"/>
  <c r="H17" i="5"/>
  <c r="G18" i="5"/>
  <c r="H18" i="5"/>
  <c r="G19" i="5"/>
  <c r="H19" i="5"/>
  <c r="G20" i="5"/>
  <c r="H20" i="5"/>
  <c r="G21" i="5"/>
  <c r="H21" i="5"/>
  <c r="G22" i="5"/>
  <c r="H22" i="5"/>
  <c r="G23" i="5"/>
  <c r="H23" i="5"/>
  <c r="G24" i="5"/>
  <c r="H24" i="5"/>
  <c r="G25" i="5"/>
  <c r="H25" i="5"/>
  <c r="G26" i="5"/>
  <c r="H26" i="5"/>
  <c r="G27" i="5"/>
  <c r="H27" i="5"/>
  <c r="G28" i="5"/>
  <c r="H28" i="5"/>
  <c r="G29" i="5"/>
  <c r="H29" i="5"/>
  <c r="G30" i="5"/>
  <c r="H30" i="5"/>
  <c r="G31" i="5"/>
  <c r="H31" i="5"/>
  <c r="G32" i="5"/>
  <c r="H32" i="5"/>
  <c r="G33" i="5"/>
  <c r="H33" i="5"/>
  <c r="G34" i="5"/>
  <c r="H34" i="5"/>
  <c r="G35" i="5"/>
  <c r="H35" i="5"/>
  <c r="G36" i="5"/>
  <c r="H36" i="5"/>
  <c r="G37" i="5"/>
  <c r="H37" i="5"/>
  <c r="G38" i="5"/>
  <c r="H38" i="5"/>
  <c r="G39" i="5"/>
  <c r="H39" i="5"/>
  <c r="G40" i="5"/>
  <c r="H40" i="5"/>
  <c r="G41" i="5"/>
  <c r="H41" i="5"/>
  <c r="G42" i="5"/>
  <c r="H42" i="5"/>
  <c r="G43" i="5"/>
  <c r="H43" i="5"/>
  <c r="G44" i="5"/>
  <c r="H44" i="5"/>
  <c r="G45" i="5"/>
  <c r="H45" i="5"/>
  <c r="G46" i="5"/>
  <c r="H46" i="5"/>
  <c r="G47" i="5"/>
  <c r="H47" i="5"/>
  <c r="G48" i="5"/>
  <c r="H48" i="5"/>
  <c r="G49" i="5"/>
  <c r="H49" i="5"/>
  <c r="G50" i="5"/>
  <c r="H50" i="5"/>
  <c r="G51" i="5"/>
  <c r="H51" i="5"/>
  <c r="G52" i="5"/>
  <c r="H52" i="5"/>
  <c r="G53" i="5"/>
  <c r="H53" i="5"/>
  <c r="G54" i="5"/>
  <c r="H54" i="5"/>
  <c r="G55" i="5"/>
  <c r="H55" i="5"/>
  <c r="G56" i="5"/>
  <c r="H56" i="5"/>
  <c r="G57" i="5"/>
  <c r="H57" i="5"/>
  <c r="G58" i="5"/>
  <c r="H58" i="5"/>
  <c r="G59" i="5"/>
  <c r="H59" i="5"/>
  <c r="A23" i="18" l="1"/>
  <c r="B25" i="18"/>
  <c r="B26" i="18"/>
  <c r="A24" i="18"/>
  <c r="H4" i="2"/>
  <c r="G4" i="2"/>
  <c r="AA4" i="4"/>
  <c r="AB4" i="4"/>
  <c r="AA5" i="4"/>
  <c r="AB5" i="4"/>
  <c r="AA6" i="4"/>
  <c r="AB6" i="4"/>
  <c r="AA7" i="4"/>
  <c r="AB7" i="4"/>
  <c r="AA8" i="4"/>
  <c r="AB8" i="4"/>
  <c r="AA9" i="4"/>
  <c r="AB9" i="4"/>
  <c r="AA10" i="4"/>
  <c r="AB10" i="4"/>
  <c r="AA11" i="4"/>
  <c r="AB11" i="4"/>
  <c r="AA12" i="4"/>
  <c r="AB12" i="4"/>
  <c r="AA13" i="4"/>
  <c r="AB13" i="4"/>
  <c r="AA14" i="4"/>
  <c r="AB14" i="4"/>
  <c r="AA15" i="4"/>
  <c r="AB15" i="4"/>
  <c r="AA16" i="4"/>
  <c r="AB16" i="4"/>
  <c r="AA17" i="4"/>
  <c r="AB17" i="4"/>
  <c r="AA18" i="4"/>
  <c r="AB18" i="4"/>
  <c r="AA19" i="4"/>
  <c r="AB19" i="4"/>
  <c r="AA20" i="4"/>
  <c r="AB20" i="4"/>
  <c r="AA21" i="4"/>
  <c r="AB21" i="4"/>
  <c r="AA22" i="4"/>
  <c r="AB22" i="4"/>
  <c r="AA23" i="4"/>
  <c r="AB23" i="4"/>
  <c r="AA24" i="4"/>
  <c r="AB24" i="4"/>
  <c r="AA25" i="4"/>
  <c r="AB25" i="4"/>
  <c r="AA26" i="4"/>
  <c r="AB26" i="4"/>
  <c r="AA27" i="4"/>
  <c r="AB27" i="4"/>
  <c r="AA28" i="4"/>
  <c r="AB28" i="4"/>
  <c r="AA29" i="4"/>
  <c r="AB29" i="4"/>
  <c r="AA30" i="4"/>
  <c r="AB30" i="4"/>
  <c r="AA31" i="4"/>
  <c r="AB31" i="4"/>
  <c r="AA32" i="4"/>
  <c r="AB32" i="4"/>
  <c r="AA33" i="4"/>
  <c r="AB33" i="4"/>
  <c r="AA34" i="4"/>
  <c r="AB34" i="4"/>
  <c r="AA35" i="4"/>
  <c r="AB35" i="4"/>
  <c r="AA36" i="4"/>
  <c r="AB36" i="4"/>
  <c r="AA37" i="4"/>
  <c r="AB37" i="4"/>
  <c r="AA38" i="4"/>
  <c r="AB38" i="4"/>
  <c r="AA39" i="4"/>
  <c r="AB39" i="4"/>
  <c r="AA40" i="4"/>
  <c r="AB40" i="4"/>
  <c r="AA41" i="4"/>
  <c r="AB41" i="4"/>
  <c r="AA42" i="4"/>
  <c r="AB42" i="4"/>
  <c r="AA43" i="4"/>
  <c r="AB43" i="4"/>
  <c r="AA44" i="4"/>
  <c r="AB44" i="4"/>
  <c r="AA45" i="4"/>
  <c r="AB45" i="4"/>
  <c r="AA46" i="4"/>
  <c r="AB46" i="4"/>
  <c r="AA47" i="4"/>
  <c r="AB47" i="4"/>
  <c r="AA48" i="4"/>
  <c r="AB48" i="4"/>
  <c r="AA49" i="4"/>
  <c r="AB49" i="4"/>
  <c r="AA50" i="4"/>
  <c r="AB50" i="4"/>
  <c r="AA51" i="4"/>
  <c r="AB51" i="4"/>
  <c r="AA52" i="4"/>
  <c r="AB52" i="4"/>
  <c r="AA53" i="4"/>
  <c r="AB53" i="4"/>
  <c r="AA54" i="4"/>
  <c r="AB54" i="4"/>
  <c r="AA55" i="4"/>
  <c r="AB55" i="4"/>
  <c r="AA56" i="4"/>
  <c r="AB56" i="4"/>
  <c r="AA57" i="4"/>
  <c r="AB57" i="4"/>
  <c r="AA58" i="4"/>
  <c r="AB58" i="4"/>
  <c r="AA59" i="4"/>
  <c r="AB59" i="4"/>
  <c r="AA60" i="4"/>
  <c r="AB60" i="4"/>
  <c r="AA61" i="4"/>
  <c r="AB61" i="4"/>
  <c r="AA62" i="4"/>
  <c r="AB62" i="4"/>
  <c r="AA63" i="4"/>
  <c r="AB63" i="4"/>
  <c r="B28" i="18" l="1"/>
  <c r="A26" i="18"/>
  <c r="A25" i="18"/>
  <c r="B27" i="18"/>
  <c r="AG46" i="14"/>
  <c r="AG47" i="14"/>
  <c r="AG48" i="14"/>
  <c r="AG49" i="14"/>
  <c r="AG50" i="14"/>
  <c r="AG51" i="14"/>
  <c r="AG62" i="14"/>
  <c r="AG63" i="14"/>
  <c r="AG64" i="14"/>
  <c r="AG65" i="14"/>
  <c r="AL45" i="14"/>
  <c r="AL46" i="14"/>
  <c r="AL47" i="14"/>
  <c r="AL48" i="14"/>
  <c r="AL49" i="14"/>
  <c r="AL50" i="14"/>
  <c r="AL51" i="14"/>
  <c r="AL52" i="14"/>
  <c r="AL53" i="14"/>
  <c r="AL54" i="14"/>
  <c r="AL55" i="14"/>
  <c r="AL56" i="14"/>
  <c r="AL57" i="14"/>
  <c r="AL58" i="14"/>
  <c r="AL59" i="14"/>
  <c r="AL60" i="14"/>
  <c r="AL61" i="14"/>
  <c r="AL62" i="14"/>
  <c r="AL63" i="14"/>
  <c r="AL64" i="14"/>
  <c r="AL65" i="14"/>
  <c r="A27" i="18" l="1"/>
  <c r="B29" i="18"/>
  <c r="B30" i="18"/>
  <c r="A28" i="18"/>
  <c r="AS65" i="14"/>
  <c r="B32" i="18" l="1"/>
  <c r="A30" i="18"/>
  <c r="A29" i="18"/>
  <c r="B31" i="18"/>
  <c r="A31" i="18" l="1"/>
  <c r="B33" i="18"/>
  <c r="B34" i="18"/>
  <c r="A32" i="18"/>
  <c r="M42" i="1" l="1"/>
  <c r="N42" i="1" s="1"/>
  <c r="B36" i="18"/>
  <c r="A34" i="18"/>
  <c r="A33" i="18"/>
  <c r="B35" i="18"/>
  <c r="AB40" i="17"/>
  <c r="AB41" i="17"/>
  <c r="AB42" i="17"/>
  <c r="AB43" i="17"/>
  <c r="AB44" i="17"/>
  <c r="AB45" i="17"/>
  <c r="AB46" i="17"/>
  <c r="AB47" i="17"/>
  <c r="AB48" i="17"/>
  <c r="AB49" i="17"/>
  <c r="AB50" i="17"/>
  <c r="AB51" i="17"/>
  <c r="AB52" i="17"/>
  <c r="AB53" i="17"/>
  <c r="AB54" i="17"/>
  <c r="AB55" i="17"/>
  <c r="AB56" i="17"/>
  <c r="AB57" i="17"/>
  <c r="AB58" i="17"/>
  <c r="AB59" i="17"/>
  <c r="AB60" i="17"/>
  <c r="AB61" i="17"/>
  <c r="AB62" i="17"/>
  <c r="AB63" i="17"/>
  <c r="AB64" i="17"/>
  <c r="AB64" i="4"/>
  <c r="AB65" i="4"/>
  <c r="A35" i="18" l="1"/>
  <c r="B37" i="18"/>
  <c r="B38" i="18"/>
  <c r="A36" i="18"/>
  <c r="B40" i="18" l="1"/>
  <c r="A38" i="18"/>
  <c r="A37" i="18"/>
  <c r="B39" i="18"/>
  <c r="AS51" i="10"/>
  <c r="A39" i="18" l="1"/>
  <c r="B41" i="18"/>
  <c r="B42" i="18"/>
  <c r="A40" i="18"/>
  <c r="B44" i="18" l="1"/>
  <c r="A42" i="18"/>
  <c r="A41" i="18"/>
  <c r="B43" i="18"/>
  <c r="A43" i="18" l="1"/>
  <c r="B45" i="18"/>
  <c r="A44" i="18"/>
  <c r="B46" i="18"/>
  <c r="B48" i="18" l="1"/>
  <c r="A46" i="18"/>
  <c r="A45" i="18"/>
  <c r="B47" i="18"/>
  <c r="AA48" i="9"/>
  <c r="AB48" i="9"/>
  <c r="AA49" i="9"/>
  <c r="AB49" i="9"/>
  <c r="AA50" i="9"/>
  <c r="AB50" i="9"/>
  <c r="AA51" i="9"/>
  <c r="AB51" i="9"/>
  <c r="A47" i="18" l="1"/>
  <c r="B49" i="18"/>
  <c r="A48" i="18"/>
  <c r="B50" i="18"/>
  <c r="B52" i="18" l="1"/>
  <c r="A50" i="18"/>
  <c r="A49" i="18"/>
  <c r="B51" i="18"/>
  <c r="A51" i="18" l="1"/>
  <c r="B53" i="18"/>
  <c r="A52" i="18"/>
  <c r="B54" i="18"/>
  <c r="A53" i="18" l="1"/>
  <c r="B55" i="18"/>
  <c r="B56" i="18"/>
  <c r="A54" i="18"/>
  <c r="A56" i="18" l="1"/>
  <c r="B58" i="18"/>
  <c r="A55" i="18"/>
  <c r="B57" i="18"/>
  <c r="A57" i="18" l="1"/>
  <c r="B59" i="18"/>
  <c r="B60" i="18"/>
  <c r="A58" i="18"/>
  <c r="L4" i="1"/>
  <c r="AQ1" i="31" s="1"/>
  <c r="AQ63" i="31" l="1"/>
  <c r="AQ54" i="31"/>
  <c r="AQ22" i="31"/>
  <c r="AQ31" i="31"/>
  <c r="AQ10" i="31"/>
  <c r="AQ38" i="31"/>
  <c r="AQ7" i="31"/>
  <c r="AQ26" i="31"/>
  <c r="AQ20" i="31"/>
  <c r="AQ6" i="31"/>
  <c r="AQ29" i="31"/>
  <c r="AQ42" i="31"/>
  <c r="AQ65" i="31"/>
  <c r="AQ52" i="31"/>
  <c r="AQ64" i="31"/>
  <c r="AQ51" i="31"/>
  <c r="AQ28" i="31"/>
  <c r="AQ8" i="31"/>
  <c r="AQ60" i="31"/>
  <c r="AQ47" i="31"/>
  <c r="AQ59" i="31"/>
  <c r="AQ27" i="31"/>
  <c r="AQ39" i="31"/>
  <c r="AQ11" i="31"/>
  <c r="AQ61" i="31"/>
  <c r="AQ43" i="31"/>
  <c r="AQ5" i="31"/>
  <c r="AQ30" i="31"/>
  <c r="AQ21" i="31"/>
  <c r="AQ56" i="31"/>
  <c r="AQ48" i="31"/>
  <c r="AQ49" i="31"/>
  <c r="AQ36" i="31"/>
  <c r="AQ15" i="31"/>
  <c r="AQ46" i="31"/>
  <c r="AQ40" i="31"/>
  <c r="AQ45" i="31"/>
  <c r="AQ16" i="31"/>
  <c r="AQ55" i="31"/>
  <c r="AQ50" i="31"/>
  <c r="AQ12" i="31"/>
  <c r="AQ33" i="31"/>
  <c r="AQ23" i="31"/>
  <c r="AQ14" i="31"/>
  <c r="AQ58" i="31"/>
  <c r="AQ25" i="31"/>
  <c r="AQ18" i="31"/>
  <c r="AQ13" i="31"/>
  <c r="AQ35" i="31"/>
  <c r="AQ62" i="31"/>
  <c r="AQ37" i="31"/>
  <c r="AQ9" i="31"/>
  <c r="AQ57" i="31"/>
  <c r="AQ19" i="31"/>
  <c r="AQ17" i="31"/>
  <c r="AQ44" i="31"/>
  <c r="AQ41" i="31"/>
  <c r="AQ32" i="31"/>
  <c r="AQ53" i="31"/>
  <c r="AQ4" i="31"/>
  <c r="AQ34" i="31"/>
  <c r="AQ24" i="31"/>
  <c r="AQ1" i="28"/>
  <c r="AQ54" i="28" s="1"/>
  <c r="AQ1" i="30"/>
  <c r="AQ1" i="29"/>
  <c r="AQ46" i="28"/>
  <c r="AQ41" i="28"/>
  <c r="AQ65" i="28"/>
  <c r="AQ61" i="28"/>
  <c r="AQ53" i="28"/>
  <c r="AQ42" i="28"/>
  <c r="AQ1" i="26"/>
  <c r="AQ1" i="27"/>
  <c r="AQ1" i="22"/>
  <c r="AQ1" i="21"/>
  <c r="AQ13" i="21" s="1"/>
  <c r="L17" i="1"/>
  <c r="AQ1" i="18"/>
  <c r="AQ64" i="18" s="1"/>
  <c r="AQ1" i="20"/>
  <c r="AQ1" i="19"/>
  <c r="A60" i="18"/>
  <c r="B62" i="18"/>
  <c r="A59" i="18"/>
  <c r="B61" i="18"/>
  <c r="R14" i="13"/>
  <c r="R15" i="13"/>
  <c r="R16" i="13"/>
  <c r="R17" i="13"/>
  <c r="R18" i="13"/>
  <c r="R19" i="13"/>
  <c r="R20" i="13"/>
  <c r="R21" i="13"/>
  <c r="R22" i="13"/>
  <c r="AQ9" i="28" l="1"/>
  <c r="AQ33" i="28"/>
  <c r="AQ37" i="28"/>
  <c r="AQ26" i="28"/>
  <c r="AQ52" i="28"/>
  <c r="AQ30" i="28"/>
  <c r="AQ24" i="28"/>
  <c r="AQ5" i="28"/>
  <c r="AQ44" i="28"/>
  <c r="AQ34" i="28"/>
  <c r="AQ45" i="28"/>
  <c r="AQ6" i="28"/>
  <c r="AQ13" i="28"/>
  <c r="AQ7" i="28"/>
  <c r="AQ32" i="28"/>
  <c r="AQ4" i="28"/>
  <c r="AQ22" i="28"/>
  <c r="AQ55" i="28"/>
  <c r="AQ19" i="28"/>
  <c r="AQ27" i="28"/>
  <c r="AQ63" i="28"/>
  <c r="AQ49" i="28"/>
  <c r="AQ38" i="28"/>
  <c r="AQ15" i="28"/>
  <c r="AQ21" i="28"/>
  <c r="AQ18" i="28"/>
  <c r="AQ20" i="28"/>
  <c r="AQ10" i="28"/>
  <c r="AQ31" i="28"/>
  <c r="AQ12" i="28"/>
  <c r="AQ17" i="28"/>
  <c r="AQ36" i="28"/>
  <c r="AQ64" i="28"/>
  <c r="AQ47" i="28"/>
  <c r="AQ48" i="28"/>
  <c r="AQ28" i="28"/>
  <c r="AQ51" i="28"/>
  <c r="AQ40" i="28"/>
  <c r="AQ16" i="28"/>
  <c r="AQ62" i="28"/>
  <c r="AQ23" i="28"/>
  <c r="AQ50" i="28"/>
  <c r="AQ11" i="28"/>
  <c r="AQ58" i="28"/>
  <c r="AQ25" i="28"/>
  <c r="AQ14" i="28"/>
  <c r="AQ8" i="28"/>
  <c r="AQ59" i="28"/>
  <c r="AQ39" i="28"/>
  <c r="AQ43" i="28"/>
  <c r="AQ56" i="28"/>
  <c r="AQ57" i="28"/>
  <c r="AQ66" i="31"/>
  <c r="AQ7" i="18"/>
  <c r="AQ37" i="21"/>
  <c r="AQ35" i="28"/>
  <c r="AQ60" i="28"/>
  <c r="AQ29" i="28"/>
  <c r="AQ33" i="18"/>
  <c r="AQ25" i="29"/>
  <c r="AQ56" i="29"/>
  <c r="AQ36" i="29"/>
  <c r="AQ53" i="29"/>
  <c r="AQ58" i="29"/>
  <c r="AQ42" i="29"/>
  <c r="AQ16" i="29"/>
  <c r="AQ60" i="29"/>
  <c r="AQ40" i="29"/>
  <c r="AQ46" i="29"/>
  <c r="AQ35" i="29"/>
  <c r="AQ63" i="29"/>
  <c r="AQ13" i="29"/>
  <c r="AQ52" i="29"/>
  <c r="AQ65" i="29"/>
  <c r="AQ41" i="29"/>
  <c r="AQ54" i="29"/>
  <c r="AQ38" i="29"/>
  <c r="AQ47" i="29"/>
  <c r="AQ14" i="29"/>
  <c r="AQ5" i="29"/>
  <c r="AQ57" i="29"/>
  <c r="AQ12" i="29"/>
  <c r="AQ51" i="29"/>
  <c r="AQ39" i="29"/>
  <c r="AQ64" i="29"/>
  <c r="AQ48" i="29"/>
  <c r="AQ61" i="29"/>
  <c r="AQ37" i="29"/>
  <c r="AQ50" i="29"/>
  <c r="AQ34" i="29"/>
  <c r="AQ7" i="29"/>
  <c r="AQ62" i="29"/>
  <c r="AQ24" i="29"/>
  <c r="AQ22" i="29"/>
  <c r="AQ23" i="29"/>
  <c r="AQ6" i="29"/>
  <c r="AQ32" i="29"/>
  <c r="AQ19" i="29"/>
  <c r="AQ55" i="29"/>
  <c r="AQ4" i="29"/>
  <c r="AQ29" i="29"/>
  <c r="AQ59" i="29"/>
  <c r="AQ9" i="29"/>
  <c r="AQ26" i="29"/>
  <c r="AQ17" i="29"/>
  <c r="AQ31" i="29"/>
  <c r="AQ27" i="29"/>
  <c r="AQ45" i="29"/>
  <c r="AQ28" i="29"/>
  <c r="AQ15" i="29"/>
  <c r="AQ8" i="29"/>
  <c r="AQ11" i="29"/>
  <c r="AQ33" i="29"/>
  <c r="AQ10" i="29"/>
  <c r="AQ18" i="29"/>
  <c r="AQ44" i="29"/>
  <c r="AQ49" i="29"/>
  <c r="AQ20" i="29"/>
  <c r="AQ43" i="29"/>
  <c r="AQ21" i="29"/>
  <c r="AQ30" i="29"/>
  <c r="AQ4" i="30"/>
  <c r="AQ15" i="30"/>
  <c r="AQ11" i="30"/>
  <c r="AQ58" i="30"/>
  <c r="AQ42" i="30"/>
  <c r="AQ63" i="30"/>
  <c r="AQ47" i="30"/>
  <c r="AQ56" i="30"/>
  <c r="AQ40" i="30"/>
  <c r="AQ10" i="30"/>
  <c r="AQ5" i="30"/>
  <c r="AQ17" i="30"/>
  <c r="AQ16" i="30"/>
  <c r="AQ51" i="30"/>
  <c r="AQ29" i="30"/>
  <c r="AQ54" i="30"/>
  <c r="AQ38" i="30"/>
  <c r="AQ59" i="30"/>
  <c r="AQ43" i="30"/>
  <c r="AQ52" i="30"/>
  <c r="AQ32" i="30"/>
  <c r="AQ14" i="30"/>
  <c r="AQ46" i="30"/>
  <c r="AQ60" i="30"/>
  <c r="AQ13" i="30"/>
  <c r="AQ8" i="30"/>
  <c r="AQ7" i="30"/>
  <c r="AQ33" i="30"/>
  <c r="AQ50" i="30"/>
  <c r="AQ34" i="30"/>
  <c r="AQ55" i="30"/>
  <c r="AQ64" i="30"/>
  <c r="AQ48" i="30"/>
  <c r="AQ6" i="30"/>
  <c r="AQ9" i="30"/>
  <c r="AQ37" i="30"/>
  <c r="AQ62" i="30"/>
  <c r="AQ30" i="30"/>
  <c r="AQ44" i="30"/>
  <c r="AQ12" i="30"/>
  <c r="AQ21" i="30"/>
  <c r="AQ57" i="30"/>
  <c r="AQ19" i="30"/>
  <c r="AQ18" i="30"/>
  <c r="AQ39" i="30"/>
  <c r="AQ45" i="30"/>
  <c r="AQ31" i="30"/>
  <c r="AQ25" i="30"/>
  <c r="AQ49" i="30"/>
  <c r="AQ22" i="30"/>
  <c r="AQ65" i="30"/>
  <c r="AQ24" i="30"/>
  <c r="AQ23" i="30"/>
  <c r="AQ20" i="30"/>
  <c r="AQ26" i="30"/>
  <c r="AQ28" i="30"/>
  <c r="AQ41" i="30"/>
  <c r="AQ36" i="30"/>
  <c r="AQ61" i="30"/>
  <c r="AQ35" i="30"/>
  <c r="AQ53" i="30"/>
  <c r="AQ27" i="30"/>
  <c r="AQ36" i="18"/>
  <c r="AQ61" i="21"/>
  <c r="AQ31" i="21"/>
  <c r="AQ33" i="21"/>
  <c r="AQ38" i="21"/>
  <c r="AQ7" i="21"/>
  <c r="AQ56" i="21"/>
  <c r="AQ34" i="21"/>
  <c r="AQ11" i="21"/>
  <c r="AQ15" i="21"/>
  <c r="AQ26" i="21"/>
  <c r="AQ50" i="18"/>
  <c r="AQ62" i="18"/>
  <c r="AQ6" i="21"/>
  <c r="AQ44" i="21"/>
  <c r="AQ12" i="18"/>
  <c r="AQ52" i="18"/>
  <c r="AQ54" i="21"/>
  <c r="AQ48" i="21"/>
  <c r="AQ39" i="21"/>
  <c r="AQ8" i="21"/>
  <c r="AQ9" i="21"/>
  <c r="AQ51" i="21"/>
  <c r="AQ23" i="21"/>
  <c r="AQ62" i="21"/>
  <c r="AQ5" i="21"/>
  <c r="AQ27" i="21"/>
  <c r="AQ40" i="21"/>
  <c r="AQ19" i="21"/>
  <c r="AQ4" i="21"/>
  <c r="AQ55" i="21"/>
  <c r="AQ42" i="21"/>
  <c r="AQ17" i="21"/>
  <c r="AQ49" i="21"/>
  <c r="AQ65" i="21"/>
  <c r="AQ52" i="21"/>
  <c r="AQ50" i="21"/>
  <c r="AQ29" i="21"/>
  <c r="AQ45" i="21"/>
  <c r="AQ24" i="21"/>
  <c r="AQ57" i="21"/>
  <c r="AQ18" i="21"/>
  <c r="AQ25" i="21"/>
  <c r="AQ43" i="21"/>
  <c r="AQ47" i="21"/>
  <c r="AQ36" i="21"/>
  <c r="AQ58" i="21"/>
  <c r="AQ59" i="21"/>
  <c r="AQ20" i="21"/>
  <c r="AQ32" i="21"/>
  <c r="AQ60" i="21"/>
  <c r="AQ12" i="21"/>
  <c r="AQ28" i="21"/>
  <c r="AQ41" i="21"/>
  <c r="AQ46" i="21"/>
  <c r="AQ63" i="21"/>
  <c r="AQ16" i="21"/>
  <c r="AQ22" i="21"/>
  <c r="AQ53" i="21"/>
  <c r="AQ35" i="21"/>
  <c r="AQ21" i="21"/>
  <c r="AQ30" i="21"/>
  <c r="AQ10" i="21"/>
  <c r="AQ64" i="21"/>
  <c r="AQ14" i="21"/>
  <c r="AQ59" i="22"/>
  <c r="AQ17" i="22"/>
  <c r="AQ9" i="22"/>
  <c r="AQ65" i="22"/>
  <c r="AQ62" i="22"/>
  <c r="AQ61" i="22"/>
  <c r="AQ48" i="22"/>
  <c r="AQ49" i="22"/>
  <c r="AQ42" i="22"/>
  <c r="AQ34" i="22"/>
  <c r="AQ10" i="22"/>
  <c r="AQ28" i="22"/>
  <c r="AQ18" i="22"/>
  <c r="AQ6" i="22"/>
  <c r="AQ24" i="22"/>
  <c r="AQ27" i="22"/>
  <c r="AQ43" i="22"/>
  <c r="AQ23" i="22"/>
  <c r="AQ47" i="22"/>
  <c r="AQ14" i="22"/>
  <c r="AQ15" i="22"/>
  <c r="AQ54" i="22"/>
  <c r="AQ55" i="22"/>
  <c r="AQ4" i="22"/>
  <c r="AQ30" i="22"/>
  <c r="AQ52" i="22"/>
  <c r="AQ58" i="22"/>
  <c r="AQ37" i="22"/>
  <c r="AQ53" i="22"/>
  <c r="AQ50" i="22"/>
  <c r="AQ57" i="22"/>
  <c r="AQ45" i="22"/>
  <c r="AQ44" i="22"/>
  <c r="AQ21" i="22"/>
  <c r="AQ5" i="22"/>
  <c r="AQ63" i="22"/>
  <c r="AQ36" i="22"/>
  <c r="AQ51" i="22"/>
  <c r="AQ35" i="22"/>
  <c r="AQ56" i="22"/>
  <c r="AQ41" i="22"/>
  <c r="AQ46" i="22"/>
  <c r="AQ39" i="22"/>
  <c r="AQ12" i="22"/>
  <c r="AQ13" i="22"/>
  <c r="AQ29" i="22"/>
  <c r="AQ64" i="22"/>
  <c r="AQ22" i="22"/>
  <c r="AQ38" i="22"/>
  <c r="AQ60" i="22"/>
  <c r="AQ40" i="22"/>
  <c r="AQ33" i="22"/>
  <c r="AQ8" i="22"/>
  <c r="AQ26" i="22"/>
  <c r="AQ19" i="22"/>
  <c r="AQ25" i="22"/>
  <c r="AQ16" i="22"/>
  <c r="AQ32" i="22"/>
  <c r="AQ31" i="22"/>
  <c r="AQ20" i="22"/>
  <c r="AQ7" i="22"/>
  <c r="AQ11" i="22"/>
  <c r="AQ22" i="27"/>
  <c r="AQ43" i="27"/>
  <c r="AQ38" i="27"/>
  <c r="AQ36" i="27"/>
  <c r="AQ34" i="27"/>
  <c r="AQ62" i="27"/>
  <c r="AQ48" i="27"/>
  <c r="AQ42" i="27"/>
  <c r="AQ45" i="27"/>
  <c r="AQ23" i="27"/>
  <c r="AQ58" i="27"/>
  <c r="AQ51" i="27"/>
  <c r="AQ55" i="27"/>
  <c r="AQ18" i="27"/>
  <c r="AQ21" i="27"/>
  <c r="AQ53" i="27"/>
  <c r="AQ31" i="27"/>
  <c r="AQ19" i="27"/>
  <c r="AQ16" i="27"/>
  <c r="AQ40" i="27"/>
  <c r="AQ28" i="27"/>
  <c r="AQ13" i="27"/>
  <c r="AQ37" i="27"/>
  <c r="AQ32" i="27"/>
  <c r="AQ57" i="27"/>
  <c r="AQ49" i="27"/>
  <c r="AQ17" i="27"/>
  <c r="AQ30" i="27"/>
  <c r="AQ15" i="27"/>
  <c r="AQ56" i="27"/>
  <c r="AQ12" i="27"/>
  <c r="AQ6" i="27"/>
  <c r="AQ41" i="27"/>
  <c r="AQ59" i="27"/>
  <c r="AQ47" i="27"/>
  <c r="AQ5" i="27"/>
  <c r="AQ26" i="27"/>
  <c r="AQ60" i="27"/>
  <c r="AQ4" i="27"/>
  <c r="AQ24" i="27"/>
  <c r="AQ7" i="27"/>
  <c r="AQ64" i="27"/>
  <c r="AQ50" i="27"/>
  <c r="AQ52" i="27"/>
  <c r="AQ44" i="27"/>
  <c r="AQ29" i="27"/>
  <c r="AQ9" i="27"/>
  <c r="AQ54" i="27"/>
  <c r="AQ27" i="27"/>
  <c r="AQ33" i="27"/>
  <c r="AQ65" i="27"/>
  <c r="AQ20" i="27"/>
  <c r="AQ10" i="27"/>
  <c r="AQ63" i="27"/>
  <c r="AQ35" i="27"/>
  <c r="AQ61" i="27"/>
  <c r="AQ14" i="27"/>
  <c r="AQ25" i="27"/>
  <c r="AQ11" i="27"/>
  <c r="AQ8" i="27"/>
  <c r="AQ46" i="27"/>
  <c r="AQ39" i="27"/>
  <c r="AQ29" i="26"/>
  <c r="AQ11" i="26"/>
  <c r="AQ4" i="26"/>
  <c r="AQ20" i="26"/>
  <c r="AQ33" i="26"/>
  <c r="AQ60" i="26"/>
  <c r="AQ21" i="26"/>
  <c r="AQ28" i="26"/>
  <c r="AQ63" i="26"/>
  <c r="AQ59" i="26"/>
  <c r="AQ53" i="26"/>
  <c r="AQ40" i="26"/>
  <c r="AQ35" i="26"/>
  <c r="AQ26" i="26"/>
  <c r="AQ30" i="26"/>
  <c r="AQ27" i="26"/>
  <c r="AQ44" i="26"/>
  <c r="AQ12" i="26"/>
  <c r="AQ54" i="26"/>
  <c r="AQ49" i="26"/>
  <c r="AQ19" i="26"/>
  <c r="AQ39" i="26"/>
  <c r="AQ62" i="26"/>
  <c r="AQ58" i="26"/>
  <c r="AQ51" i="26"/>
  <c r="AQ5" i="26"/>
  <c r="AQ14" i="26"/>
  <c r="AQ7" i="26"/>
  <c r="AQ65" i="26"/>
  <c r="AQ9" i="26"/>
  <c r="AQ37" i="26"/>
  <c r="AQ64" i="26"/>
  <c r="AQ41" i="26"/>
  <c r="AQ61" i="26"/>
  <c r="AQ48" i="26"/>
  <c r="AQ47" i="26"/>
  <c r="AQ46" i="26"/>
  <c r="AQ15" i="26"/>
  <c r="AQ23" i="26"/>
  <c r="AQ24" i="26"/>
  <c r="AQ18" i="26"/>
  <c r="AQ55" i="26"/>
  <c r="AQ10" i="26"/>
  <c r="AQ31" i="26"/>
  <c r="AQ6" i="26"/>
  <c r="AQ36" i="26"/>
  <c r="AQ8" i="26"/>
  <c r="AQ34" i="26"/>
  <c r="AQ25" i="26"/>
  <c r="AQ45" i="26"/>
  <c r="AQ22" i="26"/>
  <c r="AQ57" i="26"/>
  <c r="AQ56" i="26"/>
  <c r="AQ38" i="26"/>
  <c r="AQ13" i="26"/>
  <c r="AQ16" i="26"/>
  <c r="AQ17" i="26"/>
  <c r="AQ43" i="26"/>
  <c r="AQ52" i="26"/>
  <c r="AQ32" i="26"/>
  <c r="AQ42" i="26"/>
  <c r="AQ50" i="26"/>
  <c r="AQ11" i="18"/>
  <c r="AQ4" i="18"/>
  <c r="AQ65" i="18"/>
  <c r="AQ47" i="18"/>
  <c r="AQ17" i="18"/>
  <c r="AQ56" i="18"/>
  <c r="AQ44" i="18"/>
  <c r="AQ18" i="18"/>
  <c r="AQ13" i="18"/>
  <c r="AQ37" i="18"/>
  <c r="AQ48" i="18"/>
  <c r="AQ54" i="18"/>
  <c r="AQ51" i="18"/>
  <c r="AQ6" i="18"/>
  <c r="AQ10" i="18"/>
  <c r="AQ8" i="18"/>
  <c r="AQ43" i="18"/>
  <c r="AQ23" i="18"/>
  <c r="AQ41" i="18"/>
  <c r="AQ42" i="18"/>
  <c r="AQ39" i="18"/>
  <c r="AQ32" i="18"/>
  <c r="AQ40" i="18"/>
  <c r="AQ24" i="18"/>
  <c r="AQ5" i="18"/>
  <c r="AQ59" i="18"/>
  <c r="AQ53" i="18"/>
  <c r="AQ31" i="18"/>
  <c r="AQ63" i="18"/>
  <c r="AQ57" i="18"/>
  <c r="AQ21" i="18"/>
  <c r="AQ58" i="18"/>
  <c r="AQ19" i="18"/>
  <c r="AQ26" i="18"/>
  <c r="AQ60" i="18"/>
  <c r="AQ35" i="18"/>
  <c r="AQ15" i="18"/>
  <c r="AQ16" i="18"/>
  <c r="AQ38" i="18"/>
  <c r="AQ27" i="18"/>
  <c r="AQ30" i="18"/>
  <c r="AQ20" i="18"/>
  <c r="AQ29" i="18"/>
  <c r="AQ34" i="18"/>
  <c r="AQ28" i="18"/>
  <c r="AQ14" i="18"/>
  <c r="AQ45" i="18"/>
  <c r="AQ9" i="18"/>
  <c r="AQ46" i="18"/>
  <c r="AQ22" i="18"/>
  <c r="AQ61" i="18"/>
  <c r="AQ25" i="18"/>
  <c r="AQ55" i="18"/>
  <c r="AQ49" i="18"/>
  <c r="AQ63" i="19"/>
  <c r="AQ64" i="19"/>
  <c r="AQ65" i="19"/>
  <c r="AQ62" i="19"/>
  <c r="AQ59" i="19"/>
  <c r="AQ58" i="19"/>
  <c r="AQ54" i="19"/>
  <c r="AQ61" i="19"/>
  <c r="AQ57" i="19"/>
  <c r="AQ55" i="19"/>
  <c r="AQ50" i="19"/>
  <c r="AQ51" i="19"/>
  <c r="AQ53" i="19"/>
  <c r="AQ14" i="19"/>
  <c r="AQ60" i="19"/>
  <c r="AQ56" i="19"/>
  <c r="AQ31" i="19"/>
  <c r="AQ23" i="19"/>
  <c r="AQ26" i="19"/>
  <c r="AQ33" i="19"/>
  <c r="AQ49" i="19"/>
  <c r="AQ12" i="19"/>
  <c r="AQ15" i="19"/>
  <c r="AQ34" i="19"/>
  <c r="AQ39" i="19"/>
  <c r="AQ29" i="19"/>
  <c r="AQ35" i="19"/>
  <c r="AQ40" i="19"/>
  <c r="AQ43" i="19"/>
  <c r="AQ38" i="19"/>
  <c r="AQ17" i="19"/>
  <c r="AQ30" i="19"/>
  <c r="AQ52" i="19"/>
  <c r="AQ27" i="19"/>
  <c r="AQ41" i="19"/>
  <c r="AQ13" i="19"/>
  <c r="AQ36" i="19"/>
  <c r="AQ21" i="19"/>
  <c r="AQ20" i="19"/>
  <c r="AQ25" i="19"/>
  <c r="AQ28" i="19"/>
  <c r="AQ48" i="19"/>
  <c r="AQ18" i="19"/>
  <c r="AQ46" i="19"/>
  <c r="AQ10" i="19"/>
  <c r="AQ6" i="19"/>
  <c r="AQ4" i="19"/>
  <c r="AQ37" i="19"/>
  <c r="AQ5" i="19"/>
  <c r="AQ32" i="19"/>
  <c r="AQ47" i="19"/>
  <c r="AQ11" i="19"/>
  <c r="AQ8" i="19"/>
  <c r="AQ45" i="19"/>
  <c r="AQ19" i="19"/>
  <c r="AQ16" i="19"/>
  <c r="AQ9" i="19"/>
  <c r="AQ22" i="19"/>
  <c r="AQ24" i="19"/>
  <c r="AQ44" i="19"/>
  <c r="AQ42" i="19"/>
  <c r="AQ7" i="19"/>
  <c r="AQ64" i="20"/>
  <c r="AQ62" i="20"/>
  <c r="AQ59" i="20"/>
  <c r="AQ52" i="20"/>
  <c r="AQ61" i="20"/>
  <c r="AQ58" i="20"/>
  <c r="AQ55" i="20"/>
  <c r="AQ60" i="20"/>
  <c r="AQ57" i="20"/>
  <c r="AQ54" i="20"/>
  <c r="AQ51" i="20"/>
  <c r="AQ48" i="20"/>
  <c r="AQ63" i="20"/>
  <c r="AQ50" i="20"/>
  <c r="AQ56" i="20"/>
  <c r="AQ65" i="20"/>
  <c r="AQ14" i="20"/>
  <c r="AQ17" i="20"/>
  <c r="AQ20" i="20"/>
  <c r="AQ40" i="20"/>
  <c r="AQ27" i="20"/>
  <c r="AQ42" i="20"/>
  <c r="AQ18" i="20"/>
  <c r="AQ32" i="20"/>
  <c r="AQ10" i="20"/>
  <c r="AQ15" i="20"/>
  <c r="AQ33" i="20"/>
  <c r="AQ37" i="20"/>
  <c r="AQ53" i="20"/>
  <c r="AQ36" i="20"/>
  <c r="AQ23" i="20"/>
  <c r="AQ47" i="20"/>
  <c r="AQ45" i="20"/>
  <c r="AQ5" i="20"/>
  <c r="AQ39" i="20"/>
  <c r="AQ8" i="20"/>
  <c r="AQ28" i="20"/>
  <c r="AQ11" i="20"/>
  <c r="AQ4" i="20"/>
  <c r="AQ29" i="20"/>
  <c r="AQ26" i="20"/>
  <c r="AQ16" i="20"/>
  <c r="AQ9" i="20"/>
  <c r="AQ7" i="20"/>
  <c r="AQ43" i="20"/>
  <c r="AQ35" i="20"/>
  <c r="AQ31" i="20"/>
  <c r="AQ13" i="20"/>
  <c r="AQ19" i="20"/>
  <c r="AQ22" i="20"/>
  <c r="AQ25" i="20"/>
  <c r="AQ46" i="20"/>
  <c r="AQ24" i="20"/>
  <c r="AQ12" i="20"/>
  <c r="AQ6" i="20"/>
  <c r="AQ41" i="20"/>
  <c r="AQ44" i="20"/>
  <c r="AQ34" i="20"/>
  <c r="AQ21" i="20"/>
  <c r="AQ38" i="20"/>
  <c r="AQ49" i="20"/>
  <c r="AQ30" i="20"/>
  <c r="A61" i="18"/>
  <c r="B63" i="18"/>
  <c r="B64" i="18"/>
  <c r="A64" i="18" s="1"/>
  <c r="A62" i="18"/>
  <c r="G5" i="17"/>
  <c r="H5" i="17"/>
  <c r="G6" i="17"/>
  <c r="AN6" i="17" s="1"/>
  <c r="H6" i="17"/>
  <c r="AO6" i="17" s="1"/>
  <c r="G7" i="17"/>
  <c r="AN7" i="17" s="1"/>
  <c r="H7" i="17"/>
  <c r="AO7" i="17" s="1"/>
  <c r="G8" i="17"/>
  <c r="AN8" i="17" s="1"/>
  <c r="H8" i="17"/>
  <c r="AO8" i="17" s="1"/>
  <c r="G9" i="17"/>
  <c r="AN9" i="17" s="1"/>
  <c r="H9" i="17"/>
  <c r="AO9" i="17" s="1"/>
  <c r="G10" i="17"/>
  <c r="AN10" i="17" s="1"/>
  <c r="H10" i="17"/>
  <c r="AO10" i="17" s="1"/>
  <c r="G11" i="17"/>
  <c r="AN11" i="17" s="1"/>
  <c r="H11" i="17"/>
  <c r="AO11" i="17" s="1"/>
  <c r="G12" i="17"/>
  <c r="AN12" i="17" s="1"/>
  <c r="H12" i="17"/>
  <c r="AO12" i="17" s="1"/>
  <c r="G13" i="17"/>
  <c r="AN13" i="17" s="1"/>
  <c r="H13" i="17"/>
  <c r="AO13" i="17" s="1"/>
  <c r="G14" i="17"/>
  <c r="AN14" i="17" s="1"/>
  <c r="H14" i="17"/>
  <c r="AO14" i="17" s="1"/>
  <c r="G15" i="17"/>
  <c r="AN15" i="17" s="1"/>
  <c r="H15" i="17"/>
  <c r="AO15" i="17" s="1"/>
  <c r="G16" i="17"/>
  <c r="AN16" i="17" s="1"/>
  <c r="H16" i="17"/>
  <c r="AO16" i="17" s="1"/>
  <c r="G17" i="17"/>
  <c r="AN17" i="17" s="1"/>
  <c r="H17" i="17"/>
  <c r="AO17" i="17" s="1"/>
  <c r="G18" i="17"/>
  <c r="AN18" i="17" s="1"/>
  <c r="H18" i="17"/>
  <c r="AO18" i="17" s="1"/>
  <c r="G19" i="17"/>
  <c r="AN19" i="17" s="1"/>
  <c r="H19" i="17"/>
  <c r="AO19" i="17" s="1"/>
  <c r="G20" i="17"/>
  <c r="AN20" i="17" s="1"/>
  <c r="H20" i="17"/>
  <c r="AO20" i="17" s="1"/>
  <c r="G21" i="17"/>
  <c r="AN21" i="17" s="1"/>
  <c r="H21" i="17"/>
  <c r="AO21" i="17" s="1"/>
  <c r="G22" i="17"/>
  <c r="AN22" i="17" s="1"/>
  <c r="H22" i="17"/>
  <c r="AO22" i="17" s="1"/>
  <c r="G23" i="17"/>
  <c r="AN23" i="17" s="1"/>
  <c r="H23" i="17"/>
  <c r="AO23" i="17" s="1"/>
  <c r="G24" i="17"/>
  <c r="AN24" i="17" s="1"/>
  <c r="H24" i="17"/>
  <c r="AO24" i="17" s="1"/>
  <c r="G25" i="17"/>
  <c r="AN25" i="17" s="1"/>
  <c r="H25" i="17"/>
  <c r="AO25" i="17" s="1"/>
  <c r="G26" i="17"/>
  <c r="AN26" i="17" s="1"/>
  <c r="H26" i="17"/>
  <c r="AO26" i="17" s="1"/>
  <c r="G27" i="17"/>
  <c r="AN27" i="17" s="1"/>
  <c r="H27" i="17"/>
  <c r="AO27" i="17" s="1"/>
  <c r="G28" i="17"/>
  <c r="AN28" i="17" s="1"/>
  <c r="H28" i="17"/>
  <c r="AO28" i="17" s="1"/>
  <c r="G29" i="17"/>
  <c r="AN29" i="17" s="1"/>
  <c r="H29" i="17"/>
  <c r="AO29" i="17" s="1"/>
  <c r="G30" i="17"/>
  <c r="AN30" i="17" s="1"/>
  <c r="H30" i="17"/>
  <c r="AO30" i="17" s="1"/>
  <c r="G31" i="17"/>
  <c r="AN31" i="17" s="1"/>
  <c r="H31" i="17"/>
  <c r="AO31" i="17" s="1"/>
  <c r="G32" i="17"/>
  <c r="AN32" i="17" s="1"/>
  <c r="H32" i="17"/>
  <c r="AO32" i="17" s="1"/>
  <c r="G33" i="17"/>
  <c r="AN33" i="17" s="1"/>
  <c r="H33" i="17"/>
  <c r="AO33" i="17" s="1"/>
  <c r="G34" i="17"/>
  <c r="AN34" i="17" s="1"/>
  <c r="H34" i="17"/>
  <c r="AO34" i="17" s="1"/>
  <c r="G35" i="17"/>
  <c r="AN35" i="17" s="1"/>
  <c r="H35" i="17"/>
  <c r="AO35" i="17" s="1"/>
  <c r="G36" i="17"/>
  <c r="AN36" i="17" s="1"/>
  <c r="H36" i="17"/>
  <c r="AO36" i="17" s="1"/>
  <c r="G37" i="17"/>
  <c r="AN37" i="17" s="1"/>
  <c r="H37" i="17"/>
  <c r="AO37" i="17" s="1"/>
  <c r="G38" i="17"/>
  <c r="AN38" i="17" s="1"/>
  <c r="H38" i="17"/>
  <c r="AO38" i="17" s="1"/>
  <c r="G39" i="17"/>
  <c r="AN39" i="17" s="1"/>
  <c r="H39" i="17"/>
  <c r="AO39" i="17" s="1"/>
  <c r="G40" i="17"/>
  <c r="AN40" i="17" s="1"/>
  <c r="H40" i="17"/>
  <c r="AO40" i="17" s="1"/>
  <c r="G41" i="17"/>
  <c r="AN41" i="17" s="1"/>
  <c r="H41" i="17"/>
  <c r="AO41" i="17" s="1"/>
  <c r="G42" i="17"/>
  <c r="AN42" i="17" s="1"/>
  <c r="H42" i="17"/>
  <c r="AO42" i="17" s="1"/>
  <c r="G43" i="17"/>
  <c r="AN43" i="17" s="1"/>
  <c r="H43" i="17"/>
  <c r="AO43" i="17" s="1"/>
  <c r="G44" i="17"/>
  <c r="AN44" i="17" s="1"/>
  <c r="H44" i="17"/>
  <c r="AO44" i="17" s="1"/>
  <c r="G45" i="17"/>
  <c r="AN45" i="17" s="1"/>
  <c r="H45" i="17"/>
  <c r="AO45" i="17" s="1"/>
  <c r="G46" i="17"/>
  <c r="AN46" i="17" s="1"/>
  <c r="H46" i="17"/>
  <c r="AO46" i="17" s="1"/>
  <c r="G47" i="17"/>
  <c r="AN47" i="17" s="1"/>
  <c r="H47" i="17"/>
  <c r="AO47" i="17" s="1"/>
  <c r="G48" i="17"/>
  <c r="AN48" i="17" s="1"/>
  <c r="H48" i="17"/>
  <c r="AO48" i="17" s="1"/>
  <c r="G49" i="17"/>
  <c r="AN49" i="17" s="1"/>
  <c r="H49" i="17"/>
  <c r="AO49" i="17" s="1"/>
  <c r="G50" i="17"/>
  <c r="AN50" i="17" s="1"/>
  <c r="H50" i="17"/>
  <c r="AO50" i="17" s="1"/>
  <c r="G51" i="17"/>
  <c r="AN51" i="17" s="1"/>
  <c r="H51" i="17"/>
  <c r="AO51" i="17" s="1"/>
  <c r="G52" i="17"/>
  <c r="AN52" i="17" s="1"/>
  <c r="H52" i="17"/>
  <c r="AO52" i="17" s="1"/>
  <c r="G53" i="17"/>
  <c r="AN53" i="17" s="1"/>
  <c r="H53" i="17"/>
  <c r="AO53" i="17" s="1"/>
  <c r="G54" i="17"/>
  <c r="AN54" i="17" s="1"/>
  <c r="H54" i="17"/>
  <c r="AO54" i="17" s="1"/>
  <c r="G55" i="17"/>
  <c r="AN55" i="17" s="1"/>
  <c r="H55" i="17"/>
  <c r="AO55" i="17" s="1"/>
  <c r="G56" i="17"/>
  <c r="AN56" i="17" s="1"/>
  <c r="H56" i="17"/>
  <c r="AO56" i="17" s="1"/>
  <c r="G57" i="17"/>
  <c r="AN57" i="17" s="1"/>
  <c r="H57" i="17"/>
  <c r="AO57" i="17" s="1"/>
  <c r="G58" i="17"/>
  <c r="AN58" i="17" s="1"/>
  <c r="H58" i="17"/>
  <c r="AO58" i="17" s="1"/>
  <c r="G59" i="17"/>
  <c r="AN59" i="17" s="1"/>
  <c r="H59" i="17"/>
  <c r="AO59" i="17" s="1"/>
  <c r="G60" i="17"/>
  <c r="AN60" i="17" s="1"/>
  <c r="H60" i="17"/>
  <c r="AO60" i="17" s="1"/>
  <c r="G61" i="17"/>
  <c r="AN61" i="17" s="1"/>
  <c r="H61" i="17"/>
  <c r="AO61" i="17" s="1"/>
  <c r="G62" i="17"/>
  <c r="AN62" i="17" s="1"/>
  <c r="H62" i="17"/>
  <c r="AO62" i="17" s="1"/>
  <c r="G63" i="17"/>
  <c r="AN63" i="17" s="1"/>
  <c r="H63" i="17"/>
  <c r="AO63" i="17" s="1"/>
  <c r="G64" i="17"/>
  <c r="AN64" i="17" s="1"/>
  <c r="H64" i="17"/>
  <c r="AO64" i="17" s="1"/>
  <c r="G65" i="17"/>
  <c r="AN65" i="17" s="1"/>
  <c r="H65" i="17"/>
  <c r="AO65" i="17" s="1"/>
  <c r="AW59" i="19" l="1"/>
  <c r="AW65" i="19"/>
  <c r="AW45" i="19"/>
  <c r="AW31" i="19"/>
  <c r="AW21" i="27"/>
  <c r="AW35" i="27"/>
  <c r="AQ66" i="28"/>
  <c r="AQ66" i="22"/>
  <c r="AQ66" i="29"/>
  <c r="AQ66" i="30"/>
  <c r="AW17" i="19"/>
  <c r="AQ66" i="21"/>
  <c r="AW65" i="26"/>
  <c r="AW47" i="26"/>
  <c r="AW53" i="26"/>
  <c r="AW33" i="26"/>
  <c r="AW61" i="26"/>
  <c r="AQ66" i="26"/>
  <c r="AW39" i="27"/>
  <c r="AW41" i="27"/>
  <c r="AW49" i="26"/>
  <c r="AW39" i="26"/>
  <c r="AW53" i="27"/>
  <c r="AW55" i="27"/>
  <c r="AW19" i="26"/>
  <c r="AQ66" i="27"/>
  <c r="AW61" i="27"/>
  <c r="AQ66" i="18"/>
  <c r="AQ66" i="19"/>
  <c r="AQ66" i="20"/>
  <c r="A63" i="18"/>
  <c r="B65" i="18"/>
  <c r="A65" i="18" s="1"/>
  <c r="AA10" i="10"/>
  <c r="AB10" i="10"/>
  <c r="AF10" i="10"/>
  <c r="AG10" i="10"/>
  <c r="AA11" i="10"/>
  <c r="AB11" i="10"/>
  <c r="AF11" i="10"/>
  <c r="AG11" i="10"/>
  <c r="AA12" i="10"/>
  <c r="AB12" i="10"/>
  <c r="AF12" i="10"/>
  <c r="AG12" i="10"/>
  <c r="AA13" i="10"/>
  <c r="AB13" i="10"/>
  <c r="AF13" i="10"/>
  <c r="AG13" i="10"/>
  <c r="AA14" i="10"/>
  <c r="AB14" i="10"/>
  <c r="AF14" i="10"/>
  <c r="AG14" i="10"/>
  <c r="AA15" i="10"/>
  <c r="AB15" i="10"/>
  <c r="AF15" i="10"/>
  <c r="AG15" i="10"/>
  <c r="AA16" i="10"/>
  <c r="AB16" i="10"/>
  <c r="AF16" i="10"/>
  <c r="AG16" i="10"/>
  <c r="AA17" i="10"/>
  <c r="AB17" i="10"/>
  <c r="AF17" i="10"/>
  <c r="AG17" i="10"/>
  <c r="N34" i="1" l="1"/>
  <c r="AA64" i="4" l="1"/>
  <c r="AA65" i="4"/>
  <c r="G4" i="3" l="1"/>
  <c r="H4" i="3"/>
  <c r="AK5" i="10" l="1"/>
  <c r="AL5" i="10"/>
  <c r="AK6" i="10"/>
  <c r="AL6" i="10"/>
  <c r="AK7" i="10"/>
  <c r="AL7" i="10"/>
  <c r="AK8" i="10"/>
  <c r="AL8" i="10"/>
  <c r="AK9" i="10"/>
  <c r="AL9" i="10"/>
  <c r="AK10" i="10"/>
  <c r="AL10" i="10"/>
  <c r="AK11" i="10"/>
  <c r="AL11" i="10"/>
  <c r="AK12" i="10"/>
  <c r="AL12" i="10"/>
  <c r="AK13" i="10"/>
  <c r="AL13" i="10"/>
  <c r="AK14" i="10"/>
  <c r="AL14" i="10"/>
  <c r="AK15" i="10"/>
  <c r="AL15" i="10"/>
  <c r="AK16" i="10"/>
  <c r="AL16" i="10"/>
  <c r="AK17" i="10"/>
  <c r="AL17" i="10"/>
  <c r="AK18" i="10"/>
  <c r="AL18" i="10"/>
  <c r="AK19" i="10"/>
  <c r="AL19" i="10"/>
  <c r="AK20" i="10"/>
  <c r="AL20" i="10"/>
  <c r="AK21" i="10"/>
  <c r="AL21" i="10"/>
  <c r="AK22" i="10"/>
  <c r="AL22" i="10"/>
  <c r="AK23" i="10"/>
  <c r="AL23" i="10"/>
  <c r="AK24" i="10"/>
  <c r="AL24" i="10"/>
  <c r="AK25" i="10"/>
  <c r="AL25" i="10"/>
  <c r="AK26" i="10"/>
  <c r="AL26" i="10"/>
  <c r="AK27" i="10"/>
  <c r="AL27" i="10"/>
  <c r="AK28" i="10"/>
  <c r="AL28" i="10"/>
  <c r="AK29" i="10"/>
  <c r="AL29" i="10"/>
  <c r="AK30" i="10"/>
  <c r="AL30" i="10"/>
  <c r="AK31" i="10"/>
  <c r="AL31" i="10"/>
  <c r="AK32" i="10"/>
  <c r="AL32" i="10"/>
  <c r="AK33" i="10"/>
  <c r="AL33" i="10"/>
  <c r="AK34" i="10"/>
  <c r="AL34" i="10"/>
  <c r="AK35" i="10"/>
  <c r="AL35" i="10"/>
  <c r="AK36" i="10"/>
  <c r="AL36" i="10"/>
  <c r="AK37" i="10"/>
  <c r="AL37" i="10"/>
  <c r="AK38" i="10"/>
  <c r="AL38" i="10"/>
  <c r="AK39" i="10"/>
  <c r="AL39" i="10"/>
  <c r="AK40" i="10"/>
  <c r="AL40" i="10"/>
  <c r="AK41" i="10"/>
  <c r="AL41" i="10"/>
  <c r="AK42" i="10"/>
  <c r="AL42" i="10"/>
  <c r="AK43" i="10"/>
  <c r="AL43" i="10"/>
  <c r="AK44" i="10"/>
  <c r="AL44" i="10"/>
  <c r="AK45" i="10"/>
  <c r="AL45" i="10"/>
  <c r="AK46" i="10"/>
  <c r="AL46" i="10"/>
  <c r="AK47" i="10"/>
  <c r="AL47" i="10"/>
  <c r="AK48" i="10"/>
  <c r="AL48" i="10"/>
  <c r="AK49" i="10"/>
  <c r="AL49" i="10"/>
  <c r="AK50" i="10"/>
  <c r="AL50" i="10"/>
  <c r="AK51" i="10"/>
  <c r="AL51" i="10"/>
  <c r="AK52" i="10"/>
  <c r="AL52" i="10"/>
  <c r="AK53" i="10"/>
  <c r="AL53" i="10"/>
  <c r="AK54" i="10"/>
  <c r="AL54" i="10"/>
  <c r="AK55" i="10"/>
  <c r="AL55" i="10"/>
  <c r="AK56" i="10"/>
  <c r="AL56" i="10"/>
  <c r="AK57" i="10"/>
  <c r="AL57" i="10"/>
  <c r="AK58" i="10"/>
  <c r="AL58" i="10"/>
  <c r="AK59" i="10"/>
  <c r="AL59" i="10"/>
  <c r="AK60" i="10"/>
  <c r="AL60" i="10"/>
  <c r="AK61" i="10"/>
  <c r="AL61" i="10"/>
  <c r="AK62" i="10"/>
  <c r="AL62" i="10"/>
  <c r="AK63" i="10"/>
  <c r="AL63" i="10"/>
  <c r="AK64" i="10"/>
  <c r="AL64" i="10"/>
  <c r="AK65" i="10"/>
  <c r="AL65" i="10"/>
  <c r="AF5" i="10"/>
  <c r="AG5" i="10"/>
  <c r="AF6" i="10"/>
  <c r="AG6" i="10"/>
  <c r="AF7" i="10"/>
  <c r="AG7" i="10"/>
  <c r="AF8" i="10"/>
  <c r="AG8" i="10"/>
  <c r="AF9" i="10"/>
  <c r="AG9" i="10"/>
  <c r="AF26" i="10"/>
  <c r="AG26" i="10"/>
  <c r="AF27" i="10"/>
  <c r="AG27" i="10"/>
  <c r="AF28" i="10"/>
  <c r="AG28" i="10"/>
  <c r="AF29" i="10"/>
  <c r="AG29" i="10"/>
  <c r="AF30" i="10"/>
  <c r="AG30" i="10"/>
  <c r="AF31" i="10"/>
  <c r="AG31" i="10"/>
  <c r="AF32" i="10"/>
  <c r="AG32" i="10"/>
  <c r="AF33" i="10"/>
  <c r="AG33" i="10"/>
  <c r="AF34" i="10"/>
  <c r="AG34" i="10"/>
  <c r="AF35" i="10"/>
  <c r="AG35" i="10"/>
  <c r="AF36" i="10"/>
  <c r="AG36" i="10"/>
  <c r="AF37" i="10"/>
  <c r="AG37" i="10"/>
  <c r="AF38" i="10"/>
  <c r="AG38" i="10"/>
  <c r="AF39" i="10"/>
  <c r="AG39" i="10"/>
  <c r="AF40" i="10"/>
  <c r="AG40" i="10"/>
  <c r="AF41" i="10"/>
  <c r="AG41" i="10"/>
  <c r="AF42" i="10"/>
  <c r="AG42" i="10"/>
  <c r="AF43" i="10"/>
  <c r="AG43" i="10"/>
  <c r="AF44" i="10"/>
  <c r="AG44" i="10"/>
  <c r="AF45" i="10"/>
  <c r="AG45" i="10"/>
  <c r="AF46" i="10"/>
  <c r="AG46" i="10"/>
  <c r="AF47" i="10"/>
  <c r="AG47" i="10"/>
  <c r="AF48" i="10"/>
  <c r="AG48" i="10"/>
  <c r="AF49" i="10"/>
  <c r="AG49" i="10"/>
  <c r="AF50" i="10"/>
  <c r="AG50" i="10"/>
  <c r="AF51" i="10"/>
  <c r="AG51" i="10"/>
  <c r="AF52" i="10"/>
  <c r="AG52" i="10"/>
  <c r="AF53" i="10"/>
  <c r="AG53" i="10"/>
  <c r="AF54" i="10"/>
  <c r="AG54" i="10"/>
  <c r="AF55" i="10"/>
  <c r="AG55" i="10"/>
  <c r="AF56" i="10"/>
  <c r="AG56" i="10"/>
  <c r="AF57" i="10"/>
  <c r="AG57" i="10"/>
  <c r="AF58" i="10"/>
  <c r="AG58" i="10"/>
  <c r="AF59" i="10"/>
  <c r="AG59" i="10"/>
  <c r="AF60" i="10"/>
  <c r="AG60" i="10"/>
  <c r="AF61" i="10"/>
  <c r="AG61" i="10"/>
  <c r="AF62" i="10"/>
  <c r="AG62" i="10"/>
  <c r="AF63" i="10"/>
  <c r="AG63" i="10"/>
  <c r="AF64" i="10"/>
  <c r="AG64" i="10"/>
  <c r="AF65" i="10"/>
  <c r="AG65" i="10"/>
  <c r="AA5" i="10"/>
  <c r="AB5" i="10"/>
  <c r="AA6" i="10"/>
  <c r="AB6" i="10"/>
  <c r="AA7" i="10"/>
  <c r="AB7" i="10"/>
  <c r="AA8" i="10"/>
  <c r="AB8" i="10"/>
  <c r="AA9" i="10"/>
  <c r="AB9" i="10"/>
  <c r="AB26" i="10"/>
  <c r="AB27" i="10"/>
  <c r="AB28" i="10"/>
  <c r="AB29" i="10"/>
  <c r="AB30" i="10"/>
  <c r="AB31" i="10"/>
  <c r="AB32" i="10"/>
  <c r="AB33" i="10"/>
  <c r="AB34" i="10"/>
  <c r="AB35" i="10"/>
  <c r="AB36" i="10"/>
  <c r="AB37" i="10"/>
  <c r="AB38" i="10"/>
  <c r="AB39" i="10"/>
  <c r="AB40" i="10"/>
  <c r="AB41" i="10"/>
  <c r="AA42" i="10"/>
  <c r="AB42" i="10"/>
  <c r="AA43" i="10"/>
  <c r="AB43" i="10"/>
  <c r="AA44" i="10"/>
  <c r="AB44" i="10"/>
  <c r="AA45" i="10"/>
  <c r="AB45" i="10"/>
  <c r="AA46" i="10"/>
  <c r="AB46" i="10"/>
  <c r="AA47" i="10"/>
  <c r="AB47" i="10"/>
  <c r="AA48" i="10"/>
  <c r="AB48" i="10"/>
  <c r="AA49" i="10"/>
  <c r="AB49" i="10"/>
  <c r="AA50" i="10"/>
  <c r="AB50" i="10"/>
  <c r="AA51" i="10"/>
  <c r="AB51" i="10"/>
  <c r="AA52" i="10"/>
  <c r="AB52" i="10"/>
  <c r="AA53" i="10"/>
  <c r="AB53" i="10"/>
  <c r="AA54" i="10"/>
  <c r="AB54" i="10"/>
  <c r="AA55" i="10"/>
  <c r="AB55" i="10"/>
  <c r="AA56" i="10"/>
  <c r="AB56" i="10"/>
  <c r="AA57" i="10"/>
  <c r="AB57" i="10"/>
  <c r="AA58" i="10"/>
  <c r="AB58" i="10"/>
  <c r="AA59" i="10"/>
  <c r="AB59" i="10"/>
  <c r="AA60" i="10"/>
  <c r="AB60" i="10"/>
  <c r="AA61" i="10"/>
  <c r="AB61" i="10"/>
  <c r="AA62" i="10"/>
  <c r="AB62" i="10"/>
  <c r="AA63" i="10"/>
  <c r="AB63" i="10"/>
  <c r="AA64" i="10"/>
  <c r="AB64" i="10"/>
  <c r="AA65" i="10"/>
  <c r="AB65" i="10"/>
  <c r="R5" i="10"/>
  <c r="AM5" i="10" s="1"/>
  <c r="S5" i="10"/>
  <c r="T5" i="10"/>
  <c r="R6" i="10"/>
  <c r="AM6" i="10" s="1"/>
  <c r="S6" i="10"/>
  <c r="T6" i="10"/>
  <c r="R7" i="10"/>
  <c r="AM7" i="10" s="1"/>
  <c r="S7" i="10"/>
  <c r="T7" i="10"/>
  <c r="R8" i="10"/>
  <c r="AM8" i="10" s="1"/>
  <c r="S8" i="10"/>
  <c r="T8" i="10"/>
  <c r="R9" i="10"/>
  <c r="AM9" i="10" s="1"/>
  <c r="S9" i="10"/>
  <c r="T9" i="10"/>
  <c r="R10" i="10"/>
  <c r="AM10" i="10" s="1"/>
  <c r="S10" i="10"/>
  <c r="T10" i="10"/>
  <c r="R11" i="10"/>
  <c r="AM11" i="10" s="1"/>
  <c r="S11" i="10"/>
  <c r="T11" i="10"/>
  <c r="R12" i="10"/>
  <c r="AM12" i="10" s="1"/>
  <c r="S12" i="10"/>
  <c r="T12" i="10"/>
  <c r="R13" i="10"/>
  <c r="AM13" i="10" s="1"/>
  <c r="S13" i="10"/>
  <c r="T13" i="10"/>
  <c r="AM14" i="10"/>
  <c r="AM15" i="10"/>
  <c r="AM16" i="10"/>
  <c r="AM17" i="10"/>
  <c r="AM18" i="10"/>
  <c r="AM19" i="10"/>
  <c r="AM20" i="10"/>
  <c r="AM21" i="10"/>
  <c r="AM22" i="10"/>
  <c r="AM23" i="10"/>
  <c r="AM24" i="10"/>
  <c r="AM25" i="10"/>
  <c r="AM26" i="10"/>
  <c r="AM27" i="10"/>
  <c r="R28" i="10"/>
  <c r="AM28" i="10" s="1"/>
  <c r="S28" i="10"/>
  <c r="T28" i="10"/>
  <c r="R29" i="10"/>
  <c r="AM29" i="10" s="1"/>
  <c r="S29" i="10"/>
  <c r="T29" i="10"/>
  <c r="R30" i="10"/>
  <c r="AM30" i="10" s="1"/>
  <c r="S30" i="10"/>
  <c r="T30" i="10"/>
  <c r="R31" i="10"/>
  <c r="AM31" i="10" s="1"/>
  <c r="S31" i="10"/>
  <c r="T31" i="10"/>
  <c r="R32" i="10"/>
  <c r="AM32" i="10" s="1"/>
  <c r="S32" i="10"/>
  <c r="T32" i="10"/>
  <c r="R33" i="10"/>
  <c r="AM33" i="10" s="1"/>
  <c r="S33" i="10"/>
  <c r="T33" i="10"/>
  <c r="R34" i="10"/>
  <c r="AM34" i="10" s="1"/>
  <c r="S34" i="10"/>
  <c r="T34" i="10"/>
  <c r="R35" i="10"/>
  <c r="AM35" i="10" s="1"/>
  <c r="S35" i="10"/>
  <c r="T35" i="10"/>
  <c r="R36" i="10"/>
  <c r="AM36" i="10" s="1"/>
  <c r="S36" i="10"/>
  <c r="T36" i="10"/>
  <c r="R37" i="10"/>
  <c r="AM37" i="10" s="1"/>
  <c r="S37" i="10"/>
  <c r="T37" i="10"/>
  <c r="R38" i="10"/>
  <c r="AM38" i="10" s="1"/>
  <c r="S38" i="10"/>
  <c r="T38" i="10"/>
  <c r="R39" i="10"/>
  <c r="AM39" i="10" s="1"/>
  <c r="S39" i="10"/>
  <c r="T39" i="10"/>
  <c r="R40" i="10"/>
  <c r="AM40" i="10" s="1"/>
  <c r="S40" i="10"/>
  <c r="T40" i="10"/>
  <c r="R41" i="10"/>
  <c r="AM41" i="10" s="1"/>
  <c r="S41" i="10"/>
  <c r="T41" i="10"/>
  <c r="R42" i="10"/>
  <c r="AM42" i="10" s="1"/>
  <c r="S42" i="10"/>
  <c r="T42" i="10"/>
  <c r="R43" i="10"/>
  <c r="AM43" i="10" s="1"/>
  <c r="S43" i="10"/>
  <c r="T43" i="10"/>
  <c r="R44" i="10"/>
  <c r="AM44" i="10" s="1"/>
  <c r="S44" i="10"/>
  <c r="T44" i="10"/>
  <c r="R45" i="10"/>
  <c r="AM45" i="10" s="1"/>
  <c r="S45" i="10"/>
  <c r="T45" i="10"/>
  <c r="R46" i="10"/>
  <c r="AM46" i="10" s="1"/>
  <c r="S46" i="10"/>
  <c r="T46" i="10"/>
  <c r="R47" i="10"/>
  <c r="AM47" i="10" s="1"/>
  <c r="S47" i="10"/>
  <c r="T47" i="10"/>
  <c r="R48" i="10"/>
  <c r="AM48" i="10" s="1"/>
  <c r="S48" i="10"/>
  <c r="T48" i="10"/>
  <c r="R49" i="10"/>
  <c r="AM49" i="10" s="1"/>
  <c r="S49" i="10"/>
  <c r="T49" i="10"/>
  <c r="R50" i="10"/>
  <c r="AM50" i="10" s="1"/>
  <c r="S50" i="10"/>
  <c r="T50" i="10"/>
  <c r="R51" i="10"/>
  <c r="AM51" i="10" s="1"/>
  <c r="S51" i="10"/>
  <c r="T51" i="10"/>
  <c r="R52" i="10"/>
  <c r="AM52" i="10" s="1"/>
  <c r="S52" i="10"/>
  <c r="T52" i="10"/>
  <c r="R53" i="10"/>
  <c r="AM53" i="10" s="1"/>
  <c r="S53" i="10"/>
  <c r="T53" i="10"/>
  <c r="R54" i="10"/>
  <c r="AM54" i="10" s="1"/>
  <c r="S54" i="10"/>
  <c r="T54" i="10"/>
  <c r="R55" i="10"/>
  <c r="AM55" i="10" s="1"/>
  <c r="S55" i="10"/>
  <c r="T55" i="10"/>
  <c r="R56" i="10"/>
  <c r="AM56" i="10" s="1"/>
  <c r="S56" i="10"/>
  <c r="T56" i="10"/>
  <c r="R57" i="10"/>
  <c r="AM57" i="10" s="1"/>
  <c r="S57" i="10"/>
  <c r="T57" i="10"/>
  <c r="R58" i="10"/>
  <c r="AM58" i="10" s="1"/>
  <c r="S58" i="10"/>
  <c r="T58" i="10"/>
  <c r="R59" i="10"/>
  <c r="AM59" i="10" s="1"/>
  <c r="S59" i="10"/>
  <c r="T59" i="10"/>
  <c r="R60" i="10"/>
  <c r="AM60" i="10" s="1"/>
  <c r="S60" i="10"/>
  <c r="T60" i="10"/>
  <c r="R61" i="10"/>
  <c r="AM61" i="10" s="1"/>
  <c r="S61" i="10"/>
  <c r="T61" i="10"/>
  <c r="R62" i="10"/>
  <c r="AM62" i="10" s="1"/>
  <c r="S62" i="10"/>
  <c r="T62" i="10"/>
  <c r="R63" i="10"/>
  <c r="AM63" i="10" s="1"/>
  <c r="S63" i="10"/>
  <c r="T63" i="10"/>
  <c r="R64" i="10"/>
  <c r="AM64" i="10" s="1"/>
  <c r="S64" i="10"/>
  <c r="T64" i="10"/>
  <c r="R65" i="10"/>
  <c r="AM65" i="10" s="1"/>
  <c r="S65" i="10"/>
  <c r="T65" i="10"/>
  <c r="G5" i="10"/>
  <c r="H5" i="10"/>
  <c r="G6" i="10"/>
  <c r="H6" i="10"/>
  <c r="G7" i="10"/>
  <c r="H7" i="10"/>
  <c r="G8" i="10"/>
  <c r="H8" i="10"/>
  <c r="G9" i="10"/>
  <c r="H9" i="10"/>
  <c r="G10" i="10"/>
  <c r="H10" i="10"/>
  <c r="G11" i="10"/>
  <c r="H11" i="10"/>
  <c r="G12" i="10"/>
  <c r="H12" i="10"/>
  <c r="G13" i="10"/>
  <c r="H13" i="10"/>
  <c r="G14" i="10"/>
  <c r="H14" i="10"/>
  <c r="G15" i="10"/>
  <c r="H15" i="10"/>
  <c r="G16" i="10"/>
  <c r="H16" i="10"/>
  <c r="G17" i="10"/>
  <c r="H17" i="10"/>
  <c r="G18" i="10"/>
  <c r="H18" i="10"/>
  <c r="G19" i="10"/>
  <c r="H19" i="10"/>
  <c r="AO19" i="10" s="1"/>
  <c r="G20" i="10"/>
  <c r="H20" i="10"/>
  <c r="G21" i="10"/>
  <c r="H21" i="10"/>
  <c r="G22" i="10"/>
  <c r="H22" i="10"/>
  <c r="G23" i="10"/>
  <c r="H23" i="10"/>
  <c r="AO23" i="10" s="1"/>
  <c r="G24" i="10"/>
  <c r="H24" i="10"/>
  <c r="G25" i="10"/>
  <c r="H25" i="10"/>
  <c r="G26" i="10"/>
  <c r="H26" i="10"/>
  <c r="G27" i="10"/>
  <c r="H27" i="10"/>
  <c r="G28" i="10"/>
  <c r="H28" i="10"/>
  <c r="G29" i="10"/>
  <c r="H29" i="10"/>
  <c r="G30" i="10"/>
  <c r="H30" i="10"/>
  <c r="G31" i="10"/>
  <c r="H31" i="10"/>
  <c r="G32" i="10"/>
  <c r="H32" i="10"/>
  <c r="G33" i="10"/>
  <c r="H33" i="10"/>
  <c r="G34" i="10"/>
  <c r="H34" i="10"/>
  <c r="G35" i="10"/>
  <c r="H35" i="10"/>
  <c r="G36" i="10"/>
  <c r="H36" i="10"/>
  <c r="G37" i="10"/>
  <c r="H37" i="10"/>
  <c r="G38" i="10"/>
  <c r="H38" i="10"/>
  <c r="G39" i="10"/>
  <c r="H39" i="10"/>
  <c r="G40" i="10"/>
  <c r="H40" i="10"/>
  <c r="G41" i="10"/>
  <c r="H41" i="10"/>
  <c r="G46" i="10"/>
  <c r="H46" i="10"/>
  <c r="G47" i="10"/>
  <c r="H47" i="10"/>
  <c r="G48" i="10"/>
  <c r="H48" i="10"/>
  <c r="G49" i="10"/>
  <c r="H49" i="10"/>
  <c r="G50" i="10"/>
  <c r="H50" i="10"/>
  <c r="G51" i="10"/>
  <c r="H51" i="10"/>
  <c r="G52" i="10"/>
  <c r="H52" i="10"/>
  <c r="G53" i="10"/>
  <c r="H53" i="10"/>
  <c r="G54" i="10"/>
  <c r="H54" i="10"/>
  <c r="G55" i="10"/>
  <c r="H55" i="10"/>
  <c r="G56" i="10"/>
  <c r="H56" i="10"/>
  <c r="G57" i="10"/>
  <c r="H57" i="10"/>
  <c r="G58" i="10"/>
  <c r="H58" i="10"/>
  <c r="G59" i="10"/>
  <c r="H59" i="10"/>
  <c r="G60" i="10"/>
  <c r="H60" i="10"/>
  <c r="G61" i="10"/>
  <c r="H61" i="10"/>
  <c r="G62" i="10"/>
  <c r="H62" i="10"/>
  <c r="G63" i="10"/>
  <c r="H63" i="10"/>
  <c r="G64" i="10"/>
  <c r="H64" i="10"/>
  <c r="G65" i="10"/>
  <c r="H65" i="10"/>
  <c r="H11" i="14"/>
  <c r="G11" i="14"/>
  <c r="H10" i="14"/>
  <c r="G10" i="14"/>
  <c r="H9" i="14"/>
  <c r="G9" i="14"/>
  <c r="H8" i="14"/>
  <c r="G8" i="14"/>
  <c r="H7" i="14"/>
  <c r="G7" i="14"/>
  <c r="H6" i="14"/>
  <c r="G6" i="14"/>
  <c r="H5" i="14"/>
  <c r="G5" i="14"/>
  <c r="H4" i="14"/>
  <c r="G4" i="14"/>
  <c r="AA54" i="7"/>
  <c r="AB54" i="7"/>
  <c r="AA55" i="7"/>
  <c r="AB55" i="7"/>
  <c r="AA56" i="7"/>
  <c r="AB56" i="7"/>
  <c r="AO21" i="10" l="1"/>
  <c r="AN62" i="10"/>
  <c r="AN64" i="10"/>
  <c r="AN60" i="10"/>
  <c r="AN58" i="10"/>
  <c r="AN22" i="10"/>
  <c r="AN20" i="10"/>
  <c r="AN18" i="10"/>
  <c r="AN14" i="10"/>
  <c r="AN12" i="10"/>
  <c r="AN10" i="10"/>
  <c r="AN8" i="10"/>
  <c r="AN6" i="10"/>
  <c r="AO17" i="10"/>
  <c r="AO15" i="10"/>
  <c r="AO13" i="10"/>
  <c r="AO11" i="10"/>
  <c r="AO65" i="10"/>
  <c r="AO63" i="10"/>
  <c r="AO61" i="10"/>
  <c r="AO57" i="10"/>
  <c r="AO9" i="10"/>
  <c r="AO7" i="10"/>
  <c r="AO5" i="10"/>
  <c r="AO64" i="10"/>
  <c r="AN65" i="10"/>
  <c r="AO59" i="10"/>
  <c r="AN56" i="10"/>
  <c r="AO53" i="10"/>
  <c r="AN52" i="10"/>
  <c r="AO62" i="10"/>
  <c r="AO60" i="10"/>
  <c r="AO58" i="10"/>
  <c r="AO55" i="10"/>
  <c r="AN54" i="10"/>
  <c r="AN63" i="10"/>
  <c r="AN61" i="10"/>
  <c r="AN59" i="10"/>
  <c r="AN57" i="10"/>
  <c r="AT51" i="10"/>
  <c r="AO49" i="10"/>
  <c r="AN48" i="10"/>
  <c r="AO45" i="10"/>
  <c r="AN44" i="10"/>
  <c r="AO51" i="10"/>
  <c r="AN50" i="10"/>
  <c r="AO47" i="10"/>
  <c r="AN46" i="10"/>
  <c r="AO43" i="10"/>
  <c r="AN42" i="10"/>
  <c r="AO41" i="10"/>
  <c r="AN40" i="10"/>
  <c r="AO39" i="10"/>
  <c r="AN38" i="10"/>
  <c r="AO37" i="10"/>
  <c r="AN36" i="10"/>
  <c r="AO35" i="10"/>
  <c r="AN34" i="10"/>
  <c r="AO33" i="10"/>
  <c r="AN32" i="10"/>
  <c r="AO29" i="10"/>
  <c r="AN28" i="10"/>
  <c r="AO25" i="10"/>
  <c r="AN24" i="10"/>
  <c r="AO31" i="10"/>
  <c r="AN30" i="10"/>
  <c r="AO27" i="10"/>
  <c r="AN26" i="10"/>
  <c r="AN16" i="10"/>
  <c r="AO56" i="10"/>
  <c r="AO54" i="10"/>
  <c r="AN55" i="10"/>
  <c r="AN53" i="10"/>
  <c r="AO52" i="10"/>
  <c r="AO50" i="10"/>
  <c r="AO48" i="10"/>
  <c r="AO46" i="10"/>
  <c r="AO44" i="10"/>
  <c r="AO42" i="10"/>
  <c r="AO40" i="10"/>
  <c r="AO38" i="10"/>
  <c r="AO36" i="10"/>
  <c r="AO34" i="10"/>
  <c r="AO32" i="10"/>
  <c r="AO30" i="10"/>
  <c r="AO28" i="10"/>
  <c r="AO26" i="10"/>
  <c r="AO24" i="10"/>
  <c r="AN51" i="10"/>
  <c r="AN49" i="10"/>
  <c r="AN47" i="10"/>
  <c r="AN45" i="10"/>
  <c r="AN43" i="10"/>
  <c r="AN41" i="10"/>
  <c r="AN39" i="10"/>
  <c r="AN37" i="10"/>
  <c r="AN35" i="10"/>
  <c r="AN33" i="10"/>
  <c r="AN31" i="10"/>
  <c r="AN29" i="10"/>
  <c r="AN27" i="10"/>
  <c r="AN25" i="10"/>
  <c r="AO22" i="10"/>
  <c r="AO20" i="10"/>
  <c r="AO18" i="10"/>
  <c r="AO16" i="10"/>
  <c r="AO14" i="10"/>
  <c r="AO12" i="10"/>
  <c r="AO10" i="10"/>
  <c r="AN23" i="10"/>
  <c r="AN21" i="10"/>
  <c r="AN19" i="10"/>
  <c r="AN17" i="10"/>
  <c r="AN15" i="10"/>
  <c r="AN13" i="10"/>
  <c r="AN11" i="10"/>
  <c r="AO8" i="10"/>
  <c r="AO6" i="10"/>
  <c r="AN9" i="10"/>
  <c r="AN7" i="10"/>
  <c r="AN5" i="10"/>
  <c r="AR60" i="12"/>
  <c r="AR61" i="12"/>
  <c r="AR62" i="12"/>
  <c r="AR63" i="12"/>
  <c r="AR64" i="12"/>
  <c r="AR65" i="12"/>
  <c r="AL62" i="13"/>
  <c r="AK62" i="13"/>
  <c r="J66" i="17"/>
  <c r="G16" i="1" s="1"/>
  <c r="AU51" i="10" l="1"/>
  <c r="AV51" i="10"/>
  <c r="AA62" i="17"/>
  <c r="AA63" i="17"/>
  <c r="AA64" i="17"/>
  <c r="AA65" i="17"/>
  <c r="AB65" i="17"/>
  <c r="G64" i="12" l="1"/>
  <c r="H64" i="12"/>
  <c r="G65" i="12"/>
  <c r="H65" i="12"/>
  <c r="AR60" i="14" l="1"/>
  <c r="AR61" i="14"/>
  <c r="AR62" i="14"/>
  <c r="AR63" i="14"/>
  <c r="AR64" i="14"/>
  <c r="AR65" i="14"/>
  <c r="G58" i="14" l="1"/>
  <c r="H58" i="14"/>
  <c r="G59" i="14"/>
  <c r="H59" i="14"/>
  <c r="G60" i="14"/>
  <c r="H60" i="14"/>
  <c r="G61" i="14"/>
  <c r="H61" i="14"/>
  <c r="G62" i="14"/>
  <c r="H62" i="14"/>
  <c r="G63" i="14"/>
  <c r="H63" i="14"/>
  <c r="G64" i="14"/>
  <c r="H64" i="14"/>
  <c r="G65" i="14"/>
  <c r="H65" i="14"/>
  <c r="R60" i="14" l="1"/>
  <c r="AM60" i="14" s="1"/>
  <c r="S60" i="14"/>
  <c r="T60" i="14"/>
  <c r="AA60" i="14"/>
  <c r="AB60" i="14"/>
  <c r="AK60" i="14"/>
  <c r="R61" i="14"/>
  <c r="AM61" i="14" s="1"/>
  <c r="S61" i="14"/>
  <c r="T61" i="14"/>
  <c r="AA61" i="14"/>
  <c r="AB61" i="14"/>
  <c r="AK61" i="14"/>
  <c r="R62" i="14"/>
  <c r="AM62" i="14" s="1"/>
  <c r="S62" i="14"/>
  <c r="T62" i="14"/>
  <c r="AA62" i="14"/>
  <c r="AB62" i="14"/>
  <c r="AF62" i="14"/>
  <c r="AK62" i="14"/>
  <c r="R63" i="14"/>
  <c r="AM63" i="14" s="1"/>
  <c r="S63" i="14"/>
  <c r="T63" i="14"/>
  <c r="AA63" i="14"/>
  <c r="AB63" i="14"/>
  <c r="AF63" i="14"/>
  <c r="AK63" i="14"/>
  <c r="R64" i="14"/>
  <c r="AM64" i="14" s="1"/>
  <c r="S64" i="14"/>
  <c r="T64" i="14"/>
  <c r="AA64" i="14"/>
  <c r="AB64" i="14"/>
  <c r="AF64" i="14"/>
  <c r="AK64" i="14"/>
  <c r="R65" i="14"/>
  <c r="AM65" i="14" s="1"/>
  <c r="S65" i="14"/>
  <c r="T65" i="14"/>
  <c r="AA65" i="14"/>
  <c r="AB65" i="14"/>
  <c r="AF65" i="14"/>
  <c r="AK65" i="14"/>
  <c r="J66" i="14"/>
  <c r="G29" i="1" s="1"/>
  <c r="AN62" i="14" l="1"/>
  <c r="AO64" i="14"/>
  <c r="AN64" i="14"/>
  <c r="AN60" i="14"/>
  <c r="AN65" i="14"/>
  <c r="AN63" i="14"/>
  <c r="AN61" i="14"/>
  <c r="AO65" i="14"/>
  <c r="AO63" i="14"/>
  <c r="AO61" i="14"/>
  <c r="AO62" i="14"/>
  <c r="AO60" i="14"/>
  <c r="AP64" i="14" l="1"/>
  <c r="AP60" i="14"/>
  <c r="AP62" i="14"/>
  <c r="AP65" i="14"/>
  <c r="AP61" i="14"/>
  <c r="AP63" i="14"/>
  <c r="G58" i="12"/>
  <c r="H58" i="12"/>
  <c r="G59" i="12"/>
  <c r="H59" i="12"/>
  <c r="G60" i="12"/>
  <c r="H60" i="12"/>
  <c r="G61" i="12"/>
  <c r="H61" i="12"/>
  <c r="G62" i="12"/>
  <c r="H62" i="12"/>
  <c r="G63" i="12"/>
  <c r="H63" i="12"/>
  <c r="R60" i="12" l="1"/>
  <c r="AM60" i="12" s="1"/>
  <c r="S60" i="12"/>
  <c r="AN60" i="12" s="1"/>
  <c r="T60" i="12"/>
  <c r="AO60" i="12" s="1"/>
  <c r="AA60" i="12"/>
  <c r="AB60" i="12"/>
  <c r="R61" i="12"/>
  <c r="AM61" i="12" s="1"/>
  <c r="S61" i="12"/>
  <c r="AN61" i="12" s="1"/>
  <c r="T61" i="12"/>
  <c r="AO61" i="12" s="1"/>
  <c r="AA61" i="12"/>
  <c r="AB61" i="12"/>
  <c r="R62" i="12"/>
  <c r="AM62" i="12" s="1"/>
  <c r="S62" i="12"/>
  <c r="AN62" i="12" s="1"/>
  <c r="T62" i="12"/>
  <c r="AO62" i="12" s="1"/>
  <c r="AA62" i="12"/>
  <c r="AB62" i="12"/>
  <c r="R63" i="12"/>
  <c r="AM63" i="12" s="1"/>
  <c r="S63" i="12"/>
  <c r="AN63" i="12" s="1"/>
  <c r="T63" i="12"/>
  <c r="AO63" i="12" s="1"/>
  <c r="AA63" i="12"/>
  <c r="AB63" i="12"/>
  <c r="R64" i="12"/>
  <c r="AM64" i="12" s="1"/>
  <c r="S64" i="12"/>
  <c r="AN64" i="12" s="1"/>
  <c r="T64" i="12"/>
  <c r="AO64" i="12" s="1"/>
  <c r="AA64" i="12"/>
  <c r="AB64" i="12"/>
  <c r="R65" i="12"/>
  <c r="AM65" i="12" s="1"/>
  <c r="S65" i="12"/>
  <c r="AN65" i="12" s="1"/>
  <c r="T65" i="12"/>
  <c r="AO65" i="12" s="1"/>
  <c r="AA65" i="12"/>
  <c r="AB65" i="12"/>
  <c r="J66" i="12"/>
  <c r="G27" i="1" s="1"/>
  <c r="G58" i="11"/>
  <c r="H58" i="11"/>
  <c r="G59" i="11"/>
  <c r="H59" i="11"/>
  <c r="G60" i="11"/>
  <c r="H60" i="11"/>
  <c r="G61" i="11"/>
  <c r="H61" i="11"/>
  <c r="G62" i="11"/>
  <c r="H62" i="11"/>
  <c r="G63" i="11"/>
  <c r="H63" i="11"/>
  <c r="G64" i="11"/>
  <c r="H64" i="11"/>
  <c r="G65" i="11"/>
  <c r="H65" i="11"/>
  <c r="AP65" i="12" l="1"/>
  <c r="AP64" i="12"/>
  <c r="AP63" i="12"/>
  <c r="AP62" i="12"/>
  <c r="AP61" i="12"/>
  <c r="AP60" i="12"/>
  <c r="AR62" i="17" l="1"/>
  <c r="AR63" i="17"/>
  <c r="AR64" i="17"/>
  <c r="AR65" i="17"/>
  <c r="AP64" i="17" l="1"/>
  <c r="AP65" i="17"/>
  <c r="AP63" i="17"/>
  <c r="AP62" i="17"/>
  <c r="G52" i="14" l="1"/>
  <c r="H52" i="14"/>
  <c r="G53" i="14"/>
  <c r="H53" i="14"/>
  <c r="G54" i="14"/>
  <c r="H54" i="14"/>
  <c r="G55" i="14"/>
  <c r="H55" i="14"/>
  <c r="G56" i="14"/>
  <c r="H56" i="14"/>
  <c r="G57" i="14"/>
  <c r="H57" i="14"/>
  <c r="G50" i="12" l="1"/>
  <c r="H50" i="12"/>
  <c r="G51" i="12"/>
  <c r="H51" i="12"/>
  <c r="G52" i="12"/>
  <c r="H52" i="12"/>
  <c r="G53" i="12"/>
  <c r="H53" i="12"/>
  <c r="G54" i="12"/>
  <c r="H54" i="12"/>
  <c r="G55" i="12"/>
  <c r="H55" i="12"/>
  <c r="G56" i="12"/>
  <c r="H56" i="12"/>
  <c r="G57" i="12"/>
  <c r="H57" i="12"/>
  <c r="G52" i="11" l="1"/>
  <c r="H52" i="11"/>
  <c r="G53" i="11"/>
  <c r="H53" i="11"/>
  <c r="G54" i="11"/>
  <c r="H54" i="11"/>
  <c r="G55" i="11"/>
  <c r="H55" i="11"/>
  <c r="G56" i="11"/>
  <c r="H56" i="11"/>
  <c r="G57" i="11"/>
  <c r="H57" i="11"/>
  <c r="G56" i="9" l="1"/>
  <c r="H56" i="9"/>
  <c r="G57" i="9"/>
  <c r="H57" i="9"/>
  <c r="G58" i="9"/>
  <c r="H58" i="9"/>
  <c r="G59" i="9"/>
  <c r="H59" i="9"/>
  <c r="G60" i="9"/>
  <c r="H60" i="9"/>
  <c r="G61" i="9"/>
  <c r="H61" i="9"/>
  <c r="G62" i="9"/>
  <c r="H62" i="9"/>
  <c r="G63" i="9"/>
  <c r="H63" i="9"/>
  <c r="G64" i="9"/>
  <c r="H64" i="9"/>
  <c r="G65" i="9"/>
  <c r="H65" i="9"/>
  <c r="AA56" i="17" l="1"/>
  <c r="AA57" i="17"/>
  <c r="AA58" i="17"/>
  <c r="AA59" i="17"/>
  <c r="AA60" i="17"/>
  <c r="AA61" i="17"/>
  <c r="G54" i="4" l="1"/>
  <c r="H54" i="4"/>
  <c r="G55" i="4"/>
  <c r="H55" i="4"/>
  <c r="G56" i="4"/>
  <c r="H56" i="4"/>
  <c r="G57" i="4"/>
  <c r="H57" i="4"/>
  <c r="G58" i="4"/>
  <c r="H58" i="4"/>
  <c r="G59" i="4"/>
  <c r="H59" i="4"/>
  <c r="G60" i="4"/>
  <c r="H60" i="4"/>
  <c r="G61" i="4"/>
  <c r="H61" i="4"/>
  <c r="G62" i="4"/>
  <c r="H62" i="4"/>
  <c r="G63" i="4"/>
  <c r="H63" i="4"/>
  <c r="G64" i="4"/>
  <c r="H64" i="4"/>
  <c r="G65" i="4"/>
  <c r="H65" i="4"/>
  <c r="G44" i="13" l="1"/>
  <c r="H44" i="13"/>
  <c r="G45" i="13"/>
  <c r="H45" i="13"/>
  <c r="G46" i="13"/>
  <c r="H46" i="13"/>
  <c r="G47" i="13"/>
  <c r="H47" i="13"/>
  <c r="G48" i="13"/>
  <c r="H48" i="13"/>
  <c r="G49" i="13"/>
  <c r="H49" i="13"/>
  <c r="G50" i="13"/>
  <c r="H50" i="13"/>
  <c r="G51" i="13"/>
  <c r="H51" i="13"/>
  <c r="G52" i="13"/>
  <c r="H52" i="13"/>
  <c r="G53" i="13"/>
  <c r="H53" i="13"/>
  <c r="G54" i="13"/>
  <c r="H54" i="13"/>
  <c r="G55" i="13"/>
  <c r="H55" i="13"/>
  <c r="G56" i="13"/>
  <c r="H56" i="13"/>
  <c r="G57" i="13"/>
  <c r="H57" i="13"/>
  <c r="G58" i="13"/>
  <c r="H58" i="13"/>
  <c r="G59" i="13"/>
  <c r="H59" i="13"/>
  <c r="G60" i="13"/>
  <c r="H60" i="13"/>
  <c r="G61" i="13"/>
  <c r="H61" i="13"/>
  <c r="G62" i="13"/>
  <c r="H62" i="13"/>
  <c r="G63" i="13"/>
  <c r="H63" i="13"/>
  <c r="G64" i="13"/>
  <c r="H64" i="13"/>
  <c r="G65" i="13"/>
  <c r="H65" i="13"/>
  <c r="G46" i="12" l="1"/>
  <c r="H46" i="12"/>
  <c r="G47" i="12"/>
  <c r="H47" i="12"/>
  <c r="G48" i="12"/>
  <c r="H48" i="12"/>
  <c r="G49" i="12"/>
  <c r="H49" i="12"/>
  <c r="S38" i="8" l="1"/>
  <c r="AA30" i="13" l="1"/>
  <c r="AA31" i="13"/>
  <c r="AA32" i="13"/>
  <c r="AA33" i="13"/>
  <c r="AA34" i="13"/>
  <c r="AA35" i="13"/>
  <c r="AA36" i="13"/>
  <c r="AA37" i="13"/>
  <c r="AA38" i="13"/>
  <c r="AA39" i="13"/>
  <c r="AA40" i="13"/>
  <c r="AA41" i="13"/>
  <c r="AA42" i="13"/>
  <c r="AA43" i="13"/>
  <c r="AP56" i="17" l="1"/>
  <c r="AP61" i="17"/>
  <c r="AP59" i="17"/>
  <c r="AP58" i="17"/>
  <c r="AP57" i="17"/>
  <c r="AP60" i="17"/>
  <c r="AR5" i="17"/>
  <c r="AR6" i="17"/>
  <c r="AR7" i="17"/>
  <c r="AR8" i="17"/>
  <c r="AR9" i="17"/>
  <c r="AR10" i="17"/>
  <c r="AR11" i="17"/>
  <c r="AR12" i="17"/>
  <c r="AR13" i="17"/>
  <c r="AR14" i="17"/>
  <c r="AR15" i="17"/>
  <c r="AR16" i="17"/>
  <c r="AR17" i="17"/>
  <c r="AR18" i="17"/>
  <c r="AR19" i="17"/>
  <c r="AR20" i="17"/>
  <c r="AR21" i="17"/>
  <c r="AR22" i="17"/>
  <c r="AR23" i="17"/>
  <c r="AR24" i="17"/>
  <c r="AR25" i="17"/>
  <c r="AR26" i="17"/>
  <c r="AR27" i="17"/>
  <c r="AR28" i="17"/>
  <c r="AR29" i="17"/>
  <c r="AR30" i="17"/>
  <c r="AR31" i="17"/>
  <c r="AR32" i="17"/>
  <c r="AR33" i="17"/>
  <c r="AR34" i="17"/>
  <c r="AR35" i="17"/>
  <c r="AR36" i="17"/>
  <c r="AR37" i="17"/>
  <c r="AR38" i="17"/>
  <c r="AR39" i="17"/>
  <c r="AR40" i="17"/>
  <c r="AR41" i="17"/>
  <c r="AR42" i="17"/>
  <c r="AR43" i="17"/>
  <c r="AR44" i="17"/>
  <c r="AR45" i="17"/>
  <c r="AR46" i="17"/>
  <c r="AR47" i="17"/>
  <c r="AR48" i="17"/>
  <c r="AR49" i="17"/>
  <c r="AR50" i="17"/>
  <c r="AR51" i="17"/>
  <c r="AR52" i="17"/>
  <c r="AR53" i="17"/>
  <c r="AR54" i="17"/>
  <c r="AR55" i="17"/>
  <c r="AR56" i="17"/>
  <c r="AR57" i="17"/>
  <c r="AR58" i="17"/>
  <c r="AR59" i="17"/>
  <c r="AR60" i="17"/>
  <c r="AR61" i="17"/>
  <c r="AA4" i="17" l="1"/>
  <c r="AA12" i="17"/>
  <c r="AB12" i="17"/>
  <c r="AA13" i="17"/>
  <c r="AB13" i="17"/>
  <c r="AA14" i="17"/>
  <c r="AB14" i="17"/>
  <c r="AA15" i="17"/>
  <c r="AB15" i="17"/>
  <c r="AA16" i="17"/>
  <c r="AB16" i="17"/>
  <c r="AA17" i="17"/>
  <c r="AB17" i="17"/>
  <c r="AA18" i="17"/>
  <c r="AB18" i="17"/>
  <c r="AA19" i="17"/>
  <c r="AB19" i="17"/>
  <c r="AA20" i="17"/>
  <c r="AB20" i="17"/>
  <c r="AA21" i="17"/>
  <c r="AB21" i="17"/>
  <c r="AA22" i="17"/>
  <c r="AB22" i="17"/>
  <c r="AA23" i="17"/>
  <c r="AB23" i="17"/>
  <c r="AA24" i="17"/>
  <c r="AB24" i="17"/>
  <c r="AA25" i="17"/>
  <c r="AB25" i="17"/>
  <c r="AA26" i="17"/>
  <c r="AB26" i="17"/>
  <c r="AA27" i="17"/>
  <c r="AB27" i="17"/>
  <c r="AA28" i="17"/>
  <c r="AB28" i="17"/>
  <c r="AA29" i="17"/>
  <c r="AB29" i="17"/>
  <c r="AA30" i="17"/>
  <c r="AB30" i="17"/>
  <c r="AA31" i="17"/>
  <c r="AB31" i="17"/>
  <c r="AA32" i="17"/>
  <c r="AB32" i="17"/>
  <c r="AA33" i="17"/>
  <c r="AB33" i="17"/>
  <c r="AA34" i="17"/>
  <c r="AB34" i="17"/>
  <c r="AA35" i="17"/>
  <c r="AB35" i="17"/>
  <c r="AA36" i="17"/>
  <c r="AB36" i="17"/>
  <c r="AA37" i="17"/>
  <c r="AB37" i="17"/>
  <c r="AA38" i="17"/>
  <c r="AB38" i="17"/>
  <c r="AA39" i="17"/>
  <c r="AB39" i="17"/>
  <c r="AA40" i="17"/>
  <c r="AA41" i="17"/>
  <c r="AA42" i="17"/>
  <c r="AA43" i="17"/>
  <c r="AA44" i="17"/>
  <c r="AA45" i="17"/>
  <c r="AA46" i="17"/>
  <c r="AA47" i="17"/>
  <c r="AA48" i="17"/>
  <c r="AA49" i="17"/>
  <c r="AA50" i="17"/>
  <c r="AA51" i="17"/>
  <c r="AA52" i="17"/>
  <c r="AA53" i="17"/>
  <c r="AA54" i="17"/>
  <c r="AA55" i="17"/>
  <c r="AA5" i="17"/>
  <c r="AB5" i="17"/>
  <c r="AA6" i="17"/>
  <c r="AB6" i="17"/>
  <c r="AA7" i="17"/>
  <c r="AB7" i="17"/>
  <c r="AA8" i="17"/>
  <c r="AB8" i="17"/>
  <c r="AA9" i="17"/>
  <c r="AB9" i="17"/>
  <c r="AA10" i="17"/>
  <c r="AB10" i="17"/>
  <c r="AA11" i="17"/>
  <c r="AB11" i="17"/>
  <c r="AB4" i="17"/>
  <c r="R4" i="4" l="1"/>
  <c r="S4" i="4"/>
  <c r="T4" i="4"/>
  <c r="AM5" i="4"/>
  <c r="AM6" i="4"/>
  <c r="AM7" i="4"/>
  <c r="AM8" i="4"/>
  <c r="AM9" i="4"/>
  <c r="B6" i="14" l="1"/>
  <c r="B8" i="14" s="1"/>
  <c r="B10" i="14" s="1"/>
  <c r="B12" i="14" s="1"/>
  <c r="B14" i="14" s="1"/>
  <c r="B16" i="14" s="1"/>
  <c r="B18" i="14" s="1"/>
  <c r="B20" i="14" s="1"/>
  <c r="B22" i="14" s="1"/>
  <c r="B24" i="14" s="1"/>
  <c r="B26" i="14" s="1"/>
  <c r="B28" i="14" s="1"/>
  <c r="B30" i="14" s="1"/>
  <c r="B32" i="14" s="1"/>
  <c r="B5" i="14"/>
  <c r="B7" i="14" s="1"/>
  <c r="B9" i="14" s="1"/>
  <c r="B11" i="14" s="1"/>
  <c r="B13" i="14" s="1"/>
  <c r="B15" i="14" s="1"/>
  <c r="B17" i="14" s="1"/>
  <c r="B19" i="14" s="1"/>
  <c r="B21" i="14" s="1"/>
  <c r="B23" i="14" s="1"/>
  <c r="B25" i="14" s="1"/>
  <c r="B27" i="14" s="1"/>
  <c r="B29" i="14" s="1"/>
  <c r="B31" i="14" s="1"/>
  <c r="B33" i="14" s="1"/>
  <c r="B35" i="14" s="1"/>
  <c r="B37" i="14" s="1"/>
  <c r="B39" i="14" s="1"/>
  <c r="B41" i="14" s="1"/>
  <c r="B43" i="14" s="1"/>
  <c r="B45" i="14" s="1"/>
  <c r="B47" i="14" s="1"/>
  <c r="B49" i="14" s="1"/>
  <c r="B51" i="14" s="1"/>
  <c r="B53" i="14" s="1"/>
  <c r="B55" i="14" s="1"/>
  <c r="B57" i="14" s="1"/>
  <c r="B6" i="13"/>
  <c r="B8" i="13" s="1"/>
  <c r="B10" i="13" s="1"/>
  <c r="B12" i="13" s="1"/>
  <c r="B14" i="13" s="1"/>
  <c r="B16" i="13" s="1"/>
  <c r="B18" i="13" s="1"/>
  <c r="B20" i="13" s="1"/>
  <c r="B22" i="13" s="1"/>
  <c r="B24" i="13" s="1"/>
  <c r="B26" i="13" s="1"/>
  <c r="B28" i="13" s="1"/>
  <c r="B30" i="13" s="1"/>
  <c r="B32" i="13" s="1"/>
  <c r="B34" i="13" s="1"/>
  <c r="B36" i="13" s="1"/>
  <c r="B38" i="13" s="1"/>
  <c r="B40" i="13" s="1"/>
  <c r="B42" i="13" s="1"/>
  <c r="B44" i="13" s="1"/>
  <c r="B46" i="13" s="1"/>
  <c r="B48" i="13" s="1"/>
  <c r="B50" i="13" s="1"/>
  <c r="B52" i="13" s="1"/>
  <c r="B54" i="13" s="1"/>
  <c r="B56" i="13" s="1"/>
  <c r="B58" i="13" s="1"/>
  <c r="B60" i="13" s="1"/>
  <c r="B62" i="13" s="1"/>
  <c r="B64" i="13" s="1"/>
  <c r="B5" i="13"/>
  <c r="B7" i="13" s="1"/>
  <c r="B9" i="13" s="1"/>
  <c r="B11" i="13" s="1"/>
  <c r="B13" i="13" s="1"/>
  <c r="B15" i="13" s="1"/>
  <c r="B17" i="13" s="1"/>
  <c r="B19" i="13" s="1"/>
  <c r="B21" i="13" s="1"/>
  <c r="B23" i="13" s="1"/>
  <c r="B25" i="13" s="1"/>
  <c r="B27" i="13" s="1"/>
  <c r="B29" i="13" s="1"/>
  <c r="B31" i="13" s="1"/>
  <c r="B33" i="13" s="1"/>
  <c r="B35" i="13" s="1"/>
  <c r="B37" i="13" s="1"/>
  <c r="B39" i="13" s="1"/>
  <c r="B41" i="13" s="1"/>
  <c r="B43" i="13" s="1"/>
  <c r="B45" i="13" s="1"/>
  <c r="B47" i="13" s="1"/>
  <c r="B49" i="13" s="1"/>
  <c r="B51" i="13" s="1"/>
  <c r="B53" i="13" s="1"/>
  <c r="B55" i="13" s="1"/>
  <c r="B57" i="13" s="1"/>
  <c r="B59" i="13" s="1"/>
  <c r="B61" i="13" s="1"/>
  <c r="B63" i="13" s="1"/>
  <c r="B65" i="13" s="1"/>
  <c r="B6" i="12"/>
  <c r="B8" i="12" s="1"/>
  <c r="B10" i="12" s="1"/>
  <c r="B12" i="12" s="1"/>
  <c r="B14" i="12" s="1"/>
  <c r="B16" i="12" s="1"/>
  <c r="B18" i="12" s="1"/>
  <c r="B20" i="12" s="1"/>
  <c r="B22" i="12" s="1"/>
  <c r="B24" i="12" s="1"/>
  <c r="B26" i="12" s="1"/>
  <c r="B28" i="12" s="1"/>
  <c r="B30" i="12" s="1"/>
  <c r="B32" i="12" s="1"/>
  <c r="B34" i="12" s="1"/>
  <c r="B36" i="12" s="1"/>
  <c r="B38" i="12" s="1"/>
  <c r="B40" i="12" s="1"/>
  <c r="B42" i="12" s="1"/>
  <c r="B44" i="12" s="1"/>
  <c r="B46" i="12" s="1"/>
  <c r="B48" i="12" s="1"/>
  <c r="B50" i="12" s="1"/>
  <c r="B52" i="12" s="1"/>
  <c r="B54" i="12" s="1"/>
  <c r="B56" i="12" s="1"/>
  <c r="B58" i="12" s="1"/>
  <c r="B60" i="12" s="1"/>
  <c r="B5" i="12"/>
  <c r="B7" i="12" s="1"/>
  <c r="B9" i="12" s="1"/>
  <c r="B11" i="12" s="1"/>
  <c r="B13" i="12" s="1"/>
  <c r="B15" i="12" s="1"/>
  <c r="B17" i="12" s="1"/>
  <c r="B19" i="12" s="1"/>
  <c r="B21" i="12" s="1"/>
  <c r="B23" i="12" s="1"/>
  <c r="B25" i="12" s="1"/>
  <c r="B27" i="12" s="1"/>
  <c r="B29" i="12" s="1"/>
  <c r="B31" i="12" s="1"/>
  <c r="B33" i="12" s="1"/>
  <c r="B35" i="12" s="1"/>
  <c r="B37" i="12" s="1"/>
  <c r="B39" i="12" s="1"/>
  <c r="B41" i="12" s="1"/>
  <c r="B43" i="12" s="1"/>
  <c r="B45" i="12" s="1"/>
  <c r="B47" i="12" s="1"/>
  <c r="B49" i="12" s="1"/>
  <c r="B51" i="12" s="1"/>
  <c r="B53" i="12" s="1"/>
  <c r="B55" i="12" s="1"/>
  <c r="B57" i="12" s="1"/>
  <c r="B59" i="12" s="1"/>
  <c r="B61" i="12" s="1"/>
  <c r="B6" i="11"/>
  <c r="B8" i="11" s="1"/>
  <c r="B10" i="11" s="1"/>
  <c r="B12" i="11" s="1"/>
  <c r="B14" i="11" s="1"/>
  <c r="B16" i="11" s="1"/>
  <c r="B18" i="11" s="1"/>
  <c r="B20" i="11" s="1"/>
  <c r="B22" i="11" s="1"/>
  <c r="B24" i="11" s="1"/>
  <c r="B26" i="11" s="1"/>
  <c r="B28" i="11" s="1"/>
  <c r="B30" i="11" s="1"/>
  <c r="B32" i="11" s="1"/>
  <c r="B34" i="11" s="1"/>
  <c r="B36" i="11" s="1"/>
  <c r="B38" i="11" s="1"/>
  <c r="B40" i="11" s="1"/>
  <c r="B42" i="11" s="1"/>
  <c r="B44" i="11" s="1"/>
  <c r="B46" i="11" s="1"/>
  <c r="B48" i="11" s="1"/>
  <c r="B50" i="11" s="1"/>
  <c r="B52" i="11" s="1"/>
  <c r="B54" i="11" s="1"/>
  <c r="B56" i="11" s="1"/>
  <c r="B58" i="11" s="1"/>
  <c r="B60" i="11" s="1"/>
  <c r="B62" i="11" s="1"/>
  <c r="B64" i="11" s="1"/>
  <c r="B5" i="11"/>
  <c r="B7" i="11" s="1"/>
  <c r="B9" i="11" s="1"/>
  <c r="B11" i="11" s="1"/>
  <c r="B13" i="11" s="1"/>
  <c r="B15" i="11" s="1"/>
  <c r="B17" i="11" s="1"/>
  <c r="B19" i="11" s="1"/>
  <c r="B21" i="11" s="1"/>
  <c r="B23" i="11" s="1"/>
  <c r="B25" i="11" s="1"/>
  <c r="B27" i="11" s="1"/>
  <c r="B29" i="11" s="1"/>
  <c r="B31" i="11" s="1"/>
  <c r="B33" i="11" s="1"/>
  <c r="B35" i="11" s="1"/>
  <c r="B37" i="11" s="1"/>
  <c r="B39" i="11" s="1"/>
  <c r="B41" i="11" s="1"/>
  <c r="B43" i="11" s="1"/>
  <c r="B45" i="11" s="1"/>
  <c r="B47" i="11" s="1"/>
  <c r="B49" i="11" s="1"/>
  <c r="B51" i="11" s="1"/>
  <c r="B53" i="11" s="1"/>
  <c r="B55" i="11" s="1"/>
  <c r="B57" i="11" s="1"/>
  <c r="B59" i="11" s="1"/>
  <c r="B61" i="11" s="1"/>
  <c r="B63" i="11" s="1"/>
  <c r="B65" i="11" s="1"/>
  <c r="B6" i="10"/>
  <c r="B8" i="10" s="1"/>
  <c r="B10" i="10" s="1"/>
  <c r="B12" i="10" s="1"/>
  <c r="B14" i="10" s="1"/>
  <c r="B16" i="10" s="1"/>
  <c r="B18" i="10" s="1"/>
  <c r="B20" i="10" s="1"/>
  <c r="B22" i="10" s="1"/>
  <c r="B24" i="10" s="1"/>
  <c r="B26" i="10" s="1"/>
  <c r="B28" i="10" s="1"/>
  <c r="B30" i="10" s="1"/>
  <c r="B32" i="10" s="1"/>
  <c r="B34" i="10" s="1"/>
  <c r="B36" i="10" s="1"/>
  <c r="B38" i="10" s="1"/>
  <c r="B40" i="10" s="1"/>
  <c r="B42" i="10" s="1"/>
  <c r="B44" i="10" s="1"/>
  <c r="B46" i="10" s="1"/>
  <c r="B48" i="10" s="1"/>
  <c r="B50" i="10" s="1"/>
  <c r="B52" i="10" s="1"/>
  <c r="B54" i="10" s="1"/>
  <c r="B56" i="10" s="1"/>
  <c r="B58" i="10" s="1"/>
  <c r="B60" i="10" s="1"/>
  <c r="B62" i="10" s="1"/>
  <c r="B64" i="10" s="1"/>
  <c r="B5" i="10"/>
  <c r="B7" i="10" s="1"/>
  <c r="B9" i="10" s="1"/>
  <c r="B11" i="10" s="1"/>
  <c r="B13" i="10" s="1"/>
  <c r="B15" i="10" s="1"/>
  <c r="B17" i="10" s="1"/>
  <c r="B19" i="10" s="1"/>
  <c r="B21" i="10" s="1"/>
  <c r="B23" i="10" s="1"/>
  <c r="B25" i="10" s="1"/>
  <c r="B27" i="10" s="1"/>
  <c r="B29" i="10" s="1"/>
  <c r="B31" i="10" s="1"/>
  <c r="B33" i="10" s="1"/>
  <c r="B35" i="10" s="1"/>
  <c r="B37" i="10" s="1"/>
  <c r="B39" i="10" s="1"/>
  <c r="B41" i="10" s="1"/>
  <c r="B43" i="10" s="1"/>
  <c r="B45" i="10" s="1"/>
  <c r="B47" i="10" s="1"/>
  <c r="B49" i="10" s="1"/>
  <c r="B51" i="10" s="1"/>
  <c r="B53" i="10" s="1"/>
  <c r="B55" i="10" s="1"/>
  <c r="B57" i="10" s="1"/>
  <c r="B59" i="10" s="1"/>
  <c r="B61" i="10" s="1"/>
  <c r="B63" i="10" s="1"/>
  <c r="B65" i="10" s="1"/>
  <c r="B6" i="9"/>
  <c r="B8" i="9" s="1"/>
  <c r="B10" i="9" s="1"/>
  <c r="B12" i="9" s="1"/>
  <c r="B14" i="9" s="1"/>
  <c r="B16" i="9" s="1"/>
  <c r="B18" i="9" s="1"/>
  <c r="B20" i="9" s="1"/>
  <c r="B22" i="9" s="1"/>
  <c r="B24" i="9" s="1"/>
  <c r="B26" i="9" s="1"/>
  <c r="B28" i="9" s="1"/>
  <c r="B30" i="9" s="1"/>
  <c r="B32" i="9" s="1"/>
  <c r="B34" i="9" s="1"/>
  <c r="B36" i="9" s="1"/>
  <c r="B38" i="9" s="1"/>
  <c r="B40" i="9" s="1"/>
  <c r="B42" i="9" s="1"/>
  <c r="B44" i="9" s="1"/>
  <c r="B46" i="9" s="1"/>
  <c r="B48" i="9" s="1"/>
  <c r="B50" i="9" s="1"/>
  <c r="B52" i="9" s="1"/>
  <c r="B54" i="9" s="1"/>
  <c r="B56" i="9" s="1"/>
  <c r="B58" i="9" s="1"/>
  <c r="B60" i="9" s="1"/>
  <c r="B62" i="9" s="1"/>
  <c r="B64" i="9" s="1"/>
  <c r="B5" i="9"/>
  <c r="B7" i="9" s="1"/>
  <c r="B9" i="9" s="1"/>
  <c r="B11" i="9" s="1"/>
  <c r="B13" i="9" s="1"/>
  <c r="B15" i="9" s="1"/>
  <c r="B17" i="9" s="1"/>
  <c r="B19" i="9" s="1"/>
  <c r="B21" i="9" s="1"/>
  <c r="B23" i="9" s="1"/>
  <c r="B25" i="9" s="1"/>
  <c r="B27" i="9" s="1"/>
  <c r="B29" i="9" s="1"/>
  <c r="B31" i="9" s="1"/>
  <c r="B33" i="9" s="1"/>
  <c r="B35" i="9" s="1"/>
  <c r="B37" i="9" s="1"/>
  <c r="B39" i="9" s="1"/>
  <c r="B41" i="9" s="1"/>
  <c r="B43" i="9" s="1"/>
  <c r="B45" i="9" s="1"/>
  <c r="B47" i="9" s="1"/>
  <c r="B49" i="9" s="1"/>
  <c r="B51" i="9" s="1"/>
  <c r="B53" i="9" s="1"/>
  <c r="B55" i="9" s="1"/>
  <c r="B57" i="9" s="1"/>
  <c r="B59" i="9" s="1"/>
  <c r="B61" i="9" s="1"/>
  <c r="B63" i="9" s="1"/>
  <c r="B65" i="9" s="1"/>
  <c r="B6" i="8"/>
  <c r="B8" i="8" s="1"/>
  <c r="B10" i="8" s="1"/>
  <c r="B12" i="8" s="1"/>
  <c r="B14" i="8" s="1"/>
  <c r="B16" i="8" s="1"/>
  <c r="B18" i="8" s="1"/>
  <c r="B20" i="8" s="1"/>
  <c r="B22" i="8" s="1"/>
  <c r="B24" i="8" s="1"/>
  <c r="B26" i="8" s="1"/>
  <c r="B28" i="8" s="1"/>
  <c r="B30" i="8" s="1"/>
  <c r="B32" i="8" s="1"/>
  <c r="B34" i="8" s="1"/>
  <c r="B36" i="8" s="1"/>
  <c r="B38" i="8" s="1"/>
  <c r="B40" i="8" s="1"/>
  <c r="B42" i="8" s="1"/>
  <c r="B44" i="8" s="1"/>
  <c r="B46" i="8" s="1"/>
  <c r="B48" i="8" s="1"/>
  <c r="B50" i="8" s="1"/>
  <c r="B52" i="8" s="1"/>
  <c r="B54" i="8" s="1"/>
  <c r="B56" i="8" s="1"/>
  <c r="B58" i="8" s="1"/>
  <c r="B60" i="8" s="1"/>
  <c r="B62" i="8" s="1"/>
  <c r="B64" i="8" s="1"/>
  <c r="B5" i="8"/>
  <c r="B7" i="8" s="1"/>
  <c r="B9" i="8" s="1"/>
  <c r="B11" i="8" s="1"/>
  <c r="B13" i="8" s="1"/>
  <c r="B15" i="8" s="1"/>
  <c r="B17" i="8" s="1"/>
  <c r="B19" i="8" s="1"/>
  <c r="B21" i="8" s="1"/>
  <c r="B23" i="8" s="1"/>
  <c r="B25" i="8" s="1"/>
  <c r="B27" i="8" s="1"/>
  <c r="B29" i="8" s="1"/>
  <c r="B31" i="8" s="1"/>
  <c r="B33" i="8" s="1"/>
  <c r="B35" i="8" s="1"/>
  <c r="B37" i="8" s="1"/>
  <c r="B39" i="8" s="1"/>
  <c r="B41" i="8" s="1"/>
  <c r="B43" i="8" s="1"/>
  <c r="B45" i="8" s="1"/>
  <c r="B47" i="8" s="1"/>
  <c r="B49" i="8" s="1"/>
  <c r="B51" i="8" s="1"/>
  <c r="B53" i="8" s="1"/>
  <c r="B55" i="8" s="1"/>
  <c r="B57" i="8" s="1"/>
  <c r="B59" i="8" s="1"/>
  <c r="B61" i="8" s="1"/>
  <c r="B63" i="8" s="1"/>
  <c r="B65" i="8" s="1"/>
  <c r="B6" i="17"/>
  <c r="B8" i="17" s="1"/>
  <c r="B10" i="17" s="1"/>
  <c r="B12" i="17" s="1"/>
  <c r="B14" i="17" s="1"/>
  <c r="B16" i="17" s="1"/>
  <c r="B18" i="17" s="1"/>
  <c r="B20" i="17" s="1"/>
  <c r="B22" i="17" s="1"/>
  <c r="B24" i="17" s="1"/>
  <c r="B26" i="17" s="1"/>
  <c r="B28" i="17" s="1"/>
  <c r="B30" i="17" s="1"/>
  <c r="B32" i="17" s="1"/>
  <c r="B34" i="17" s="1"/>
  <c r="B36" i="17" s="1"/>
  <c r="B38" i="17" s="1"/>
  <c r="B40" i="17" s="1"/>
  <c r="B42" i="17" s="1"/>
  <c r="B44" i="17" s="1"/>
  <c r="B46" i="17" s="1"/>
  <c r="B48" i="17" s="1"/>
  <c r="B50" i="17" s="1"/>
  <c r="B52" i="17" s="1"/>
  <c r="B54" i="17" s="1"/>
  <c r="B56" i="17" s="1"/>
  <c r="B58" i="17" s="1"/>
  <c r="B60" i="17" s="1"/>
  <c r="B62" i="17" s="1"/>
  <c r="B5" i="17"/>
  <c r="B7" i="17" s="1"/>
  <c r="B9" i="17" s="1"/>
  <c r="B11" i="17" s="1"/>
  <c r="B13" i="17" s="1"/>
  <c r="B15" i="17" s="1"/>
  <c r="B17" i="17" s="1"/>
  <c r="B19" i="17" s="1"/>
  <c r="B21" i="17" s="1"/>
  <c r="B23" i="17" s="1"/>
  <c r="B25" i="17" s="1"/>
  <c r="B27" i="17" s="1"/>
  <c r="B29" i="17" s="1"/>
  <c r="B31" i="17" s="1"/>
  <c r="B33" i="17" s="1"/>
  <c r="B35" i="17" s="1"/>
  <c r="B37" i="17" s="1"/>
  <c r="B39" i="17" s="1"/>
  <c r="B41" i="17" s="1"/>
  <c r="B43" i="17" s="1"/>
  <c r="B45" i="17" s="1"/>
  <c r="B47" i="17" s="1"/>
  <c r="B49" i="17" s="1"/>
  <c r="B51" i="17" s="1"/>
  <c r="B53" i="17" s="1"/>
  <c r="B55" i="17" s="1"/>
  <c r="B57" i="17" s="1"/>
  <c r="B59" i="17" s="1"/>
  <c r="B61" i="17" s="1"/>
  <c r="B63" i="17" s="1"/>
  <c r="B6" i="7"/>
  <c r="B8" i="7" s="1"/>
  <c r="B10" i="7" s="1"/>
  <c r="B12" i="7" s="1"/>
  <c r="B14" i="7" s="1"/>
  <c r="B16" i="7" s="1"/>
  <c r="B18" i="7" s="1"/>
  <c r="B5" i="7"/>
  <c r="B7" i="7" s="1"/>
  <c r="B9" i="7" s="1"/>
  <c r="B11" i="7" s="1"/>
  <c r="B13" i="7" s="1"/>
  <c r="B15" i="7" s="1"/>
  <c r="B17" i="7" s="1"/>
  <c r="B19" i="7" s="1"/>
  <c r="B21" i="7" s="1"/>
  <c r="B23" i="7" s="1"/>
  <c r="B25" i="7" s="1"/>
  <c r="B27" i="7" s="1"/>
  <c r="B29" i="7" s="1"/>
  <c r="B31" i="7" s="1"/>
  <c r="B33" i="7" s="1"/>
  <c r="B35" i="7" s="1"/>
  <c r="B37" i="7" s="1"/>
  <c r="B39" i="7" s="1"/>
  <c r="B41" i="7" s="1"/>
  <c r="B43" i="7" s="1"/>
  <c r="B45" i="7" s="1"/>
  <c r="B47" i="7" s="1"/>
  <c r="B49" i="7" s="1"/>
  <c r="B51" i="7" s="1"/>
  <c r="B53" i="7" s="1"/>
  <c r="B55" i="7" s="1"/>
  <c r="B57" i="7" s="1"/>
  <c r="B59" i="7" s="1"/>
  <c r="B61" i="7" s="1"/>
  <c r="B63" i="7" s="1"/>
  <c r="B65" i="7" s="1"/>
  <c r="B6" i="4"/>
  <c r="B8" i="4" s="1"/>
  <c r="B10" i="4" s="1"/>
  <c r="B12" i="4" s="1"/>
  <c r="B14" i="4" s="1"/>
  <c r="B16" i="4" s="1"/>
  <c r="B18" i="4" s="1"/>
  <c r="B20" i="4" s="1"/>
  <c r="B22" i="4" s="1"/>
  <c r="B24" i="4" s="1"/>
  <c r="B26" i="4" s="1"/>
  <c r="B28" i="4" s="1"/>
  <c r="B30" i="4" s="1"/>
  <c r="B32" i="4" s="1"/>
  <c r="B34" i="4" s="1"/>
  <c r="B36" i="4" s="1"/>
  <c r="B38" i="4" s="1"/>
  <c r="B40" i="4" s="1"/>
  <c r="B42" i="4" s="1"/>
  <c r="B44" i="4" s="1"/>
  <c r="B46" i="4" s="1"/>
  <c r="B48" i="4" s="1"/>
  <c r="B50" i="4" s="1"/>
  <c r="B52" i="4" s="1"/>
  <c r="B54" i="4" s="1"/>
  <c r="B56" i="4" s="1"/>
  <c r="B58" i="4" s="1"/>
  <c r="B60" i="4" s="1"/>
  <c r="B62" i="4" s="1"/>
  <c r="B64" i="4" s="1"/>
  <c r="B5" i="4"/>
  <c r="B7" i="4" s="1"/>
  <c r="B9" i="4" s="1"/>
  <c r="B11" i="4" s="1"/>
  <c r="B13" i="4" s="1"/>
  <c r="B15" i="4" s="1"/>
  <c r="B17" i="4" s="1"/>
  <c r="B19" i="4" s="1"/>
  <c r="B21" i="4" s="1"/>
  <c r="B23" i="4" s="1"/>
  <c r="B25" i="4" s="1"/>
  <c r="B27" i="4" s="1"/>
  <c r="B29" i="4" s="1"/>
  <c r="B31" i="4" s="1"/>
  <c r="B33" i="4" s="1"/>
  <c r="B35" i="4" s="1"/>
  <c r="B37" i="4" s="1"/>
  <c r="B39" i="4" s="1"/>
  <c r="B41" i="4" s="1"/>
  <c r="B43" i="4" s="1"/>
  <c r="B45" i="4" s="1"/>
  <c r="B47" i="4" s="1"/>
  <c r="B49" i="4" s="1"/>
  <c r="B51" i="4" s="1"/>
  <c r="B53" i="4" s="1"/>
  <c r="B55" i="4" s="1"/>
  <c r="B57" i="4" s="1"/>
  <c r="B59" i="4" s="1"/>
  <c r="B61" i="4" s="1"/>
  <c r="B63" i="4" s="1"/>
  <c r="B65" i="4" s="1"/>
  <c r="B6" i="5"/>
  <c r="B8" i="5" s="1"/>
  <c r="B10" i="5" s="1"/>
  <c r="B12" i="5" s="1"/>
  <c r="B14" i="5" s="1"/>
  <c r="B16" i="5" s="1"/>
  <c r="B18" i="5" s="1"/>
  <c r="B20" i="5" s="1"/>
  <c r="B22" i="5" s="1"/>
  <c r="B24" i="5" s="1"/>
  <c r="B26" i="5" s="1"/>
  <c r="B28" i="5" s="1"/>
  <c r="B30" i="5" s="1"/>
  <c r="B32" i="5" s="1"/>
  <c r="B34" i="5" s="1"/>
  <c r="B36" i="5" s="1"/>
  <c r="B38" i="5" s="1"/>
  <c r="B40" i="5" s="1"/>
  <c r="B42" i="5" s="1"/>
  <c r="B44" i="5" s="1"/>
  <c r="B46" i="5" s="1"/>
  <c r="B48" i="5" s="1"/>
  <c r="B50" i="5" s="1"/>
  <c r="B52" i="5" s="1"/>
  <c r="B54" i="5" s="1"/>
  <c r="B56" i="5" s="1"/>
  <c r="B58" i="5" s="1"/>
  <c r="B60" i="5" s="1"/>
  <c r="B62" i="5" s="1"/>
  <c r="B64" i="5" s="1"/>
  <c r="B5" i="5"/>
  <c r="B7" i="5" s="1"/>
  <c r="B9" i="5" s="1"/>
  <c r="B11" i="5" s="1"/>
  <c r="B13" i="5" s="1"/>
  <c r="B15" i="5" s="1"/>
  <c r="B17" i="5" s="1"/>
  <c r="B19" i="5" s="1"/>
  <c r="B21" i="5" s="1"/>
  <c r="B23" i="5" s="1"/>
  <c r="B25" i="5" s="1"/>
  <c r="B27" i="5" s="1"/>
  <c r="B29" i="5" s="1"/>
  <c r="B31" i="5" s="1"/>
  <c r="B33" i="5" s="1"/>
  <c r="B35" i="5" s="1"/>
  <c r="B37" i="5" s="1"/>
  <c r="B39" i="5" s="1"/>
  <c r="B41" i="5" s="1"/>
  <c r="B43" i="5" s="1"/>
  <c r="B45" i="5" s="1"/>
  <c r="B47" i="5" s="1"/>
  <c r="B49" i="5" s="1"/>
  <c r="B51" i="5" s="1"/>
  <c r="B53" i="5" s="1"/>
  <c r="B55" i="5" s="1"/>
  <c r="B57" i="5" s="1"/>
  <c r="B59" i="5" s="1"/>
  <c r="B61" i="5" s="1"/>
  <c r="B63" i="5" s="1"/>
  <c r="B65" i="5" s="1"/>
  <c r="B20" i="7" l="1"/>
  <c r="B22" i="7" s="1"/>
  <c r="B24" i="7" s="1"/>
  <c r="B26" i="7" s="1"/>
  <c r="B28" i="7" s="1"/>
  <c r="B30" i="7" s="1"/>
  <c r="B32" i="7" s="1"/>
  <c r="B34" i="7" s="1"/>
  <c r="B36" i="7" s="1"/>
  <c r="B38" i="7" s="1"/>
  <c r="B40" i="7" s="1"/>
  <c r="B42" i="7" s="1"/>
  <c r="B44" i="7" s="1"/>
  <c r="B46" i="7" s="1"/>
  <c r="B48" i="7" s="1"/>
  <c r="B50" i="7" s="1"/>
  <c r="B52" i="7" s="1"/>
  <c r="B54" i="7" s="1"/>
  <c r="B56" i="7" s="1"/>
  <c r="B58" i="7" s="1"/>
  <c r="B60" i="7" s="1"/>
  <c r="B62" i="7" s="1"/>
  <c r="B64" i="7" s="1"/>
  <c r="B34" i="14"/>
  <c r="B36" i="14" s="1"/>
  <c r="B38" i="14" s="1"/>
  <c r="B40" i="14" s="1"/>
  <c r="B42" i="14" s="1"/>
  <c r="B44" i="14" s="1"/>
  <c r="B46" i="14" s="1"/>
  <c r="B48" i="14" s="1"/>
  <c r="B50" i="14" s="1"/>
  <c r="B52" i="14" s="1"/>
  <c r="B54" i="14" s="1"/>
  <c r="B56" i="14" s="1"/>
  <c r="B58" i="14" s="1"/>
  <c r="B60" i="14" s="1"/>
  <c r="B63" i="12"/>
  <c r="A61" i="12"/>
  <c r="B62" i="12"/>
  <c r="A60" i="12"/>
  <c r="B64" i="17"/>
  <c r="A64" i="17" s="1"/>
  <c r="A62" i="17"/>
  <c r="B65" i="17"/>
  <c r="A65" i="17" s="1"/>
  <c r="A63" i="17"/>
  <c r="B59" i="14"/>
  <c r="B61" i="14" s="1"/>
  <c r="H15" i="13"/>
  <c r="G15" i="13"/>
  <c r="H14" i="13"/>
  <c r="G14" i="13"/>
  <c r="H13" i="13"/>
  <c r="G13" i="13"/>
  <c r="H12" i="13"/>
  <c r="G12" i="13"/>
  <c r="H11" i="13"/>
  <c r="G11" i="13"/>
  <c r="H10" i="13"/>
  <c r="G10" i="13"/>
  <c r="H9" i="13"/>
  <c r="G9" i="13"/>
  <c r="H8" i="13"/>
  <c r="G8" i="13"/>
  <c r="H7" i="13"/>
  <c r="G7" i="13"/>
  <c r="H6" i="13"/>
  <c r="G6" i="13"/>
  <c r="H5" i="13"/>
  <c r="G5" i="13"/>
  <c r="H4" i="13"/>
  <c r="G4" i="13"/>
  <c r="H45" i="12"/>
  <c r="G45" i="12"/>
  <c r="H44" i="12"/>
  <c r="G44" i="12"/>
  <c r="H43" i="12"/>
  <c r="G43" i="12"/>
  <c r="H42" i="12"/>
  <c r="G42" i="12"/>
  <c r="H41" i="12"/>
  <c r="G41" i="12"/>
  <c r="H40" i="12"/>
  <c r="G40" i="12"/>
  <c r="H39" i="12"/>
  <c r="G39" i="12"/>
  <c r="H38" i="12"/>
  <c r="G38" i="12"/>
  <c r="H37" i="12"/>
  <c r="G37" i="12"/>
  <c r="H36" i="12"/>
  <c r="G36" i="12"/>
  <c r="H35" i="12"/>
  <c r="G35" i="12"/>
  <c r="H34" i="12"/>
  <c r="G34" i="12"/>
  <c r="H33" i="12"/>
  <c r="G33" i="12"/>
  <c r="H32" i="12"/>
  <c r="G32" i="12"/>
  <c r="H31" i="12"/>
  <c r="G31" i="12"/>
  <c r="H30" i="12"/>
  <c r="G30" i="12"/>
  <c r="H29" i="12"/>
  <c r="G29" i="12"/>
  <c r="H28" i="12"/>
  <c r="G28" i="12"/>
  <c r="H27" i="12"/>
  <c r="G27" i="12"/>
  <c r="H26" i="12"/>
  <c r="G26" i="12"/>
  <c r="H25" i="12"/>
  <c r="G25" i="12"/>
  <c r="H24" i="12"/>
  <c r="G24" i="12"/>
  <c r="H23" i="12"/>
  <c r="G23" i="12"/>
  <c r="H22" i="12"/>
  <c r="G22" i="12"/>
  <c r="H21" i="12"/>
  <c r="G21" i="12"/>
  <c r="H20" i="12"/>
  <c r="G20" i="12"/>
  <c r="H19" i="12"/>
  <c r="G19" i="12"/>
  <c r="H18" i="12"/>
  <c r="G18" i="12"/>
  <c r="H17" i="12"/>
  <c r="G17" i="12"/>
  <c r="H16" i="12"/>
  <c r="G16" i="12"/>
  <c r="H15" i="12"/>
  <c r="G15" i="12"/>
  <c r="H14" i="12"/>
  <c r="G14" i="12"/>
  <c r="H13" i="12"/>
  <c r="G13" i="12"/>
  <c r="H12" i="12"/>
  <c r="G12" i="12"/>
  <c r="H11" i="12"/>
  <c r="G11" i="12"/>
  <c r="H10" i="12"/>
  <c r="G10" i="12"/>
  <c r="H9" i="12"/>
  <c r="G9" i="12"/>
  <c r="H8" i="12"/>
  <c r="G8" i="12"/>
  <c r="H7" i="12"/>
  <c r="H6" i="12"/>
  <c r="H5" i="12"/>
  <c r="H4" i="12"/>
  <c r="H4" i="10"/>
  <c r="G4" i="10"/>
  <c r="AB47" i="9"/>
  <c r="AA47" i="9"/>
  <c r="AB46" i="9"/>
  <c r="AA46" i="9"/>
  <c r="AB45" i="9"/>
  <c r="AA45" i="9"/>
  <c r="AB44" i="9"/>
  <c r="AA44" i="9"/>
  <c r="AB43" i="9"/>
  <c r="AA43" i="9"/>
  <c r="AB42" i="9"/>
  <c r="AA42" i="9"/>
  <c r="AB41" i="9"/>
  <c r="AA41" i="9"/>
  <c r="AB40" i="9"/>
  <c r="AA40" i="9"/>
  <c r="AB39" i="9"/>
  <c r="AA39" i="9"/>
  <c r="AB38" i="9"/>
  <c r="AA38" i="9"/>
  <c r="AB37" i="9"/>
  <c r="AA37" i="9"/>
  <c r="AB36" i="9"/>
  <c r="AA36" i="9"/>
  <c r="AB35" i="9"/>
  <c r="AA35" i="9"/>
  <c r="AB34" i="9"/>
  <c r="AA34" i="9"/>
  <c r="AB33" i="9"/>
  <c r="AA33" i="9"/>
  <c r="AB32" i="9"/>
  <c r="AA32" i="9"/>
  <c r="AB31" i="9"/>
  <c r="AA31" i="9"/>
  <c r="AB30" i="9"/>
  <c r="AA30" i="9"/>
  <c r="AB29" i="9"/>
  <c r="AA29" i="9"/>
  <c r="AB28" i="9"/>
  <c r="AA28" i="9"/>
  <c r="AB27" i="9"/>
  <c r="AA27" i="9"/>
  <c r="AB26" i="9"/>
  <c r="AA26" i="9"/>
  <c r="AB25" i="9"/>
  <c r="AA25" i="9"/>
  <c r="AB24" i="9"/>
  <c r="AA24" i="9"/>
  <c r="AB23" i="9"/>
  <c r="AA23" i="9"/>
  <c r="AB22" i="9"/>
  <c r="AA22" i="9"/>
  <c r="AB21" i="9"/>
  <c r="AA21" i="9"/>
  <c r="AB20" i="9"/>
  <c r="AA20" i="9"/>
  <c r="AB19" i="9"/>
  <c r="AA19" i="9"/>
  <c r="AB18" i="9"/>
  <c r="AA18" i="9"/>
  <c r="AB17" i="9"/>
  <c r="AA17" i="9"/>
  <c r="AB16" i="9"/>
  <c r="AA16" i="9"/>
  <c r="AB15" i="9"/>
  <c r="AA15" i="9"/>
  <c r="AB14" i="9"/>
  <c r="AA14" i="9"/>
  <c r="AB13" i="9"/>
  <c r="AA13" i="9"/>
  <c r="AB12" i="9"/>
  <c r="AA12" i="9"/>
  <c r="AB11" i="9"/>
  <c r="AA11" i="9"/>
  <c r="AB10" i="9"/>
  <c r="AA10" i="9"/>
  <c r="AB9" i="9"/>
  <c r="AA9" i="9"/>
  <c r="AB8" i="9"/>
  <c r="AA8" i="9"/>
  <c r="AB7" i="9"/>
  <c r="AA7" i="9"/>
  <c r="AB6" i="9"/>
  <c r="AA6" i="9"/>
  <c r="AB5" i="9"/>
  <c r="AA5" i="9"/>
  <c r="AB4" i="9"/>
  <c r="AA4" i="9"/>
  <c r="H29" i="9"/>
  <c r="G29" i="9"/>
  <c r="H28" i="9"/>
  <c r="G28" i="9"/>
  <c r="H27" i="9"/>
  <c r="G27" i="9"/>
  <c r="H26" i="9"/>
  <c r="G26" i="9"/>
  <c r="H25" i="9"/>
  <c r="G25" i="9"/>
  <c r="H24" i="9"/>
  <c r="G24" i="9"/>
  <c r="H23" i="9"/>
  <c r="G23" i="9"/>
  <c r="H22" i="9"/>
  <c r="G22" i="9"/>
  <c r="H21" i="9"/>
  <c r="G21" i="9"/>
  <c r="H20" i="9"/>
  <c r="G20" i="9"/>
  <c r="H19" i="9"/>
  <c r="G19" i="9"/>
  <c r="H18" i="9"/>
  <c r="G18" i="9"/>
  <c r="H17" i="9"/>
  <c r="G17" i="9"/>
  <c r="H16" i="9"/>
  <c r="G16" i="9"/>
  <c r="H15" i="9"/>
  <c r="G15" i="9"/>
  <c r="H14" i="9"/>
  <c r="G14" i="9"/>
  <c r="H13" i="9"/>
  <c r="G13" i="9"/>
  <c r="H12" i="9"/>
  <c r="G12" i="9"/>
  <c r="H11" i="9"/>
  <c r="G11" i="9"/>
  <c r="H10" i="9"/>
  <c r="G10" i="9"/>
  <c r="H9" i="9"/>
  <c r="G9" i="9"/>
  <c r="H8" i="9"/>
  <c r="G8" i="9"/>
  <c r="H7" i="9"/>
  <c r="G7" i="9"/>
  <c r="H6" i="9"/>
  <c r="G6" i="9"/>
  <c r="H5" i="9"/>
  <c r="G5" i="9"/>
  <c r="H4" i="9"/>
  <c r="G4" i="9"/>
  <c r="H15" i="8"/>
  <c r="G15" i="8"/>
  <c r="H14" i="8"/>
  <c r="G14" i="8"/>
  <c r="H13" i="8"/>
  <c r="G13" i="8"/>
  <c r="H12" i="8"/>
  <c r="G12" i="8"/>
  <c r="H11" i="8"/>
  <c r="G11" i="8"/>
  <c r="H10" i="8"/>
  <c r="G10" i="8"/>
  <c r="H9" i="8"/>
  <c r="G9" i="8"/>
  <c r="H8" i="8"/>
  <c r="G8" i="8"/>
  <c r="H7" i="8"/>
  <c r="G7" i="8"/>
  <c r="H6" i="8"/>
  <c r="G6" i="8"/>
  <c r="H5" i="8"/>
  <c r="G5" i="8"/>
  <c r="H4" i="8"/>
  <c r="G4" i="8"/>
  <c r="AG4" i="17"/>
  <c r="AF4" i="17"/>
  <c r="H4" i="17"/>
  <c r="G4" i="17"/>
  <c r="H15" i="4"/>
  <c r="G15" i="4"/>
  <c r="H14" i="4"/>
  <c r="G14" i="4"/>
  <c r="H13" i="4"/>
  <c r="G13" i="4"/>
  <c r="H12" i="4"/>
  <c r="G12" i="4"/>
  <c r="H11" i="4"/>
  <c r="G11" i="4"/>
  <c r="H10" i="4"/>
  <c r="G10" i="4"/>
  <c r="H9" i="4"/>
  <c r="G9" i="4"/>
  <c r="H8" i="4"/>
  <c r="G8" i="4"/>
  <c r="H7" i="4"/>
  <c r="G7" i="4"/>
  <c r="H6" i="4"/>
  <c r="G6" i="4"/>
  <c r="H5" i="4"/>
  <c r="G5" i="4"/>
  <c r="H4" i="4"/>
  <c r="G4" i="4"/>
  <c r="AP1" i="2"/>
  <c r="A4" i="2"/>
  <c r="AM4" i="2"/>
  <c r="AA4" i="2"/>
  <c r="AB4" i="2"/>
  <c r="AF4" i="2"/>
  <c r="AG4" i="2"/>
  <c r="AK4" i="2"/>
  <c r="AL4" i="2"/>
  <c r="AR4" i="2"/>
  <c r="B5" i="2"/>
  <c r="A5" i="2" s="1"/>
  <c r="AM5" i="2"/>
  <c r="AK5" i="2"/>
  <c r="AL5" i="2"/>
  <c r="AR5" i="2"/>
  <c r="B6" i="2"/>
  <c r="A6" i="2" s="1"/>
  <c r="AM6" i="2"/>
  <c r="AK6" i="2"/>
  <c r="AL6" i="2"/>
  <c r="AR6" i="2"/>
  <c r="AM7" i="2"/>
  <c r="AK7" i="2"/>
  <c r="AL7" i="2"/>
  <c r="AR7" i="2"/>
  <c r="AM8" i="2"/>
  <c r="AK8" i="2"/>
  <c r="AL8" i="2"/>
  <c r="AR8" i="2"/>
  <c r="AM9" i="2"/>
  <c r="AK9" i="2"/>
  <c r="AL9" i="2"/>
  <c r="AR9" i="2"/>
  <c r="AM10" i="2"/>
  <c r="AK10" i="2"/>
  <c r="AL10" i="2"/>
  <c r="AR10" i="2"/>
  <c r="AM11" i="2"/>
  <c r="AK11" i="2"/>
  <c r="AL11" i="2"/>
  <c r="AR11" i="2"/>
  <c r="AM12" i="2"/>
  <c r="AK12" i="2"/>
  <c r="AL12" i="2"/>
  <c r="AR12" i="2"/>
  <c r="AM13" i="2"/>
  <c r="AK13" i="2"/>
  <c r="AL13" i="2"/>
  <c r="AR13" i="2"/>
  <c r="AM14" i="2"/>
  <c r="AK14" i="2"/>
  <c r="AL14" i="2"/>
  <c r="AR14" i="2"/>
  <c r="AM15" i="2"/>
  <c r="AK15" i="2"/>
  <c r="AL15" i="2"/>
  <c r="AR15" i="2"/>
  <c r="AM16" i="2"/>
  <c r="AK16" i="2"/>
  <c r="AL16" i="2"/>
  <c r="AR16" i="2"/>
  <c r="AM17" i="2"/>
  <c r="AK17" i="2"/>
  <c r="AL17" i="2"/>
  <c r="AR17" i="2"/>
  <c r="AM18" i="2"/>
  <c r="AK18" i="2"/>
  <c r="AL18" i="2"/>
  <c r="AR18" i="2"/>
  <c r="AM19" i="2"/>
  <c r="AK19" i="2"/>
  <c r="AL19" i="2"/>
  <c r="AR19" i="2"/>
  <c r="AM20" i="2"/>
  <c r="AK20" i="2"/>
  <c r="AL20" i="2"/>
  <c r="AR20" i="2"/>
  <c r="AM21" i="2"/>
  <c r="AK21" i="2"/>
  <c r="AL21" i="2"/>
  <c r="AR21" i="2"/>
  <c r="AM22" i="2"/>
  <c r="AK22" i="2"/>
  <c r="AL22" i="2"/>
  <c r="AR22" i="2"/>
  <c r="AM23" i="2"/>
  <c r="AK23" i="2"/>
  <c r="AL23" i="2"/>
  <c r="AR23" i="2"/>
  <c r="AM24" i="2"/>
  <c r="AK24" i="2"/>
  <c r="AL24" i="2"/>
  <c r="AM25" i="2"/>
  <c r="AK25" i="2"/>
  <c r="AL25" i="2"/>
  <c r="AM26" i="2"/>
  <c r="AK26" i="2"/>
  <c r="AL26" i="2"/>
  <c r="AM27" i="2"/>
  <c r="AK27" i="2"/>
  <c r="AL27" i="2"/>
  <c r="AM28" i="2"/>
  <c r="AK28" i="2"/>
  <c r="AL28" i="2"/>
  <c r="AM29" i="2"/>
  <c r="AK29" i="2"/>
  <c r="AL29" i="2"/>
  <c r="AR29" i="2"/>
  <c r="AM30" i="2"/>
  <c r="AK30" i="2"/>
  <c r="AL30" i="2"/>
  <c r="AM31" i="2"/>
  <c r="AK31" i="2"/>
  <c r="AL31" i="2"/>
  <c r="AR31" i="2"/>
  <c r="AM32" i="2"/>
  <c r="AK32" i="2"/>
  <c r="AL32" i="2"/>
  <c r="AR32" i="2"/>
  <c r="AM33" i="2"/>
  <c r="AK33" i="2"/>
  <c r="AL33" i="2"/>
  <c r="AR33" i="2"/>
  <c r="AM34" i="2"/>
  <c r="AK34" i="2"/>
  <c r="AL34" i="2"/>
  <c r="AR34" i="2"/>
  <c r="AM35" i="2"/>
  <c r="AK35" i="2"/>
  <c r="AL35" i="2"/>
  <c r="AR35" i="2"/>
  <c r="AM36" i="2"/>
  <c r="AK36" i="2"/>
  <c r="AL36" i="2"/>
  <c r="AR36" i="2"/>
  <c r="AM37" i="2"/>
  <c r="AK37" i="2"/>
  <c r="AL37" i="2"/>
  <c r="AR37" i="2"/>
  <c r="AM38" i="2"/>
  <c r="AK38" i="2"/>
  <c r="AL38" i="2"/>
  <c r="AR38" i="2"/>
  <c r="AM39" i="2"/>
  <c r="AK39" i="2"/>
  <c r="AL39" i="2"/>
  <c r="AR39" i="2"/>
  <c r="AM40" i="2"/>
  <c r="AK40" i="2"/>
  <c r="AL40" i="2"/>
  <c r="AR40" i="2"/>
  <c r="AM41" i="2"/>
  <c r="AK41" i="2"/>
  <c r="AL41" i="2"/>
  <c r="AR41" i="2"/>
  <c r="AM42" i="2"/>
  <c r="AK42" i="2"/>
  <c r="AL42" i="2"/>
  <c r="AR42" i="2"/>
  <c r="AM43" i="2"/>
  <c r="AK43" i="2"/>
  <c r="AL43" i="2"/>
  <c r="AM44" i="2"/>
  <c r="AK44" i="2"/>
  <c r="AL44" i="2"/>
  <c r="AR44" i="2"/>
  <c r="AM45" i="2"/>
  <c r="AK45" i="2"/>
  <c r="AL45" i="2"/>
  <c r="AR45" i="2"/>
  <c r="AM46" i="2"/>
  <c r="AK46" i="2"/>
  <c r="AL46" i="2"/>
  <c r="AR46" i="2"/>
  <c r="AM47" i="2"/>
  <c r="AK47" i="2"/>
  <c r="AL47" i="2"/>
  <c r="AR47" i="2"/>
  <c r="AM48" i="2"/>
  <c r="AK48" i="2"/>
  <c r="AL48" i="2"/>
  <c r="AR48" i="2"/>
  <c r="AM49" i="2"/>
  <c r="AK49" i="2"/>
  <c r="AL49" i="2"/>
  <c r="AR49" i="2"/>
  <c r="AM50" i="2"/>
  <c r="AK50" i="2"/>
  <c r="AL50" i="2"/>
  <c r="AR50" i="2"/>
  <c r="AM51" i="2"/>
  <c r="AK51" i="2"/>
  <c r="AL51" i="2"/>
  <c r="AR51" i="2"/>
  <c r="AM52" i="2"/>
  <c r="AK52" i="2"/>
  <c r="AL52" i="2"/>
  <c r="AR52" i="2"/>
  <c r="AM53" i="2"/>
  <c r="AK53" i="2"/>
  <c r="AL53" i="2"/>
  <c r="AR53" i="2"/>
  <c r="AM54" i="2"/>
  <c r="AK54" i="2"/>
  <c r="AL54" i="2"/>
  <c r="AR54" i="2"/>
  <c r="AM55" i="2"/>
  <c r="AK55" i="2"/>
  <c r="AL55" i="2"/>
  <c r="AR55" i="2"/>
  <c r="AM56" i="2"/>
  <c r="AK56" i="2"/>
  <c r="AL56" i="2"/>
  <c r="AR56" i="2"/>
  <c r="AM57" i="2"/>
  <c r="AK57" i="2"/>
  <c r="AL57" i="2"/>
  <c r="AR57" i="2"/>
  <c r="AM58" i="2"/>
  <c r="AK58" i="2"/>
  <c r="AL58" i="2"/>
  <c r="AR58" i="2"/>
  <c r="AM59" i="2"/>
  <c r="AK59" i="2"/>
  <c r="AL59" i="2"/>
  <c r="AR59" i="2"/>
  <c r="AM60" i="2"/>
  <c r="AK60" i="2"/>
  <c r="AL60" i="2"/>
  <c r="AR60" i="2"/>
  <c r="AM61" i="2"/>
  <c r="AK61" i="2"/>
  <c r="AL61" i="2"/>
  <c r="AR61" i="2"/>
  <c r="AM62" i="2"/>
  <c r="AK62" i="2"/>
  <c r="AL62" i="2"/>
  <c r="AR62" i="2"/>
  <c r="AM63" i="2"/>
  <c r="AK63" i="2"/>
  <c r="AL63" i="2"/>
  <c r="AR63" i="2"/>
  <c r="AM64" i="2"/>
  <c r="AK64" i="2"/>
  <c r="AL64" i="2"/>
  <c r="AR64" i="2"/>
  <c r="AM65" i="2"/>
  <c r="AK65" i="2"/>
  <c r="AL65" i="2"/>
  <c r="AR65" i="2"/>
  <c r="J66" i="2"/>
  <c r="B62" i="14" l="1"/>
  <c r="A60" i="14"/>
  <c r="B63" i="14"/>
  <c r="A61" i="14"/>
  <c r="B64" i="12"/>
  <c r="A64" i="12" s="1"/>
  <c r="A62" i="12"/>
  <c r="B65" i="12"/>
  <c r="A65" i="12" s="1"/>
  <c r="A63" i="12"/>
  <c r="B7" i="2"/>
  <c r="B8" i="2"/>
  <c r="A8" i="2" s="1"/>
  <c r="AO63" i="2"/>
  <c r="AO61" i="2"/>
  <c r="AN48" i="2"/>
  <c r="AN6" i="2"/>
  <c r="AN8" i="2"/>
  <c r="AN10" i="2"/>
  <c r="AN12" i="2"/>
  <c r="AN14" i="2"/>
  <c r="AN16" i="2"/>
  <c r="AN18" i="2"/>
  <c r="AN20" i="2"/>
  <c r="AN22" i="2"/>
  <c r="AN24" i="2"/>
  <c r="AN26" i="2"/>
  <c r="AN28" i="2"/>
  <c r="AO6" i="2"/>
  <c r="AO8" i="2"/>
  <c r="AO10" i="2"/>
  <c r="AO12" i="2"/>
  <c r="AO14" i="2"/>
  <c r="AO16" i="2"/>
  <c r="AO18" i="2"/>
  <c r="AO20" i="2"/>
  <c r="AO22" i="2"/>
  <c r="AO24" i="2"/>
  <c r="AO26" i="2"/>
  <c r="AO28" i="2"/>
  <c r="AN5" i="2"/>
  <c r="AN7" i="2"/>
  <c r="AN9" i="2"/>
  <c r="AN11" i="2"/>
  <c r="AN13" i="2"/>
  <c r="AN15" i="2"/>
  <c r="AN17" i="2"/>
  <c r="AN19" i="2"/>
  <c r="AN21" i="2"/>
  <c r="AN23" i="2"/>
  <c r="AN25" i="2"/>
  <c r="AN27" i="2"/>
  <c r="AO5" i="2"/>
  <c r="AO7" i="2"/>
  <c r="AO9" i="2"/>
  <c r="AO11" i="2"/>
  <c r="AO13" i="2"/>
  <c r="AO15" i="2"/>
  <c r="AO17" i="2"/>
  <c r="AO19" i="2"/>
  <c r="AO21" i="2"/>
  <c r="AO23" i="2"/>
  <c r="AO25" i="2"/>
  <c r="AO27" i="2"/>
  <c r="AN64" i="2"/>
  <c r="AO65" i="2"/>
  <c r="AN62" i="2"/>
  <c r="AN60" i="2"/>
  <c r="AO64" i="2"/>
  <c r="AO62" i="2"/>
  <c r="AO60" i="2"/>
  <c r="AO58" i="2"/>
  <c r="AN58" i="2"/>
  <c r="AO59" i="2"/>
  <c r="AN65" i="2"/>
  <c r="AN63" i="2"/>
  <c r="AN61" i="2"/>
  <c r="AN59" i="2"/>
  <c r="AN56" i="2"/>
  <c r="AN54" i="2"/>
  <c r="AN52" i="2"/>
  <c r="AN50" i="2"/>
  <c r="AN57" i="2"/>
  <c r="AN55" i="2"/>
  <c r="AN53" i="2"/>
  <c r="AN51" i="2"/>
  <c r="AO56" i="2"/>
  <c r="AO54" i="2"/>
  <c r="AO52" i="2"/>
  <c r="AO50" i="2"/>
  <c r="AN46" i="2"/>
  <c r="AO57" i="2"/>
  <c r="AO55" i="2"/>
  <c r="AO53" i="2"/>
  <c r="AO51" i="2"/>
  <c r="AN49" i="2"/>
  <c r="AN47" i="2"/>
  <c r="AN45" i="2"/>
  <c r="AO48" i="2"/>
  <c r="AO46" i="2"/>
  <c r="AO44" i="2"/>
  <c r="AN44" i="2"/>
  <c r="AO49" i="2"/>
  <c r="AO47" i="2"/>
  <c r="AO45" i="2"/>
  <c r="AO29" i="2"/>
  <c r="AN29" i="2"/>
  <c r="AN36" i="2"/>
  <c r="AN38" i="2"/>
  <c r="AN40" i="2"/>
  <c r="AN42" i="2"/>
  <c r="AO36" i="2"/>
  <c r="AO38" i="2"/>
  <c r="AO40" i="2"/>
  <c r="AO42" i="2"/>
  <c r="AN37" i="2"/>
  <c r="AN39" i="2"/>
  <c r="AN41" i="2"/>
  <c r="AO37" i="2"/>
  <c r="AO39" i="2"/>
  <c r="AO41" i="2"/>
  <c r="AN30" i="2"/>
  <c r="AN32" i="2"/>
  <c r="AN34" i="2"/>
  <c r="AO30" i="2"/>
  <c r="AO32" i="2"/>
  <c r="AO34" i="2"/>
  <c r="AN31" i="2"/>
  <c r="AN33" i="2"/>
  <c r="AN35" i="2"/>
  <c r="AO31" i="2"/>
  <c r="AO33" i="2"/>
  <c r="AO35" i="2"/>
  <c r="AN4" i="2"/>
  <c r="AO4" i="2"/>
  <c r="AN43" i="2"/>
  <c r="AR43" i="2"/>
  <c r="AO43" i="2"/>
  <c r="AR28" i="2"/>
  <c r="AR30" i="2"/>
  <c r="AR26" i="2"/>
  <c r="AR25" i="2"/>
  <c r="AR24" i="2"/>
  <c r="AR27" i="2"/>
  <c r="G50" i="14"/>
  <c r="H50" i="14"/>
  <c r="G49" i="14"/>
  <c r="H49" i="14"/>
  <c r="G48" i="14"/>
  <c r="G46" i="14"/>
  <c r="G45" i="14"/>
  <c r="G44" i="14"/>
  <c r="G43" i="14"/>
  <c r="H42" i="14"/>
  <c r="H41" i="14"/>
  <c r="G40" i="14"/>
  <c r="H40" i="14"/>
  <c r="H38" i="14"/>
  <c r="G37" i="14"/>
  <c r="H37" i="14"/>
  <c r="G36" i="14"/>
  <c r="H36" i="14"/>
  <c r="H34" i="14"/>
  <c r="G33" i="14"/>
  <c r="H33" i="14"/>
  <c r="G32" i="14"/>
  <c r="G31" i="14"/>
  <c r="H30" i="14"/>
  <c r="AP50" i="2" l="1"/>
  <c r="AP64" i="2"/>
  <c r="B10" i="2"/>
  <c r="B12" i="2" s="1"/>
  <c r="AP59" i="2"/>
  <c r="AP61" i="2"/>
  <c r="AP31" i="2"/>
  <c r="B65" i="14"/>
  <c r="A65" i="14" s="1"/>
  <c r="A63" i="14"/>
  <c r="B64" i="14"/>
  <c r="A64" i="14" s="1"/>
  <c r="A62" i="14"/>
  <c r="AP63" i="2"/>
  <c r="AP27" i="2"/>
  <c r="AP15" i="2"/>
  <c r="AP7" i="2"/>
  <c r="B9" i="2"/>
  <c r="A7" i="2"/>
  <c r="AP48" i="2"/>
  <c r="AP11" i="2"/>
  <c r="AP60" i="2"/>
  <c r="AP4" i="2"/>
  <c r="AP57" i="2"/>
  <c r="AP55" i="2"/>
  <c r="AP53" i="2"/>
  <c r="AP21" i="2"/>
  <c r="AP13" i="2"/>
  <c r="AP5" i="2"/>
  <c r="AP22" i="2"/>
  <c r="AP14" i="2"/>
  <c r="AP6" i="2"/>
  <c r="AP44" i="2"/>
  <c r="AP51" i="2"/>
  <c r="AP19" i="2"/>
  <c r="AP28" i="2"/>
  <c r="AP20" i="2"/>
  <c r="AP12" i="2"/>
  <c r="AP25" i="2"/>
  <c r="AP17" i="2"/>
  <c r="AP9" i="2"/>
  <c r="AP26" i="2"/>
  <c r="AP18" i="2"/>
  <c r="AP10" i="2"/>
  <c r="AP42" i="2"/>
  <c r="AP23" i="2"/>
  <c r="AP24" i="2"/>
  <c r="AP16" i="2"/>
  <c r="AP8" i="2"/>
  <c r="AP46" i="2"/>
  <c r="AP39" i="2"/>
  <c r="AP37" i="2"/>
  <c r="AP52" i="2"/>
  <c r="AP29" i="2"/>
  <c r="AP62" i="2"/>
  <c r="AP65" i="2"/>
  <c r="AP58" i="2"/>
  <c r="AP56" i="2"/>
  <c r="AP54" i="2"/>
  <c r="AP45" i="2"/>
  <c r="AP47" i="2"/>
  <c r="AP49" i="2"/>
  <c r="AP36" i="2"/>
  <c r="AP43" i="2"/>
  <c r="AP38" i="2"/>
  <c r="AP40" i="2"/>
  <c r="AP41" i="2"/>
  <c r="AP33" i="2"/>
  <c r="AP34" i="2"/>
  <c r="AP32" i="2"/>
  <c r="AP30" i="2"/>
  <c r="AP35" i="2"/>
  <c r="AM66" i="2"/>
  <c r="AN66" i="2"/>
  <c r="A10" i="2"/>
  <c r="AO66" i="2"/>
  <c r="H51" i="14"/>
  <c r="H32" i="14"/>
  <c r="G35" i="14"/>
  <c r="G39" i="14"/>
  <c r="H45" i="14"/>
  <c r="H46" i="14"/>
  <c r="H47" i="14"/>
  <c r="H31" i="14"/>
  <c r="H43" i="14"/>
  <c r="G41" i="14"/>
  <c r="H44" i="14"/>
  <c r="H48" i="14"/>
  <c r="H35" i="14"/>
  <c r="H39" i="14"/>
  <c r="G30" i="14"/>
  <c r="G34" i="14"/>
  <c r="G38" i="14"/>
  <c r="G42" i="14"/>
  <c r="G47" i="14"/>
  <c r="G51" i="14"/>
  <c r="B11" i="2" l="1"/>
  <c r="A9" i="2"/>
  <c r="AP66" i="2"/>
  <c r="A12" i="2"/>
  <c r="B14" i="2"/>
  <c r="G43" i="13"/>
  <c r="G42" i="13"/>
  <c r="G41" i="13"/>
  <c r="H39" i="13"/>
  <c r="H38" i="13"/>
  <c r="H37" i="13"/>
  <c r="G36" i="13"/>
  <c r="G35" i="13"/>
  <c r="G34" i="13"/>
  <c r="G33" i="13"/>
  <c r="H31" i="13"/>
  <c r="G30" i="13"/>
  <c r="H30" i="13"/>
  <c r="B13" i="2" l="1"/>
  <c r="A11" i="2"/>
  <c r="A14" i="2"/>
  <c r="B16" i="2"/>
  <c r="G31" i="13"/>
  <c r="G39" i="13"/>
  <c r="H33" i="13"/>
  <c r="H34" i="13"/>
  <c r="H35" i="13"/>
  <c r="H41" i="13"/>
  <c r="H42" i="13"/>
  <c r="H43" i="13"/>
  <c r="G32" i="13"/>
  <c r="G37" i="13"/>
  <c r="G38" i="13"/>
  <c r="G40" i="13"/>
  <c r="H32" i="13"/>
  <c r="H36" i="13"/>
  <c r="H40" i="13"/>
  <c r="B15" i="2" l="1"/>
  <c r="A13" i="2"/>
  <c r="A16" i="2"/>
  <c r="B18" i="2"/>
  <c r="B17" i="2" l="1"/>
  <c r="A15" i="2"/>
  <c r="A18" i="2"/>
  <c r="B20" i="2"/>
  <c r="A17" i="2" l="1"/>
  <c r="B19" i="2"/>
  <c r="A20" i="2"/>
  <c r="B22" i="2"/>
  <c r="H42" i="11"/>
  <c r="H41" i="11"/>
  <c r="G40" i="11"/>
  <c r="G37" i="11"/>
  <c r="G36" i="11"/>
  <c r="H35" i="11"/>
  <c r="G33" i="11"/>
  <c r="H31" i="11"/>
  <c r="H30" i="11"/>
  <c r="A19" i="2" l="1"/>
  <c r="B21" i="2"/>
  <c r="A22" i="2"/>
  <c r="B24" i="2"/>
  <c r="H33" i="11"/>
  <c r="H34" i="11"/>
  <c r="H39" i="11"/>
  <c r="G32" i="11"/>
  <c r="H37" i="11"/>
  <c r="H38" i="11"/>
  <c r="G41" i="11"/>
  <c r="H32" i="11"/>
  <c r="G30" i="11"/>
  <c r="G34" i="11"/>
  <c r="G38" i="11"/>
  <c r="G42" i="11"/>
  <c r="H36" i="11"/>
  <c r="H40" i="11"/>
  <c r="G31" i="11"/>
  <c r="G35" i="11"/>
  <c r="G39" i="11"/>
  <c r="A21" i="2" l="1"/>
  <c r="B23" i="2"/>
  <c r="B26" i="2"/>
  <c r="A24" i="2"/>
  <c r="B25" i="2" l="1"/>
  <c r="A23" i="2"/>
  <c r="B28" i="2"/>
  <c r="B30" i="2" s="1"/>
  <c r="A26" i="2"/>
  <c r="A25" i="2" l="1"/>
  <c r="B27" i="2"/>
  <c r="A28" i="2"/>
  <c r="G41" i="9"/>
  <c r="G40" i="9"/>
  <c r="G37" i="9"/>
  <c r="G36" i="9"/>
  <c r="G33" i="9"/>
  <c r="G32" i="9"/>
  <c r="G31" i="9"/>
  <c r="H30" i="9"/>
  <c r="A27" i="2" l="1"/>
  <c r="B29" i="2"/>
  <c r="B32" i="2"/>
  <c r="A30" i="2"/>
  <c r="H35" i="9"/>
  <c r="H39" i="9"/>
  <c r="H42" i="9"/>
  <c r="H33" i="9"/>
  <c r="H34" i="9"/>
  <c r="H37" i="9"/>
  <c r="H38" i="9"/>
  <c r="H41" i="9"/>
  <c r="H31" i="9"/>
  <c r="G30" i="9"/>
  <c r="G34" i="9"/>
  <c r="G38" i="9"/>
  <c r="G42" i="9"/>
  <c r="H32" i="9"/>
  <c r="H36" i="9"/>
  <c r="H40" i="9"/>
  <c r="G35" i="9"/>
  <c r="G39" i="9"/>
  <c r="A29" i="2" l="1"/>
  <c r="B31" i="2"/>
  <c r="A32" i="2"/>
  <c r="B34" i="2"/>
  <c r="A31" i="2" l="1"/>
  <c r="B33" i="2"/>
  <c r="A34" i="2"/>
  <c r="B36" i="2"/>
  <c r="A33" i="2" l="1"/>
  <c r="B35" i="2"/>
  <c r="A36" i="2"/>
  <c r="B38" i="2"/>
  <c r="A35" i="2" l="1"/>
  <c r="B37" i="2"/>
  <c r="A38" i="2"/>
  <c r="B40" i="2"/>
  <c r="AP47" i="17" l="1"/>
  <c r="A37" i="2"/>
  <c r="B39" i="2"/>
  <c r="AP53" i="17"/>
  <c r="AP51" i="17"/>
  <c r="AP48" i="17"/>
  <c r="AP46" i="17"/>
  <c r="AP45" i="17"/>
  <c r="AP52" i="17"/>
  <c r="AP50" i="17"/>
  <c r="AP44" i="17"/>
  <c r="AP49" i="17"/>
  <c r="AP54" i="17"/>
  <c r="AP55" i="17"/>
  <c r="A40" i="2"/>
  <c r="B42" i="2"/>
  <c r="H65" i="7"/>
  <c r="G65" i="7"/>
  <c r="H64" i="7"/>
  <c r="G64" i="7"/>
  <c r="H63" i="7"/>
  <c r="G63" i="7"/>
  <c r="H62" i="7"/>
  <c r="G62" i="7"/>
  <c r="H61" i="7"/>
  <c r="G61" i="7"/>
  <c r="H60" i="7"/>
  <c r="G60" i="7"/>
  <c r="H59" i="7"/>
  <c r="G59" i="7"/>
  <c r="H58" i="7"/>
  <c r="G58" i="7"/>
  <c r="H57" i="7"/>
  <c r="G57" i="7"/>
  <c r="H56" i="7"/>
  <c r="G56" i="7"/>
  <c r="H55" i="7"/>
  <c r="G55" i="7"/>
  <c r="H54" i="7"/>
  <c r="G54" i="7"/>
  <c r="H53" i="7"/>
  <c r="G53" i="7"/>
  <c r="H52" i="7"/>
  <c r="G52" i="7"/>
  <c r="H51" i="7"/>
  <c r="G51" i="7"/>
  <c r="H50" i="7"/>
  <c r="G50" i="7"/>
  <c r="G48" i="7"/>
  <c r="G44" i="7"/>
  <c r="G40" i="7"/>
  <c r="G36" i="7"/>
  <c r="G32" i="7"/>
  <c r="H30" i="7"/>
  <c r="G30" i="7"/>
  <c r="H49" i="7"/>
  <c r="H48" i="7"/>
  <c r="G47" i="7"/>
  <c r="H47" i="7"/>
  <c r="H46" i="7"/>
  <c r="H45" i="7"/>
  <c r="H44" i="7"/>
  <c r="G43" i="7"/>
  <c r="H43" i="7"/>
  <c r="H42" i="7"/>
  <c r="H41" i="7"/>
  <c r="H40" i="7"/>
  <c r="G39" i="7"/>
  <c r="H39" i="7"/>
  <c r="H38" i="7"/>
  <c r="H37" i="7"/>
  <c r="H36" i="7"/>
  <c r="G35" i="7"/>
  <c r="H35" i="7"/>
  <c r="H34" i="7"/>
  <c r="H33" i="7"/>
  <c r="H32" i="7"/>
  <c r="G31" i="7"/>
  <c r="H31" i="7"/>
  <c r="A39" i="2" l="1"/>
  <c r="B41" i="2"/>
  <c r="A42" i="2"/>
  <c r="B44" i="2"/>
  <c r="G34" i="7"/>
  <c r="G38" i="7"/>
  <c r="G42" i="7"/>
  <c r="G33" i="7"/>
  <c r="G37" i="7"/>
  <c r="G41" i="7"/>
  <c r="G45" i="7"/>
  <c r="G49" i="7"/>
  <c r="G46" i="7"/>
  <c r="A41" i="2" l="1"/>
  <c r="B43" i="2"/>
  <c r="B46" i="2"/>
  <c r="A44" i="2"/>
  <c r="B45" i="2" l="1"/>
  <c r="A43" i="2"/>
  <c r="B48" i="2"/>
  <c r="A46" i="2"/>
  <c r="G53" i="4"/>
  <c r="G52" i="4"/>
  <c r="H50" i="4"/>
  <c r="H49" i="4"/>
  <c r="H48" i="4"/>
  <c r="H42" i="4"/>
  <c r="H41" i="4"/>
  <c r="H40" i="4"/>
  <c r="H34" i="4"/>
  <c r="H33" i="4"/>
  <c r="H32" i="4"/>
  <c r="G31" i="4"/>
  <c r="H30" i="4"/>
  <c r="A45" i="2" l="1"/>
  <c r="B47" i="2"/>
  <c r="B50" i="2"/>
  <c r="A48" i="2"/>
  <c r="H36" i="4"/>
  <c r="H37" i="4"/>
  <c r="H38" i="4"/>
  <c r="H52" i="4"/>
  <c r="H53" i="4"/>
  <c r="G32" i="4"/>
  <c r="G33" i="4"/>
  <c r="G48" i="4"/>
  <c r="G49" i="4"/>
  <c r="H51" i="4"/>
  <c r="H31" i="4"/>
  <c r="H39" i="4"/>
  <c r="G30" i="4"/>
  <c r="G50" i="4"/>
  <c r="H35" i="4"/>
  <c r="G51" i="4"/>
  <c r="A47" i="2" l="1"/>
  <c r="B49" i="2"/>
  <c r="B52" i="2"/>
  <c r="A50" i="2"/>
  <c r="A49" i="2" l="1"/>
  <c r="B51" i="2"/>
  <c r="B54" i="2"/>
  <c r="A52" i="2"/>
  <c r="A51" i="2" l="1"/>
  <c r="B53" i="2"/>
  <c r="B56" i="2"/>
  <c r="A54" i="2"/>
  <c r="Z70" i="3"/>
  <c r="Z69" i="3"/>
  <c r="Y70" i="3"/>
  <c r="Y69" i="3"/>
  <c r="Y71" i="3" s="1"/>
  <c r="V71" i="3"/>
  <c r="Z71" i="3" l="1"/>
  <c r="W71" i="3"/>
  <c r="X71" i="3"/>
  <c r="A53" i="2"/>
  <c r="B55" i="2"/>
  <c r="B58" i="2"/>
  <c r="A56" i="2"/>
  <c r="A55" i="2" l="1"/>
  <c r="B57" i="2"/>
  <c r="B60" i="2"/>
  <c r="A58" i="2"/>
  <c r="A57" i="2" l="1"/>
  <c r="B59" i="2"/>
  <c r="B62" i="2"/>
  <c r="A60" i="2"/>
  <c r="A59" i="2" l="1"/>
  <c r="B61" i="2"/>
  <c r="B64" i="2"/>
  <c r="A64" i="2" s="1"/>
  <c r="A62" i="2"/>
  <c r="A61" i="2" l="1"/>
  <c r="B63" i="2"/>
  <c r="AP42" i="17"/>
  <c r="AP43" i="17"/>
  <c r="A63" i="2" l="1"/>
  <c r="B65" i="2"/>
  <c r="A65" i="2" s="1"/>
  <c r="AP41" i="17"/>
  <c r="AP40" i="17"/>
  <c r="AP38" i="17"/>
  <c r="AP39" i="17"/>
  <c r="T65" i="9"/>
  <c r="S65" i="9"/>
  <c r="R65" i="9"/>
  <c r="AM65" i="9" s="1"/>
  <c r="T64" i="9"/>
  <c r="S64" i="9"/>
  <c r="R64" i="9"/>
  <c r="AM64" i="9" s="1"/>
  <c r="T63" i="9"/>
  <c r="S63" i="9"/>
  <c r="R63" i="9"/>
  <c r="AM63" i="9" s="1"/>
  <c r="T62" i="9"/>
  <c r="S62" i="9"/>
  <c r="R62" i="9"/>
  <c r="AM62" i="9" s="1"/>
  <c r="T61" i="9"/>
  <c r="S61" i="9"/>
  <c r="R61" i="9"/>
  <c r="AM61" i="9" s="1"/>
  <c r="T60" i="9"/>
  <c r="S60" i="9"/>
  <c r="R60" i="9"/>
  <c r="AM60" i="9" s="1"/>
  <c r="T59" i="9"/>
  <c r="S59" i="9"/>
  <c r="R59" i="9"/>
  <c r="AM59" i="9" s="1"/>
  <c r="T58" i="9"/>
  <c r="S58" i="9"/>
  <c r="R58" i="9"/>
  <c r="AM58" i="9" s="1"/>
  <c r="T57" i="9"/>
  <c r="S57" i="9"/>
  <c r="R57" i="9"/>
  <c r="AM57" i="9" s="1"/>
  <c r="T56" i="9"/>
  <c r="S56" i="9"/>
  <c r="R56" i="9"/>
  <c r="AM56" i="9" s="1"/>
  <c r="T55" i="9"/>
  <c r="S55" i="9"/>
  <c r="R55" i="9"/>
  <c r="AM55" i="9" s="1"/>
  <c r="T54" i="9"/>
  <c r="S54" i="9"/>
  <c r="R54" i="9"/>
  <c r="AM54" i="9" s="1"/>
  <c r="G55" i="9" s="1"/>
  <c r="T53" i="9"/>
  <c r="S53" i="9"/>
  <c r="R53" i="9"/>
  <c r="AM53" i="9" s="1"/>
  <c r="G54" i="9" s="1"/>
  <c r="T52" i="9"/>
  <c r="S52" i="9"/>
  <c r="R52" i="9"/>
  <c r="AM52" i="9" s="1"/>
  <c r="G53" i="9" s="1"/>
  <c r="T51" i="9"/>
  <c r="S51" i="9"/>
  <c r="R51" i="9"/>
  <c r="AM51" i="9" s="1"/>
  <c r="G52" i="9" s="1"/>
  <c r="T50" i="9"/>
  <c r="S50" i="9"/>
  <c r="R50" i="9"/>
  <c r="AM50" i="9" s="1"/>
  <c r="G51" i="9" s="1"/>
  <c r="T49" i="9"/>
  <c r="S49" i="9"/>
  <c r="R49" i="9"/>
  <c r="AM49" i="9" s="1"/>
  <c r="G50" i="9" s="1"/>
  <c r="T48" i="9"/>
  <c r="S48" i="9"/>
  <c r="R48" i="9"/>
  <c r="AM48" i="9" s="1"/>
  <c r="G49" i="9" s="1"/>
  <c r="T47" i="9"/>
  <c r="S47" i="9"/>
  <c r="R47" i="9"/>
  <c r="AM47" i="9" s="1"/>
  <c r="G48" i="9" s="1"/>
  <c r="T46" i="9"/>
  <c r="S46" i="9"/>
  <c r="R46" i="9"/>
  <c r="AM46" i="9" s="1"/>
  <c r="G47" i="9" s="1"/>
  <c r="T45" i="9"/>
  <c r="S45" i="9"/>
  <c r="R45" i="9"/>
  <c r="AM45" i="9" s="1"/>
  <c r="G46" i="9" s="1"/>
  <c r="T44" i="9"/>
  <c r="S44" i="9"/>
  <c r="R44" i="9"/>
  <c r="AM44" i="9" s="1"/>
  <c r="G45" i="9" s="1"/>
  <c r="T43" i="9"/>
  <c r="S43" i="9"/>
  <c r="R43" i="9"/>
  <c r="AM43" i="9" s="1"/>
  <c r="G44" i="9" s="1"/>
  <c r="T42" i="9"/>
  <c r="S42" i="9"/>
  <c r="R42" i="9"/>
  <c r="AM42" i="9" s="1"/>
  <c r="G43" i="9" s="1"/>
  <c r="T41" i="9"/>
  <c r="S41" i="9"/>
  <c r="R41" i="9"/>
  <c r="AM41" i="9" s="1"/>
  <c r="T40" i="9"/>
  <c r="S40" i="9"/>
  <c r="R40" i="9"/>
  <c r="AM40" i="9" s="1"/>
  <c r="T39" i="9"/>
  <c r="S39" i="9"/>
  <c r="R39" i="9"/>
  <c r="AM39" i="9" s="1"/>
  <c r="T38" i="9"/>
  <c r="S38" i="9"/>
  <c r="R38" i="9"/>
  <c r="AM38" i="9" s="1"/>
  <c r="T37" i="9"/>
  <c r="S37" i="9"/>
  <c r="R37" i="9"/>
  <c r="AM37" i="9" s="1"/>
  <c r="T36" i="9"/>
  <c r="S36" i="9"/>
  <c r="R36" i="9"/>
  <c r="AM36" i="9" s="1"/>
  <c r="T35" i="9"/>
  <c r="S35" i="9"/>
  <c r="R35" i="9"/>
  <c r="AM35" i="9" s="1"/>
  <c r="T34" i="9"/>
  <c r="S34" i="9"/>
  <c r="R34" i="9"/>
  <c r="AM34" i="9" s="1"/>
  <c r="T33" i="9"/>
  <c r="S33" i="9"/>
  <c r="R33" i="9"/>
  <c r="AM33" i="9" s="1"/>
  <c r="T32" i="9"/>
  <c r="S32" i="9"/>
  <c r="R32" i="9"/>
  <c r="AM32" i="9" s="1"/>
  <c r="T31" i="9"/>
  <c r="S31" i="9"/>
  <c r="R31" i="9"/>
  <c r="AM31" i="9" s="1"/>
  <c r="T30" i="9"/>
  <c r="S30" i="9"/>
  <c r="R30" i="9"/>
  <c r="AM30" i="9" s="1"/>
  <c r="T29" i="9"/>
  <c r="S29" i="9"/>
  <c r="R29" i="9"/>
  <c r="AM29" i="9" s="1"/>
  <c r="T28" i="9"/>
  <c r="S28" i="9"/>
  <c r="R28" i="9"/>
  <c r="AM28" i="9" s="1"/>
  <c r="T27" i="9"/>
  <c r="S27" i="9"/>
  <c r="R27" i="9"/>
  <c r="AM27" i="9" s="1"/>
  <c r="T26" i="9"/>
  <c r="S26" i="9"/>
  <c r="R26" i="9"/>
  <c r="AM26" i="9" s="1"/>
  <c r="T25" i="9"/>
  <c r="S25" i="9"/>
  <c r="R25" i="9"/>
  <c r="AM25" i="9" s="1"/>
  <c r="T24" i="9"/>
  <c r="S24" i="9"/>
  <c r="R24" i="9"/>
  <c r="AM24" i="9" s="1"/>
  <c r="T23" i="9"/>
  <c r="S23" i="9"/>
  <c r="R23" i="9"/>
  <c r="AM23" i="9" s="1"/>
  <c r="T22" i="9"/>
  <c r="S22" i="9"/>
  <c r="R22" i="9"/>
  <c r="AM22" i="9" s="1"/>
  <c r="T21" i="9"/>
  <c r="S21" i="9"/>
  <c r="R21" i="9"/>
  <c r="AM21" i="9" s="1"/>
  <c r="T20" i="9"/>
  <c r="S20" i="9"/>
  <c r="R20" i="9"/>
  <c r="AM20" i="9" s="1"/>
  <c r="T19" i="9"/>
  <c r="S19" i="9"/>
  <c r="R19" i="9"/>
  <c r="AM19" i="9" s="1"/>
  <c r="T18" i="9"/>
  <c r="S18" i="9"/>
  <c r="R18" i="9"/>
  <c r="AM18" i="9" s="1"/>
  <c r="T17" i="9"/>
  <c r="S17" i="9"/>
  <c r="R17" i="9"/>
  <c r="AM17" i="9" s="1"/>
  <c r="T16" i="9"/>
  <c r="S16" i="9"/>
  <c r="R16" i="9"/>
  <c r="AM16" i="9" s="1"/>
  <c r="T15" i="9"/>
  <c r="S15" i="9"/>
  <c r="R15" i="9"/>
  <c r="AM15" i="9" s="1"/>
  <c r="T14" i="9"/>
  <c r="S14" i="9"/>
  <c r="R14" i="9"/>
  <c r="AM14" i="9" s="1"/>
  <c r="T13" i="9"/>
  <c r="S13" i="9"/>
  <c r="R13" i="9"/>
  <c r="AM13" i="9" s="1"/>
  <c r="T12" i="9"/>
  <c r="S12" i="9"/>
  <c r="R12" i="9"/>
  <c r="AM12" i="9" s="1"/>
  <c r="T11" i="9"/>
  <c r="S11" i="9"/>
  <c r="R11" i="9"/>
  <c r="AM11" i="9" s="1"/>
  <c r="T10" i="9"/>
  <c r="S10" i="9"/>
  <c r="R10" i="9"/>
  <c r="AM10" i="9" s="1"/>
  <c r="T9" i="9"/>
  <c r="S9" i="9"/>
  <c r="R9" i="9"/>
  <c r="AM9" i="9" s="1"/>
  <c r="T8" i="9"/>
  <c r="S8" i="9"/>
  <c r="R8" i="9"/>
  <c r="AM8" i="9" s="1"/>
  <c r="T7" i="9"/>
  <c r="S7" i="9"/>
  <c r="R7" i="9"/>
  <c r="AM7" i="9" s="1"/>
  <c r="T6" i="9"/>
  <c r="S6" i="9"/>
  <c r="R6" i="9"/>
  <c r="AM6" i="9" s="1"/>
  <c r="T5" i="9"/>
  <c r="S5" i="9"/>
  <c r="R5" i="9"/>
  <c r="AM5" i="9" s="1"/>
  <c r="AB65" i="9"/>
  <c r="AA65" i="9"/>
  <c r="AB64" i="9"/>
  <c r="AA64" i="9"/>
  <c r="AB63" i="9"/>
  <c r="AA63" i="9"/>
  <c r="AB62" i="9"/>
  <c r="AA62" i="9"/>
  <c r="AB61" i="9"/>
  <c r="AA61" i="9"/>
  <c r="AB60" i="9"/>
  <c r="AA60" i="9"/>
  <c r="AB59" i="9"/>
  <c r="AA59" i="9"/>
  <c r="AB58" i="9"/>
  <c r="AA58" i="9"/>
  <c r="AB57" i="9"/>
  <c r="AA57" i="9"/>
  <c r="AB56" i="9"/>
  <c r="AA56" i="9"/>
  <c r="AB55" i="9"/>
  <c r="AA55" i="9"/>
  <c r="AB54" i="9"/>
  <c r="AA54" i="9"/>
  <c r="AB53" i="9"/>
  <c r="AA53" i="9"/>
  <c r="AB52" i="9"/>
  <c r="AA52" i="9"/>
  <c r="AL65" i="9"/>
  <c r="AK65" i="9"/>
  <c r="AL64" i="9"/>
  <c r="AK64" i="9"/>
  <c r="AL63" i="9"/>
  <c r="AK63" i="9"/>
  <c r="AL62" i="9"/>
  <c r="AK62" i="9"/>
  <c r="AL61" i="9"/>
  <c r="AK61" i="9"/>
  <c r="AL60" i="9"/>
  <c r="AK60" i="9"/>
  <c r="AL59" i="9"/>
  <c r="AK59" i="9"/>
  <c r="AL58" i="9"/>
  <c r="AK58" i="9"/>
  <c r="AL57" i="9"/>
  <c r="AK57" i="9"/>
  <c r="AL56" i="9"/>
  <c r="AK56" i="9"/>
  <c r="AL55" i="9"/>
  <c r="AK55" i="9"/>
  <c r="AL54" i="9"/>
  <c r="AK54" i="9"/>
  <c r="AL53" i="9"/>
  <c r="AK53" i="9"/>
  <c r="AL52" i="9"/>
  <c r="AK52" i="9"/>
  <c r="AL51" i="9"/>
  <c r="AK51" i="9"/>
  <c r="AL50" i="9"/>
  <c r="AK50" i="9"/>
  <c r="AL49" i="9"/>
  <c r="AK49" i="9"/>
  <c r="AL48" i="9"/>
  <c r="AK48" i="9"/>
  <c r="AL47" i="9"/>
  <c r="AK47" i="9"/>
  <c r="AL46" i="9"/>
  <c r="AK46" i="9"/>
  <c r="AL45" i="9"/>
  <c r="AK45" i="9"/>
  <c r="AL44" i="9"/>
  <c r="AK44" i="9"/>
  <c r="AL43" i="9"/>
  <c r="AK43" i="9"/>
  <c r="AL42" i="9"/>
  <c r="AK42" i="9"/>
  <c r="AL41" i="9"/>
  <c r="AK41" i="9"/>
  <c r="AL40" i="9"/>
  <c r="AK40" i="9"/>
  <c r="AL39" i="9"/>
  <c r="AK39" i="9"/>
  <c r="AL38" i="9"/>
  <c r="AK38" i="9"/>
  <c r="AL37" i="9"/>
  <c r="AK37" i="9"/>
  <c r="AL36" i="9"/>
  <c r="AK36" i="9"/>
  <c r="AL35" i="9"/>
  <c r="AK35" i="9"/>
  <c r="AL34" i="9"/>
  <c r="AK34" i="9"/>
  <c r="AL33" i="9"/>
  <c r="AK33" i="9"/>
  <c r="AL32" i="9"/>
  <c r="AK32" i="9"/>
  <c r="AL31" i="9"/>
  <c r="AK31" i="9"/>
  <c r="AL30" i="9"/>
  <c r="AK30" i="9"/>
  <c r="AL29" i="9"/>
  <c r="AK29" i="9"/>
  <c r="AL28" i="9"/>
  <c r="AK28" i="9"/>
  <c r="AL27" i="9"/>
  <c r="AK27" i="9"/>
  <c r="AL26" i="9"/>
  <c r="AK26" i="9"/>
  <c r="AL25" i="9"/>
  <c r="AK25" i="9"/>
  <c r="AL24" i="9"/>
  <c r="AK24" i="9"/>
  <c r="AL23" i="9"/>
  <c r="AK23" i="9"/>
  <c r="AL22" i="9"/>
  <c r="AK22" i="9"/>
  <c r="AL21" i="9"/>
  <c r="AK21" i="9"/>
  <c r="AL20" i="9"/>
  <c r="AK20" i="9"/>
  <c r="AL19" i="9"/>
  <c r="AK19" i="9"/>
  <c r="AL18" i="9"/>
  <c r="AK18" i="9"/>
  <c r="AL17" i="9"/>
  <c r="AK17" i="9"/>
  <c r="AL16" i="9"/>
  <c r="AK16" i="9"/>
  <c r="AL15" i="9"/>
  <c r="AK15" i="9"/>
  <c r="AL14" i="9"/>
  <c r="AK14" i="9"/>
  <c r="AL13" i="9"/>
  <c r="AK13" i="9"/>
  <c r="AL12" i="9"/>
  <c r="AK12" i="9"/>
  <c r="AL11" i="9"/>
  <c r="AK11" i="9"/>
  <c r="AL10" i="9"/>
  <c r="AK10" i="9"/>
  <c r="AL9" i="9"/>
  <c r="AK9" i="9"/>
  <c r="AL8" i="9"/>
  <c r="AK8" i="9"/>
  <c r="AL7" i="9"/>
  <c r="AK7" i="9"/>
  <c r="AL6" i="9"/>
  <c r="AK6" i="9"/>
  <c r="AL5" i="9"/>
  <c r="AK5" i="9"/>
  <c r="AM29" i="12"/>
  <c r="H28" i="14"/>
  <c r="G27" i="14"/>
  <c r="H27" i="14"/>
  <c r="H25" i="14"/>
  <c r="G23" i="14"/>
  <c r="G22" i="14"/>
  <c r="H20" i="14"/>
  <c r="H19" i="14"/>
  <c r="G18" i="14"/>
  <c r="H18" i="14"/>
  <c r="G16" i="14"/>
  <c r="H16" i="14"/>
  <c r="AT35" i="9" l="1"/>
  <c r="AT25" i="9"/>
  <c r="AT39" i="9"/>
  <c r="AT41" i="9"/>
  <c r="AT55" i="9"/>
  <c r="AT61" i="9"/>
  <c r="G20" i="14"/>
  <c r="H21" i="14"/>
  <c r="H23" i="14"/>
  <c r="H24" i="14"/>
  <c r="G17" i="14"/>
  <c r="G19" i="14"/>
  <c r="G26" i="14"/>
  <c r="H29" i="14"/>
  <c r="H17" i="14"/>
  <c r="G24" i="14"/>
  <c r="G28" i="14"/>
  <c r="H22" i="14"/>
  <c r="H26" i="14"/>
  <c r="G21" i="14"/>
  <c r="G25" i="14"/>
  <c r="G29" i="14"/>
  <c r="H29" i="13" l="1"/>
  <c r="H28" i="13"/>
  <c r="H27" i="13"/>
  <c r="G25" i="13"/>
  <c r="H25" i="13"/>
  <c r="H24" i="13"/>
  <c r="G23" i="13"/>
  <c r="G22" i="13"/>
  <c r="H21" i="13"/>
  <c r="G19" i="13"/>
  <c r="G17" i="13"/>
  <c r="H17" i="13"/>
  <c r="H16" i="13"/>
  <c r="H20" i="13" l="1"/>
  <c r="G21" i="13"/>
  <c r="H23" i="13"/>
  <c r="G26" i="13"/>
  <c r="H19" i="13"/>
  <c r="G18" i="13"/>
  <c r="G27" i="13"/>
  <c r="G29" i="13"/>
  <c r="G16" i="13"/>
  <c r="G20" i="13"/>
  <c r="G24" i="13"/>
  <c r="G28" i="13"/>
  <c r="H26" i="13"/>
  <c r="H18" i="13"/>
  <c r="H22" i="13"/>
  <c r="H29" i="11" l="1"/>
  <c r="G28" i="11"/>
  <c r="H28" i="11"/>
  <c r="G27" i="11"/>
  <c r="H27" i="11"/>
  <c r="G26" i="11"/>
  <c r="G24" i="11"/>
  <c r="G23" i="11"/>
  <c r="G22" i="11"/>
  <c r="H21" i="11"/>
  <c r="G20" i="11"/>
  <c r="H20" i="11"/>
  <c r="G19" i="11"/>
  <c r="H19" i="11"/>
  <c r="G18" i="11"/>
  <c r="G16" i="11"/>
  <c r="H16" i="11"/>
  <c r="H17" i="11" l="1"/>
  <c r="H23" i="11"/>
  <c r="H24" i="11"/>
  <c r="H25" i="11"/>
  <c r="H18" i="11"/>
  <c r="H22" i="11"/>
  <c r="H26" i="11"/>
  <c r="G17" i="11"/>
  <c r="G21" i="11"/>
  <c r="G25" i="11"/>
  <c r="G29" i="11"/>
  <c r="AS29" i="10" l="1"/>
  <c r="G16" i="8" l="1"/>
  <c r="H16" i="8"/>
  <c r="AP32" i="17" l="1"/>
  <c r="AP34" i="17"/>
  <c r="AP35" i="17"/>
  <c r="AP31" i="17"/>
  <c r="AP36" i="17"/>
  <c r="AP37" i="17"/>
  <c r="AP33" i="17"/>
  <c r="AM30" i="4"/>
  <c r="AM31" i="4"/>
  <c r="AM32" i="4"/>
  <c r="AM33" i="4"/>
  <c r="AM34" i="4"/>
  <c r="AM35" i="4"/>
  <c r="AP30" i="17" l="1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G29" i="13" l="1"/>
  <c r="R29" i="13"/>
  <c r="T29" i="13"/>
  <c r="AB29" i="13" l="1"/>
  <c r="G29" i="4" l="1"/>
  <c r="G27" i="4"/>
  <c r="G26" i="4"/>
  <c r="H24" i="4"/>
  <c r="H23" i="4"/>
  <c r="H22" i="4"/>
  <c r="G21" i="4"/>
  <c r="G19" i="4"/>
  <c r="G18" i="4"/>
  <c r="H16" i="4"/>
  <c r="H18" i="4" l="1"/>
  <c r="H19" i="4"/>
  <c r="H20" i="4"/>
  <c r="H26" i="4"/>
  <c r="H27" i="4"/>
  <c r="H28" i="4"/>
  <c r="G17" i="4"/>
  <c r="G22" i="4"/>
  <c r="G23" i="4"/>
  <c r="G25" i="4"/>
  <c r="H21" i="4"/>
  <c r="H25" i="4"/>
  <c r="H29" i="4"/>
  <c r="G16" i="4"/>
  <c r="G20" i="4"/>
  <c r="G24" i="4"/>
  <c r="G28" i="4"/>
  <c r="H17" i="4"/>
  <c r="A61" i="17" l="1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L5" i="17"/>
  <c r="AK5" i="17"/>
  <c r="AM5" i="17"/>
  <c r="A5" i="17"/>
  <c r="AR4" i="17"/>
  <c r="AL4" i="17"/>
  <c r="AK4" i="17"/>
  <c r="T4" i="17"/>
  <c r="S4" i="17"/>
  <c r="R4" i="17"/>
  <c r="AM4" i="17" s="1"/>
  <c r="A4" i="17"/>
  <c r="AM66" i="17" l="1"/>
  <c r="AO4" i="17"/>
  <c r="AN4" i="17"/>
  <c r="AO5" i="17"/>
  <c r="AN5" i="17"/>
  <c r="AN66" i="17" l="1"/>
  <c r="AO66" i="17"/>
  <c r="J16" i="1" s="1"/>
  <c r="AP4" i="17"/>
  <c r="AP6" i="17"/>
  <c r="AP10" i="17"/>
  <c r="AP12" i="17"/>
  <c r="AQ23" i="17" s="1"/>
  <c r="AP8" i="17"/>
  <c r="AP15" i="17"/>
  <c r="AP14" i="17"/>
  <c r="AP13" i="17"/>
  <c r="AP17" i="17"/>
  <c r="AP16" i="17"/>
  <c r="AP11" i="17"/>
  <c r="AQ20" i="17"/>
  <c r="AP5" i="17"/>
  <c r="AP7" i="17"/>
  <c r="AP9" i="17"/>
  <c r="AP23" i="17"/>
  <c r="H16" i="1"/>
  <c r="AP24" i="17"/>
  <c r="AP28" i="17"/>
  <c r="AP19" i="17"/>
  <c r="AP22" i="17"/>
  <c r="AP18" i="17"/>
  <c r="AP27" i="17"/>
  <c r="AP29" i="17"/>
  <c r="AP26" i="17"/>
  <c r="AP25" i="17"/>
  <c r="AQ4" i="17" l="1"/>
  <c r="AQ12" i="17"/>
  <c r="AQ29" i="17"/>
  <c r="AQ6" i="17"/>
  <c r="AQ18" i="17"/>
  <c r="AQ28" i="17"/>
  <c r="AQ22" i="17"/>
  <c r="AQ25" i="17"/>
  <c r="AP21" i="17"/>
  <c r="AQ21" i="17"/>
  <c r="AQ62" i="17"/>
  <c r="AQ65" i="17"/>
  <c r="AQ64" i="17"/>
  <c r="AQ63" i="17"/>
  <c r="AQ58" i="17"/>
  <c r="AQ61" i="17"/>
  <c r="AQ56" i="17"/>
  <c r="AQ59" i="17"/>
  <c r="AQ57" i="17"/>
  <c r="AQ60" i="17"/>
  <c r="AQ54" i="17"/>
  <c r="AQ52" i="17"/>
  <c r="AQ48" i="17"/>
  <c r="AQ55" i="17"/>
  <c r="AQ45" i="17"/>
  <c r="AQ51" i="17"/>
  <c r="AQ44" i="17"/>
  <c r="AQ49" i="17"/>
  <c r="AQ50" i="17"/>
  <c r="AQ47" i="17"/>
  <c r="AQ46" i="17"/>
  <c r="AQ53" i="17"/>
  <c r="AQ42" i="17"/>
  <c r="AQ43" i="17"/>
  <c r="AQ38" i="17"/>
  <c r="AQ40" i="17"/>
  <c r="AQ39" i="17"/>
  <c r="AQ41" i="17"/>
  <c r="AQ34" i="17"/>
  <c r="AQ35" i="17"/>
  <c r="AQ31" i="17"/>
  <c r="AQ37" i="17"/>
  <c r="AQ36" i="17"/>
  <c r="AQ33" i="17"/>
  <c r="AQ32" i="17"/>
  <c r="AQ30" i="17"/>
  <c r="AQ10" i="17"/>
  <c r="AQ16" i="17"/>
  <c r="AQ14" i="17"/>
  <c r="AQ11" i="17"/>
  <c r="AQ19" i="17"/>
  <c r="AQ5" i="17"/>
  <c r="AQ8" i="17"/>
  <c r="AQ7" i="17"/>
  <c r="AQ17" i="17"/>
  <c r="AQ24" i="17"/>
  <c r="AQ27" i="17"/>
  <c r="AQ13" i="17"/>
  <c r="AQ9" i="17"/>
  <c r="AQ15" i="17"/>
  <c r="AQ26" i="17"/>
  <c r="I16" i="1"/>
  <c r="M16" i="1" s="1"/>
  <c r="AP20" i="17"/>
  <c r="G15" i="14"/>
  <c r="H15" i="14"/>
  <c r="H14" i="14"/>
  <c r="H13" i="14"/>
  <c r="AB59" i="14"/>
  <c r="AA59" i="14"/>
  <c r="AB58" i="14"/>
  <c r="AA58" i="14"/>
  <c r="AB57" i="14"/>
  <c r="AA57" i="14"/>
  <c r="AB56" i="14"/>
  <c r="AA56" i="14"/>
  <c r="AB55" i="14"/>
  <c r="AA55" i="14"/>
  <c r="AB54" i="14"/>
  <c r="AA54" i="14"/>
  <c r="AB53" i="14"/>
  <c r="AA53" i="14"/>
  <c r="AB52" i="14"/>
  <c r="AA52" i="14"/>
  <c r="AB51" i="14"/>
  <c r="AA51" i="14"/>
  <c r="AB50" i="14"/>
  <c r="AA50" i="14"/>
  <c r="AB49" i="14"/>
  <c r="AA49" i="14"/>
  <c r="AB48" i="14"/>
  <c r="AA48" i="14"/>
  <c r="AB47" i="14"/>
  <c r="AA47" i="14"/>
  <c r="AB46" i="14"/>
  <c r="AA46" i="14"/>
  <c r="AB45" i="14"/>
  <c r="AA45" i="14"/>
  <c r="AB44" i="14"/>
  <c r="AA44" i="14"/>
  <c r="AB43" i="14"/>
  <c r="AA43" i="14"/>
  <c r="AB42" i="14"/>
  <c r="AA42" i="14"/>
  <c r="AB41" i="14"/>
  <c r="AA41" i="14"/>
  <c r="AB40" i="14"/>
  <c r="AA40" i="14"/>
  <c r="AB39" i="14"/>
  <c r="AA39" i="14"/>
  <c r="AB38" i="14"/>
  <c r="AA38" i="14"/>
  <c r="AB37" i="14"/>
  <c r="AA37" i="14"/>
  <c r="AB36" i="14"/>
  <c r="AA36" i="14"/>
  <c r="AB35" i="14"/>
  <c r="AA35" i="14"/>
  <c r="AA34" i="14"/>
  <c r="AB33" i="14"/>
  <c r="AA33" i="14"/>
  <c r="AB32" i="14"/>
  <c r="AA32" i="14"/>
  <c r="AB31" i="14"/>
  <c r="AA31" i="14"/>
  <c r="AB30" i="14"/>
  <c r="AA30" i="14"/>
  <c r="AB29" i="14"/>
  <c r="AA29" i="14"/>
  <c r="AB28" i="14"/>
  <c r="AA28" i="14"/>
  <c r="AB27" i="14"/>
  <c r="AA27" i="14"/>
  <c r="AB26" i="14"/>
  <c r="AA26" i="14"/>
  <c r="AB25" i="14"/>
  <c r="AA25" i="14"/>
  <c r="AB24" i="14"/>
  <c r="AA24" i="14"/>
  <c r="AB23" i="14"/>
  <c r="AA23" i="14"/>
  <c r="AB22" i="14"/>
  <c r="AA22" i="14"/>
  <c r="AB21" i="14"/>
  <c r="AA21" i="14"/>
  <c r="AB20" i="14"/>
  <c r="AA20" i="14"/>
  <c r="AB19" i="14"/>
  <c r="AA19" i="14"/>
  <c r="AB18" i="14"/>
  <c r="AA18" i="14"/>
  <c r="AB17" i="14"/>
  <c r="AA17" i="14"/>
  <c r="AB16" i="14"/>
  <c r="AA16" i="14"/>
  <c r="AB15" i="14"/>
  <c r="AA15" i="14"/>
  <c r="AB14" i="14"/>
  <c r="AA14" i="14"/>
  <c r="AB13" i="14"/>
  <c r="AA13" i="14"/>
  <c r="AB12" i="14"/>
  <c r="AA12" i="14"/>
  <c r="AB11" i="14"/>
  <c r="AA11" i="14"/>
  <c r="AB10" i="14"/>
  <c r="AA10" i="14"/>
  <c r="AB9" i="14"/>
  <c r="AA9" i="14"/>
  <c r="AB8" i="14"/>
  <c r="AA8" i="14"/>
  <c r="AB7" i="14"/>
  <c r="AA7" i="14"/>
  <c r="AB6" i="14"/>
  <c r="AA6" i="14"/>
  <c r="AB5" i="14"/>
  <c r="AA5" i="14"/>
  <c r="T59" i="14"/>
  <c r="S59" i="14"/>
  <c r="R59" i="14"/>
  <c r="T58" i="14"/>
  <c r="S58" i="14"/>
  <c r="R58" i="14"/>
  <c r="T57" i="14"/>
  <c r="S57" i="14"/>
  <c r="R57" i="14"/>
  <c r="T56" i="14"/>
  <c r="S56" i="14"/>
  <c r="R56" i="14"/>
  <c r="T55" i="14"/>
  <c r="S55" i="14"/>
  <c r="R55" i="14"/>
  <c r="T54" i="14"/>
  <c r="S54" i="14"/>
  <c r="R54" i="14"/>
  <c r="T53" i="14"/>
  <c r="S53" i="14"/>
  <c r="R53" i="14"/>
  <c r="T52" i="14"/>
  <c r="S52" i="14"/>
  <c r="R52" i="14"/>
  <c r="T51" i="14"/>
  <c r="S51" i="14"/>
  <c r="R51" i="14"/>
  <c r="T50" i="14"/>
  <c r="S50" i="14"/>
  <c r="R50" i="14"/>
  <c r="T49" i="14"/>
  <c r="S49" i="14"/>
  <c r="R49" i="14"/>
  <c r="T48" i="14"/>
  <c r="S48" i="14"/>
  <c r="R48" i="14"/>
  <c r="T47" i="14"/>
  <c r="S47" i="14"/>
  <c r="R47" i="14"/>
  <c r="T46" i="14"/>
  <c r="S46" i="14"/>
  <c r="R46" i="14"/>
  <c r="T45" i="14"/>
  <c r="S45" i="14"/>
  <c r="R45" i="14"/>
  <c r="T44" i="14"/>
  <c r="S44" i="14"/>
  <c r="R44" i="14"/>
  <c r="T43" i="14"/>
  <c r="S43" i="14"/>
  <c r="R43" i="14"/>
  <c r="T42" i="14"/>
  <c r="S42" i="14"/>
  <c r="R42" i="14"/>
  <c r="T41" i="14"/>
  <c r="S41" i="14"/>
  <c r="R41" i="14"/>
  <c r="T40" i="14"/>
  <c r="S40" i="14"/>
  <c r="R40" i="14"/>
  <c r="T39" i="14"/>
  <c r="S39" i="14"/>
  <c r="R39" i="14"/>
  <c r="T38" i="14"/>
  <c r="S38" i="14"/>
  <c r="R38" i="14"/>
  <c r="T37" i="14"/>
  <c r="S37" i="14"/>
  <c r="R37" i="14"/>
  <c r="T36" i="14"/>
  <c r="S36" i="14"/>
  <c r="R36" i="14"/>
  <c r="T35" i="14"/>
  <c r="S35" i="14"/>
  <c r="R35" i="14"/>
  <c r="T34" i="14"/>
  <c r="S34" i="14"/>
  <c r="R34" i="14"/>
  <c r="T33" i="14"/>
  <c r="S33" i="14"/>
  <c r="R33" i="14"/>
  <c r="T32" i="14"/>
  <c r="S32" i="14"/>
  <c r="R32" i="14"/>
  <c r="T31" i="14"/>
  <c r="S31" i="14"/>
  <c r="R31" i="14"/>
  <c r="T30" i="14"/>
  <c r="S30" i="14"/>
  <c r="R30" i="14"/>
  <c r="T29" i="14"/>
  <c r="S29" i="14"/>
  <c r="R29" i="14"/>
  <c r="AM29" i="14" s="1"/>
  <c r="T28" i="14"/>
  <c r="S28" i="14"/>
  <c r="R28" i="14"/>
  <c r="T27" i="14"/>
  <c r="S27" i="14"/>
  <c r="R27" i="14"/>
  <c r="T26" i="14"/>
  <c r="S26" i="14"/>
  <c r="R26" i="14"/>
  <c r="T25" i="14"/>
  <c r="S25" i="14"/>
  <c r="R25" i="14"/>
  <c r="T24" i="14"/>
  <c r="S24" i="14"/>
  <c r="R24" i="14"/>
  <c r="T23" i="14"/>
  <c r="S23" i="14"/>
  <c r="R23" i="14"/>
  <c r="T22" i="14"/>
  <c r="S22" i="14"/>
  <c r="R22" i="14"/>
  <c r="T21" i="14"/>
  <c r="S21" i="14"/>
  <c r="R21" i="14"/>
  <c r="T20" i="14"/>
  <c r="S20" i="14"/>
  <c r="R20" i="14"/>
  <c r="T19" i="14"/>
  <c r="S19" i="14"/>
  <c r="R19" i="14"/>
  <c r="T18" i="14"/>
  <c r="S18" i="14"/>
  <c r="R18" i="14"/>
  <c r="T17" i="14"/>
  <c r="S17" i="14"/>
  <c r="R17" i="14"/>
  <c r="T16" i="14"/>
  <c r="S16" i="14"/>
  <c r="R16" i="14"/>
  <c r="T15" i="14"/>
  <c r="S15" i="14"/>
  <c r="R15" i="14"/>
  <c r="T14" i="14"/>
  <c r="S14" i="14"/>
  <c r="R14" i="14"/>
  <c r="T13" i="14"/>
  <c r="S13" i="14"/>
  <c r="R13" i="14"/>
  <c r="T12" i="14"/>
  <c r="S12" i="14"/>
  <c r="R12" i="14"/>
  <c r="T11" i="14"/>
  <c r="S11" i="14"/>
  <c r="R11" i="14"/>
  <c r="T10" i="14"/>
  <c r="S10" i="14"/>
  <c r="R10" i="14"/>
  <c r="T9" i="14"/>
  <c r="S9" i="14"/>
  <c r="R9" i="14"/>
  <c r="T8" i="14"/>
  <c r="S8" i="14"/>
  <c r="R8" i="14"/>
  <c r="T7" i="14"/>
  <c r="S7" i="14"/>
  <c r="R7" i="14"/>
  <c r="T6" i="14"/>
  <c r="S6" i="14"/>
  <c r="R6" i="14"/>
  <c r="T5" i="14"/>
  <c r="S5" i="14"/>
  <c r="R5" i="14"/>
  <c r="AB65" i="13"/>
  <c r="AA65" i="13"/>
  <c r="AB64" i="13"/>
  <c r="AA64" i="13"/>
  <c r="AB63" i="13"/>
  <c r="AA63" i="13"/>
  <c r="AB62" i="13"/>
  <c r="AA62" i="13"/>
  <c r="AB61" i="13"/>
  <c r="AB60" i="13"/>
  <c r="AB59" i="13"/>
  <c r="AB58" i="13"/>
  <c r="AB57" i="13"/>
  <c r="AB56" i="13"/>
  <c r="AB55" i="13"/>
  <c r="AB54" i="13"/>
  <c r="AB53" i="13"/>
  <c r="AB52" i="13"/>
  <c r="AB51" i="13"/>
  <c r="AB50" i="13"/>
  <c r="AB49" i="13"/>
  <c r="AB48" i="13"/>
  <c r="AB47" i="13"/>
  <c r="AA47" i="13"/>
  <c r="AB46" i="13"/>
  <c r="AA46" i="13"/>
  <c r="AB45" i="13"/>
  <c r="AA45" i="13"/>
  <c r="AB44" i="13"/>
  <c r="AA44" i="13"/>
  <c r="AB43" i="13"/>
  <c r="AB42" i="13"/>
  <c r="AB41" i="13"/>
  <c r="AB40" i="13"/>
  <c r="AB39" i="13"/>
  <c r="AB38" i="13"/>
  <c r="AB37" i="13"/>
  <c r="AB36" i="13"/>
  <c r="AB35" i="13"/>
  <c r="AB34" i="13"/>
  <c r="AB33" i="13"/>
  <c r="AB32" i="13"/>
  <c r="AB31" i="13"/>
  <c r="AB30" i="13"/>
  <c r="AA29" i="13"/>
  <c r="AB28" i="13"/>
  <c r="AA28" i="13"/>
  <c r="AB27" i="13"/>
  <c r="AA27" i="13"/>
  <c r="AB26" i="13"/>
  <c r="AA26" i="13"/>
  <c r="AB25" i="13"/>
  <c r="AA25" i="13"/>
  <c r="AB24" i="13"/>
  <c r="AA24" i="13"/>
  <c r="AB23" i="13"/>
  <c r="AA23" i="13"/>
  <c r="AB22" i="13"/>
  <c r="AA22" i="13"/>
  <c r="AB21" i="13"/>
  <c r="AA21" i="13"/>
  <c r="AB20" i="13"/>
  <c r="AA20" i="13"/>
  <c r="AB19" i="13"/>
  <c r="AB18" i="13"/>
  <c r="AB17" i="13"/>
  <c r="AB16" i="13"/>
  <c r="AB15" i="13"/>
  <c r="AB14" i="13"/>
  <c r="AB13" i="13"/>
  <c r="AB12" i="13"/>
  <c r="AB11" i="13"/>
  <c r="AB10" i="13"/>
  <c r="AB9" i="13"/>
  <c r="AB8" i="13"/>
  <c r="AB7" i="13"/>
  <c r="AB6" i="13"/>
  <c r="AB5" i="13"/>
  <c r="AA5" i="13"/>
  <c r="AB4" i="13"/>
  <c r="AA4" i="13"/>
  <c r="AG65" i="13"/>
  <c r="AF65" i="13"/>
  <c r="AG64" i="13"/>
  <c r="AF64" i="13"/>
  <c r="AG63" i="13"/>
  <c r="AF63" i="13"/>
  <c r="AG62" i="13"/>
  <c r="AF62" i="13"/>
  <c r="AG61" i="13"/>
  <c r="AF61" i="13"/>
  <c r="AG60" i="13"/>
  <c r="AF60" i="13"/>
  <c r="AG59" i="13"/>
  <c r="AF59" i="13"/>
  <c r="AG58" i="13"/>
  <c r="AF58" i="13"/>
  <c r="AG57" i="13"/>
  <c r="AF57" i="13"/>
  <c r="AG56" i="13"/>
  <c r="AF56" i="13"/>
  <c r="AG55" i="13"/>
  <c r="AF55" i="13"/>
  <c r="AG54" i="13"/>
  <c r="AF54" i="13"/>
  <c r="AG53" i="13"/>
  <c r="AF53" i="13"/>
  <c r="AG52" i="13"/>
  <c r="AF52" i="13"/>
  <c r="AG51" i="13"/>
  <c r="AF51" i="13"/>
  <c r="AG50" i="13"/>
  <c r="AF50" i="13"/>
  <c r="AG49" i="13"/>
  <c r="AF49" i="13"/>
  <c r="AG48" i="13"/>
  <c r="AF48" i="13"/>
  <c r="AG47" i="13"/>
  <c r="AF47" i="13"/>
  <c r="AG46" i="13"/>
  <c r="AF46" i="13"/>
  <c r="AG45" i="13"/>
  <c r="AF45" i="13"/>
  <c r="AG44" i="13"/>
  <c r="AF44" i="13"/>
  <c r="AG43" i="13"/>
  <c r="AF43" i="13"/>
  <c r="AG42" i="13"/>
  <c r="AF42" i="13"/>
  <c r="AG41" i="13"/>
  <c r="AF41" i="13"/>
  <c r="AG40" i="13"/>
  <c r="AF40" i="13"/>
  <c r="AG39" i="13"/>
  <c r="AF39" i="13"/>
  <c r="AG38" i="13"/>
  <c r="AF38" i="13"/>
  <c r="AG37" i="13"/>
  <c r="AF37" i="13"/>
  <c r="AG36" i="13"/>
  <c r="AF36" i="13"/>
  <c r="AG35" i="13"/>
  <c r="AF35" i="13"/>
  <c r="AG34" i="13"/>
  <c r="AF34" i="13"/>
  <c r="AG33" i="13"/>
  <c r="AF33" i="13"/>
  <c r="AG32" i="13"/>
  <c r="AF32" i="13"/>
  <c r="AG31" i="13"/>
  <c r="AF31" i="13"/>
  <c r="AG30" i="13"/>
  <c r="AF30" i="13"/>
  <c r="AF29" i="13"/>
  <c r="AG28" i="13"/>
  <c r="AF28" i="13"/>
  <c r="AG27" i="13"/>
  <c r="AF27" i="13"/>
  <c r="AG26" i="13"/>
  <c r="AF26" i="13"/>
  <c r="AG25" i="13"/>
  <c r="AF25" i="13"/>
  <c r="AG24" i="13"/>
  <c r="AF24" i="13"/>
  <c r="AG23" i="13"/>
  <c r="AF23" i="13"/>
  <c r="AG22" i="13"/>
  <c r="AF22" i="13"/>
  <c r="AG21" i="13"/>
  <c r="AF21" i="13"/>
  <c r="AG20" i="13"/>
  <c r="AG19" i="13"/>
  <c r="AF19" i="13"/>
  <c r="AG18" i="13"/>
  <c r="AF18" i="13"/>
  <c r="AG17" i="13"/>
  <c r="AF17" i="13"/>
  <c r="AG16" i="13"/>
  <c r="AF16" i="13"/>
  <c r="AG15" i="13"/>
  <c r="AF15" i="13"/>
  <c r="AG14" i="13"/>
  <c r="AF14" i="13"/>
  <c r="AG13" i="13"/>
  <c r="AF13" i="13"/>
  <c r="AG12" i="13"/>
  <c r="AF12" i="13"/>
  <c r="AG11" i="13"/>
  <c r="AF11" i="13"/>
  <c r="AG10" i="13"/>
  <c r="AF10" i="13"/>
  <c r="AG9" i="13"/>
  <c r="AF9" i="13"/>
  <c r="AG8" i="13"/>
  <c r="AF8" i="13"/>
  <c r="AG7" i="13"/>
  <c r="AF7" i="13"/>
  <c r="AG6" i="13"/>
  <c r="AF6" i="13"/>
  <c r="AG5" i="13"/>
  <c r="AF5" i="13"/>
  <c r="G15" i="11"/>
  <c r="G13" i="11"/>
  <c r="G12" i="11"/>
  <c r="H10" i="11"/>
  <c r="H9" i="11"/>
  <c r="H8" i="11"/>
  <c r="G7" i="11"/>
  <c r="G5" i="11"/>
  <c r="H4" i="11"/>
  <c r="G4" i="11"/>
  <c r="AQ66" i="17" l="1"/>
  <c r="G13" i="14"/>
  <c r="G12" i="14"/>
  <c r="G14" i="14"/>
  <c r="H12" i="14"/>
  <c r="H5" i="11"/>
  <c r="H6" i="11"/>
  <c r="H12" i="11"/>
  <c r="H13" i="11"/>
  <c r="H14" i="11"/>
  <c r="G8" i="11"/>
  <c r="G9" i="11"/>
  <c r="G11" i="11"/>
  <c r="H7" i="11"/>
  <c r="H11" i="11"/>
  <c r="H15" i="11"/>
  <c r="G6" i="11"/>
  <c r="G10" i="11"/>
  <c r="G14" i="11"/>
  <c r="N16" i="1" l="1"/>
  <c r="AG4" i="7"/>
  <c r="H29" i="7"/>
  <c r="G29" i="7"/>
  <c r="H28" i="7"/>
  <c r="G28" i="7"/>
  <c r="H27" i="7"/>
  <c r="G27" i="7"/>
  <c r="H26" i="7"/>
  <c r="G26" i="7"/>
  <c r="H25" i="7"/>
  <c r="G25" i="7"/>
  <c r="H24" i="7"/>
  <c r="G24" i="7"/>
  <c r="H23" i="7"/>
  <c r="G23" i="7"/>
  <c r="H22" i="7"/>
  <c r="G22" i="7"/>
  <c r="H21" i="7"/>
  <c r="G21" i="7"/>
  <c r="H20" i="7"/>
  <c r="G20" i="7"/>
  <c r="H19" i="7"/>
  <c r="G19" i="7"/>
  <c r="H18" i="7"/>
  <c r="G18" i="7"/>
  <c r="H17" i="7"/>
  <c r="G17" i="7"/>
  <c r="H16" i="7"/>
  <c r="G16" i="7"/>
  <c r="H15" i="7"/>
  <c r="G15" i="7"/>
  <c r="H14" i="7"/>
  <c r="G14" i="7"/>
  <c r="H13" i="7"/>
  <c r="G13" i="7"/>
  <c r="H12" i="7"/>
  <c r="G12" i="7"/>
  <c r="H11" i="7"/>
  <c r="G11" i="7"/>
  <c r="H10" i="7"/>
  <c r="G10" i="7"/>
  <c r="H9" i="7"/>
  <c r="G9" i="7"/>
  <c r="H8" i="7"/>
  <c r="G8" i="7"/>
  <c r="H7" i="7"/>
  <c r="G7" i="7"/>
  <c r="H6" i="7"/>
  <c r="G6" i="7"/>
  <c r="H5" i="7"/>
  <c r="G5" i="7"/>
  <c r="H4" i="7"/>
  <c r="G4" i="7"/>
  <c r="AR65" i="4"/>
  <c r="AR64" i="4"/>
  <c r="AR63" i="4"/>
  <c r="AR62" i="4"/>
  <c r="AR61" i="4"/>
  <c r="AR60" i="4"/>
  <c r="AR59" i="4"/>
  <c r="AR58" i="4"/>
  <c r="AR57" i="4"/>
  <c r="AR56" i="4"/>
  <c r="AR55" i="4"/>
  <c r="AR54" i="4"/>
  <c r="AR53" i="4"/>
  <c r="AR52" i="4"/>
  <c r="AR51" i="4"/>
  <c r="AR50" i="4"/>
  <c r="AR49" i="4"/>
  <c r="AR48" i="4"/>
  <c r="AR47" i="4"/>
  <c r="AR46" i="4"/>
  <c r="AR45" i="4"/>
  <c r="AR44" i="4"/>
  <c r="AR43" i="4"/>
  <c r="AR42" i="4"/>
  <c r="AR41" i="4"/>
  <c r="AR40" i="4"/>
  <c r="AR39" i="4"/>
  <c r="AR38" i="4"/>
  <c r="AR37" i="4"/>
  <c r="AR36" i="4"/>
  <c r="AR35" i="4"/>
  <c r="AR34" i="4"/>
  <c r="AR33" i="4"/>
  <c r="AR32" i="4"/>
  <c r="AR31" i="4"/>
  <c r="AR30" i="4"/>
  <c r="AR29" i="4"/>
  <c r="AR28" i="4"/>
  <c r="AR27" i="4"/>
  <c r="AR26" i="4"/>
  <c r="AR25" i="4"/>
  <c r="AR24" i="4"/>
  <c r="AR23" i="4"/>
  <c r="AR22" i="4"/>
  <c r="AR21" i="4"/>
  <c r="AR20" i="4"/>
  <c r="AR19" i="4"/>
  <c r="AR18" i="4"/>
  <c r="AR17" i="4"/>
  <c r="AR16" i="4"/>
  <c r="AR15" i="4"/>
  <c r="AR14" i="4"/>
  <c r="AR13" i="4"/>
  <c r="AR12" i="4"/>
  <c r="AR11" i="4"/>
  <c r="AR10" i="4"/>
  <c r="AR9" i="4"/>
  <c r="AR8" i="4"/>
  <c r="AR7" i="4"/>
  <c r="AR6" i="4"/>
  <c r="AR4" i="4"/>
  <c r="AR5" i="4"/>
  <c r="AG65" i="4"/>
  <c r="AF65" i="4"/>
  <c r="AG64" i="4"/>
  <c r="AF64" i="4"/>
  <c r="AG63" i="4"/>
  <c r="AF63" i="4"/>
  <c r="AG62" i="4"/>
  <c r="AF62" i="4"/>
  <c r="AG61" i="4"/>
  <c r="AF61" i="4"/>
  <c r="AG60" i="4"/>
  <c r="AF60" i="4"/>
  <c r="AG59" i="4"/>
  <c r="AF59" i="4"/>
  <c r="AG58" i="4"/>
  <c r="AF58" i="4"/>
  <c r="AG57" i="4"/>
  <c r="AF57" i="4"/>
  <c r="AG56" i="4"/>
  <c r="AF56" i="4"/>
  <c r="AG55" i="4"/>
  <c r="AF55" i="4"/>
  <c r="AG54" i="4"/>
  <c r="AF54" i="4"/>
  <c r="AG53" i="4"/>
  <c r="AF53" i="4"/>
  <c r="AG52" i="4"/>
  <c r="AF52" i="4"/>
  <c r="AG51" i="4"/>
  <c r="AF51" i="4"/>
  <c r="AG50" i="4"/>
  <c r="AF50" i="4"/>
  <c r="AG49" i="4"/>
  <c r="AF49" i="4"/>
  <c r="AG48" i="4"/>
  <c r="AF48" i="4"/>
  <c r="AG47" i="4"/>
  <c r="AF47" i="4"/>
  <c r="AG46" i="4"/>
  <c r="AF46" i="4"/>
  <c r="AG45" i="4"/>
  <c r="AF45" i="4"/>
  <c r="AG44" i="4"/>
  <c r="AF44" i="4"/>
  <c r="AG43" i="4"/>
  <c r="AF43" i="4"/>
  <c r="AG42" i="4"/>
  <c r="AF42" i="4"/>
  <c r="AG41" i="4"/>
  <c r="AF41" i="4"/>
  <c r="AG40" i="4"/>
  <c r="AF40" i="4"/>
  <c r="AG39" i="4"/>
  <c r="AF39" i="4"/>
  <c r="AG38" i="4"/>
  <c r="AF38" i="4"/>
  <c r="AG37" i="4"/>
  <c r="AF37" i="4"/>
  <c r="AG36" i="4"/>
  <c r="AF36" i="4"/>
  <c r="AG35" i="4"/>
  <c r="AF35" i="4"/>
  <c r="AG34" i="4"/>
  <c r="AF34" i="4"/>
  <c r="AG33" i="4"/>
  <c r="AF33" i="4"/>
  <c r="AG32" i="4"/>
  <c r="AF32" i="4"/>
  <c r="AG31" i="4"/>
  <c r="AF31" i="4"/>
  <c r="AG30" i="4"/>
  <c r="AF30" i="4"/>
  <c r="AG29" i="4"/>
  <c r="AF29" i="4"/>
  <c r="AG28" i="4"/>
  <c r="AF28" i="4"/>
  <c r="AG27" i="4"/>
  <c r="AF27" i="4"/>
  <c r="AG26" i="4"/>
  <c r="AF26" i="4"/>
  <c r="AG25" i="4"/>
  <c r="AF25" i="4"/>
  <c r="AG24" i="4"/>
  <c r="AF24" i="4"/>
  <c r="AG23" i="4"/>
  <c r="AF23" i="4"/>
  <c r="AG22" i="4"/>
  <c r="AF22" i="4"/>
  <c r="AG21" i="4"/>
  <c r="AF21" i="4"/>
  <c r="AG20" i="4"/>
  <c r="AF20" i="4"/>
  <c r="AG19" i="4"/>
  <c r="AF19" i="4"/>
  <c r="AG18" i="4"/>
  <c r="AF18" i="4"/>
  <c r="AG17" i="4"/>
  <c r="AF17" i="4"/>
  <c r="AG16" i="4"/>
  <c r="AF16" i="4"/>
  <c r="AG15" i="4"/>
  <c r="AF15" i="4"/>
  <c r="AG14" i="4"/>
  <c r="AF14" i="4"/>
  <c r="AG13" i="4"/>
  <c r="AF13" i="4"/>
  <c r="AG12" i="4"/>
  <c r="AF12" i="4"/>
  <c r="AG11" i="4"/>
  <c r="AF11" i="4"/>
  <c r="AG10" i="4"/>
  <c r="AF10" i="4"/>
  <c r="AG9" i="4"/>
  <c r="AF9" i="4"/>
  <c r="AG8" i="4"/>
  <c r="AF8" i="4"/>
  <c r="AG7" i="4"/>
  <c r="AF7" i="4"/>
  <c r="AG6" i="4"/>
  <c r="AF6" i="4"/>
  <c r="AG5" i="4"/>
  <c r="AF5" i="4"/>
  <c r="AL65" i="4"/>
  <c r="AK65" i="4"/>
  <c r="AL64" i="4"/>
  <c r="AK64" i="4"/>
  <c r="AL63" i="4"/>
  <c r="AK63" i="4"/>
  <c r="AL62" i="4"/>
  <c r="AK62" i="4"/>
  <c r="AL61" i="4"/>
  <c r="AK61" i="4"/>
  <c r="AL60" i="4"/>
  <c r="AK60" i="4"/>
  <c r="AL59" i="4"/>
  <c r="AK59" i="4"/>
  <c r="AL58" i="4"/>
  <c r="AK58" i="4"/>
  <c r="AL57" i="4"/>
  <c r="AK57" i="4"/>
  <c r="AL56" i="4"/>
  <c r="AK56" i="4"/>
  <c r="AL55" i="4"/>
  <c r="AK55" i="4"/>
  <c r="AL54" i="4"/>
  <c r="AK54" i="4"/>
  <c r="AL53" i="4"/>
  <c r="AK53" i="4"/>
  <c r="AL52" i="4"/>
  <c r="AK52" i="4"/>
  <c r="AL51" i="4"/>
  <c r="AK51" i="4"/>
  <c r="AL50" i="4"/>
  <c r="AK50" i="4"/>
  <c r="AL49" i="4"/>
  <c r="AK49" i="4"/>
  <c r="AL48" i="4"/>
  <c r="AK48" i="4"/>
  <c r="AL47" i="4"/>
  <c r="AK47" i="4"/>
  <c r="AL46" i="4"/>
  <c r="AK46" i="4"/>
  <c r="AL45" i="4"/>
  <c r="AK45" i="4"/>
  <c r="AL44" i="4"/>
  <c r="AK44" i="4"/>
  <c r="AL43" i="4"/>
  <c r="AK43" i="4"/>
  <c r="AL42" i="4"/>
  <c r="AK42" i="4"/>
  <c r="AL41" i="4"/>
  <c r="AK41" i="4"/>
  <c r="AL40" i="4"/>
  <c r="AK40" i="4"/>
  <c r="AL39" i="4"/>
  <c r="AK39" i="4"/>
  <c r="AL38" i="4"/>
  <c r="AK38" i="4"/>
  <c r="AL37" i="4"/>
  <c r="AK37" i="4"/>
  <c r="AL36" i="4"/>
  <c r="AK36" i="4"/>
  <c r="AL35" i="4"/>
  <c r="AK35" i="4"/>
  <c r="AL34" i="4"/>
  <c r="AK34" i="4"/>
  <c r="AL33" i="4"/>
  <c r="AK33" i="4"/>
  <c r="AL32" i="4"/>
  <c r="AK32" i="4"/>
  <c r="AL31" i="4"/>
  <c r="AK31" i="4"/>
  <c r="AL30" i="4"/>
  <c r="AK30" i="4"/>
  <c r="AL29" i="4"/>
  <c r="AK29" i="4"/>
  <c r="AL28" i="4"/>
  <c r="AK28" i="4"/>
  <c r="AL27" i="4"/>
  <c r="AK27" i="4"/>
  <c r="AL26" i="4"/>
  <c r="AK26" i="4"/>
  <c r="AL25" i="4"/>
  <c r="AK25" i="4"/>
  <c r="AL24" i="4"/>
  <c r="AK24" i="4"/>
  <c r="AL23" i="4"/>
  <c r="AK23" i="4"/>
  <c r="AL22" i="4"/>
  <c r="AK22" i="4"/>
  <c r="AL21" i="4"/>
  <c r="AK21" i="4"/>
  <c r="AL20" i="4"/>
  <c r="AK20" i="4"/>
  <c r="AL19" i="4"/>
  <c r="AK19" i="4"/>
  <c r="AL18" i="4"/>
  <c r="AK18" i="4"/>
  <c r="AL17" i="4"/>
  <c r="AK17" i="4"/>
  <c r="AL16" i="4"/>
  <c r="AK16" i="4"/>
  <c r="AL15" i="4"/>
  <c r="AK15" i="4"/>
  <c r="AL14" i="4"/>
  <c r="AK14" i="4"/>
  <c r="AL13" i="4"/>
  <c r="AK13" i="4"/>
  <c r="AL12" i="4"/>
  <c r="AK12" i="4"/>
  <c r="AL11" i="4"/>
  <c r="AK11" i="4"/>
  <c r="AL10" i="4"/>
  <c r="AK10" i="4"/>
  <c r="AL9" i="4"/>
  <c r="AK9" i="4"/>
  <c r="AL8" i="4"/>
  <c r="AK8" i="4"/>
  <c r="AL7" i="4"/>
  <c r="AK7" i="4"/>
  <c r="AL6" i="4"/>
  <c r="AK6" i="4"/>
  <c r="AL5" i="4"/>
  <c r="AK5" i="4"/>
  <c r="AN35" i="4" l="1"/>
  <c r="AN33" i="4"/>
  <c r="AN30" i="4"/>
  <c r="AN34" i="4"/>
  <c r="AN32" i="4"/>
  <c r="AN31" i="4"/>
  <c r="AO5" i="4"/>
  <c r="AO7" i="4"/>
  <c r="AO9" i="4"/>
  <c r="AN6" i="4"/>
  <c r="AN8" i="4"/>
  <c r="AO6" i="4"/>
  <c r="AO8" i="4"/>
  <c r="AN5" i="4"/>
  <c r="AN7" i="4"/>
  <c r="AN9" i="4"/>
  <c r="AL65" i="3"/>
  <c r="AK65" i="3"/>
  <c r="AL64" i="3"/>
  <c r="AK64" i="3"/>
  <c r="AL63" i="3"/>
  <c r="AK63" i="3"/>
  <c r="AL62" i="3"/>
  <c r="AK62" i="3"/>
  <c r="AL61" i="3"/>
  <c r="AK61" i="3"/>
  <c r="AL60" i="3"/>
  <c r="AK60" i="3"/>
  <c r="AL59" i="3"/>
  <c r="AK59" i="3"/>
  <c r="AL58" i="3"/>
  <c r="AK58" i="3"/>
  <c r="AL57" i="3"/>
  <c r="AK57" i="3"/>
  <c r="AL56" i="3"/>
  <c r="AK56" i="3"/>
  <c r="AL55" i="3"/>
  <c r="AK55" i="3"/>
  <c r="AL54" i="3"/>
  <c r="AK54" i="3"/>
  <c r="AL53" i="3"/>
  <c r="AK53" i="3"/>
  <c r="AL52" i="3"/>
  <c r="AK52" i="3"/>
  <c r="AL51" i="3"/>
  <c r="AK51" i="3"/>
  <c r="AL50" i="3"/>
  <c r="AK50" i="3"/>
  <c r="AL49" i="3"/>
  <c r="AK49" i="3"/>
  <c r="AL48" i="3"/>
  <c r="AK48" i="3"/>
  <c r="AL47" i="3"/>
  <c r="AK47" i="3"/>
  <c r="AL46" i="3"/>
  <c r="AK46" i="3"/>
  <c r="AL45" i="3"/>
  <c r="AK45" i="3"/>
  <c r="AL44" i="3"/>
  <c r="AK44" i="3"/>
  <c r="AL43" i="3"/>
  <c r="AK43" i="3"/>
  <c r="AL42" i="3"/>
  <c r="AK42" i="3"/>
  <c r="AL41" i="3"/>
  <c r="AK41" i="3"/>
  <c r="AL40" i="3"/>
  <c r="AK40" i="3"/>
  <c r="AL39" i="3"/>
  <c r="AK39" i="3"/>
  <c r="AL38" i="3"/>
  <c r="AK38" i="3"/>
  <c r="AL37" i="3"/>
  <c r="AK37" i="3"/>
  <c r="AL36" i="3"/>
  <c r="AK36" i="3"/>
  <c r="AL35" i="3"/>
  <c r="AK35" i="3"/>
  <c r="AL34" i="3"/>
  <c r="AK34" i="3"/>
  <c r="AL33" i="3"/>
  <c r="AK33" i="3"/>
  <c r="AL32" i="3"/>
  <c r="AK32" i="3"/>
  <c r="AL31" i="3"/>
  <c r="AK31" i="3"/>
  <c r="AL30" i="3"/>
  <c r="AK30" i="3"/>
  <c r="AL29" i="3"/>
  <c r="AK29" i="3"/>
  <c r="AL28" i="3"/>
  <c r="AK28" i="3"/>
  <c r="AL27" i="3"/>
  <c r="AK27" i="3"/>
  <c r="AL26" i="3"/>
  <c r="AK26" i="3"/>
  <c r="AL25" i="3"/>
  <c r="AK25" i="3"/>
  <c r="AL24" i="3"/>
  <c r="AK24" i="3"/>
  <c r="AL23" i="3"/>
  <c r="AK23" i="3"/>
  <c r="AL22" i="3"/>
  <c r="AK22" i="3"/>
  <c r="AL21" i="3"/>
  <c r="AK21" i="3"/>
  <c r="AL20" i="3"/>
  <c r="AK20" i="3"/>
  <c r="AL19" i="3"/>
  <c r="AK19" i="3"/>
  <c r="AL18" i="3"/>
  <c r="AK18" i="3"/>
  <c r="AL17" i="3"/>
  <c r="AK17" i="3"/>
  <c r="AL16" i="3"/>
  <c r="AK16" i="3"/>
  <c r="AL15" i="3"/>
  <c r="AK15" i="3"/>
  <c r="AL14" i="3"/>
  <c r="AK14" i="3"/>
  <c r="AL13" i="3"/>
  <c r="AK13" i="3"/>
  <c r="AL12" i="3"/>
  <c r="AK12" i="3"/>
  <c r="AL11" i="3"/>
  <c r="AK11" i="3"/>
  <c r="AL10" i="3"/>
  <c r="AK10" i="3"/>
  <c r="AL9" i="3"/>
  <c r="AK9" i="3"/>
  <c r="AL8" i="3"/>
  <c r="AK8" i="3"/>
  <c r="AL7" i="3"/>
  <c r="AK7" i="3"/>
  <c r="AL6" i="3"/>
  <c r="AK6" i="3"/>
  <c r="AL5" i="3"/>
  <c r="AK5" i="3"/>
  <c r="AP8" i="4" l="1"/>
  <c r="AP9" i="4"/>
  <c r="AP7" i="4"/>
  <c r="AP6" i="4"/>
  <c r="AP5" i="4"/>
  <c r="G4" i="1"/>
  <c r="G65" i="16"/>
  <c r="A3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AP1" i="14"/>
  <c r="AP1" i="13"/>
  <c r="AP1" i="12"/>
  <c r="AP1" i="11"/>
  <c r="AP1" i="10"/>
  <c r="AP1" i="9"/>
  <c r="AP1" i="8"/>
  <c r="AP1" i="7"/>
  <c r="AP1" i="4"/>
  <c r="AP1" i="5"/>
  <c r="AP1" i="3"/>
  <c r="J66" i="3"/>
  <c r="AR7" i="11" l="1"/>
  <c r="J66" i="13" l="1"/>
  <c r="AL65" i="13"/>
  <c r="AK65" i="13"/>
  <c r="R65" i="13"/>
  <c r="T65" i="13" s="1"/>
  <c r="AR65" i="13"/>
  <c r="AL64" i="13"/>
  <c r="AK64" i="13"/>
  <c r="R64" i="13"/>
  <c r="T64" i="13" s="1"/>
  <c r="AM64" i="13" l="1"/>
  <c r="S65" i="13"/>
  <c r="AN65" i="13" s="1"/>
  <c r="S64" i="13"/>
  <c r="AN64" i="13" s="1"/>
  <c r="AR64" i="13"/>
  <c r="AO64" i="13"/>
  <c r="AM65" i="13"/>
  <c r="AO65" i="13"/>
  <c r="AP64" i="13" l="1"/>
  <c r="AP65" i="13"/>
  <c r="AK64" i="11" l="1"/>
  <c r="AL64" i="11"/>
  <c r="AK65" i="11"/>
  <c r="AL65" i="11"/>
  <c r="AF64" i="11"/>
  <c r="AG64" i="11"/>
  <c r="AF65" i="11"/>
  <c r="AG65" i="11"/>
  <c r="T65" i="11"/>
  <c r="S65" i="11"/>
  <c r="R65" i="11"/>
  <c r="AM65" i="11" s="1"/>
  <c r="T64" i="11"/>
  <c r="S64" i="11"/>
  <c r="R64" i="11"/>
  <c r="AM64" i="11" s="1"/>
  <c r="T63" i="11"/>
  <c r="S63" i="11"/>
  <c r="R63" i="11"/>
  <c r="T62" i="11"/>
  <c r="S62" i="11"/>
  <c r="R62" i="11"/>
  <c r="T61" i="11"/>
  <c r="S61" i="11"/>
  <c r="R61" i="11"/>
  <c r="T60" i="11"/>
  <c r="S60" i="11"/>
  <c r="R60" i="11"/>
  <c r="T59" i="11"/>
  <c r="S59" i="11"/>
  <c r="R59" i="11"/>
  <c r="T58" i="11"/>
  <c r="S58" i="11"/>
  <c r="R58" i="11"/>
  <c r="T57" i="11"/>
  <c r="S57" i="11"/>
  <c r="R57" i="11"/>
  <c r="T56" i="11"/>
  <c r="S56" i="11"/>
  <c r="R56" i="11"/>
  <c r="T55" i="11"/>
  <c r="S55" i="11"/>
  <c r="R55" i="11"/>
  <c r="T54" i="11"/>
  <c r="S54" i="11"/>
  <c r="R54" i="11"/>
  <c r="T53" i="11"/>
  <c r="S53" i="11"/>
  <c r="R53" i="11"/>
  <c r="T52" i="11"/>
  <c r="S52" i="11"/>
  <c r="R52" i="11"/>
  <c r="T51" i="11"/>
  <c r="S51" i="11"/>
  <c r="R51" i="11"/>
  <c r="T50" i="11"/>
  <c r="S50" i="11"/>
  <c r="R50" i="11"/>
  <c r="T49" i="11"/>
  <c r="S49" i="11"/>
  <c r="R49" i="11"/>
  <c r="T48" i="11"/>
  <c r="S48" i="11"/>
  <c r="R48" i="11"/>
  <c r="T47" i="11"/>
  <c r="S47" i="11"/>
  <c r="R47" i="11"/>
  <c r="T46" i="11"/>
  <c r="S46" i="11"/>
  <c r="R46" i="11"/>
  <c r="T45" i="11"/>
  <c r="S45" i="11"/>
  <c r="R45" i="11"/>
  <c r="T44" i="11"/>
  <c r="S44" i="11"/>
  <c r="R44" i="11"/>
  <c r="T43" i="11"/>
  <c r="S43" i="11"/>
  <c r="R43" i="11"/>
  <c r="T42" i="11"/>
  <c r="S42" i="11"/>
  <c r="R42" i="11"/>
  <c r="T41" i="11"/>
  <c r="S41" i="11"/>
  <c r="R41" i="11"/>
  <c r="T40" i="11"/>
  <c r="S40" i="11"/>
  <c r="R40" i="11"/>
  <c r="T39" i="11"/>
  <c r="S39" i="11"/>
  <c r="R39" i="11"/>
  <c r="T38" i="11"/>
  <c r="S38" i="11"/>
  <c r="R38" i="11"/>
  <c r="T37" i="11"/>
  <c r="S37" i="11"/>
  <c r="R37" i="11"/>
  <c r="T36" i="11"/>
  <c r="S36" i="11"/>
  <c r="R36" i="11"/>
  <c r="T35" i="11"/>
  <c r="S35" i="11"/>
  <c r="R35" i="11"/>
  <c r="T34" i="11"/>
  <c r="S34" i="11"/>
  <c r="R34" i="11"/>
  <c r="T33" i="11"/>
  <c r="S33" i="11"/>
  <c r="R33" i="11"/>
  <c r="T32" i="11"/>
  <c r="S32" i="11"/>
  <c r="R32" i="11"/>
  <c r="T31" i="11"/>
  <c r="S31" i="11"/>
  <c r="R31" i="11"/>
  <c r="T30" i="11"/>
  <c r="S30" i="11"/>
  <c r="R30" i="11"/>
  <c r="T29" i="11"/>
  <c r="S29" i="11"/>
  <c r="R29" i="11"/>
  <c r="T28" i="11"/>
  <c r="S28" i="11"/>
  <c r="R28" i="11"/>
  <c r="T27" i="11"/>
  <c r="S27" i="11"/>
  <c r="R27" i="11"/>
  <c r="T26" i="11"/>
  <c r="S26" i="11"/>
  <c r="R26" i="11"/>
  <c r="T25" i="11"/>
  <c r="S25" i="11"/>
  <c r="R25" i="11"/>
  <c r="T24" i="11"/>
  <c r="S24" i="11"/>
  <c r="R24" i="11"/>
  <c r="T23" i="11"/>
  <c r="S23" i="11"/>
  <c r="R23" i="11"/>
  <c r="T22" i="11"/>
  <c r="S22" i="11"/>
  <c r="R22" i="11"/>
  <c r="T21" i="11"/>
  <c r="S21" i="11"/>
  <c r="R21" i="11"/>
  <c r="T20" i="11"/>
  <c r="S20" i="11"/>
  <c r="R20" i="11"/>
  <c r="T19" i="11"/>
  <c r="S19" i="11"/>
  <c r="R19" i="11"/>
  <c r="AM19" i="11" s="1"/>
  <c r="T18" i="11"/>
  <c r="AO18" i="11" s="1"/>
  <c r="S18" i="11"/>
  <c r="AN18" i="11" s="1"/>
  <c r="R18" i="11"/>
  <c r="AM18" i="11" s="1"/>
  <c r="T17" i="11"/>
  <c r="AO17" i="11" s="1"/>
  <c r="S17" i="11"/>
  <c r="AN17" i="11" s="1"/>
  <c r="R17" i="11"/>
  <c r="AM17" i="11" s="1"/>
  <c r="T16" i="11"/>
  <c r="AO16" i="11" s="1"/>
  <c r="S16" i="11"/>
  <c r="AN16" i="11" s="1"/>
  <c r="R16" i="11"/>
  <c r="AM16" i="11" s="1"/>
  <c r="T15" i="11"/>
  <c r="AO15" i="11" s="1"/>
  <c r="S15" i="11"/>
  <c r="AN15" i="11" s="1"/>
  <c r="R15" i="11"/>
  <c r="AM15" i="11" s="1"/>
  <c r="T14" i="11"/>
  <c r="AO14" i="11" s="1"/>
  <c r="S14" i="11"/>
  <c r="AN14" i="11" s="1"/>
  <c r="R14" i="11"/>
  <c r="AM14" i="11" s="1"/>
  <c r="T13" i="11"/>
  <c r="AO13" i="11" s="1"/>
  <c r="S13" i="11"/>
  <c r="AN13" i="11" s="1"/>
  <c r="R13" i="11"/>
  <c r="AM13" i="11" s="1"/>
  <c r="T12" i="11"/>
  <c r="AO12" i="11" s="1"/>
  <c r="S12" i="11"/>
  <c r="AN12" i="11" s="1"/>
  <c r="R12" i="11"/>
  <c r="AM12" i="11" s="1"/>
  <c r="T11" i="11"/>
  <c r="AO11" i="11" s="1"/>
  <c r="S11" i="11"/>
  <c r="AN11" i="11" s="1"/>
  <c r="R11" i="11"/>
  <c r="AM11" i="11" s="1"/>
  <c r="T10" i="11"/>
  <c r="AO10" i="11" s="1"/>
  <c r="S10" i="11"/>
  <c r="AN10" i="11" s="1"/>
  <c r="R10" i="11"/>
  <c r="AM10" i="11" s="1"/>
  <c r="T9" i="11"/>
  <c r="AO9" i="11" s="1"/>
  <c r="S9" i="11"/>
  <c r="AN9" i="11" s="1"/>
  <c r="R9" i="11"/>
  <c r="AM9" i="11" s="1"/>
  <c r="T8" i="11"/>
  <c r="AO8" i="11" s="1"/>
  <c r="S8" i="11"/>
  <c r="AN8" i="11" s="1"/>
  <c r="R8" i="11"/>
  <c r="AM8" i="11" s="1"/>
  <c r="T7" i="11"/>
  <c r="AO7" i="11" s="1"/>
  <c r="S7" i="11"/>
  <c r="AN7" i="11" s="1"/>
  <c r="R7" i="11"/>
  <c r="AM7" i="11" s="1"/>
  <c r="T6" i="11"/>
  <c r="AO6" i="11" s="1"/>
  <c r="S6" i="11"/>
  <c r="AN6" i="11" s="1"/>
  <c r="R6" i="11"/>
  <c r="AM6" i="11" s="1"/>
  <c r="T5" i="11"/>
  <c r="AO5" i="11" s="1"/>
  <c r="S5" i="11"/>
  <c r="AN5" i="11" s="1"/>
  <c r="R5" i="11"/>
  <c r="AM5" i="11" s="1"/>
  <c r="J66" i="11"/>
  <c r="AT19" i="11" l="1"/>
  <c r="AP5" i="11"/>
  <c r="AP9" i="11"/>
  <c r="AP17" i="11"/>
  <c r="AP7" i="11"/>
  <c r="AP15" i="11"/>
  <c r="AP18" i="11"/>
  <c r="AP8" i="11"/>
  <c r="AP16" i="11"/>
  <c r="AP11" i="11"/>
  <c r="AP12" i="11"/>
  <c r="AP6" i="11"/>
  <c r="AP10" i="11"/>
  <c r="AP14" i="11"/>
  <c r="AP13" i="11"/>
  <c r="AN64" i="11"/>
  <c r="AO64" i="11"/>
  <c r="AO65" i="11"/>
  <c r="AN65" i="11"/>
  <c r="AP65" i="11" l="1"/>
  <c r="AP64" i="11"/>
  <c r="AF5" i="9"/>
  <c r="AN5" i="9" s="1"/>
  <c r="AG5" i="9"/>
  <c r="AO5" i="9" s="1"/>
  <c r="AF6" i="9"/>
  <c r="AN6" i="9" s="1"/>
  <c r="AG6" i="9"/>
  <c r="AO6" i="9" s="1"/>
  <c r="AF7" i="9"/>
  <c r="AN7" i="9" s="1"/>
  <c r="AG7" i="9"/>
  <c r="AO7" i="9" s="1"/>
  <c r="AF8" i="9"/>
  <c r="AN8" i="9" s="1"/>
  <c r="AG8" i="9"/>
  <c r="AO8" i="9" s="1"/>
  <c r="AF9" i="9"/>
  <c r="AN9" i="9" s="1"/>
  <c r="AG9" i="9"/>
  <c r="AO9" i="9" s="1"/>
  <c r="AF10" i="9"/>
  <c r="AN10" i="9" s="1"/>
  <c r="AG10" i="9"/>
  <c r="AO10" i="9" s="1"/>
  <c r="AF11" i="9"/>
  <c r="AN11" i="9" s="1"/>
  <c r="AG11" i="9"/>
  <c r="AO11" i="9" s="1"/>
  <c r="AF12" i="9"/>
  <c r="AN12" i="9" s="1"/>
  <c r="AG12" i="9"/>
  <c r="AO12" i="9" s="1"/>
  <c r="AF13" i="9"/>
  <c r="AN13" i="9" s="1"/>
  <c r="AG13" i="9"/>
  <c r="AO13" i="9" s="1"/>
  <c r="AF14" i="9"/>
  <c r="AN14" i="9" s="1"/>
  <c r="AG14" i="9"/>
  <c r="AO14" i="9" s="1"/>
  <c r="AF15" i="9"/>
  <c r="AN15" i="9" s="1"/>
  <c r="AG15" i="9"/>
  <c r="AO15" i="9" s="1"/>
  <c r="AF16" i="9"/>
  <c r="AN16" i="9" s="1"/>
  <c r="AG16" i="9"/>
  <c r="AO16" i="9" s="1"/>
  <c r="AF17" i="9"/>
  <c r="AN17" i="9" s="1"/>
  <c r="AG17" i="9"/>
  <c r="AO17" i="9" s="1"/>
  <c r="AF18" i="9"/>
  <c r="AN18" i="9" s="1"/>
  <c r="AG18" i="9"/>
  <c r="AO18" i="9" s="1"/>
  <c r="AF19" i="9"/>
  <c r="AN19" i="9" s="1"/>
  <c r="AG19" i="9"/>
  <c r="AO19" i="9" s="1"/>
  <c r="AF20" i="9"/>
  <c r="AN20" i="9" s="1"/>
  <c r="AG20" i="9"/>
  <c r="AO20" i="9" s="1"/>
  <c r="AF21" i="9"/>
  <c r="AN21" i="9" s="1"/>
  <c r="AG21" i="9"/>
  <c r="AO21" i="9" s="1"/>
  <c r="AF22" i="9"/>
  <c r="AN22" i="9" s="1"/>
  <c r="AG22" i="9"/>
  <c r="AO22" i="9" s="1"/>
  <c r="AF23" i="9"/>
  <c r="AN23" i="9" s="1"/>
  <c r="AG23" i="9"/>
  <c r="AO23" i="9" s="1"/>
  <c r="AF24" i="9"/>
  <c r="AN24" i="9" s="1"/>
  <c r="AG24" i="9"/>
  <c r="AO24" i="9" s="1"/>
  <c r="AF25" i="9"/>
  <c r="AN25" i="9" s="1"/>
  <c r="AG25" i="9"/>
  <c r="AO25" i="9" s="1"/>
  <c r="AF26" i="9"/>
  <c r="AN26" i="9" s="1"/>
  <c r="AG26" i="9"/>
  <c r="AO26" i="9" s="1"/>
  <c r="AF27" i="9"/>
  <c r="AN27" i="9" s="1"/>
  <c r="AG27" i="9"/>
  <c r="AO27" i="9" s="1"/>
  <c r="AF28" i="9"/>
  <c r="AN28" i="9" s="1"/>
  <c r="AG28" i="9"/>
  <c r="AO28" i="9" s="1"/>
  <c r="AF29" i="9"/>
  <c r="AN29" i="9" s="1"/>
  <c r="AG29" i="9"/>
  <c r="AO29" i="9" s="1"/>
  <c r="AF30" i="9"/>
  <c r="AN30" i="9" s="1"/>
  <c r="AG30" i="9"/>
  <c r="AO30" i="9" s="1"/>
  <c r="AF31" i="9"/>
  <c r="AN31" i="9" s="1"/>
  <c r="AG31" i="9"/>
  <c r="AO31" i="9" s="1"/>
  <c r="AF32" i="9"/>
  <c r="AN32" i="9" s="1"/>
  <c r="AG32" i="9"/>
  <c r="AO32" i="9" s="1"/>
  <c r="AF33" i="9"/>
  <c r="AN33" i="9" s="1"/>
  <c r="AG33" i="9"/>
  <c r="AO33" i="9" s="1"/>
  <c r="AF34" i="9"/>
  <c r="AN34" i="9" s="1"/>
  <c r="AG34" i="9"/>
  <c r="AO34" i="9" s="1"/>
  <c r="AF35" i="9"/>
  <c r="AN35" i="9" s="1"/>
  <c r="AG35" i="9"/>
  <c r="AO35" i="9" s="1"/>
  <c r="AF36" i="9"/>
  <c r="AN36" i="9" s="1"/>
  <c r="AG36" i="9"/>
  <c r="AO36" i="9" s="1"/>
  <c r="AF37" i="9"/>
  <c r="AN37" i="9" s="1"/>
  <c r="AG37" i="9"/>
  <c r="AO37" i="9" s="1"/>
  <c r="AF38" i="9"/>
  <c r="AN38" i="9" s="1"/>
  <c r="AG38" i="9"/>
  <c r="AO38" i="9" s="1"/>
  <c r="AF39" i="9"/>
  <c r="AN39" i="9" s="1"/>
  <c r="AG39" i="9"/>
  <c r="AO39" i="9" s="1"/>
  <c r="AF40" i="9"/>
  <c r="AN40" i="9" s="1"/>
  <c r="AG40" i="9"/>
  <c r="AO40" i="9" s="1"/>
  <c r="AF41" i="9"/>
  <c r="AN41" i="9" s="1"/>
  <c r="AG41" i="9"/>
  <c r="AO41" i="9" s="1"/>
  <c r="AF42" i="9"/>
  <c r="AN42" i="9" s="1"/>
  <c r="H43" i="9" s="1"/>
  <c r="AG42" i="9"/>
  <c r="AO42" i="9" s="1"/>
  <c r="AF43" i="9"/>
  <c r="AN43" i="9" s="1"/>
  <c r="H44" i="9" s="1"/>
  <c r="AG43" i="9"/>
  <c r="AO43" i="9" s="1"/>
  <c r="AF44" i="9"/>
  <c r="AN44" i="9" s="1"/>
  <c r="H45" i="9" s="1"/>
  <c r="AG44" i="9"/>
  <c r="AF45" i="9"/>
  <c r="AN45" i="9" s="1"/>
  <c r="H46" i="9" s="1"/>
  <c r="AG45" i="9"/>
  <c r="AO45" i="9" s="1"/>
  <c r="AF46" i="9"/>
  <c r="AN46" i="9" s="1"/>
  <c r="H47" i="9" s="1"/>
  <c r="AG46" i="9"/>
  <c r="AF47" i="9"/>
  <c r="AN47" i="9" s="1"/>
  <c r="H48" i="9" s="1"/>
  <c r="AG47" i="9"/>
  <c r="AF48" i="9"/>
  <c r="AN48" i="9" s="1"/>
  <c r="H49" i="9" s="1"/>
  <c r="AG48" i="9"/>
  <c r="AF49" i="9"/>
  <c r="AN49" i="9" s="1"/>
  <c r="H50" i="9" s="1"/>
  <c r="AG49" i="9"/>
  <c r="AF50" i="9"/>
  <c r="AN50" i="9" s="1"/>
  <c r="H51" i="9" s="1"/>
  <c r="AG50" i="9"/>
  <c r="AF51" i="9"/>
  <c r="AN51" i="9" s="1"/>
  <c r="H52" i="9" s="1"/>
  <c r="AG51" i="9"/>
  <c r="AF52" i="9"/>
  <c r="AN52" i="9" s="1"/>
  <c r="H53" i="9" s="1"/>
  <c r="AG52" i="9"/>
  <c r="AF53" i="9"/>
  <c r="AN53" i="9" s="1"/>
  <c r="H54" i="9" s="1"/>
  <c r="AG53" i="9"/>
  <c r="AF54" i="9"/>
  <c r="AN54" i="9" s="1"/>
  <c r="H55" i="9" s="1"/>
  <c r="AG54" i="9"/>
  <c r="AF55" i="9"/>
  <c r="AN55" i="9" s="1"/>
  <c r="AG55" i="9"/>
  <c r="AF56" i="9"/>
  <c r="AN56" i="9" s="1"/>
  <c r="AG56" i="9"/>
  <c r="AO56" i="9" s="1"/>
  <c r="AF57" i="9"/>
  <c r="AN57" i="9" s="1"/>
  <c r="AG57" i="9"/>
  <c r="AO57" i="9" s="1"/>
  <c r="AF58" i="9"/>
  <c r="AN58" i="9" s="1"/>
  <c r="AG58" i="9"/>
  <c r="AO58" i="9" s="1"/>
  <c r="AF59" i="9"/>
  <c r="AN59" i="9" s="1"/>
  <c r="AG59" i="9"/>
  <c r="AO59" i="9" s="1"/>
  <c r="AF60" i="9"/>
  <c r="AN60" i="9" s="1"/>
  <c r="AG60" i="9"/>
  <c r="AO60" i="9" s="1"/>
  <c r="AF61" i="9"/>
  <c r="AN61" i="9" s="1"/>
  <c r="AG61" i="9"/>
  <c r="AO61" i="9" s="1"/>
  <c r="AF62" i="9"/>
  <c r="AN62" i="9" s="1"/>
  <c r="AG62" i="9"/>
  <c r="AO62" i="9" s="1"/>
  <c r="AF63" i="9"/>
  <c r="AN63" i="9" s="1"/>
  <c r="AG63" i="9"/>
  <c r="AO63" i="9" s="1"/>
  <c r="AF64" i="9"/>
  <c r="AN64" i="9" s="1"/>
  <c r="AG64" i="9"/>
  <c r="AO64" i="9" s="1"/>
  <c r="AF65" i="9"/>
  <c r="AN65" i="9" s="1"/>
  <c r="AG65" i="9"/>
  <c r="AO65" i="9" s="1"/>
  <c r="AO55" i="9" l="1"/>
  <c r="AO53" i="9"/>
  <c r="AO51" i="9"/>
  <c r="AO49" i="9"/>
  <c r="AO47" i="9"/>
  <c r="AP47" i="9" s="1"/>
  <c r="AV35" i="9"/>
  <c r="AU35" i="9"/>
  <c r="AO54" i="9"/>
  <c r="AP54" i="9" s="1"/>
  <c r="AO52" i="9"/>
  <c r="AP52" i="9" s="1"/>
  <c r="AO50" i="9"/>
  <c r="AP50" i="9" s="1"/>
  <c r="AO48" i="9"/>
  <c r="AO46" i="9"/>
  <c r="AP46" i="9" s="1"/>
  <c r="AO44" i="9"/>
  <c r="AP44" i="9" s="1"/>
  <c r="AV25" i="9"/>
  <c r="AU25" i="9"/>
  <c r="AV39" i="9"/>
  <c r="AU39" i="9"/>
  <c r="AU55" i="9"/>
  <c r="AV41" i="9"/>
  <c r="AU41" i="9"/>
  <c r="AU61" i="9"/>
  <c r="AP61" i="9"/>
  <c r="AP29" i="9"/>
  <c r="AP27" i="9"/>
  <c r="AP7" i="9"/>
  <c r="AP5" i="9"/>
  <c r="AP63" i="9"/>
  <c r="AP62" i="9"/>
  <c r="AP56" i="9"/>
  <c r="AP25" i="9"/>
  <c r="AP30" i="9"/>
  <c r="AP28" i="9"/>
  <c r="AP24" i="9"/>
  <c r="AP23" i="9"/>
  <c r="AP9" i="9"/>
  <c r="AP22" i="9"/>
  <c r="AP20" i="9"/>
  <c r="AP18" i="9"/>
  <c r="AP21" i="9"/>
  <c r="AP19" i="9"/>
  <c r="AP17" i="9"/>
  <c r="AP15" i="9"/>
  <c r="AP13" i="9"/>
  <c r="AP11" i="9"/>
  <c r="AP16" i="9"/>
  <c r="AP14" i="9"/>
  <c r="AP12" i="9"/>
  <c r="AP10" i="9"/>
  <c r="AP8" i="9"/>
  <c r="AP6" i="9"/>
  <c r="AP59" i="9"/>
  <c r="AP60" i="9"/>
  <c r="AP65" i="9"/>
  <c r="AP64" i="9"/>
  <c r="AP53" i="9"/>
  <c r="AP58" i="9"/>
  <c r="AP57" i="9"/>
  <c r="AP55" i="9"/>
  <c r="AP51" i="9"/>
  <c r="AP49" i="9"/>
  <c r="AP26" i="9"/>
  <c r="AP42" i="9"/>
  <c r="AP40" i="9"/>
  <c r="AP38" i="9"/>
  <c r="AP36" i="9"/>
  <c r="AP34" i="9"/>
  <c r="AP32" i="9"/>
  <c r="AP45" i="9"/>
  <c r="AP43" i="9"/>
  <c r="AP41" i="9"/>
  <c r="AP39" i="9"/>
  <c r="AP37" i="9"/>
  <c r="AP35" i="9"/>
  <c r="AP33" i="9"/>
  <c r="AP31" i="9"/>
  <c r="AK5" i="8"/>
  <c r="AL5" i="8"/>
  <c r="AK6" i="8"/>
  <c r="AL6" i="8"/>
  <c r="AK7" i="8"/>
  <c r="AL7" i="8"/>
  <c r="AK8" i="8"/>
  <c r="AL8" i="8"/>
  <c r="AK9" i="8"/>
  <c r="AL9" i="8"/>
  <c r="AK10" i="8"/>
  <c r="AL10" i="8"/>
  <c r="AK11" i="8"/>
  <c r="AL11" i="8"/>
  <c r="AK12" i="8"/>
  <c r="AL12" i="8"/>
  <c r="AK13" i="8"/>
  <c r="AL13" i="8"/>
  <c r="AK14" i="8"/>
  <c r="AL14" i="8"/>
  <c r="AK15" i="8"/>
  <c r="AL15" i="8"/>
  <c r="AK16" i="8"/>
  <c r="AL16" i="8"/>
  <c r="AK17" i="8"/>
  <c r="AL17" i="8"/>
  <c r="AK18" i="8"/>
  <c r="AL18" i="8"/>
  <c r="AK19" i="8"/>
  <c r="AL19" i="8"/>
  <c r="AK20" i="8"/>
  <c r="AL20" i="8"/>
  <c r="AK21" i="8"/>
  <c r="AL21" i="8"/>
  <c r="AK22" i="8"/>
  <c r="AL22" i="8"/>
  <c r="AK23" i="8"/>
  <c r="AL23" i="8"/>
  <c r="AK24" i="8"/>
  <c r="AL24" i="8"/>
  <c r="AK25" i="8"/>
  <c r="AL25" i="8"/>
  <c r="AK26" i="8"/>
  <c r="AL26" i="8"/>
  <c r="AK27" i="8"/>
  <c r="AL27" i="8"/>
  <c r="AK28" i="8"/>
  <c r="AL28" i="8"/>
  <c r="AK29" i="8"/>
  <c r="AL29" i="8"/>
  <c r="AK30" i="8"/>
  <c r="AL30" i="8"/>
  <c r="AK31" i="8"/>
  <c r="AL31" i="8"/>
  <c r="AK32" i="8"/>
  <c r="AL32" i="8"/>
  <c r="AK33" i="8"/>
  <c r="AL33" i="8"/>
  <c r="AK34" i="8"/>
  <c r="AL34" i="8"/>
  <c r="AK35" i="8"/>
  <c r="AL35" i="8"/>
  <c r="AK36" i="8"/>
  <c r="AL36" i="8"/>
  <c r="AK37" i="8"/>
  <c r="AL37" i="8"/>
  <c r="AK38" i="8"/>
  <c r="AL38" i="8"/>
  <c r="AK39" i="8"/>
  <c r="AL39" i="8"/>
  <c r="AK40" i="8"/>
  <c r="AL40" i="8"/>
  <c r="AK41" i="8"/>
  <c r="AL41" i="8"/>
  <c r="AK42" i="8"/>
  <c r="AL42" i="8"/>
  <c r="AK43" i="8"/>
  <c r="AL43" i="8"/>
  <c r="AK44" i="8"/>
  <c r="AL44" i="8"/>
  <c r="AK45" i="8"/>
  <c r="AL45" i="8"/>
  <c r="AK46" i="8"/>
  <c r="AL46" i="8"/>
  <c r="AK47" i="8"/>
  <c r="AL47" i="8"/>
  <c r="AK48" i="8"/>
  <c r="AL48" i="8"/>
  <c r="AK49" i="8"/>
  <c r="AL49" i="8"/>
  <c r="AK50" i="8"/>
  <c r="AL50" i="8"/>
  <c r="AK51" i="8"/>
  <c r="AL51" i="8"/>
  <c r="AK52" i="8"/>
  <c r="AL52" i="8"/>
  <c r="AK53" i="8"/>
  <c r="AL53" i="8"/>
  <c r="AK54" i="8"/>
  <c r="AL54" i="8"/>
  <c r="AK55" i="8"/>
  <c r="AL55" i="8"/>
  <c r="AK56" i="8"/>
  <c r="AL56" i="8"/>
  <c r="AK57" i="8"/>
  <c r="AL57" i="8"/>
  <c r="AK58" i="8"/>
  <c r="AL58" i="8"/>
  <c r="AK59" i="8"/>
  <c r="AL59" i="8"/>
  <c r="AK60" i="8"/>
  <c r="AL60" i="8"/>
  <c r="AK61" i="8"/>
  <c r="AL61" i="8"/>
  <c r="AK62" i="8"/>
  <c r="AL62" i="8"/>
  <c r="AK63" i="8"/>
  <c r="AL63" i="8"/>
  <c r="AK64" i="8"/>
  <c r="AL64" i="8"/>
  <c r="AK65" i="8"/>
  <c r="AL65" i="8"/>
  <c r="AF64" i="8"/>
  <c r="AG64" i="8"/>
  <c r="AF65" i="8"/>
  <c r="AG65" i="8"/>
  <c r="AB65" i="8"/>
  <c r="AA65" i="8"/>
  <c r="AA64" i="8"/>
  <c r="AB64" i="8"/>
  <c r="T65" i="8"/>
  <c r="S65" i="8"/>
  <c r="R65" i="8"/>
  <c r="AM65" i="8" s="1"/>
  <c r="T64" i="8"/>
  <c r="S64" i="8"/>
  <c r="R64" i="8"/>
  <c r="AM64" i="8" s="1"/>
  <c r="T63" i="8"/>
  <c r="S63" i="8"/>
  <c r="R63" i="8"/>
  <c r="AM63" i="8" s="1"/>
  <c r="T62" i="8"/>
  <c r="S62" i="8"/>
  <c r="R62" i="8"/>
  <c r="AM62" i="8" s="1"/>
  <c r="T61" i="8"/>
  <c r="S61" i="8"/>
  <c r="R61" i="8"/>
  <c r="AM61" i="8" s="1"/>
  <c r="T60" i="8"/>
  <c r="S60" i="8"/>
  <c r="R60" i="8"/>
  <c r="AM60" i="8" s="1"/>
  <c r="T59" i="8"/>
  <c r="S59" i="8"/>
  <c r="R59" i="8"/>
  <c r="AM59" i="8" s="1"/>
  <c r="T58" i="8"/>
  <c r="S58" i="8"/>
  <c r="R58" i="8"/>
  <c r="AM58" i="8" s="1"/>
  <c r="T57" i="8"/>
  <c r="S57" i="8"/>
  <c r="R57" i="8"/>
  <c r="AM57" i="8" s="1"/>
  <c r="T56" i="8"/>
  <c r="S56" i="8"/>
  <c r="R56" i="8"/>
  <c r="AM56" i="8" s="1"/>
  <c r="T55" i="8"/>
  <c r="S55" i="8"/>
  <c r="R55" i="8"/>
  <c r="AM55" i="8" s="1"/>
  <c r="T54" i="8"/>
  <c r="S54" i="8"/>
  <c r="R54" i="8"/>
  <c r="AM54" i="8" s="1"/>
  <c r="T53" i="8"/>
  <c r="S53" i="8"/>
  <c r="R53" i="8"/>
  <c r="AM53" i="8" s="1"/>
  <c r="T52" i="8"/>
  <c r="S52" i="8"/>
  <c r="R52" i="8"/>
  <c r="AM52" i="8" s="1"/>
  <c r="T51" i="8"/>
  <c r="S51" i="8"/>
  <c r="R51" i="8"/>
  <c r="AM51" i="8" s="1"/>
  <c r="T50" i="8"/>
  <c r="S50" i="8"/>
  <c r="R50" i="8"/>
  <c r="AM50" i="8" s="1"/>
  <c r="T49" i="8"/>
  <c r="S49" i="8"/>
  <c r="R49" i="8"/>
  <c r="AM49" i="8" s="1"/>
  <c r="T48" i="8"/>
  <c r="S48" i="8"/>
  <c r="R48" i="8"/>
  <c r="AM48" i="8" s="1"/>
  <c r="T47" i="8"/>
  <c r="S47" i="8"/>
  <c r="R47" i="8"/>
  <c r="AM47" i="8" s="1"/>
  <c r="T46" i="8"/>
  <c r="S46" i="8"/>
  <c r="R46" i="8"/>
  <c r="AM46" i="8" s="1"/>
  <c r="T45" i="8"/>
  <c r="S45" i="8"/>
  <c r="R45" i="8"/>
  <c r="AM45" i="8" s="1"/>
  <c r="T44" i="8"/>
  <c r="S44" i="8"/>
  <c r="R44" i="8"/>
  <c r="AM44" i="8" s="1"/>
  <c r="T43" i="8"/>
  <c r="S43" i="8"/>
  <c r="R43" i="8"/>
  <c r="AM43" i="8" s="1"/>
  <c r="T42" i="8"/>
  <c r="S42" i="8"/>
  <c r="R42" i="8"/>
  <c r="AM42" i="8" s="1"/>
  <c r="T41" i="8"/>
  <c r="S41" i="8"/>
  <c r="R41" i="8"/>
  <c r="AM41" i="8" s="1"/>
  <c r="T40" i="8"/>
  <c r="S40" i="8"/>
  <c r="R40" i="8"/>
  <c r="AM40" i="8" s="1"/>
  <c r="T39" i="8"/>
  <c r="S39" i="8"/>
  <c r="R39" i="8"/>
  <c r="AM39" i="8" s="1"/>
  <c r="T38" i="8"/>
  <c r="R38" i="8"/>
  <c r="AM38" i="8" s="1"/>
  <c r="T37" i="8"/>
  <c r="S37" i="8"/>
  <c r="R37" i="8"/>
  <c r="AM37" i="8" s="1"/>
  <c r="T36" i="8"/>
  <c r="S36" i="8"/>
  <c r="R36" i="8"/>
  <c r="AM36" i="8" s="1"/>
  <c r="T35" i="8"/>
  <c r="S35" i="8"/>
  <c r="R35" i="8"/>
  <c r="AM35" i="8" s="1"/>
  <c r="T34" i="8"/>
  <c r="S34" i="8"/>
  <c r="R34" i="8"/>
  <c r="AM34" i="8" s="1"/>
  <c r="T33" i="8"/>
  <c r="S33" i="8"/>
  <c r="R33" i="8"/>
  <c r="AM33" i="8" s="1"/>
  <c r="T32" i="8"/>
  <c r="S32" i="8"/>
  <c r="R32" i="8"/>
  <c r="AM32" i="8" s="1"/>
  <c r="T31" i="8"/>
  <c r="S31" i="8"/>
  <c r="R31" i="8"/>
  <c r="AM31" i="8" s="1"/>
  <c r="T30" i="8"/>
  <c r="S30" i="8"/>
  <c r="R30" i="8"/>
  <c r="AM30" i="8" s="1"/>
  <c r="T29" i="8"/>
  <c r="S29" i="8"/>
  <c r="R29" i="8"/>
  <c r="AM29" i="8" s="1"/>
  <c r="T28" i="8"/>
  <c r="S28" i="8"/>
  <c r="R28" i="8"/>
  <c r="T27" i="8"/>
  <c r="S27" i="8"/>
  <c r="R27" i="8"/>
  <c r="AM27" i="8" s="1"/>
  <c r="T26" i="8"/>
  <c r="S26" i="8"/>
  <c r="R26" i="8"/>
  <c r="T25" i="8"/>
  <c r="S25" i="8"/>
  <c r="R25" i="8"/>
  <c r="AM25" i="8" s="1"/>
  <c r="T24" i="8"/>
  <c r="S24" i="8"/>
  <c r="R24" i="8"/>
  <c r="T23" i="8"/>
  <c r="S23" i="8"/>
  <c r="R23" i="8"/>
  <c r="AM23" i="8" s="1"/>
  <c r="T22" i="8"/>
  <c r="S22" i="8"/>
  <c r="R22" i="8"/>
  <c r="T21" i="8"/>
  <c r="S21" i="8"/>
  <c r="R21" i="8"/>
  <c r="AM21" i="8" s="1"/>
  <c r="T20" i="8"/>
  <c r="S20" i="8"/>
  <c r="R20" i="8"/>
  <c r="AM20" i="8" s="1"/>
  <c r="T19" i="8"/>
  <c r="S19" i="8"/>
  <c r="R19" i="8"/>
  <c r="AM19" i="8" s="1"/>
  <c r="T18" i="8"/>
  <c r="S18" i="8"/>
  <c r="R18" i="8"/>
  <c r="T17" i="8"/>
  <c r="S17" i="8"/>
  <c r="R17" i="8"/>
  <c r="AM17" i="8" s="1"/>
  <c r="T16" i="8"/>
  <c r="S16" i="8"/>
  <c r="R16" i="8"/>
  <c r="T15" i="8"/>
  <c r="S15" i="8"/>
  <c r="R15" i="8"/>
  <c r="AM15" i="8" s="1"/>
  <c r="T14" i="8"/>
  <c r="S14" i="8"/>
  <c r="R14" i="8"/>
  <c r="AM14" i="8" s="1"/>
  <c r="T13" i="8"/>
  <c r="S13" i="8"/>
  <c r="R13" i="8"/>
  <c r="AM13" i="8" s="1"/>
  <c r="T12" i="8"/>
  <c r="S12" i="8"/>
  <c r="R12" i="8"/>
  <c r="AM12" i="8" s="1"/>
  <c r="T11" i="8"/>
  <c r="S11" i="8"/>
  <c r="R11" i="8"/>
  <c r="AM11" i="8" s="1"/>
  <c r="T10" i="8"/>
  <c r="S10" i="8"/>
  <c r="R10" i="8"/>
  <c r="AM10" i="8" s="1"/>
  <c r="T9" i="8"/>
  <c r="S9" i="8"/>
  <c r="R9" i="8"/>
  <c r="AM9" i="8" s="1"/>
  <c r="T8" i="8"/>
  <c r="S8" i="8"/>
  <c r="R8" i="8"/>
  <c r="AM8" i="8" s="1"/>
  <c r="T7" i="8"/>
  <c r="S7" i="8"/>
  <c r="R7" i="8"/>
  <c r="AM7" i="8" s="1"/>
  <c r="T6" i="8"/>
  <c r="S6" i="8"/>
  <c r="R6" i="8"/>
  <c r="AM6" i="8" s="1"/>
  <c r="T5" i="8"/>
  <c r="S5" i="8"/>
  <c r="R5" i="8"/>
  <c r="AM5" i="8" s="1"/>
  <c r="AV61" i="9" l="1"/>
  <c r="AV55" i="9"/>
  <c r="AP48" i="9"/>
  <c r="AT49" i="8"/>
  <c r="AT53" i="8"/>
  <c r="AT61" i="8"/>
  <c r="G19" i="8"/>
  <c r="AM18" i="8"/>
  <c r="G23" i="8"/>
  <c r="AM22" i="8"/>
  <c r="G27" i="8"/>
  <c r="AM26" i="8"/>
  <c r="G17" i="8"/>
  <c r="AM16" i="8"/>
  <c r="G25" i="8"/>
  <c r="AM24" i="8"/>
  <c r="AM28" i="8"/>
  <c r="AT41" i="8" s="1"/>
  <c r="AN64" i="8"/>
  <c r="AO65" i="8"/>
  <c r="AN65" i="8"/>
  <c r="AO64" i="8"/>
  <c r="G21" i="8"/>
  <c r="G20" i="8"/>
  <c r="G24" i="8"/>
  <c r="G18" i="8"/>
  <c r="G22" i="8"/>
  <c r="G26" i="8"/>
  <c r="AT21" i="8" l="1"/>
  <c r="AT29" i="8"/>
  <c r="AT25" i="8"/>
  <c r="AP64" i="8"/>
  <c r="AP65" i="8"/>
  <c r="J66" i="4"/>
  <c r="AO65" i="4"/>
  <c r="AN65" i="4"/>
  <c r="AM65" i="4"/>
  <c r="AO64" i="4"/>
  <c r="AN64" i="4"/>
  <c r="AM64" i="4"/>
  <c r="AO63" i="4"/>
  <c r="AN63" i="4"/>
  <c r="AM63" i="4"/>
  <c r="AO62" i="4"/>
  <c r="AN62" i="4"/>
  <c r="AM62" i="4"/>
  <c r="AO61" i="4"/>
  <c r="AN61" i="4"/>
  <c r="AM61" i="4"/>
  <c r="AO60" i="4"/>
  <c r="AN60" i="4"/>
  <c r="AM60" i="4"/>
  <c r="AO59" i="4"/>
  <c r="AN59" i="4"/>
  <c r="AM59" i="4"/>
  <c r="AO58" i="4"/>
  <c r="AN58" i="4"/>
  <c r="AM58" i="4"/>
  <c r="AO57" i="4"/>
  <c r="AN57" i="4"/>
  <c r="AM57" i="4"/>
  <c r="AO56" i="4"/>
  <c r="AN56" i="4"/>
  <c r="AM56" i="4"/>
  <c r="AO55" i="4"/>
  <c r="AN55" i="4"/>
  <c r="AM55" i="4"/>
  <c r="AO54" i="4"/>
  <c r="AN54" i="4"/>
  <c r="AM54" i="4"/>
  <c r="AO53" i="4"/>
  <c r="AN53" i="4"/>
  <c r="AM53" i="4"/>
  <c r="AO52" i="4"/>
  <c r="AN52" i="4"/>
  <c r="AM52" i="4"/>
  <c r="AO51" i="4"/>
  <c r="AN51" i="4"/>
  <c r="AM51" i="4"/>
  <c r="AO50" i="4"/>
  <c r="AN50" i="4"/>
  <c r="AM50" i="4"/>
  <c r="AO49" i="4"/>
  <c r="AN49" i="4"/>
  <c r="AM49" i="4"/>
  <c r="AO48" i="4"/>
  <c r="AN48" i="4"/>
  <c r="AM48" i="4"/>
  <c r="AM47" i="4"/>
  <c r="AM46" i="4"/>
  <c r="G47" i="4" s="1"/>
  <c r="AN47" i="4" s="1"/>
  <c r="AM45" i="4"/>
  <c r="G46" i="4" s="1"/>
  <c r="AN46" i="4" s="1"/>
  <c r="H47" i="4" s="1"/>
  <c r="AO47" i="4" s="1"/>
  <c r="AM44" i="4"/>
  <c r="G45" i="4" s="1"/>
  <c r="AN45" i="4" s="1"/>
  <c r="H46" i="4" s="1"/>
  <c r="AO46" i="4" s="1"/>
  <c r="AM43" i="4"/>
  <c r="G44" i="4" s="1"/>
  <c r="AN44" i="4" s="1"/>
  <c r="H45" i="4" s="1"/>
  <c r="AO45" i="4" s="1"/>
  <c r="AO42" i="4"/>
  <c r="AN42" i="4"/>
  <c r="H43" i="4" s="1"/>
  <c r="AO43" i="4" s="1"/>
  <c r="AM42" i="4"/>
  <c r="G43" i="4" s="1"/>
  <c r="AN43" i="4" s="1"/>
  <c r="H44" i="4" s="1"/>
  <c r="AO44" i="4" s="1"/>
  <c r="AO41" i="4"/>
  <c r="AN41" i="4"/>
  <c r="AM41" i="4"/>
  <c r="AO40" i="4"/>
  <c r="AN40" i="4"/>
  <c r="AM40" i="4"/>
  <c r="AO39" i="4"/>
  <c r="AN39" i="4"/>
  <c r="AM39" i="4"/>
  <c r="AO38" i="4"/>
  <c r="AN38" i="4"/>
  <c r="AM38" i="4"/>
  <c r="AO37" i="4"/>
  <c r="AN37" i="4"/>
  <c r="AM37" i="4"/>
  <c r="AO36" i="4"/>
  <c r="AN36" i="4"/>
  <c r="AM36" i="4"/>
  <c r="AO35" i="4"/>
  <c r="AO34" i="4"/>
  <c r="AO33" i="4"/>
  <c r="AO32" i="4"/>
  <c r="AO31" i="4"/>
  <c r="AO30" i="4"/>
  <c r="AO29" i="4"/>
  <c r="AN29" i="4"/>
  <c r="AM29" i="4"/>
  <c r="AO28" i="4"/>
  <c r="AN28" i="4"/>
  <c r="AM28" i="4"/>
  <c r="AO27" i="4"/>
  <c r="AN27" i="4"/>
  <c r="AM27" i="4"/>
  <c r="AO26" i="4"/>
  <c r="AN26" i="4"/>
  <c r="AM26" i="4"/>
  <c r="AO25" i="4"/>
  <c r="AN25" i="4"/>
  <c r="AM25" i="4"/>
  <c r="AO24" i="4"/>
  <c r="AN24" i="4"/>
  <c r="AM24" i="4"/>
  <c r="AO23" i="4"/>
  <c r="AN23" i="4"/>
  <c r="AM23" i="4"/>
  <c r="AO22" i="4"/>
  <c r="AN22" i="4"/>
  <c r="AM22" i="4"/>
  <c r="AO21" i="4"/>
  <c r="AN21" i="4"/>
  <c r="AM21" i="4"/>
  <c r="AO20" i="4"/>
  <c r="AN20" i="4"/>
  <c r="AM20" i="4"/>
  <c r="AO19" i="4"/>
  <c r="AN19" i="4"/>
  <c r="AM19" i="4"/>
  <c r="AO18" i="4"/>
  <c r="AN18" i="4"/>
  <c r="AM18" i="4"/>
  <c r="AO17" i="4"/>
  <c r="AN17" i="4"/>
  <c r="AM17" i="4"/>
  <c r="AO16" i="4"/>
  <c r="AN16" i="4"/>
  <c r="AM16" i="4"/>
  <c r="AO15" i="4"/>
  <c r="AN15" i="4"/>
  <c r="AM15" i="4"/>
  <c r="AO14" i="4"/>
  <c r="AN14" i="4"/>
  <c r="AM14" i="4"/>
  <c r="AO13" i="4"/>
  <c r="AN13" i="4"/>
  <c r="AM13" i="4"/>
  <c r="AO12" i="4"/>
  <c r="AN12" i="4"/>
  <c r="AM12" i="4"/>
  <c r="AO11" i="4"/>
  <c r="AN11" i="4"/>
  <c r="AM11" i="4"/>
  <c r="AO10" i="4"/>
  <c r="AN10" i="4"/>
  <c r="AM10" i="4"/>
  <c r="AP11" i="4" l="1"/>
  <c r="AP63" i="4"/>
  <c r="AP53" i="4"/>
  <c r="AP25" i="4"/>
  <c r="AP23" i="4"/>
  <c r="AP13" i="4"/>
  <c r="AP17" i="4"/>
  <c r="AP15" i="4"/>
  <c r="AP10" i="4"/>
  <c r="AP18" i="4"/>
  <c r="AP14" i="4"/>
  <c r="AP12" i="4"/>
  <c r="AP16" i="4"/>
  <c r="AP20" i="4"/>
  <c r="AP21" i="4"/>
  <c r="AP24" i="4"/>
  <c r="AP28" i="4"/>
  <c r="AP29" i="4"/>
  <c r="AP19" i="4"/>
  <c r="AP22" i="4"/>
  <c r="AP26" i="4"/>
  <c r="AP27" i="4"/>
  <c r="AP58" i="4"/>
  <c r="AP61" i="4"/>
  <c r="AP65" i="4"/>
  <c r="AP60" i="4"/>
  <c r="AP64" i="4"/>
  <c r="AP59" i="4"/>
  <c r="AP62" i="4"/>
  <c r="AP57" i="4"/>
  <c r="AP45" i="4"/>
  <c r="AP52" i="4"/>
  <c r="AP56" i="4"/>
  <c r="AP55" i="4"/>
  <c r="AP54" i="4"/>
  <c r="AP49" i="4"/>
  <c r="AP44" i="4"/>
  <c r="AP48" i="4"/>
  <c r="AP47" i="4"/>
  <c r="AP51" i="4"/>
  <c r="AP46" i="4"/>
  <c r="AP50" i="4"/>
  <c r="AP43" i="4"/>
  <c r="AP42" i="4"/>
  <c r="AP41" i="4"/>
  <c r="AP40" i="4"/>
  <c r="AP32" i="4"/>
  <c r="AP37" i="4"/>
  <c r="AP33" i="4"/>
  <c r="AP36" i="4"/>
  <c r="AP34" i="4"/>
  <c r="AP30" i="4"/>
  <c r="AP31" i="4"/>
  <c r="AP35" i="4"/>
  <c r="AP38" i="4"/>
  <c r="AP39" i="4"/>
  <c r="J66" i="5"/>
  <c r="R66" i="5" s="1"/>
  <c r="AM59" i="5"/>
  <c r="AM58" i="5"/>
  <c r="AM57" i="5"/>
  <c r="AM56" i="5"/>
  <c r="AM55" i="5"/>
  <c r="AM54" i="5"/>
  <c r="AM53" i="5"/>
  <c r="AM52" i="5"/>
  <c r="AM51" i="5"/>
  <c r="AM50" i="5"/>
  <c r="AM49" i="5"/>
  <c r="AM48" i="5"/>
  <c r="AM47" i="5"/>
  <c r="AM46" i="5"/>
  <c r="AM45" i="5"/>
  <c r="AM44" i="5"/>
  <c r="AM43" i="5"/>
  <c r="AM42" i="5"/>
  <c r="AM41" i="5"/>
  <c r="AM40" i="5"/>
  <c r="AM39" i="5"/>
  <c r="AM38" i="5"/>
  <c r="AM37" i="5"/>
  <c r="AM36" i="5"/>
  <c r="AM35" i="5"/>
  <c r="AM34" i="5"/>
  <c r="AM33" i="5"/>
  <c r="AM32" i="5"/>
  <c r="AM31" i="5"/>
  <c r="AM30" i="5"/>
  <c r="AM29" i="5"/>
  <c r="AM28" i="5"/>
  <c r="AM27" i="5"/>
  <c r="AM26" i="5"/>
  <c r="AM25" i="5"/>
  <c r="AM24" i="5"/>
  <c r="AM23" i="5"/>
  <c r="AM22" i="5"/>
  <c r="AM21" i="5"/>
  <c r="AM20" i="5"/>
  <c r="AM19" i="5"/>
  <c r="AM18" i="5"/>
  <c r="AM17" i="5"/>
  <c r="AM16" i="5"/>
  <c r="AM15" i="5"/>
  <c r="AM14" i="5"/>
  <c r="AM13" i="5"/>
  <c r="AM12" i="5"/>
  <c r="AM11" i="5"/>
  <c r="AM10" i="5"/>
  <c r="AM9" i="5"/>
  <c r="AM8" i="5"/>
  <c r="AM7" i="5"/>
  <c r="AM6" i="5"/>
  <c r="AM5" i="5"/>
  <c r="AP65" i="5" l="1"/>
  <c r="AO65" i="3"/>
  <c r="AN65" i="3"/>
  <c r="AM65" i="3"/>
  <c r="AO64" i="3"/>
  <c r="AN64" i="3"/>
  <c r="AM64" i="3"/>
  <c r="AO63" i="3"/>
  <c r="AN63" i="3"/>
  <c r="AM63" i="3"/>
  <c r="AO62" i="3"/>
  <c r="AN62" i="3"/>
  <c r="AM62" i="3"/>
  <c r="AO61" i="3"/>
  <c r="AN61" i="3"/>
  <c r="AM61" i="3"/>
  <c r="AO60" i="3"/>
  <c r="AN60" i="3"/>
  <c r="AM60" i="3"/>
  <c r="AO59" i="3"/>
  <c r="AN59" i="3"/>
  <c r="AM59" i="3"/>
  <c r="AO58" i="3"/>
  <c r="AN58" i="3"/>
  <c r="AM58" i="3"/>
  <c r="AO57" i="3"/>
  <c r="AN57" i="3"/>
  <c r="AM57" i="3"/>
  <c r="AO56" i="3"/>
  <c r="AN56" i="3"/>
  <c r="AM56" i="3"/>
  <c r="AO55" i="3"/>
  <c r="AN55" i="3"/>
  <c r="AM55" i="3"/>
  <c r="AO54" i="3"/>
  <c r="AN54" i="3"/>
  <c r="AM54" i="3"/>
  <c r="AO53" i="3"/>
  <c r="AN53" i="3"/>
  <c r="AM53" i="3"/>
  <c r="AO52" i="3"/>
  <c r="AN52" i="3"/>
  <c r="AM52" i="3"/>
  <c r="AO51" i="3"/>
  <c r="AN51" i="3"/>
  <c r="AM51" i="3"/>
  <c r="AO50" i="3"/>
  <c r="AN50" i="3"/>
  <c r="AM50" i="3"/>
  <c r="AO49" i="3"/>
  <c r="AN49" i="3"/>
  <c r="AM49" i="3"/>
  <c r="AO48" i="3"/>
  <c r="AN48" i="3"/>
  <c r="AM48" i="3"/>
  <c r="AO47" i="3"/>
  <c r="AN47" i="3"/>
  <c r="AM47" i="3"/>
  <c r="AO46" i="3"/>
  <c r="AN46" i="3"/>
  <c r="AM46" i="3"/>
  <c r="AO45" i="3"/>
  <c r="AN45" i="3"/>
  <c r="AM45" i="3"/>
  <c r="AO44" i="3"/>
  <c r="AN44" i="3"/>
  <c r="AM44" i="3"/>
  <c r="AO43" i="3"/>
  <c r="AN43" i="3"/>
  <c r="AM43" i="3"/>
  <c r="AO42" i="3"/>
  <c r="AN42" i="3"/>
  <c r="AM42" i="3"/>
  <c r="AO41" i="3"/>
  <c r="AN41" i="3"/>
  <c r="AM41" i="3"/>
  <c r="AO40" i="3"/>
  <c r="AN40" i="3"/>
  <c r="AM40" i="3"/>
  <c r="AO39" i="3"/>
  <c r="AN39" i="3"/>
  <c r="AM39" i="3"/>
  <c r="AO38" i="3"/>
  <c r="AN38" i="3"/>
  <c r="AM38" i="3"/>
  <c r="AO37" i="3"/>
  <c r="AN37" i="3"/>
  <c r="AM37" i="3"/>
  <c r="AO36" i="3"/>
  <c r="AN36" i="3"/>
  <c r="AM36" i="3"/>
  <c r="AO35" i="3"/>
  <c r="AN35" i="3"/>
  <c r="AM35" i="3"/>
  <c r="AO34" i="3"/>
  <c r="AN34" i="3"/>
  <c r="AM34" i="3"/>
  <c r="AO33" i="3"/>
  <c r="AN33" i="3"/>
  <c r="AM33" i="3"/>
  <c r="AO32" i="3"/>
  <c r="AN32" i="3"/>
  <c r="AM32" i="3"/>
  <c r="AO31" i="3"/>
  <c r="AN31" i="3"/>
  <c r="AM31" i="3"/>
  <c r="AM30" i="3"/>
  <c r="AM29" i="3"/>
  <c r="AM28" i="3"/>
  <c r="AM27" i="3"/>
  <c r="AM26" i="3"/>
  <c r="AM25" i="3"/>
  <c r="AM24" i="3"/>
  <c r="AM23" i="3"/>
  <c r="AM22" i="3"/>
  <c r="AM21" i="3"/>
  <c r="AM20" i="3"/>
  <c r="AM19" i="3"/>
  <c r="AM18" i="3"/>
  <c r="AM17" i="3"/>
  <c r="AM16" i="3"/>
  <c r="AM15" i="3"/>
  <c r="AM14" i="3"/>
  <c r="AM13" i="3"/>
  <c r="AM12" i="3"/>
  <c r="AM11" i="3"/>
  <c r="AM10" i="3"/>
  <c r="AM9" i="3"/>
  <c r="AM8" i="3"/>
  <c r="AM7" i="3"/>
  <c r="AM6" i="3"/>
  <c r="AM5" i="3"/>
  <c r="AP64" i="5" l="1"/>
  <c r="AP64" i="3"/>
  <c r="AP60" i="3"/>
  <c r="AN5" i="3"/>
  <c r="AO6" i="3"/>
  <c r="AN9" i="3"/>
  <c r="AO10" i="3"/>
  <c r="AN13" i="3"/>
  <c r="AO14" i="3"/>
  <c r="AN17" i="3"/>
  <c r="AO18" i="3"/>
  <c r="AN21" i="3"/>
  <c r="AO22" i="3"/>
  <c r="AN25" i="3"/>
  <c r="AO26" i="3"/>
  <c r="AN29" i="3"/>
  <c r="AO30" i="3"/>
  <c r="AO5" i="3"/>
  <c r="AN8" i="3"/>
  <c r="AO9" i="3"/>
  <c r="AN12" i="3"/>
  <c r="AO13" i="3"/>
  <c r="AN16" i="3"/>
  <c r="AO17" i="3"/>
  <c r="AN20" i="3"/>
  <c r="AO21" i="3"/>
  <c r="AN24" i="3"/>
  <c r="AO25" i="3"/>
  <c r="AN28" i="3"/>
  <c r="AO29" i="3"/>
  <c r="AN7" i="3"/>
  <c r="AO8" i="3"/>
  <c r="AN11" i="3"/>
  <c r="AO12" i="3"/>
  <c r="AN15" i="3"/>
  <c r="AO16" i="3"/>
  <c r="AN19" i="3"/>
  <c r="AO20" i="3"/>
  <c r="AN23" i="3"/>
  <c r="AO24" i="3"/>
  <c r="AN27" i="3"/>
  <c r="AO28" i="3"/>
  <c r="AN6" i="3"/>
  <c r="AO7" i="3"/>
  <c r="AN10" i="3"/>
  <c r="AO11" i="3"/>
  <c r="AN14" i="3"/>
  <c r="AO15" i="3"/>
  <c r="AN18" i="3"/>
  <c r="AO19" i="3"/>
  <c r="AN22" i="3"/>
  <c r="AO23" i="3"/>
  <c r="AN26" i="3"/>
  <c r="AO27" i="3"/>
  <c r="AN30" i="3"/>
  <c r="AP47" i="3"/>
  <c r="AP61" i="3"/>
  <c r="AP65" i="3"/>
  <c r="AP58" i="3"/>
  <c r="AP59" i="3"/>
  <c r="AP63" i="3"/>
  <c r="AP62" i="3"/>
  <c r="AP51" i="3"/>
  <c r="AP55" i="3"/>
  <c r="AP46" i="3"/>
  <c r="AP50" i="3"/>
  <c r="AP54" i="3"/>
  <c r="AP45" i="3"/>
  <c r="AP49" i="3"/>
  <c r="AP53" i="3"/>
  <c r="AP57" i="3"/>
  <c r="AP44" i="3"/>
  <c r="AP48" i="3"/>
  <c r="AP52" i="3"/>
  <c r="AP56" i="3"/>
  <c r="AP39" i="3"/>
  <c r="AP38" i="3"/>
  <c r="AP42" i="3"/>
  <c r="AP43" i="3"/>
  <c r="AP37" i="3"/>
  <c r="AP41" i="3"/>
  <c r="AP36" i="3"/>
  <c r="AP40" i="3"/>
  <c r="AP31" i="3"/>
  <c r="AP34" i="3"/>
  <c r="AP35" i="3"/>
  <c r="AP33" i="3"/>
  <c r="AP32" i="3"/>
  <c r="R66" i="3"/>
  <c r="S66" i="3"/>
  <c r="T66" i="3"/>
  <c r="AP13" i="3" l="1"/>
  <c r="AP22" i="3"/>
  <c r="AP14" i="3"/>
  <c r="AP6" i="3"/>
  <c r="AP30" i="3"/>
  <c r="AP18" i="3"/>
  <c r="AP10" i="3"/>
  <c r="AP11" i="3"/>
  <c r="AP16" i="3"/>
  <c r="AP20" i="3"/>
  <c r="AP12" i="3"/>
  <c r="AP29" i="3"/>
  <c r="AP24" i="3"/>
  <c r="AP25" i="3"/>
  <c r="AP26" i="3"/>
  <c r="AP15" i="3"/>
  <c r="AP21" i="3"/>
  <c r="AP17" i="3"/>
  <c r="AP8" i="3"/>
  <c r="AP7" i="3"/>
  <c r="AP5" i="3"/>
  <c r="AP9" i="3"/>
  <c r="AP23" i="3"/>
  <c r="AP27" i="3"/>
  <c r="AP19" i="3"/>
  <c r="AP28" i="3"/>
  <c r="AF51" i="5"/>
  <c r="AG51" i="5"/>
  <c r="AF52" i="5"/>
  <c r="AG52" i="5"/>
  <c r="AF53" i="5"/>
  <c r="AG53" i="5"/>
  <c r="AF54" i="5"/>
  <c r="AG54" i="5"/>
  <c r="AF55" i="5"/>
  <c r="AG55" i="5"/>
  <c r="AF56" i="5"/>
  <c r="AG56" i="5"/>
  <c r="AF57" i="5"/>
  <c r="AG57" i="5"/>
  <c r="AF58" i="5"/>
  <c r="AG58" i="5"/>
  <c r="AF59" i="5"/>
  <c r="AG59" i="5"/>
  <c r="AO62" i="5" l="1"/>
  <c r="AO60" i="5"/>
  <c r="AO56" i="5"/>
  <c r="AN56" i="5"/>
  <c r="AO57" i="5"/>
  <c r="AO53" i="5"/>
  <c r="AN57" i="5"/>
  <c r="AN53" i="5"/>
  <c r="AO63" i="5"/>
  <c r="AO61" i="5"/>
  <c r="AO59" i="5"/>
  <c r="AN59" i="5"/>
  <c r="AO58" i="5"/>
  <c r="AN58" i="5"/>
  <c r="AO55" i="5"/>
  <c r="AN55" i="5"/>
  <c r="AO54" i="5"/>
  <c r="AN54" i="5"/>
  <c r="AO52" i="5"/>
  <c r="AN52" i="5"/>
  <c r="AO51" i="5"/>
  <c r="AN51" i="5"/>
  <c r="AF56" i="11"/>
  <c r="AG56" i="11"/>
  <c r="AF57" i="11"/>
  <c r="AG57" i="11"/>
  <c r="AF58" i="11"/>
  <c r="AG58" i="11"/>
  <c r="AF59" i="11"/>
  <c r="AG59" i="11"/>
  <c r="AF60" i="11"/>
  <c r="AG60" i="11"/>
  <c r="AF61" i="11"/>
  <c r="AG61" i="11"/>
  <c r="AF62" i="11"/>
  <c r="AG62" i="11"/>
  <c r="AF63" i="11"/>
  <c r="AG63" i="11"/>
  <c r="AG54" i="11"/>
  <c r="AM63" i="11"/>
  <c r="AL63" i="11"/>
  <c r="AK63" i="11"/>
  <c r="AL62" i="11"/>
  <c r="AK62" i="11"/>
  <c r="AL61" i="11"/>
  <c r="AK61" i="11"/>
  <c r="AL60" i="11"/>
  <c r="AK60" i="11"/>
  <c r="AM59" i="11"/>
  <c r="AL59" i="11"/>
  <c r="AK59" i="11"/>
  <c r="AL58" i="11"/>
  <c r="AK58" i="11"/>
  <c r="AL57" i="11"/>
  <c r="AK57" i="11"/>
  <c r="AL56" i="11"/>
  <c r="AK56" i="11"/>
  <c r="AL55" i="11"/>
  <c r="AK55" i="11"/>
  <c r="AL54" i="11"/>
  <c r="AK54" i="11"/>
  <c r="AL53" i="11"/>
  <c r="AK53" i="11"/>
  <c r="AL52" i="11"/>
  <c r="AK52" i="11"/>
  <c r="AM51" i="11"/>
  <c r="AL51" i="11"/>
  <c r="AK51" i="11"/>
  <c r="AK50" i="11"/>
  <c r="AL50" i="11"/>
  <c r="AM52" i="11"/>
  <c r="AM53" i="11"/>
  <c r="AM54" i="11"/>
  <c r="AM55" i="11"/>
  <c r="AM56" i="11"/>
  <c r="AM57" i="11"/>
  <c r="AM58" i="11"/>
  <c r="AM60" i="11"/>
  <c r="AM61" i="11"/>
  <c r="AM62" i="11"/>
  <c r="AT65" i="11" s="1"/>
  <c r="AP56" i="5" l="1"/>
  <c r="AN61" i="11"/>
  <c r="AP53" i="5"/>
  <c r="AP57" i="5"/>
  <c r="AP60" i="5"/>
  <c r="AP55" i="5"/>
  <c r="AP59" i="5"/>
  <c r="AP63" i="5"/>
  <c r="AP62" i="5"/>
  <c r="AP58" i="5"/>
  <c r="AP61" i="5"/>
  <c r="AN56" i="11"/>
  <c r="AP54" i="5"/>
  <c r="AP52" i="5"/>
  <c r="AP51" i="5"/>
  <c r="AN59" i="11"/>
  <c r="AN63" i="11"/>
  <c r="AN57" i="11"/>
  <c r="AO60" i="11"/>
  <c r="AO56" i="11"/>
  <c r="AO54" i="11"/>
  <c r="AN60" i="11"/>
  <c r="AN58" i="11"/>
  <c r="AO59" i="11"/>
  <c r="AN62" i="11"/>
  <c r="AU65" i="11" s="1"/>
  <c r="AO63" i="11"/>
  <c r="AO61" i="11"/>
  <c r="AO57" i="11"/>
  <c r="AO58" i="11"/>
  <c r="AO62" i="11"/>
  <c r="AV65" i="11" l="1"/>
  <c r="AP56" i="11"/>
  <c r="AP61" i="11"/>
  <c r="AP60" i="11"/>
  <c r="AP62" i="11"/>
  <c r="AP63" i="11"/>
  <c r="AP59" i="11"/>
  <c r="AP58" i="11"/>
  <c r="AP57" i="11"/>
  <c r="AA51" i="12"/>
  <c r="AB51" i="12"/>
  <c r="AA52" i="12"/>
  <c r="AB52" i="12"/>
  <c r="AA53" i="12"/>
  <c r="AB53" i="12"/>
  <c r="AA54" i="12"/>
  <c r="AB54" i="12"/>
  <c r="AA55" i="12"/>
  <c r="AB55" i="12"/>
  <c r="AA56" i="12"/>
  <c r="AB56" i="12"/>
  <c r="AA57" i="12"/>
  <c r="AB57" i="12"/>
  <c r="AA58" i="12"/>
  <c r="AB58" i="12"/>
  <c r="AA59" i="12"/>
  <c r="AB59" i="12"/>
  <c r="T59" i="12"/>
  <c r="AO59" i="12" s="1"/>
  <c r="S59" i="12"/>
  <c r="AN59" i="12" s="1"/>
  <c r="R59" i="12"/>
  <c r="AM59" i="12" s="1"/>
  <c r="T58" i="12"/>
  <c r="AO58" i="12" s="1"/>
  <c r="S58" i="12"/>
  <c r="AN58" i="12" s="1"/>
  <c r="R58" i="12"/>
  <c r="AM58" i="12" s="1"/>
  <c r="T57" i="12"/>
  <c r="AO57" i="12" s="1"/>
  <c r="S57" i="12"/>
  <c r="AN57" i="12" s="1"/>
  <c r="R57" i="12"/>
  <c r="AM57" i="12" s="1"/>
  <c r="T56" i="12"/>
  <c r="AO56" i="12" s="1"/>
  <c r="S56" i="12"/>
  <c r="AN56" i="12" s="1"/>
  <c r="R56" i="12"/>
  <c r="AM56" i="12" s="1"/>
  <c r="T55" i="12"/>
  <c r="AO55" i="12" s="1"/>
  <c r="S55" i="12"/>
  <c r="AN55" i="12" s="1"/>
  <c r="R55" i="12"/>
  <c r="AM55" i="12" s="1"/>
  <c r="T54" i="12"/>
  <c r="AO54" i="12" s="1"/>
  <c r="S54" i="12"/>
  <c r="AN54" i="12" s="1"/>
  <c r="R54" i="12"/>
  <c r="AM54" i="12" s="1"/>
  <c r="T53" i="12"/>
  <c r="AO53" i="12" s="1"/>
  <c r="S53" i="12"/>
  <c r="AN53" i="12" s="1"/>
  <c r="R53" i="12"/>
  <c r="AM53" i="12" s="1"/>
  <c r="T52" i="12"/>
  <c r="AO52" i="12" s="1"/>
  <c r="S52" i="12"/>
  <c r="AN52" i="12" s="1"/>
  <c r="R52" i="12"/>
  <c r="AM52" i="12" s="1"/>
  <c r="T51" i="12"/>
  <c r="AO51" i="12" s="1"/>
  <c r="S51" i="12"/>
  <c r="AN51" i="12" s="1"/>
  <c r="R51" i="12"/>
  <c r="AM51" i="12" s="1"/>
  <c r="AU65" i="12" l="1"/>
  <c r="AP55" i="12"/>
  <c r="AV65" i="12"/>
  <c r="AP58" i="12"/>
  <c r="AT65" i="12"/>
  <c r="AP54" i="12"/>
  <c r="AP51" i="12"/>
  <c r="AP59" i="12"/>
  <c r="AP57" i="12"/>
  <c r="AP56" i="12"/>
  <c r="AP53" i="12"/>
  <c r="AP52" i="12"/>
  <c r="R49" i="13"/>
  <c r="S49" i="13"/>
  <c r="T49" i="13"/>
  <c r="R50" i="13"/>
  <c r="S50" i="13"/>
  <c r="T50" i="13"/>
  <c r="R51" i="13"/>
  <c r="S51" i="13"/>
  <c r="T51" i="13"/>
  <c r="R52" i="13"/>
  <c r="S52" i="13"/>
  <c r="T52" i="13"/>
  <c r="R53" i="13"/>
  <c r="S53" i="13"/>
  <c r="T53" i="13"/>
  <c r="R54" i="13"/>
  <c r="S54" i="13"/>
  <c r="T54" i="13"/>
  <c r="R55" i="13"/>
  <c r="S55" i="13"/>
  <c r="T55" i="13"/>
  <c r="R56" i="13"/>
  <c r="S56" i="13"/>
  <c r="T56" i="13"/>
  <c r="R57" i="13"/>
  <c r="S57" i="13"/>
  <c r="T57" i="13"/>
  <c r="R58" i="13"/>
  <c r="S58" i="13"/>
  <c r="T58" i="13"/>
  <c r="R59" i="13"/>
  <c r="S59" i="13"/>
  <c r="T59" i="13"/>
  <c r="R60" i="13"/>
  <c r="S60" i="13"/>
  <c r="T60" i="13"/>
  <c r="R61" i="13"/>
  <c r="S61" i="13"/>
  <c r="T61" i="13"/>
  <c r="R62" i="13"/>
  <c r="AM62" i="13" s="1"/>
  <c r="S62" i="13"/>
  <c r="AN62" i="13" s="1"/>
  <c r="T62" i="13"/>
  <c r="AO62" i="13" s="1"/>
  <c r="R63" i="13"/>
  <c r="S63" i="13"/>
  <c r="T63" i="13"/>
  <c r="AL63" i="13"/>
  <c r="AK63" i="13"/>
  <c r="AR63" i="13"/>
  <c r="AR62" i="13"/>
  <c r="AL61" i="13"/>
  <c r="AK61" i="13"/>
  <c r="AR61" i="13"/>
  <c r="AL60" i="13"/>
  <c r="AK60" i="13"/>
  <c r="AR60" i="13"/>
  <c r="AL59" i="13"/>
  <c r="AK59" i="13"/>
  <c r="AR59" i="13"/>
  <c r="AL58" i="13"/>
  <c r="AK58" i="13"/>
  <c r="AR58" i="13"/>
  <c r="AL57" i="13"/>
  <c r="AK57" i="13"/>
  <c r="AR57" i="13"/>
  <c r="AL56" i="13"/>
  <c r="AK56" i="13"/>
  <c r="AR56" i="13"/>
  <c r="AL55" i="13"/>
  <c r="AK55" i="13"/>
  <c r="AR55" i="13"/>
  <c r="AL54" i="13"/>
  <c r="AK54" i="13"/>
  <c r="AR54" i="13"/>
  <c r="AL53" i="13"/>
  <c r="AK53" i="13"/>
  <c r="AR53" i="13"/>
  <c r="AL52" i="13"/>
  <c r="AK52" i="13"/>
  <c r="AR52" i="13"/>
  <c r="AL51" i="13"/>
  <c r="AK51" i="13"/>
  <c r="AL50" i="13"/>
  <c r="AK50" i="13"/>
  <c r="AP62" i="13" l="1"/>
  <c r="AR50" i="13"/>
  <c r="AR51" i="13"/>
  <c r="AM55" i="13"/>
  <c r="AM60" i="13"/>
  <c r="AM61" i="13"/>
  <c r="AM53" i="13"/>
  <c r="AM56" i="13"/>
  <c r="AM57" i="13"/>
  <c r="AM58" i="13"/>
  <c r="AM63" i="13"/>
  <c r="AT65" i="13" l="1"/>
  <c r="AN59" i="13"/>
  <c r="AN52" i="13"/>
  <c r="AN58" i="13"/>
  <c r="AN51" i="13"/>
  <c r="AO51" i="13"/>
  <c r="AO58" i="13"/>
  <c r="AO61" i="13"/>
  <c r="AN54" i="13"/>
  <c r="AM51" i="13"/>
  <c r="AN61" i="13"/>
  <c r="AN57" i="13"/>
  <c r="AN56" i="13"/>
  <c r="AN50" i="13"/>
  <c r="AO50" i="13"/>
  <c r="AO56" i="13"/>
  <c r="AO60" i="13"/>
  <c r="AN60" i="13"/>
  <c r="AO55" i="13"/>
  <c r="AM50" i="13"/>
  <c r="AN55" i="13"/>
  <c r="AO57" i="13"/>
  <c r="AM52" i="13"/>
  <c r="AM59" i="13"/>
  <c r="AO63" i="13"/>
  <c r="AN63" i="13"/>
  <c r="AN53" i="13"/>
  <c r="AO53" i="13"/>
  <c r="AO52" i="13"/>
  <c r="AO54" i="13"/>
  <c r="AO59" i="13"/>
  <c r="AM54" i="13"/>
  <c r="AV65" i="13" l="1"/>
  <c r="AU65" i="13"/>
  <c r="AP61" i="13"/>
  <c r="AP53" i="13"/>
  <c r="AP56" i="13"/>
  <c r="AP55" i="13"/>
  <c r="AP57" i="13"/>
  <c r="AP58" i="13"/>
  <c r="AP63" i="13"/>
  <c r="AP60" i="13"/>
  <c r="AP50" i="13"/>
  <c r="AP52" i="13"/>
  <c r="AP54" i="13"/>
  <c r="AP51" i="13"/>
  <c r="AP59" i="13"/>
  <c r="AR62" i="3"/>
  <c r="AR61" i="3"/>
  <c r="AR60" i="3"/>
  <c r="AR59" i="3"/>
  <c r="AR58" i="3"/>
  <c r="AR57" i="3"/>
  <c r="AR56" i="3"/>
  <c r="AR55" i="3"/>
  <c r="AR54" i="3"/>
  <c r="AR53" i="3"/>
  <c r="AR52" i="3"/>
  <c r="AR51" i="3"/>
  <c r="AR50" i="3"/>
  <c r="AP65" i="10" l="1"/>
  <c r="AP64" i="10"/>
  <c r="AK51" i="14"/>
  <c r="AK52" i="14"/>
  <c r="AK53" i="14"/>
  <c r="AK54" i="14"/>
  <c r="AK55" i="14"/>
  <c r="AK56" i="14"/>
  <c r="AK57" i="14"/>
  <c r="AK58" i="14"/>
  <c r="AK59" i="14"/>
  <c r="AO58" i="14"/>
  <c r="AM51" i="14"/>
  <c r="AM52" i="14"/>
  <c r="AM53" i="14"/>
  <c r="AM54" i="14"/>
  <c r="AM55" i="14"/>
  <c r="AM56" i="14"/>
  <c r="AM57" i="14"/>
  <c r="AM58" i="14"/>
  <c r="AM59" i="14"/>
  <c r="AT65" i="14" l="1"/>
  <c r="AN58" i="14"/>
  <c r="AN59" i="14"/>
  <c r="AO59" i="14"/>
  <c r="O63" i="16"/>
  <c r="O61" i="16"/>
  <c r="AP58" i="14" l="1"/>
  <c r="AP59" i="14"/>
  <c r="O64" i="16"/>
  <c r="O59" i="16"/>
  <c r="O62" i="16"/>
  <c r="O60" i="16"/>
  <c r="AL65" i="7" l="1"/>
  <c r="AK65" i="7"/>
  <c r="AK64" i="7"/>
  <c r="AL64" i="7"/>
  <c r="AG65" i="7"/>
  <c r="AF65" i="7"/>
  <c r="AF64" i="7"/>
  <c r="AG64" i="7"/>
  <c r="AA65" i="7"/>
  <c r="AB65" i="7"/>
  <c r="AA64" i="7"/>
  <c r="AB64" i="7"/>
  <c r="R50" i="7"/>
  <c r="AM50" i="7" s="1"/>
  <c r="S50" i="7"/>
  <c r="T50" i="7"/>
  <c r="R51" i="7"/>
  <c r="AM51" i="7" s="1"/>
  <c r="S51" i="7"/>
  <c r="T51" i="7"/>
  <c r="R52" i="7"/>
  <c r="AM52" i="7" s="1"/>
  <c r="S52" i="7"/>
  <c r="T52" i="7"/>
  <c r="R53" i="7"/>
  <c r="AM53" i="7" s="1"/>
  <c r="S53" i="7"/>
  <c r="T53" i="7"/>
  <c r="R54" i="7"/>
  <c r="AM54" i="7" s="1"/>
  <c r="S54" i="7"/>
  <c r="T54" i="7"/>
  <c r="R55" i="7"/>
  <c r="AM55" i="7" s="1"/>
  <c r="S55" i="7"/>
  <c r="T55" i="7"/>
  <c r="R56" i="7"/>
  <c r="AM56" i="7" s="1"/>
  <c r="S56" i="7"/>
  <c r="T56" i="7"/>
  <c r="R57" i="7"/>
  <c r="AM57" i="7" s="1"/>
  <c r="S57" i="7"/>
  <c r="T57" i="7"/>
  <c r="R58" i="7"/>
  <c r="AM58" i="7" s="1"/>
  <c r="S58" i="7"/>
  <c r="T58" i="7"/>
  <c r="R59" i="7"/>
  <c r="AM59" i="7" s="1"/>
  <c r="S59" i="7"/>
  <c r="T59" i="7"/>
  <c r="R60" i="7"/>
  <c r="AM60" i="7" s="1"/>
  <c r="S60" i="7"/>
  <c r="T60" i="7"/>
  <c r="R61" i="7"/>
  <c r="AM61" i="7" s="1"/>
  <c r="S61" i="7"/>
  <c r="T61" i="7"/>
  <c r="R62" i="7"/>
  <c r="AM62" i="7" s="1"/>
  <c r="S62" i="7"/>
  <c r="T62" i="7"/>
  <c r="R63" i="7"/>
  <c r="AM63" i="7" s="1"/>
  <c r="S63" i="7"/>
  <c r="T63" i="7"/>
  <c r="R64" i="7"/>
  <c r="AM64" i="7" s="1"/>
  <c r="S64" i="7"/>
  <c r="T64" i="7"/>
  <c r="R65" i="7"/>
  <c r="AM65" i="7" s="1"/>
  <c r="S65" i="7"/>
  <c r="AN65" i="7" s="1"/>
  <c r="T65" i="7"/>
  <c r="AO65" i="7" l="1"/>
  <c r="AP65" i="7" s="1"/>
  <c r="AN64" i="7"/>
  <c r="AO64" i="7"/>
  <c r="AA50" i="8"/>
  <c r="AB50" i="8"/>
  <c r="AF50" i="8"/>
  <c r="AN50" i="8" s="1"/>
  <c r="AG50" i="8"/>
  <c r="AO50" i="8" s="1"/>
  <c r="AA51" i="8"/>
  <c r="AB51" i="8"/>
  <c r="AF51" i="8"/>
  <c r="AN51" i="8" s="1"/>
  <c r="AG51" i="8"/>
  <c r="AO51" i="8" s="1"/>
  <c r="AA52" i="8"/>
  <c r="AB52" i="8"/>
  <c r="AF52" i="8"/>
  <c r="AN52" i="8" s="1"/>
  <c r="AG52" i="8"/>
  <c r="AO52" i="8" s="1"/>
  <c r="AA53" i="8"/>
  <c r="AB53" i="8"/>
  <c r="AF53" i="8"/>
  <c r="AN53" i="8" s="1"/>
  <c r="AG53" i="8"/>
  <c r="AO53" i="8" s="1"/>
  <c r="AA54" i="8"/>
  <c r="AB54" i="8"/>
  <c r="AF54" i="8"/>
  <c r="AN54" i="8" s="1"/>
  <c r="AG54" i="8"/>
  <c r="AO54" i="8" s="1"/>
  <c r="AA55" i="8"/>
  <c r="AB55" i="8"/>
  <c r="AF55" i="8"/>
  <c r="AN55" i="8" s="1"/>
  <c r="AG55" i="8"/>
  <c r="AO55" i="8" s="1"/>
  <c r="AA56" i="8"/>
  <c r="AB56" i="8"/>
  <c r="AF56" i="8"/>
  <c r="AN56" i="8" s="1"/>
  <c r="AG56" i="8"/>
  <c r="AO56" i="8" s="1"/>
  <c r="AA57" i="8"/>
  <c r="AB57" i="8"/>
  <c r="AF57" i="8"/>
  <c r="AN57" i="8" s="1"/>
  <c r="AG57" i="8"/>
  <c r="AO57" i="8" s="1"/>
  <c r="AA58" i="8"/>
  <c r="AB58" i="8"/>
  <c r="AF58" i="8"/>
  <c r="AN58" i="8" s="1"/>
  <c r="AG58" i="8"/>
  <c r="AO58" i="8" s="1"/>
  <c r="AA59" i="8"/>
  <c r="AB59" i="8"/>
  <c r="AF59" i="8"/>
  <c r="AN59" i="8" s="1"/>
  <c r="AG59" i="8"/>
  <c r="AO59" i="8" s="1"/>
  <c r="AA60" i="8"/>
  <c r="AB60" i="8"/>
  <c r="AF60" i="8"/>
  <c r="AN60" i="8" s="1"/>
  <c r="AG60" i="8"/>
  <c r="AO60" i="8" s="1"/>
  <c r="AA61" i="8"/>
  <c r="AB61" i="8"/>
  <c r="AF61" i="8"/>
  <c r="AN61" i="8" s="1"/>
  <c r="AG61" i="8"/>
  <c r="AO61" i="8" s="1"/>
  <c r="AA62" i="8"/>
  <c r="AB62" i="8"/>
  <c r="AF62" i="8"/>
  <c r="AN62" i="8" s="1"/>
  <c r="AG62" i="8"/>
  <c r="AO62" i="8" s="1"/>
  <c r="AA63" i="8"/>
  <c r="AB63" i="8"/>
  <c r="AF63" i="8"/>
  <c r="AN63" i="8" s="1"/>
  <c r="AG63" i="8"/>
  <c r="AO63" i="8" s="1"/>
  <c r="AL58" i="7"/>
  <c r="T49" i="7"/>
  <c r="S49" i="7"/>
  <c r="R49" i="7"/>
  <c r="AM49" i="7" s="1"/>
  <c r="T48" i="7"/>
  <c r="S48" i="7"/>
  <c r="R48" i="7"/>
  <c r="AM48" i="7" s="1"/>
  <c r="T47" i="7"/>
  <c r="S47" i="7"/>
  <c r="R47" i="7"/>
  <c r="AM47" i="7" s="1"/>
  <c r="T46" i="7"/>
  <c r="S46" i="7"/>
  <c r="R46" i="7"/>
  <c r="AM46" i="7" s="1"/>
  <c r="T45" i="7"/>
  <c r="S45" i="7"/>
  <c r="R45" i="7"/>
  <c r="AM45" i="7" s="1"/>
  <c r="T44" i="7"/>
  <c r="S44" i="7"/>
  <c r="R44" i="7"/>
  <c r="AM44" i="7" s="1"/>
  <c r="T43" i="7"/>
  <c r="S43" i="7"/>
  <c r="R43" i="7"/>
  <c r="AM43" i="7" s="1"/>
  <c r="T42" i="7"/>
  <c r="S42" i="7"/>
  <c r="R42" i="7"/>
  <c r="AM42" i="7" s="1"/>
  <c r="T41" i="7"/>
  <c r="S41" i="7"/>
  <c r="R41" i="7"/>
  <c r="AM41" i="7" s="1"/>
  <c r="T40" i="7"/>
  <c r="S40" i="7"/>
  <c r="R40" i="7"/>
  <c r="AM40" i="7" s="1"/>
  <c r="T39" i="7"/>
  <c r="S39" i="7"/>
  <c r="R39" i="7"/>
  <c r="AM39" i="7" s="1"/>
  <c r="T38" i="7"/>
  <c r="S38" i="7"/>
  <c r="R38" i="7"/>
  <c r="AM38" i="7" s="1"/>
  <c r="T37" i="7"/>
  <c r="S37" i="7"/>
  <c r="R37" i="7"/>
  <c r="AM37" i="7" s="1"/>
  <c r="T36" i="7"/>
  <c r="S36" i="7"/>
  <c r="R36" i="7"/>
  <c r="AM36" i="7" s="1"/>
  <c r="T35" i="7"/>
  <c r="S35" i="7"/>
  <c r="R35" i="7"/>
  <c r="AM35" i="7" s="1"/>
  <c r="T34" i="7"/>
  <c r="S34" i="7"/>
  <c r="R34" i="7"/>
  <c r="AM34" i="7" s="1"/>
  <c r="T33" i="7"/>
  <c r="S33" i="7"/>
  <c r="R33" i="7"/>
  <c r="AM33" i="7" s="1"/>
  <c r="T32" i="7"/>
  <c r="S32" i="7"/>
  <c r="R32" i="7"/>
  <c r="AM32" i="7" s="1"/>
  <c r="T31" i="7"/>
  <c r="S31" i="7"/>
  <c r="R31" i="7"/>
  <c r="AM31" i="7" s="1"/>
  <c r="T30" i="7"/>
  <c r="S30" i="7"/>
  <c r="R30" i="7"/>
  <c r="AM30" i="7" s="1"/>
  <c r="T29" i="7"/>
  <c r="S29" i="7"/>
  <c r="R29" i="7"/>
  <c r="AM29" i="7" s="1"/>
  <c r="T28" i="7"/>
  <c r="S28" i="7"/>
  <c r="R28" i="7"/>
  <c r="AM28" i="7" s="1"/>
  <c r="T27" i="7"/>
  <c r="S27" i="7"/>
  <c r="R27" i="7"/>
  <c r="AM27" i="7" s="1"/>
  <c r="T26" i="7"/>
  <c r="S26" i="7"/>
  <c r="R26" i="7"/>
  <c r="AM26" i="7" s="1"/>
  <c r="T25" i="7"/>
  <c r="S25" i="7"/>
  <c r="R25" i="7"/>
  <c r="AM25" i="7" s="1"/>
  <c r="T24" i="7"/>
  <c r="S24" i="7"/>
  <c r="R24" i="7"/>
  <c r="AM24" i="7" s="1"/>
  <c r="T23" i="7"/>
  <c r="S23" i="7"/>
  <c r="R23" i="7"/>
  <c r="AM23" i="7" s="1"/>
  <c r="T22" i="7"/>
  <c r="S22" i="7"/>
  <c r="R22" i="7"/>
  <c r="AM22" i="7" s="1"/>
  <c r="T21" i="7"/>
  <c r="S21" i="7"/>
  <c r="R21" i="7"/>
  <c r="AM21" i="7" s="1"/>
  <c r="T20" i="7"/>
  <c r="S20" i="7"/>
  <c r="R20" i="7"/>
  <c r="AM20" i="7" s="1"/>
  <c r="T19" i="7"/>
  <c r="S19" i="7"/>
  <c r="R19" i="7"/>
  <c r="AM19" i="7" s="1"/>
  <c r="T18" i="7"/>
  <c r="S18" i="7"/>
  <c r="R18" i="7"/>
  <c r="AM18" i="7" s="1"/>
  <c r="T17" i="7"/>
  <c r="S17" i="7"/>
  <c r="R17" i="7"/>
  <c r="AM17" i="7" s="1"/>
  <c r="T16" i="7"/>
  <c r="S16" i="7"/>
  <c r="R16" i="7"/>
  <c r="AM16" i="7" s="1"/>
  <c r="T15" i="7"/>
  <c r="S15" i="7"/>
  <c r="R15" i="7"/>
  <c r="AM15" i="7" s="1"/>
  <c r="T14" i="7"/>
  <c r="S14" i="7"/>
  <c r="R14" i="7"/>
  <c r="AM14" i="7" s="1"/>
  <c r="T13" i="7"/>
  <c r="S13" i="7"/>
  <c r="R13" i="7"/>
  <c r="AM13" i="7" s="1"/>
  <c r="T12" i="7"/>
  <c r="S12" i="7"/>
  <c r="R12" i="7"/>
  <c r="AM12" i="7" s="1"/>
  <c r="T11" i="7"/>
  <c r="S11" i="7"/>
  <c r="R11" i="7"/>
  <c r="AM11" i="7" s="1"/>
  <c r="T10" i="7"/>
  <c r="S10" i="7"/>
  <c r="R10" i="7"/>
  <c r="AM10" i="7" s="1"/>
  <c r="T9" i="7"/>
  <c r="S9" i="7"/>
  <c r="R9" i="7"/>
  <c r="AM9" i="7" s="1"/>
  <c r="T8" i="7"/>
  <c r="S8" i="7"/>
  <c r="R8" i="7"/>
  <c r="AM8" i="7" s="1"/>
  <c r="T7" i="7"/>
  <c r="S7" i="7"/>
  <c r="R7" i="7"/>
  <c r="AM7" i="7" s="1"/>
  <c r="T6" i="7"/>
  <c r="S6" i="7"/>
  <c r="R6" i="7"/>
  <c r="AM6" i="7" s="1"/>
  <c r="T5" i="7"/>
  <c r="S5" i="7"/>
  <c r="R5" i="7"/>
  <c r="AM5" i="7" s="1"/>
  <c r="AL63" i="7"/>
  <c r="AK63" i="7"/>
  <c r="AG63" i="7"/>
  <c r="AF63" i="7"/>
  <c r="AB63" i="7"/>
  <c r="AA63" i="7"/>
  <c r="AR63" i="7"/>
  <c r="AL62" i="7"/>
  <c r="AK62" i="7"/>
  <c r="AG62" i="7"/>
  <c r="AF62" i="7"/>
  <c r="AB62" i="7"/>
  <c r="AA62" i="7"/>
  <c r="AR62" i="7"/>
  <c r="AL61" i="7"/>
  <c r="AK61" i="7"/>
  <c r="AG61" i="7"/>
  <c r="AF61" i="7"/>
  <c r="AB61" i="7"/>
  <c r="AA61" i="7"/>
  <c r="AR61" i="7"/>
  <c r="AL60" i="7"/>
  <c r="AK60" i="7"/>
  <c r="AG60" i="7"/>
  <c r="AF60" i="7"/>
  <c r="AB60" i="7"/>
  <c r="AA60" i="7"/>
  <c r="AR60" i="7"/>
  <c r="AL59" i="7"/>
  <c r="AK59" i="7"/>
  <c r="AG59" i="7"/>
  <c r="AF59" i="7"/>
  <c r="AB59" i="7"/>
  <c r="AA59" i="7"/>
  <c r="AR59" i="7"/>
  <c r="AK58" i="7"/>
  <c r="AG58" i="7"/>
  <c r="AF58" i="7"/>
  <c r="AB58" i="7"/>
  <c r="AA58" i="7"/>
  <c r="AR58" i="7"/>
  <c r="AP64" i="7" l="1"/>
  <c r="AO61" i="7"/>
  <c r="AP51" i="8"/>
  <c r="AP50" i="8"/>
  <c r="AO59" i="7"/>
  <c r="AO63" i="7"/>
  <c r="AN61" i="7"/>
  <c r="AN59" i="7"/>
  <c r="AN63" i="7"/>
  <c r="AP63" i="8"/>
  <c r="AP61" i="8"/>
  <c r="AP60" i="8"/>
  <c r="AP62" i="8"/>
  <c r="AN62" i="7"/>
  <c r="AO62" i="7"/>
  <c r="AN60" i="7"/>
  <c r="AO60" i="7"/>
  <c r="AO58" i="7"/>
  <c r="AN58" i="7"/>
  <c r="AP59" i="8"/>
  <c r="AP58" i="8"/>
  <c r="AP57" i="8"/>
  <c r="AP56" i="8"/>
  <c r="AP55" i="8"/>
  <c r="AP54" i="8"/>
  <c r="AP53" i="8"/>
  <c r="AP52" i="8"/>
  <c r="AP61" i="7" l="1"/>
  <c r="AP59" i="7"/>
  <c r="AP63" i="7"/>
  <c r="AP58" i="7"/>
  <c r="AP62" i="7"/>
  <c r="AP60" i="7"/>
  <c r="AR60" i="10"/>
  <c r="AR61" i="10"/>
  <c r="AR62" i="10"/>
  <c r="AR63" i="10"/>
  <c r="AP63" i="10"/>
  <c r="AP61" i="10" l="1"/>
  <c r="AP62" i="10"/>
  <c r="AP60" i="10"/>
  <c r="AA44" i="8"/>
  <c r="AB44" i="8"/>
  <c r="AA45" i="8"/>
  <c r="AB45" i="8"/>
  <c r="AA46" i="8"/>
  <c r="AB46" i="8"/>
  <c r="AA47" i="8"/>
  <c r="AB47" i="8"/>
  <c r="AA48" i="8"/>
  <c r="AB48" i="8"/>
  <c r="AA49" i="8"/>
  <c r="AB49" i="8"/>
  <c r="AR63" i="9" l="1"/>
  <c r="AR62" i="9"/>
  <c r="AR61" i="9"/>
  <c r="AR60" i="9"/>
  <c r="AR59" i="9"/>
  <c r="AR58" i="9"/>
  <c r="AR59" i="12" l="1"/>
  <c r="AR58" i="12"/>
  <c r="M60" i="16" l="1"/>
  <c r="M59" i="16"/>
  <c r="M61" i="16"/>
  <c r="M62" i="16"/>
  <c r="AR50" i="10" l="1"/>
  <c r="AR57" i="10" l="1"/>
  <c r="AR55" i="10"/>
  <c r="AR53" i="10"/>
  <c r="AR58" i="10"/>
  <c r="AR56" i="10"/>
  <c r="AR52" i="10"/>
  <c r="AR54" i="10"/>
  <c r="AR51" i="10"/>
  <c r="AR59" i="10"/>
  <c r="AP51" i="10"/>
  <c r="AP56" i="10"/>
  <c r="AP59" i="10" l="1"/>
  <c r="AP58" i="10"/>
  <c r="AP57" i="10"/>
  <c r="AP53" i="10"/>
  <c r="AP55" i="10"/>
  <c r="AP52" i="10"/>
  <c r="AP54" i="10"/>
  <c r="AP50" i="10"/>
  <c r="AO57" i="14" l="1"/>
  <c r="AN57" i="14"/>
  <c r="AR57" i="14"/>
  <c r="AO56" i="14"/>
  <c r="AN56" i="14"/>
  <c r="AR56" i="14"/>
  <c r="AO55" i="14"/>
  <c r="AN55" i="14"/>
  <c r="AR55" i="14"/>
  <c r="AO54" i="14"/>
  <c r="AN54" i="14"/>
  <c r="AR54" i="14"/>
  <c r="AO53" i="14"/>
  <c r="AN53" i="14"/>
  <c r="AR53" i="14"/>
  <c r="AO52" i="14"/>
  <c r="AN52" i="14"/>
  <c r="AR52" i="14"/>
  <c r="AO51" i="14"/>
  <c r="AF51" i="14"/>
  <c r="AN51" i="14" s="1"/>
  <c r="AR51" i="14"/>
  <c r="AK50" i="14"/>
  <c r="AF50" i="14"/>
  <c r="AR50" i="14"/>
  <c r="AV65" i="14" l="1"/>
  <c r="AU65" i="14"/>
  <c r="AP53" i="14"/>
  <c r="AP52" i="14"/>
  <c r="AP56" i="14"/>
  <c r="AP57" i="14"/>
  <c r="AP55" i="14"/>
  <c r="AP54" i="14"/>
  <c r="AP51" i="14"/>
  <c r="AO50" i="14"/>
  <c r="AM50" i="14"/>
  <c r="AN50" i="14"/>
  <c r="AP50" i="14" l="1"/>
  <c r="R50" i="12"/>
  <c r="AM50" i="12" s="1"/>
  <c r="S50" i="12"/>
  <c r="AN50" i="12" s="1"/>
  <c r="T50" i="12"/>
  <c r="AO50" i="12" s="1"/>
  <c r="AR57" i="12"/>
  <c r="AR56" i="12"/>
  <c r="AR55" i="12"/>
  <c r="AR54" i="12"/>
  <c r="AR53" i="12"/>
  <c r="AR52" i="12"/>
  <c r="AP50" i="12" l="1"/>
  <c r="AM50" i="11"/>
  <c r="AG55" i="11"/>
  <c r="AO55" i="11" s="1"/>
  <c r="AF55" i="11"/>
  <c r="AN55" i="11" s="1"/>
  <c r="AF54" i="11"/>
  <c r="AN54" i="11" s="1"/>
  <c r="AP54" i="11" s="1"/>
  <c r="AG53" i="11"/>
  <c r="AO53" i="11" s="1"/>
  <c r="AF53" i="11"/>
  <c r="AN53" i="11" s="1"/>
  <c r="AG52" i="11"/>
  <c r="AO52" i="11" s="1"/>
  <c r="AF52" i="11"/>
  <c r="AN52" i="11" s="1"/>
  <c r="AG51" i="11"/>
  <c r="AF51" i="11"/>
  <c r="AG50" i="11"/>
  <c r="AF50" i="11"/>
  <c r="G51" i="11" l="1"/>
  <c r="AN51" i="11" s="1"/>
  <c r="AT63" i="11"/>
  <c r="AP53" i="11"/>
  <c r="AP55" i="11"/>
  <c r="AP52" i="11"/>
  <c r="AG50" i="5" l="1"/>
  <c r="AF50" i="5"/>
  <c r="AN50" i="5" l="1"/>
  <c r="AO50" i="5"/>
  <c r="N39" i="1"/>
  <c r="AP50" i="5" l="1"/>
  <c r="AR57" i="7"/>
  <c r="AL57" i="7"/>
  <c r="AK57" i="7"/>
  <c r="AR56" i="7"/>
  <c r="AL56" i="7"/>
  <c r="AK56" i="7"/>
  <c r="AR55" i="7"/>
  <c r="AL55" i="7"/>
  <c r="AK55" i="7"/>
  <c r="AR54" i="7"/>
  <c r="AL54" i="7"/>
  <c r="AK54" i="7"/>
  <c r="AF54" i="7"/>
  <c r="AG54" i="7"/>
  <c r="AF55" i="7"/>
  <c r="AG55" i="7"/>
  <c r="AF56" i="7"/>
  <c r="AG56" i="7"/>
  <c r="AF57" i="7"/>
  <c r="AG57" i="7"/>
  <c r="AO54" i="7" l="1"/>
  <c r="AO55" i="7"/>
  <c r="AN57" i="7"/>
  <c r="AO57" i="7"/>
  <c r="AN55" i="7"/>
  <c r="AN56" i="7"/>
  <c r="AO56" i="7"/>
  <c r="AN54" i="7"/>
  <c r="R36" i="13"/>
  <c r="S36" i="13"/>
  <c r="T36" i="13"/>
  <c r="R37" i="13"/>
  <c r="S37" i="13"/>
  <c r="T37" i="13"/>
  <c r="R38" i="13"/>
  <c r="S38" i="13"/>
  <c r="T38" i="13"/>
  <c r="R39" i="13"/>
  <c r="S39" i="13"/>
  <c r="T39" i="13"/>
  <c r="R40" i="13"/>
  <c r="S40" i="13"/>
  <c r="T40" i="13"/>
  <c r="R41" i="13"/>
  <c r="S41" i="13"/>
  <c r="T41" i="13"/>
  <c r="R42" i="13"/>
  <c r="S42" i="13"/>
  <c r="T42" i="13"/>
  <c r="R43" i="13"/>
  <c r="S43" i="13"/>
  <c r="T43" i="13"/>
  <c r="R44" i="13"/>
  <c r="S44" i="13"/>
  <c r="T44" i="13"/>
  <c r="R45" i="13"/>
  <c r="S45" i="13"/>
  <c r="T45" i="13"/>
  <c r="R46" i="13"/>
  <c r="S46" i="13"/>
  <c r="T46" i="13"/>
  <c r="R47" i="13"/>
  <c r="S47" i="13"/>
  <c r="T47" i="13"/>
  <c r="R48" i="13"/>
  <c r="S48" i="13"/>
  <c r="T48" i="13"/>
  <c r="AP54" i="7" l="1"/>
  <c r="AP55" i="7"/>
  <c r="AP57" i="7"/>
  <c r="AP56" i="7"/>
  <c r="AK49" i="14"/>
  <c r="AF49" i="14"/>
  <c r="AR49" i="14"/>
  <c r="AK48" i="14"/>
  <c r="AF48" i="14"/>
  <c r="AR48" i="14"/>
  <c r="AK47" i="14"/>
  <c r="AF47" i="14"/>
  <c r="AR47" i="14"/>
  <c r="AK46" i="14"/>
  <c r="AF46" i="14"/>
  <c r="AR46" i="14"/>
  <c r="AK45" i="14"/>
  <c r="AG45" i="14"/>
  <c r="AF45" i="14"/>
  <c r="AR45" i="14"/>
  <c r="AL44" i="14"/>
  <c r="AK44" i="14"/>
  <c r="AG44" i="14"/>
  <c r="AF44" i="14"/>
  <c r="AR44" i="14"/>
  <c r="AL43" i="14"/>
  <c r="AK43" i="14"/>
  <c r="AG43" i="14"/>
  <c r="AF43" i="14"/>
  <c r="AR43" i="14"/>
  <c r="AL42" i="14"/>
  <c r="AK42" i="14"/>
  <c r="AG42" i="14"/>
  <c r="AF42" i="14"/>
  <c r="AR42" i="14"/>
  <c r="AL41" i="14"/>
  <c r="AK41" i="14"/>
  <c r="AG41" i="14"/>
  <c r="AF41" i="14"/>
  <c r="AR41" i="14"/>
  <c r="AL40" i="14"/>
  <c r="AK40" i="14"/>
  <c r="AG40" i="14"/>
  <c r="AF40" i="14"/>
  <c r="AR40" i="14"/>
  <c r="AL39" i="14"/>
  <c r="AK39" i="14"/>
  <c r="AG39" i="14"/>
  <c r="AF39" i="14"/>
  <c r="AR39" i="14"/>
  <c r="AL38" i="14"/>
  <c r="AK38" i="14"/>
  <c r="AG38" i="14"/>
  <c r="AF38" i="14"/>
  <c r="AR38" i="14"/>
  <c r="AL37" i="14"/>
  <c r="AK37" i="14"/>
  <c r="AG37" i="14"/>
  <c r="AF37" i="14"/>
  <c r="AR37" i="14"/>
  <c r="AL36" i="14"/>
  <c r="AK36" i="14"/>
  <c r="AG36" i="14"/>
  <c r="AF36" i="14"/>
  <c r="AN36" i="14" l="1"/>
  <c r="AM36" i="14"/>
  <c r="AR36" i="14"/>
  <c r="AN37" i="14"/>
  <c r="AN38" i="14"/>
  <c r="AM39" i="14"/>
  <c r="AM40" i="14"/>
  <c r="AM41" i="14"/>
  <c r="AM42" i="14"/>
  <c r="AM44" i="14"/>
  <c r="AM45" i="14"/>
  <c r="AM46" i="14"/>
  <c r="AM47" i="14"/>
  <c r="AM48" i="14"/>
  <c r="AM49" i="14"/>
  <c r="AO40" i="14"/>
  <c r="AO45" i="14"/>
  <c r="AO48" i="14"/>
  <c r="AM37" i="14"/>
  <c r="AM38" i="14"/>
  <c r="AM43" i="14"/>
  <c r="AN45" i="14"/>
  <c r="AT55" i="14" l="1"/>
  <c r="AT61" i="14"/>
  <c r="AP45" i="14"/>
  <c r="AN41" i="14"/>
  <c r="AO41" i="14"/>
  <c r="AN49" i="14"/>
  <c r="AN48" i="14"/>
  <c r="AN44" i="14"/>
  <c r="AN40" i="14"/>
  <c r="AN46" i="14"/>
  <c r="AN42" i="14"/>
  <c r="AO44" i="14"/>
  <c r="AO49" i="14"/>
  <c r="AV61" i="14" s="1"/>
  <c r="AO43" i="14"/>
  <c r="AO36" i="14"/>
  <c r="AP36" i="14" s="1"/>
  <c r="AN47" i="14"/>
  <c r="AN43" i="14"/>
  <c r="AN39" i="14"/>
  <c r="AO42" i="14"/>
  <c r="AO39" i="14"/>
  <c r="AO47" i="14"/>
  <c r="AO46" i="14"/>
  <c r="AO37" i="14"/>
  <c r="AP37" i="14" s="1"/>
  <c r="AO38" i="14"/>
  <c r="AU55" i="14" l="1"/>
  <c r="AV55" i="14"/>
  <c r="AU61" i="14"/>
  <c r="AP40" i="14"/>
  <c r="AP48" i="14"/>
  <c r="AP38" i="14"/>
  <c r="AP49" i="14"/>
  <c r="AP42" i="14"/>
  <c r="AP46" i="14"/>
  <c r="AP43" i="14"/>
  <c r="AP47" i="14"/>
  <c r="AP44" i="14"/>
  <c r="AP41" i="14"/>
  <c r="AP39" i="14"/>
  <c r="AR42" i="13"/>
  <c r="AM42" i="13"/>
  <c r="AL49" i="13" l="1"/>
  <c r="AK49" i="13"/>
  <c r="AR49" i="13"/>
  <c r="AL48" i="13"/>
  <c r="AK48" i="13"/>
  <c r="AL47" i="13"/>
  <c r="AK47" i="13"/>
  <c r="AL46" i="13"/>
  <c r="AK46" i="13"/>
  <c r="AL45" i="13"/>
  <c r="AK45" i="13"/>
  <c r="AL44" i="13"/>
  <c r="AK44" i="13"/>
  <c r="AL43" i="13"/>
  <c r="AK43" i="13"/>
  <c r="AL42" i="13"/>
  <c r="AK42" i="13"/>
  <c r="AL41" i="13"/>
  <c r="AK41" i="13"/>
  <c r="AL40" i="13"/>
  <c r="AK40" i="13"/>
  <c r="AL39" i="13"/>
  <c r="AK39" i="13"/>
  <c r="AL38" i="13"/>
  <c r="AK38" i="13"/>
  <c r="AL37" i="13"/>
  <c r="AK37" i="13"/>
  <c r="AL36" i="13"/>
  <c r="AK36" i="13"/>
  <c r="T35" i="13"/>
  <c r="S35" i="13"/>
  <c r="R35" i="13"/>
  <c r="AM35" i="13" s="1"/>
  <c r="T34" i="13"/>
  <c r="S34" i="13"/>
  <c r="R34" i="13"/>
  <c r="T33" i="13"/>
  <c r="S33" i="13"/>
  <c r="R33" i="13"/>
  <c r="T32" i="13"/>
  <c r="S32" i="13"/>
  <c r="R32" i="13"/>
  <c r="T31" i="13"/>
  <c r="S31" i="13"/>
  <c r="R31" i="13"/>
  <c r="T30" i="13"/>
  <c r="S30" i="13"/>
  <c r="R30" i="13"/>
  <c r="S29" i="13"/>
  <c r="T28" i="13"/>
  <c r="S28" i="13"/>
  <c r="R28" i="13"/>
  <c r="T27" i="13"/>
  <c r="S27" i="13"/>
  <c r="R27" i="13"/>
  <c r="T26" i="13"/>
  <c r="S26" i="13"/>
  <c r="R26" i="13"/>
  <c r="T25" i="13"/>
  <c r="S25" i="13"/>
  <c r="R25" i="13"/>
  <c r="T24" i="13"/>
  <c r="S24" i="13"/>
  <c r="R24" i="13"/>
  <c r="T23" i="13"/>
  <c r="S23" i="13"/>
  <c r="R23" i="13"/>
  <c r="T22" i="13"/>
  <c r="S22" i="13"/>
  <c r="T21" i="13"/>
  <c r="S21" i="13"/>
  <c r="T20" i="13"/>
  <c r="S20" i="13"/>
  <c r="T19" i="13"/>
  <c r="S19" i="13"/>
  <c r="T18" i="13"/>
  <c r="S18" i="13"/>
  <c r="T17" i="13"/>
  <c r="S17" i="13"/>
  <c r="T16" i="13"/>
  <c r="S16" i="13"/>
  <c r="T15" i="13"/>
  <c r="S15" i="13"/>
  <c r="T14" i="13"/>
  <c r="S14" i="13"/>
  <c r="T13" i="13"/>
  <c r="S13" i="13"/>
  <c r="T12" i="13"/>
  <c r="S12" i="13"/>
  <c r="T11" i="13"/>
  <c r="S11" i="13"/>
  <c r="T10" i="13"/>
  <c r="S10" i="13"/>
  <c r="T9" i="13"/>
  <c r="S9" i="13"/>
  <c r="T8" i="13"/>
  <c r="S8" i="13"/>
  <c r="T7" i="13"/>
  <c r="S7" i="13"/>
  <c r="T6" i="13"/>
  <c r="S6" i="13"/>
  <c r="T5" i="13"/>
  <c r="S5" i="13"/>
  <c r="AM48" i="13" l="1"/>
  <c r="AM40" i="13"/>
  <c r="AO41" i="13"/>
  <c r="AO39" i="13"/>
  <c r="AN38" i="13"/>
  <c r="AM44" i="13"/>
  <c r="AO46" i="13"/>
  <c r="AO45" i="13"/>
  <c r="AO49" i="13"/>
  <c r="AO37" i="13"/>
  <c r="AN37" i="13"/>
  <c r="AN42" i="13"/>
  <c r="AO44" i="13"/>
  <c r="AM36" i="13"/>
  <c r="AN45" i="13"/>
  <c r="AO47" i="13"/>
  <c r="AO43" i="13"/>
  <c r="AN47" i="13"/>
  <c r="AM47" i="13"/>
  <c r="AM39" i="13"/>
  <c r="AN41" i="13"/>
  <c r="AM49" i="13"/>
  <c r="AO42" i="13"/>
  <c r="AN48" i="13"/>
  <c r="AO36" i="13"/>
  <c r="AM38" i="13"/>
  <c r="AO40" i="13"/>
  <c r="AM43" i="13"/>
  <c r="AO48" i="13"/>
  <c r="AO38" i="13"/>
  <c r="AM37" i="13"/>
  <c r="AM41" i="13"/>
  <c r="AM45" i="13"/>
  <c r="AM46" i="13"/>
  <c r="AV59" i="13" l="1"/>
  <c r="AT59" i="13"/>
  <c r="AP45" i="13"/>
  <c r="AP48" i="13"/>
  <c r="AP47" i="13"/>
  <c r="AP37" i="13"/>
  <c r="AP42" i="13"/>
  <c r="AP41" i="13"/>
  <c r="AP38" i="13"/>
  <c r="AN49" i="13"/>
  <c r="AN46" i="13"/>
  <c r="AN44" i="13"/>
  <c r="AN40" i="13"/>
  <c r="AN36" i="13"/>
  <c r="AN39" i="13"/>
  <c r="AN43" i="13"/>
  <c r="AU59" i="13" l="1"/>
  <c r="AP43" i="13"/>
  <c r="AP49" i="13"/>
  <c r="AP40" i="13"/>
  <c r="AP39" i="13"/>
  <c r="AP46" i="13"/>
  <c r="AP36" i="13"/>
  <c r="AP44" i="13"/>
  <c r="AK50" i="7"/>
  <c r="AL50" i="7"/>
  <c r="AK51" i="7"/>
  <c r="AL51" i="7"/>
  <c r="AK52" i="7"/>
  <c r="AL52" i="7"/>
  <c r="AK53" i="7"/>
  <c r="AL53" i="7"/>
  <c r="AG53" i="7"/>
  <c r="AF53" i="7"/>
  <c r="AG52" i="7"/>
  <c r="AF52" i="7"/>
  <c r="AG51" i="7"/>
  <c r="AF51" i="7"/>
  <c r="AF50" i="7"/>
  <c r="AG50" i="7"/>
  <c r="AB53" i="7"/>
  <c r="AB52" i="7"/>
  <c r="AB51" i="7"/>
  <c r="AB50" i="7"/>
  <c r="AN51" i="7" l="1"/>
  <c r="AO53" i="7"/>
  <c r="AN53" i="7"/>
  <c r="AO51" i="7"/>
  <c r="AO52" i="7"/>
  <c r="AN52" i="7"/>
  <c r="AO50" i="7"/>
  <c r="AN50" i="7"/>
  <c r="AR55" i="9"/>
  <c r="AR53" i="9"/>
  <c r="AR52" i="9"/>
  <c r="AR51" i="9"/>
  <c r="AR50" i="9"/>
  <c r="AP51" i="7" l="1"/>
  <c r="AP53" i="7"/>
  <c r="AP52" i="7"/>
  <c r="AP50" i="7"/>
  <c r="AR54" i="9"/>
  <c r="AR49" i="12" l="1"/>
  <c r="AR39" i="12"/>
  <c r="AR38" i="12"/>
  <c r="AR37" i="12"/>
  <c r="AR36" i="12"/>
  <c r="AA37" i="12"/>
  <c r="AB37" i="12"/>
  <c r="AA38" i="12"/>
  <c r="AB38" i="12"/>
  <c r="AA39" i="12"/>
  <c r="AB39" i="12"/>
  <c r="AA40" i="12"/>
  <c r="AB40" i="12"/>
  <c r="AA41" i="12"/>
  <c r="AB41" i="12"/>
  <c r="AA42" i="12"/>
  <c r="AB42" i="12"/>
  <c r="AA43" i="12"/>
  <c r="AB43" i="12"/>
  <c r="AA44" i="12"/>
  <c r="AB44" i="12"/>
  <c r="AA45" i="12"/>
  <c r="AB45" i="12"/>
  <c r="AA46" i="12"/>
  <c r="AB46" i="12"/>
  <c r="AA47" i="12"/>
  <c r="AB47" i="12"/>
  <c r="AA48" i="12"/>
  <c r="AB48" i="12"/>
  <c r="AA49" i="12"/>
  <c r="AB49" i="12"/>
  <c r="AA50" i="12"/>
  <c r="AB50" i="12"/>
  <c r="T48" i="12"/>
  <c r="AO48" i="12" s="1"/>
  <c r="R37" i="12"/>
  <c r="AM37" i="12" s="1"/>
  <c r="S37" i="12"/>
  <c r="AN37" i="12" s="1"/>
  <c r="T37" i="12"/>
  <c r="AO37" i="12" s="1"/>
  <c r="R38" i="12"/>
  <c r="AM38" i="12" s="1"/>
  <c r="S38" i="12"/>
  <c r="AN38" i="12" s="1"/>
  <c r="T38" i="12"/>
  <c r="AO38" i="12" s="1"/>
  <c r="R39" i="12"/>
  <c r="AM39" i="12" s="1"/>
  <c r="S39" i="12"/>
  <c r="AN39" i="12" s="1"/>
  <c r="T39" i="12"/>
  <c r="AO39" i="12" s="1"/>
  <c r="R40" i="12"/>
  <c r="AM40" i="12" s="1"/>
  <c r="S40" i="12"/>
  <c r="AN40" i="12" s="1"/>
  <c r="T40" i="12"/>
  <c r="AO40" i="12" s="1"/>
  <c r="R41" i="12"/>
  <c r="AM41" i="12" s="1"/>
  <c r="S41" i="12"/>
  <c r="AN41" i="12" s="1"/>
  <c r="T41" i="12"/>
  <c r="AO41" i="12" s="1"/>
  <c r="R42" i="12"/>
  <c r="AM42" i="12" s="1"/>
  <c r="S42" i="12"/>
  <c r="AN42" i="12" s="1"/>
  <c r="T42" i="12"/>
  <c r="AO42" i="12" s="1"/>
  <c r="R43" i="12"/>
  <c r="AM43" i="12" s="1"/>
  <c r="S43" i="12"/>
  <c r="AN43" i="12" s="1"/>
  <c r="T43" i="12"/>
  <c r="AO43" i="12" s="1"/>
  <c r="R44" i="12"/>
  <c r="AM44" i="12" s="1"/>
  <c r="S44" i="12"/>
  <c r="AN44" i="12" s="1"/>
  <c r="T44" i="12"/>
  <c r="AO44" i="12" s="1"/>
  <c r="R45" i="12"/>
  <c r="AM45" i="12" s="1"/>
  <c r="S45" i="12"/>
  <c r="AN45" i="12" s="1"/>
  <c r="T45" i="12"/>
  <c r="AO45" i="12" s="1"/>
  <c r="R46" i="12"/>
  <c r="AM46" i="12" s="1"/>
  <c r="S46" i="12"/>
  <c r="AN46" i="12" s="1"/>
  <c r="T46" i="12"/>
  <c r="AO46" i="12" s="1"/>
  <c r="R47" i="12"/>
  <c r="AM47" i="12" s="1"/>
  <c r="S47" i="12"/>
  <c r="AN47" i="12" s="1"/>
  <c r="T47" i="12"/>
  <c r="AO47" i="12" s="1"/>
  <c r="R48" i="12"/>
  <c r="AM48" i="12" s="1"/>
  <c r="S48" i="12"/>
  <c r="AN48" i="12" s="1"/>
  <c r="R49" i="12"/>
  <c r="AM49" i="12" s="1"/>
  <c r="S49" i="12"/>
  <c r="AN49" i="12" s="1"/>
  <c r="T49" i="12"/>
  <c r="AO49" i="12" s="1"/>
  <c r="AU55" i="12" l="1"/>
  <c r="AT55" i="12"/>
  <c r="AV55" i="12"/>
  <c r="AV59" i="12"/>
  <c r="AT59" i="12"/>
  <c r="AU59" i="12"/>
  <c r="AP49" i="12"/>
  <c r="AP46" i="12"/>
  <c r="AP48" i="12"/>
  <c r="AP42" i="12"/>
  <c r="AP45" i="12"/>
  <c r="AP47" i="12"/>
  <c r="AP43" i="12"/>
  <c r="AP44" i="12"/>
  <c r="AP37" i="12"/>
  <c r="AP38" i="12"/>
  <c r="AP39" i="12"/>
  <c r="AP41" i="12"/>
  <c r="AP40" i="12"/>
  <c r="AT61" i="12"/>
  <c r="AV61" i="12" l="1"/>
  <c r="AU61" i="12"/>
  <c r="AR49" i="11"/>
  <c r="AK37" i="11"/>
  <c r="AL37" i="11"/>
  <c r="AK38" i="11"/>
  <c r="AL38" i="11"/>
  <c r="AK39" i="11"/>
  <c r="AL39" i="11"/>
  <c r="AK40" i="11"/>
  <c r="AL40" i="11"/>
  <c r="AK41" i="11"/>
  <c r="AL41" i="11"/>
  <c r="AM41" i="11"/>
  <c r="AK42" i="11"/>
  <c r="AL42" i="11"/>
  <c r="AK43" i="11"/>
  <c r="AL43" i="11"/>
  <c r="AK44" i="11"/>
  <c r="AL44" i="11"/>
  <c r="AK45" i="11"/>
  <c r="AL45" i="11"/>
  <c r="AK46" i="11"/>
  <c r="AL46" i="11"/>
  <c r="AK47" i="11"/>
  <c r="AL47" i="11"/>
  <c r="AM47" i="11"/>
  <c r="G48" i="11" s="1"/>
  <c r="AK48" i="11"/>
  <c r="AL48" i="11"/>
  <c r="AM48" i="11"/>
  <c r="AK49" i="11"/>
  <c r="AL49" i="11"/>
  <c r="AF37" i="11"/>
  <c r="AG37" i="11"/>
  <c r="AF38" i="11"/>
  <c r="AG38" i="11"/>
  <c r="AF39" i="11"/>
  <c r="AG39" i="11"/>
  <c r="AF40" i="11"/>
  <c r="AG40" i="11"/>
  <c r="AF41" i="11"/>
  <c r="AG41" i="11"/>
  <c r="AF42" i="11"/>
  <c r="AG42" i="11"/>
  <c r="AF43" i="11"/>
  <c r="AG43" i="11"/>
  <c r="AF44" i="11"/>
  <c r="AG44" i="11"/>
  <c r="AF45" i="11"/>
  <c r="AG45" i="11"/>
  <c r="AF46" i="11"/>
  <c r="AG46" i="11"/>
  <c r="AF47" i="11"/>
  <c r="AG47" i="11"/>
  <c r="AF48" i="11"/>
  <c r="AG48" i="11"/>
  <c r="AF49" i="11"/>
  <c r="AG49" i="11"/>
  <c r="AM37" i="11"/>
  <c r="AM38" i="11"/>
  <c r="AM39" i="11"/>
  <c r="AM40" i="11"/>
  <c r="AM42" i="11"/>
  <c r="AM43" i="11"/>
  <c r="G44" i="11" s="1"/>
  <c r="AM44" i="11"/>
  <c r="G45" i="11" s="1"/>
  <c r="AM45" i="11"/>
  <c r="G46" i="11" s="1"/>
  <c r="AM46" i="11"/>
  <c r="G47" i="11" s="1"/>
  <c r="AM49" i="11"/>
  <c r="G50" i="11" s="1"/>
  <c r="AN50" i="11" s="1"/>
  <c r="AU63" i="11" s="1"/>
  <c r="G43" i="11" l="1"/>
  <c r="G49" i="11"/>
  <c r="AN49" i="11" s="1"/>
  <c r="H51" i="11"/>
  <c r="AO51" i="11" s="1"/>
  <c r="AP51" i="11" s="1"/>
  <c r="AO38" i="11"/>
  <c r="AN38" i="11"/>
  <c r="AN45" i="11"/>
  <c r="H46" i="11" s="1"/>
  <c r="AO46" i="11" s="1"/>
  <c r="AO37" i="11"/>
  <c r="AN37" i="11"/>
  <c r="AO42" i="11"/>
  <c r="AN41" i="11"/>
  <c r="AN40" i="11"/>
  <c r="AN47" i="11"/>
  <c r="H48" i="11" s="1"/>
  <c r="AO48" i="11" s="1"/>
  <c r="AO40" i="11"/>
  <c r="AN39" i="11"/>
  <c r="AN48" i="11"/>
  <c r="AN42" i="11"/>
  <c r="AO39" i="11"/>
  <c r="AN46" i="11"/>
  <c r="H47" i="11" s="1"/>
  <c r="AO47" i="11" s="1"/>
  <c r="AN44" i="11"/>
  <c r="H45" i="11" s="1"/>
  <c r="AO45" i="11" s="1"/>
  <c r="AN43" i="11"/>
  <c r="H44" i="11" s="1"/>
  <c r="AO44" i="11" s="1"/>
  <c r="AO41" i="11"/>
  <c r="H43" i="11" l="1"/>
  <c r="AO43" i="11" s="1"/>
  <c r="AP43" i="11" s="1"/>
  <c r="H49" i="11"/>
  <c r="AO49" i="11" s="1"/>
  <c r="AP49" i="11" s="1"/>
  <c r="H50" i="11"/>
  <c r="AO50" i="11" s="1"/>
  <c r="AP38" i="11"/>
  <c r="AP45" i="11"/>
  <c r="AP46" i="11"/>
  <c r="AP48" i="11"/>
  <c r="AP41" i="11"/>
  <c r="AP37" i="11"/>
  <c r="AP42" i="11"/>
  <c r="AP47" i="11"/>
  <c r="AP44" i="11"/>
  <c r="AP40" i="11"/>
  <c r="AP39" i="11"/>
  <c r="AR46" i="10"/>
  <c r="AP50" i="11" l="1"/>
  <c r="AV63" i="11"/>
  <c r="AP43" i="10"/>
  <c r="AP47" i="10"/>
  <c r="AP42" i="10"/>
  <c r="AP46" i="10"/>
  <c r="AP44" i="10"/>
  <c r="AP48" i="10" l="1"/>
  <c r="AP49" i="10"/>
  <c r="AP45" i="10"/>
  <c r="AF37" i="8"/>
  <c r="AN37" i="8" s="1"/>
  <c r="AG37" i="8"/>
  <c r="AO37" i="8" s="1"/>
  <c r="AF38" i="8"/>
  <c r="AN38" i="8" s="1"/>
  <c r="AG38" i="8"/>
  <c r="AO38" i="8" s="1"/>
  <c r="AF39" i="8"/>
  <c r="AN39" i="8" s="1"/>
  <c r="AG39" i="8"/>
  <c r="AO39" i="8" s="1"/>
  <c r="AF40" i="8"/>
  <c r="AN40" i="8" s="1"/>
  <c r="AG40" i="8"/>
  <c r="AO40" i="8" s="1"/>
  <c r="AF41" i="8"/>
  <c r="AN41" i="8" s="1"/>
  <c r="AG41" i="8"/>
  <c r="AO41" i="8" s="1"/>
  <c r="AF42" i="8"/>
  <c r="AN42" i="8" s="1"/>
  <c r="AG42" i="8"/>
  <c r="AO42" i="8" s="1"/>
  <c r="AF43" i="8"/>
  <c r="AN43" i="8" s="1"/>
  <c r="AG43" i="8"/>
  <c r="AO43" i="8" s="1"/>
  <c r="AF44" i="8"/>
  <c r="AN44" i="8" s="1"/>
  <c r="AG44" i="8"/>
  <c r="AO44" i="8" s="1"/>
  <c r="AF45" i="8"/>
  <c r="AN45" i="8" s="1"/>
  <c r="AG45" i="8"/>
  <c r="AO45" i="8" s="1"/>
  <c r="AF46" i="8"/>
  <c r="AN46" i="8" s="1"/>
  <c r="AG46" i="8"/>
  <c r="AO46" i="8" s="1"/>
  <c r="AF47" i="8"/>
  <c r="AN47" i="8" s="1"/>
  <c r="AG47" i="8"/>
  <c r="AO47" i="8" s="1"/>
  <c r="AF48" i="8"/>
  <c r="AN48" i="8" s="1"/>
  <c r="AG48" i="8"/>
  <c r="AO48" i="8" s="1"/>
  <c r="AF49" i="8"/>
  <c r="AN49" i="8" s="1"/>
  <c r="AG49" i="8"/>
  <c r="AO49" i="8" s="1"/>
  <c r="AA37" i="8"/>
  <c r="AB37" i="8"/>
  <c r="AA38" i="8"/>
  <c r="AB38" i="8"/>
  <c r="AA39" i="8"/>
  <c r="AB39" i="8"/>
  <c r="AA40" i="8"/>
  <c r="AB40" i="8"/>
  <c r="AA41" i="8"/>
  <c r="AB41" i="8"/>
  <c r="AA42" i="8"/>
  <c r="AB42" i="8"/>
  <c r="AA43" i="8"/>
  <c r="AB43" i="8"/>
  <c r="AV53" i="8" l="1"/>
  <c r="AU53" i="8"/>
  <c r="AV61" i="8"/>
  <c r="AU61" i="8"/>
  <c r="AP44" i="8"/>
  <c r="AP40" i="8"/>
  <c r="AP49" i="8"/>
  <c r="AP48" i="8"/>
  <c r="AP47" i="8"/>
  <c r="AP46" i="8"/>
  <c r="AP45" i="8"/>
  <c r="AP43" i="8"/>
  <c r="AP42" i="8"/>
  <c r="AP41" i="8"/>
  <c r="AP39" i="8"/>
  <c r="AP38" i="8"/>
  <c r="AP37" i="8"/>
  <c r="AK5" i="7"/>
  <c r="AL5" i="7"/>
  <c r="AK6" i="7"/>
  <c r="AL6" i="7"/>
  <c r="AK7" i="7"/>
  <c r="AL7" i="7"/>
  <c r="AK8" i="7"/>
  <c r="AL8" i="7"/>
  <c r="AK9" i="7"/>
  <c r="AL9" i="7"/>
  <c r="AK10" i="7"/>
  <c r="AL10" i="7"/>
  <c r="AK11" i="7"/>
  <c r="AL11" i="7"/>
  <c r="AK12" i="7"/>
  <c r="AL12" i="7"/>
  <c r="AK13" i="7"/>
  <c r="AL13" i="7"/>
  <c r="AK14" i="7"/>
  <c r="AL14" i="7"/>
  <c r="AK15" i="7"/>
  <c r="AL15" i="7"/>
  <c r="AK16" i="7"/>
  <c r="AL16" i="7"/>
  <c r="AK17" i="7"/>
  <c r="AL17" i="7"/>
  <c r="AK18" i="7"/>
  <c r="AL18" i="7"/>
  <c r="AK19" i="7"/>
  <c r="AL19" i="7"/>
  <c r="AK20" i="7"/>
  <c r="AL20" i="7"/>
  <c r="AK21" i="7"/>
  <c r="AL21" i="7"/>
  <c r="AK22" i="7"/>
  <c r="AL22" i="7"/>
  <c r="AK23" i="7"/>
  <c r="AL23" i="7"/>
  <c r="AK24" i="7"/>
  <c r="AL24" i="7"/>
  <c r="AK25" i="7"/>
  <c r="AL25" i="7"/>
  <c r="AK26" i="7"/>
  <c r="AL26" i="7"/>
  <c r="AK27" i="7"/>
  <c r="AL27" i="7"/>
  <c r="AK28" i="7"/>
  <c r="AL28" i="7"/>
  <c r="AK29" i="7"/>
  <c r="AL29" i="7"/>
  <c r="AK30" i="7"/>
  <c r="AL30" i="7"/>
  <c r="AK31" i="7"/>
  <c r="AL31" i="7"/>
  <c r="AK32" i="7"/>
  <c r="AL32" i="7"/>
  <c r="AK33" i="7"/>
  <c r="AL33" i="7"/>
  <c r="AK34" i="7"/>
  <c r="AL34" i="7"/>
  <c r="AK35" i="7"/>
  <c r="AL35" i="7"/>
  <c r="AK36" i="7"/>
  <c r="AL36" i="7"/>
  <c r="AK37" i="7"/>
  <c r="AL37" i="7"/>
  <c r="AK38" i="7"/>
  <c r="AL38" i="7"/>
  <c r="AK39" i="7"/>
  <c r="AL39" i="7"/>
  <c r="AK40" i="7"/>
  <c r="AL40" i="7"/>
  <c r="AK41" i="7"/>
  <c r="AL41" i="7"/>
  <c r="AK42" i="7"/>
  <c r="AL42" i="7"/>
  <c r="AK43" i="7"/>
  <c r="AL43" i="7"/>
  <c r="AK44" i="7"/>
  <c r="AL44" i="7"/>
  <c r="AK45" i="7"/>
  <c r="AL45" i="7"/>
  <c r="AK46" i="7"/>
  <c r="AL46" i="7"/>
  <c r="AK47" i="7"/>
  <c r="AL47" i="7"/>
  <c r="AK48" i="7"/>
  <c r="AL48" i="7"/>
  <c r="AK49" i="7"/>
  <c r="AL49" i="7"/>
  <c r="AF5" i="7"/>
  <c r="AG5" i="7"/>
  <c r="AF6" i="7"/>
  <c r="AG6" i="7"/>
  <c r="AO6" i="7" s="1"/>
  <c r="AF7" i="7"/>
  <c r="AG7" i="7"/>
  <c r="AF8" i="7"/>
  <c r="AG8" i="7"/>
  <c r="AF9" i="7"/>
  <c r="AG9" i="7"/>
  <c r="AF10" i="7"/>
  <c r="AG10" i="7"/>
  <c r="AF11" i="7"/>
  <c r="AG11" i="7"/>
  <c r="AF12" i="7"/>
  <c r="AG12" i="7"/>
  <c r="AF13" i="7"/>
  <c r="AG13" i="7"/>
  <c r="AF14" i="7"/>
  <c r="AG14" i="7"/>
  <c r="AF15" i="7"/>
  <c r="AG15" i="7"/>
  <c r="AF16" i="7"/>
  <c r="AG16" i="7"/>
  <c r="AF17" i="7"/>
  <c r="AG17" i="7"/>
  <c r="AF18" i="7"/>
  <c r="AG18" i="7"/>
  <c r="AF19" i="7"/>
  <c r="AG19" i="7"/>
  <c r="AF20" i="7"/>
  <c r="AG20" i="7"/>
  <c r="AF21" i="7"/>
  <c r="AG21" i="7"/>
  <c r="AF22" i="7"/>
  <c r="AG22" i="7"/>
  <c r="AF23" i="7"/>
  <c r="AG23" i="7"/>
  <c r="AF24" i="7"/>
  <c r="AG24" i="7"/>
  <c r="AF25" i="7"/>
  <c r="AG25" i="7"/>
  <c r="AF26" i="7"/>
  <c r="AG26" i="7"/>
  <c r="AF27" i="7"/>
  <c r="AG27" i="7"/>
  <c r="AF28" i="7"/>
  <c r="AG28" i="7"/>
  <c r="AF29" i="7"/>
  <c r="AG29" i="7"/>
  <c r="AF30" i="7"/>
  <c r="AG30" i="7"/>
  <c r="AF31" i="7"/>
  <c r="AG31" i="7"/>
  <c r="AF32" i="7"/>
  <c r="AG32" i="7"/>
  <c r="AF33" i="7"/>
  <c r="AG33" i="7"/>
  <c r="AF34" i="7"/>
  <c r="AG34" i="7"/>
  <c r="AF35" i="7"/>
  <c r="AG35" i="7"/>
  <c r="AF36" i="7"/>
  <c r="AG36" i="7"/>
  <c r="AF37" i="7"/>
  <c r="AG37" i="7"/>
  <c r="AF38" i="7"/>
  <c r="AG38" i="7"/>
  <c r="AF39" i="7"/>
  <c r="AG39" i="7"/>
  <c r="AF40" i="7"/>
  <c r="AG40" i="7"/>
  <c r="AF41" i="7"/>
  <c r="AG41" i="7"/>
  <c r="AF42" i="7"/>
  <c r="AG42" i="7"/>
  <c r="AF43" i="7"/>
  <c r="AG43" i="7"/>
  <c r="AF44" i="7"/>
  <c r="AG44" i="7"/>
  <c r="AF45" i="7"/>
  <c r="AG45" i="7"/>
  <c r="AF46" i="7"/>
  <c r="AG46" i="7"/>
  <c r="AF47" i="7"/>
  <c r="AG47" i="7"/>
  <c r="AF48" i="7"/>
  <c r="AG48" i="7"/>
  <c r="AF49" i="7"/>
  <c r="AG49" i="7"/>
  <c r="AA5" i="7"/>
  <c r="AB5" i="7"/>
  <c r="AA6" i="7"/>
  <c r="AB6" i="7"/>
  <c r="AA7" i="7"/>
  <c r="AB7" i="7"/>
  <c r="AA8" i="7"/>
  <c r="AB8" i="7"/>
  <c r="AA9" i="7"/>
  <c r="AB9" i="7"/>
  <c r="AA10" i="7"/>
  <c r="AB10" i="7"/>
  <c r="AA11" i="7"/>
  <c r="AB11" i="7"/>
  <c r="AA12" i="7"/>
  <c r="AB12" i="7"/>
  <c r="AA13" i="7"/>
  <c r="AB13" i="7"/>
  <c r="AA14" i="7"/>
  <c r="AB14" i="7"/>
  <c r="AA15" i="7"/>
  <c r="AB15" i="7"/>
  <c r="AA16" i="7"/>
  <c r="AB16" i="7"/>
  <c r="AA17" i="7"/>
  <c r="AB17" i="7"/>
  <c r="AA18" i="7"/>
  <c r="AB18" i="7"/>
  <c r="AA19" i="7"/>
  <c r="AB19" i="7"/>
  <c r="AA20" i="7"/>
  <c r="AB20" i="7"/>
  <c r="AA21" i="7"/>
  <c r="AB21" i="7"/>
  <c r="AA22" i="7"/>
  <c r="AB22" i="7"/>
  <c r="AA23" i="7"/>
  <c r="AB23" i="7"/>
  <c r="AA24" i="7"/>
  <c r="AB24" i="7"/>
  <c r="AA25" i="7"/>
  <c r="AB25" i="7"/>
  <c r="AA26" i="7"/>
  <c r="AB26" i="7"/>
  <c r="AA27" i="7"/>
  <c r="AB27" i="7"/>
  <c r="AA28" i="7"/>
  <c r="AB28" i="7"/>
  <c r="AA29" i="7"/>
  <c r="AB29" i="7"/>
  <c r="AA30" i="7"/>
  <c r="AB30" i="7"/>
  <c r="AA31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O28" i="7" l="1"/>
  <c r="AO26" i="7"/>
  <c r="AO24" i="7"/>
  <c r="AO22" i="7"/>
  <c r="AO20" i="7"/>
  <c r="AO18" i="7"/>
  <c r="AO16" i="7"/>
  <c r="AO14" i="7"/>
  <c r="AO10" i="7"/>
  <c r="AO8" i="7"/>
  <c r="AO12" i="7"/>
  <c r="AN29" i="7"/>
  <c r="AN25" i="7"/>
  <c r="AN23" i="7"/>
  <c r="AN21" i="7"/>
  <c r="AN19" i="7"/>
  <c r="AN17" i="7"/>
  <c r="AN15" i="7"/>
  <c r="AN13" i="7"/>
  <c r="AN11" i="7"/>
  <c r="AN9" i="7"/>
  <c r="AN7" i="7"/>
  <c r="AN5" i="7"/>
  <c r="AN27" i="7"/>
  <c r="AO29" i="7"/>
  <c r="AO27" i="7"/>
  <c r="AO25" i="7"/>
  <c r="AO23" i="7"/>
  <c r="AO21" i="7"/>
  <c r="AO19" i="7"/>
  <c r="AO17" i="7"/>
  <c r="AO15" i="7"/>
  <c r="AO13" i="7"/>
  <c r="AO11" i="7"/>
  <c r="AO9" i="7"/>
  <c r="AO7" i="7"/>
  <c r="AO5" i="7"/>
  <c r="AN28" i="7"/>
  <c r="AN26" i="7"/>
  <c r="AN24" i="7"/>
  <c r="AN22" i="7"/>
  <c r="AN8" i="7"/>
  <c r="AN6" i="7"/>
  <c r="AP6" i="7" s="1"/>
  <c r="AN20" i="7"/>
  <c r="AN18" i="7"/>
  <c r="AN16" i="7"/>
  <c r="AN14" i="7"/>
  <c r="AN12" i="7"/>
  <c r="AN10" i="7"/>
  <c r="AN49" i="7"/>
  <c r="AN47" i="7"/>
  <c r="AN45" i="7"/>
  <c r="AN43" i="7"/>
  <c r="AN41" i="7"/>
  <c r="AN31" i="7"/>
  <c r="AO38" i="7"/>
  <c r="AO36" i="7"/>
  <c r="AO34" i="7"/>
  <c r="AO32" i="7"/>
  <c r="AO30" i="7"/>
  <c r="AN38" i="7"/>
  <c r="AN36" i="7"/>
  <c r="AN34" i="7"/>
  <c r="AN32" i="7"/>
  <c r="AN30" i="7"/>
  <c r="AO49" i="7"/>
  <c r="AO47" i="7"/>
  <c r="AO45" i="7"/>
  <c r="AO43" i="7"/>
  <c r="AO41" i="7"/>
  <c r="AO31" i="7"/>
  <c r="AO48" i="7"/>
  <c r="AN48" i="7"/>
  <c r="AO46" i="7"/>
  <c r="AN46" i="7"/>
  <c r="AO44" i="7"/>
  <c r="AN44" i="7"/>
  <c r="AO42" i="7"/>
  <c r="AN42" i="7"/>
  <c r="AO40" i="7"/>
  <c r="AN40" i="7"/>
  <c r="AO39" i="7"/>
  <c r="AN39" i="7"/>
  <c r="AO37" i="7"/>
  <c r="AN37" i="7"/>
  <c r="AO35" i="7"/>
  <c r="AN35" i="7"/>
  <c r="AO33" i="7"/>
  <c r="AN33" i="7"/>
  <c r="AG42" i="5"/>
  <c r="AO42" i="5" s="1"/>
  <c r="AF37" i="5"/>
  <c r="AG37" i="5"/>
  <c r="AF38" i="5"/>
  <c r="AG38" i="5"/>
  <c r="AF39" i="5"/>
  <c r="AG39" i="5"/>
  <c r="AF40" i="5"/>
  <c r="AG40" i="5"/>
  <c r="AF41" i="5"/>
  <c r="AG41" i="5"/>
  <c r="AF42" i="5"/>
  <c r="AF43" i="5"/>
  <c r="AG43" i="5"/>
  <c r="AF44" i="5"/>
  <c r="AG44" i="5"/>
  <c r="AF45" i="5"/>
  <c r="AG45" i="5"/>
  <c r="AF46" i="5"/>
  <c r="AG46" i="5"/>
  <c r="AF47" i="5"/>
  <c r="AG47" i="5"/>
  <c r="AF48" i="5"/>
  <c r="AG48" i="5"/>
  <c r="AF49" i="5"/>
  <c r="AG49" i="5"/>
  <c r="AP8" i="7" l="1"/>
  <c r="AP24" i="7"/>
  <c r="AP10" i="7"/>
  <c r="AP28" i="7"/>
  <c r="AP26" i="7"/>
  <c r="AP22" i="7"/>
  <c r="AP17" i="7"/>
  <c r="AP29" i="7"/>
  <c r="AP27" i="7"/>
  <c r="AP25" i="7"/>
  <c r="AP23" i="7"/>
  <c r="AP18" i="7"/>
  <c r="AP14" i="7"/>
  <c r="AP16" i="7"/>
  <c r="AP21" i="7"/>
  <c r="AP12" i="7"/>
  <c r="AP20" i="7"/>
  <c r="AP19" i="7"/>
  <c r="AP9" i="7"/>
  <c r="AP11" i="7"/>
  <c r="AP5" i="7"/>
  <c r="AP13" i="7"/>
  <c r="AP7" i="7"/>
  <c r="AP15" i="7"/>
  <c r="AO46" i="5"/>
  <c r="AN42" i="5"/>
  <c r="AP42" i="5" s="1"/>
  <c r="AP43" i="7"/>
  <c r="AP47" i="7"/>
  <c r="AP38" i="7"/>
  <c r="AO44" i="5"/>
  <c r="AO40" i="5"/>
  <c r="AN40" i="5"/>
  <c r="AP45" i="7"/>
  <c r="AP36" i="7"/>
  <c r="AP32" i="7"/>
  <c r="AP31" i="7"/>
  <c r="AP34" i="7"/>
  <c r="AP30" i="7"/>
  <c r="AP41" i="7"/>
  <c r="AP49" i="7"/>
  <c r="AN44" i="5"/>
  <c r="AN46" i="5"/>
  <c r="AP48" i="7"/>
  <c r="AO49" i="5"/>
  <c r="AN49" i="5"/>
  <c r="AN48" i="5"/>
  <c r="AO48" i="5"/>
  <c r="AO47" i="5"/>
  <c r="AN47" i="5"/>
  <c r="AO45" i="5"/>
  <c r="AN45" i="5"/>
  <c r="AP46" i="7"/>
  <c r="AP44" i="7"/>
  <c r="AP42" i="7"/>
  <c r="AP39" i="7"/>
  <c r="AP33" i="7"/>
  <c r="AP40" i="7"/>
  <c r="AO43" i="5"/>
  <c r="AN43" i="5"/>
  <c r="AO41" i="5"/>
  <c r="AN41" i="5"/>
  <c r="AO39" i="5"/>
  <c r="AN39" i="5"/>
  <c r="AN38" i="5"/>
  <c r="AO37" i="5"/>
  <c r="AN37" i="5"/>
  <c r="AP35" i="7"/>
  <c r="AR39" i="5"/>
  <c r="AO38" i="5"/>
  <c r="AP37" i="7"/>
  <c r="AR48" i="8"/>
  <c r="AR47" i="8"/>
  <c r="AR46" i="8"/>
  <c r="AR45" i="8"/>
  <c r="AR44" i="8"/>
  <c r="AR43" i="8"/>
  <c r="AR42" i="8"/>
  <c r="AR41" i="8"/>
  <c r="AR40" i="8"/>
  <c r="AR39" i="8"/>
  <c r="AR38" i="8"/>
  <c r="AR37" i="8"/>
  <c r="AR36" i="8"/>
  <c r="AG36" i="8"/>
  <c r="AO36" i="8" s="1"/>
  <c r="AV49" i="8" s="1"/>
  <c r="AF36" i="8"/>
  <c r="AN36" i="8" s="1"/>
  <c r="AU49" i="8" s="1"/>
  <c r="AB36" i="8"/>
  <c r="AA36" i="8"/>
  <c r="AP46" i="5" l="1"/>
  <c r="AP40" i="5"/>
  <c r="AP44" i="5"/>
  <c r="AP37" i="5"/>
  <c r="AP39" i="5"/>
  <c r="AP43" i="5"/>
  <c r="AP47" i="5"/>
  <c r="AP48" i="5"/>
  <c r="AP45" i="5"/>
  <c r="AP49" i="5"/>
  <c r="AP36" i="8"/>
  <c r="AP41" i="5"/>
  <c r="AP38" i="5"/>
  <c r="AR41" i="10" l="1"/>
  <c r="AR39" i="10"/>
  <c r="AR37" i="10"/>
  <c r="AP41" i="10" l="1"/>
  <c r="AP40" i="10"/>
  <c r="AP39" i="10"/>
  <c r="AP38" i="10"/>
  <c r="AP37" i="10"/>
  <c r="AR36" i="10"/>
  <c r="AR38" i="10"/>
  <c r="AR40" i="10"/>
  <c r="AP36" i="10" l="1"/>
  <c r="AA36" i="12" l="1"/>
  <c r="AB36" i="12"/>
  <c r="T36" i="12"/>
  <c r="AO36" i="12" s="1"/>
  <c r="S36" i="12"/>
  <c r="AN36" i="12" s="1"/>
  <c r="R36" i="12"/>
  <c r="AM36" i="12" s="1"/>
  <c r="AO35" i="12"/>
  <c r="AN35" i="12"/>
  <c r="AM35" i="12"/>
  <c r="AO34" i="12"/>
  <c r="AN34" i="12"/>
  <c r="AM34" i="12"/>
  <c r="AO33" i="12"/>
  <c r="AN33" i="12"/>
  <c r="AM33" i="12"/>
  <c r="AO32" i="12"/>
  <c r="AN32" i="12"/>
  <c r="AM32" i="12"/>
  <c r="AO31" i="12"/>
  <c r="AN31" i="12"/>
  <c r="AM31" i="12"/>
  <c r="AO30" i="12"/>
  <c r="AN30" i="12"/>
  <c r="AM30" i="12"/>
  <c r="AO29" i="12"/>
  <c r="AN29" i="12"/>
  <c r="AO28" i="12"/>
  <c r="AN28" i="12"/>
  <c r="AM28" i="12"/>
  <c r="AO27" i="12"/>
  <c r="AN27" i="12"/>
  <c r="AM27" i="12"/>
  <c r="AO26" i="12"/>
  <c r="AN26" i="12"/>
  <c r="AM26" i="12"/>
  <c r="T25" i="12"/>
  <c r="AO25" i="12" s="1"/>
  <c r="S25" i="12"/>
  <c r="AN25" i="12" s="1"/>
  <c r="R25" i="12"/>
  <c r="AM25" i="12" s="1"/>
  <c r="T24" i="12"/>
  <c r="AO24" i="12" s="1"/>
  <c r="S24" i="12"/>
  <c r="AN24" i="12" s="1"/>
  <c r="R24" i="12"/>
  <c r="AM24" i="12" s="1"/>
  <c r="T23" i="12"/>
  <c r="AO23" i="12" s="1"/>
  <c r="S23" i="12"/>
  <c r="AN23" i="12" s="1"/>
  <c r="R23" i="12"/>
  <c r="AM23" i="12" s="1"/>
  <c r="T22" i="12"/>
  <c r="AO22" i="12" s="1"/>
  <c r="S22" i="12"/>
  <c r="AN22" i="12" s="1"/>
  <c r="R22" i="12"/>
  <c r="AM22" i="12" s="1"/>
  <c r="T21" i="12"/>
  <c r="AO21" i="12" s="1"/>
  <c r="S21" i="12"/>
  <c r="AN21" i="12" s="1"/>
  <c r="R21" i="12"/>
  <c r="AM21" i="12" s="1"/>
  <c r="T20" i="12"/>
  <c r="AO20" i="12" s="1"/>
  <c r="S20" i="12"/>
  <c r="AN20" i="12" s="1"/>
  <c r="R20" i="12"/>
  <c r="AM20" i="12" s="1"/>
  <c r="T19" i="12"/>
  <c r="AO19" i="12" s="1"/>
  <c r="S19" i="12"/>
  <c r="AN19" i="12" s="1"/>
  <c r="R19" i="12"/>
  <c r="AM19" i="12" s="1"/>
  <c r="T18" i="12"/>
  <c r="AO18" i="12" s="1"/>
  <c r="S18" i="12"/>
  <c r="AN18" i="12" s="1"/>
  <c r="R18" i="12"/>
  <c r="AM18" i="12" s="1"/>
  <c r="T17" i="12"/>
  <c r="AO17" i="12" s="1"/>
  <c r="S17" i="12"/>
  <c r="AN17" i="12" s="1"/>
  <c r="R17" i="12"/>
  <c r="AM17" i="12" s="1"/>
  <c r="T16" i="12"/>
  <c r="AO16" i="12" s="1"/>
  <c r="S16" i="12"/>
  <c r="AN16" i="12" s="1"/>
  <c r="R16" i="12"/>
  <c r="AM16" i="12" s="1"/>
  <c r="T15" i="12"/>
  <c r="AO15" i="12" s="1"/>
  <c r="S15" i="12"/>
  <c r="AN15" i="12" s="1"/>
  <c r="R15" i="12"/>
  <c r="AM15" i="12" s="1"/>
  <c r="T14" i="12"/>
  <c r="AO14" i="12" s="1"/>
  <c r="S14" i="12"/>
  <c r="AN14" i="12" s="1"/>
  <c r="R14" i="12"/>
  <c r="AM14" i="12" s="1"/>
  <c r="T13" i="12"/>
  <c r="AO13" i="12" s="1"/>
  <c r="S13" i="12"/>
  <c r="AN13" i="12" s="1"/>
  <c r="R13" i="12"/>
  <c r="AM13" i="12" s="1"/>
  <c r="T12" i="12"/>
  <c r="AO12" i="12" s="1"/>
  <c r="S12" i="12"/>
  <c r="AN12" i="12" s="1"/>
  <c r="R12" i="12"/>
  <c r="AM12" i="12" s="1"/>
  <c r="T11" i="12"/>
  <c r="AO11" i="12" s="1"/>
  <c r="S11" i="12"/>
  <c r="AN11" i="12" s="1"/>
  <c r="R11" i="12"/>
  <c r="AM11" i="12" s="1"/>
  <c r="T10" i="12"/>
  <c r="AO10" i="12" s="1"/>
  <c r="S10" i="12"/>
  <c r="AN10" i="12" s="1"/>
  <c r="R10" i="12"/>
  <c r="AM10" i="12" s="1"/>
  <c r="T9" i="12"/>
  <c r="AO9" i="12" s="1"/>
  <c r="S9" i="12"/>
  <c r="AN9" i="12" s="1"/>
  <c r="R9" i="12"/>
  <c r="AM9" i="12" s="1"/>
  <c r="T8" i="12"/>
  <c r="AO8" i="12" s="1"/>
  <c r="S8" i="12"/>
  <c r="AN8" i="12" s="1"/>
  <c r="R8" i="12"/>
  <c r="AM8" i="12" s="1"/>
  <c r="T7" i="12"/>
  <c r="AO7" i="12" s="1"/>
  <c r="S7" i="12"/>
  <c r="AN7" i="12" s="1"/>
  <c r="R7" i="12"/>
  <c r="AM7" i="12" s="1"/>
  <c r="T6" i="12"/>
  <c r="AO6" i="12" s="1"/>
  <c r="S6" i="12"/>
  <c r="AN6" i="12" s="1"/>
  <c r="R6" i="12"/>
  <c r="AM6" i="12" s="1"/>
  <c r="T5" i="12"/>
  <c r="AO5" i="12" s="1"/>
  <c r="S5" i="12"/>
  <c r="AN5" i="12" s="1"/>
  <c r="R5" i="12"/>
  <c r="AM5" i="12" s="1"/>
  <c r="AT31" i="12" l="1"/>
  <c r="AV31" i="12"/>
  <c r="AU31" i="12"/>
  <c r="AT41" i="12"/>
  <c r="AU41" i="12"/>
  <c r="AV41" i="12"/>
  <c r="AP8" i="12"/>
  <c r="AP12" i="12"/>
  <c r="AP16" i="12"/>
  <c r="AP20" i="12"/>
  <c r="AP10" i="12"/>
  <c r="AP11" i="12"/>
  <c r="AP14" i="12"/>
  <c r="AP15" i="12"/>
  <c r="AP18" i="12"/>
  <c r="AP19" i="12"/>
  <c r="AP22" i="12"/>
  <c r="AP26" i="12"/>
  <c r="AP24" i="12"/>
  <c r="AP23" i="12"/>
  <c r="AP7" i="12"/>
  <c r="AP6" i="12"/>
  <c r="AP5" i="12"/>
  <c r="AP9" i="12"/>
  <c r="AP13" i="12"/>
  <c r="AP17" i="12"/>
  <c r="AP21" i="12"/>
  <c r="AP25" i="12"/>
  <c r="AP27" i="12"/>
  <c r="AP32" i="12"/>
  <c r="AP36" i="12"/>
  <c r="AP28" i="12"/>
  <c r="AP30" i="12"/>
  <c r="AP31" i="12"/>
  <c r="AP34" i="12"/>
  <c r="AP35" i="12"/>
  <c r="AP29" i="12"/>
  <c r="AP33" i="12"/>
  <c r="AR47" i="7"/>
  <c r="AR46" i="7"/>
  <c r="AR45" i="7"/>
  <c r="AR44" i="7"/>
  <c r="AR48" i="7"/>
  <c r="AR49" i="7"/>
  <c r="AR50" i="7"/>
  <c r="AR51" i="7"/>
  <c r="AR52" i="7"/>
  <c r="AR53" i="7"/>
  <c r="AR43" i="9" l="1"/>
  <c r="AR42" i="9"/>
  <c r="AR41" i="9"/>
  <c r="AR40" i="9"/>
  <c r="AR39" i="9"/>
  <c r="AR38" i="9"/>
  <c r="AR37" i="9"/>
  <c r="AR36" i="9"/>
  <c r="AG36" i="11" l="1"/>
  <c r="AL36" i="11"/>
  <c r="AK36" i="11"/>
  <c r="AF36" i="11"/>
  <c r="AN36" i="11" l="1"/>
  <c r="AU49" i="11" s="1"/>
  <c r="AO36" i="11"/>
  <c r="AV49" i="11" s="1"/>
  <c r="AM36" i="11"/>
  <c r="AT49" i="11" s="1"/>
  <c r="AP36" i="11" l="1"/>
  <c r="AR43" i="7"/>
  <c r="AR42" i="7"/>
  <c r="AR41" i="7"/>
  <c r="AR40" i="7"/>
  <c r="AR39" i="7"/>
  <c r="AR38" i="7"/>
  <c r="AR37" i="7"/>
  <c r="AR36" i="7"/>
  <c r="AG36" i="5" l="1"/>
  <c r="AF36" i="5"/>
  <c r="AG35" i="5"/>
  <c r="AF35" i="5"/>
  <c r="AG34" i="5"/>
  <c r="AF34" i="5"/>
  <c r="AG33" i="5"/>
  <c r="AF33" i="5"/>
  <c r="AG32" i="5"/>
  <c r="AF32" i="5"/>
  <c r="AG31" i="5"/>
  <c r="AF31" i="5"/>
  <c r="AG30" i="5"/>
  <c r="AF30" i="5"/>
  <c r="AG29" i="5"/>
  <c r="AF29" i="5"/>
  <c r="AG28" i="5"/>
  <c r="AF28" i="5"/>
  <c r="AG27" i="5"/>
  <c r="AF27" i="5"/>
  <c r="AG26" i="5"/>
  <c r="AF26" i="5"/>
  <c r="AF25" i="5"/>
  <c r="AF24" i="5"/>
  <c r="AF23" i="5"/>
  <c r="AF22" i="5"/>
  <c r="AF21" i="5"/>
  <c r="AF20" i="5"/>
  <c r="AF19" i="5"/>
  <c r="AF18" i="5"/>
  <c r="AF17" i="5"/>
  <c r="AF16" i="5"/>
  <c r="AG15" i="5"/>
  <c r="AF15" i="5"/>
  <c r="AG14" i="5"/>
  <c r="AF14" i="5"/>
  <c r="AG13" i="5"/>
  <c r="AF13" i="5"/>
  <c r="AG12" i="5"/>
  <c r="AF12" i="5"/>
  <c r="AG11" i="5"/>
  <c r="AF11" i="5"/>
  <c r="AG10" i="5"/>
  <c r="AF10" i="5"/>
  <c r="AG9" i="5"/>
  <c r="AF9" i="5"/>
  <c r="AG8" i="5"/>
  <c r="AF8" i="5"/>
  <c r="AG7" i="5"/>
  <c r="AF7" i="5"/>
  <c r="AG6" i="5"/>
  <c r="AF6" i="5"/>
  <c r="AG5" i="5"/>
  <c r="AF5" i="5"/>
  <c r="AN36" i="5" l="1"/>
  <c r="AO36" i="5"/>
  <c r="AO35" i="5"/>
  <c r="AN35" i="5"/>
  <c r="AF5" i="14"/>
  <c r="AG5" i="14"/>
  <c r="AF6" i="14"/>
  <c r="AG6" i="14"/>
  <c r="AF7" i="14"/>
  <c r="AG7" i="14"/>
  <c r="AF8" i="14"/>
  <c r="AG8" i="14"/>
  <c r="AF9" i="14"/>
  <c r="AG9" i="14"/>
  <c r="AF10" i="14"/>
  <c r="AG10" i="14"/>
  <c r="AF11" i="14"/>
  <c r="AG11" i="14"/>
  <c r="AF12" i="14"/>
  <c r="AG12" i="14"/>
  <c r="AF13" i="14"/>
  <c r="AG13" i="14"/>
  <c r="AF14" i="14"/>
  <c r="AG14" i="14"/>
  <c r="AF15" i="14"/>
  <c r="AG15" i="14"/>
  <c r="AF16" i="14"/>
  <c r="AG16" i="14"/>
  <c r="AF17" i="14"/>
  <c r="AG17" i="14"/>
  <c r="AF18" i="14"/>
  <c r="AG18" i="14"/>
  <c r="AF19" i="14"/>
  <c r="AG19" i="14"/>
  <c r="AF20" i="14"/>
  <c r="AG20" i="14"/>
  <c r="AF21" i="14"/>
  <c r="AG21" i="14"/>
  <c r="AF22" i="14"/>
  <c r="AG22" i="14"/>
  <c r="AF23" i="14"/>
  <c r="AG23" i="14"/>
  <c r="AF24" i="14"/>
  <c r="AG24" i="14"/>
  <c r="AF25" i="14"/>
  <c r="AG25" i="14"/>
  <c r="AF26" i="14"/>
  <c r="AG26" i="14"/>
  <c r="AF27" i="14"/>
  <c r="AG27" i="14"/>
  <c r="AF28" i="14"/>
  <c r="AG28" i="14"/>
  <c r="AF29" i="14"/>
  <c r="AG29" i="14"/>
  <c r="AF30" i="14"/>
  <c r="AG30" i="14"/>
  <c r="AF31" i="14"/>
  <c r="AG31" i="14"/>
  <c r="AF32" i="14"/>
  <c r="AG32" i="14"/>
  <c r="AF33" i="14"/>
  <c r="AG33" i="14"/>
  <c r="AF34" i="14"/>
  <c r="AG34" i="14"/>
  <c r="AF35" i="14"/>
  <c r="AG35" i="14"/>
  <c r="AM35" i="14"/>
  <c r="AM34" i="14"/>
  <c r="AM33" i="14"/>
  <c r="AM32" i="14"/>
  <c r="AM31" i="14"/>
  <c r="AM30" i="14"/>
  <c r="AM28" i="14"/>
  <c r="AM27" i="14"/>
  <c r="AM26" i="14"/>
  <c r="AM25" i="14"/>
  <c r="AM24" i="14"/>
  <c r="AM23" i="14"/>
  <c r="AM22" i="14"/>
  <c r="AM21" i="14"/>
  <c r="AM20" i="14"/>
  <c r="AM19" i="14"/>
  <c r="AM18" i="14"/>
  <c r="AM17" i="14"/>
  <c r="AM16" i="14"/>
  <c r="AM15" i="14"/>
  <c r="AM14" i="14"/>
  <c r="AM13" i="14"/>
  <c r="AM12" i="14"/>
  <c r="AM11" i="14"/>
  <c r="AM10" i="14"/>
  <c r="AM9" i="14"/>
  <c r="AM8" i="14"/>
  <c r="AM7" i="14"/>
  <c r="AM6" i="14"/>
  <c r="AM5" i="14"/>
  <c r="AK22" i="14"/>
  <c r="AL22" i="14"/>
  <c r="AK23" i="14"/>
  <c r="AL23" i="14"/>
  <c r="AK24" i="14"/>
  <c r="AL24" i="14"/>
  <c r="AK25" i="14"/>
  <c r="AL25" i="14"/>
  <c r="AK26" i="14"/>
  <c r="AL26" i="14"/>
  <c r="AK27" i="14"/>
  <c r="AL27" i="14"/>
  <c r="AK28" i="14"/>
  <c r="AL28" i="14"/>
  <c r="AK29" i="14"/>
  <c r="AL29" i="14"/>
  <c r="AK30" i="14"/>
  <c r="AL30" i="14"/>
  <c r="AK31" i="14"/>
  <c r="AL31" i="14"/>
  <c r="AK32" i="14"/>
  <c r="AL32" i="14"/>
  <c r="AK33" i="14"/>
  <c r="AL33" i="14"/>
  <c r="AK34" i="14"/>
  <c r="AL34" i="14"/>
  <c r="AK35" i="14"/>
  <c r="AL35" i="14"/>
  <c r="AT27" i="14" l="1"/>
  <c r="AT41" i="14"/>
  <c r="AO29" i="14"/>
  <c r="AN29" i="14"/>
  <c r="AP36" i="5"/>
  <c r="AP35" i="5"/>
  <c r="AO24" i="14"/>
  <c r="AN27" i="14"/>
  <c r="AO32" i="14"/>
  <c r="AN35" i="14"/>
  <c r="AO35" i="14"/>
  <c r="AO22" i="14"/>
  <c r="AN25" i="14"/>
  <c r="AO30" i="14"/>
  <c r="AN33" i="14"/>
  <c r="AN30" i="14"/>
  <c r="AO33" i="14"/>
  <c r="AN23" i="14"/>
  <c r="AO28" i="14"/>
  <c r="AN31" i="14"/>
  <c r="AN22" i="14"/>
  <c r="AO25" i="14"/>
  <c r="AO23" i="14"/>
  <c r="AN26" i="14"/>
  <c r="AO31" i="14"/>
  <c r="AN34" i="14"/>
  <c r="AO26" i="14"/>
  <c r="AO34" i="14"/>
  <c r="AO27" i="14"/>
  <c r="AN28" i="14"/>
  <c r="AN24" i="14"/>
  <c r="AN32" i="14"/>
  <c r="AV41" i="14" l="1"/>
  <c r="AU41" i="14"/>
  <c r="AP29" i="14"/>
  <c r="AP28" i="14"/>
  <c r="AP22" i="14"/>
  <c r="AP32" i="14"/>
  <c r="AP24" i="14"/>
  <c r="AP26" i="14"/>
  <c r="AP34" i="14"/>
  <c r="AP23" i="14"/>
  <c r="AP35" i="14"/>
  <c r="AP30" i="14"/>
  <c r="AP31" i="14"/>
  <c r="AP33" i="14"/>
  <c r="AP25" i="14"/>
  <c r="AP27" i="14"/>
  <c r="AR35" i="14"/>
  <c r="AL35" i="13" l="1"/>
  <c r="AK35" i="13"/>
  <c r="AL34" i="13"/>
  <c r="AK34" i="13"/>
  <c r="AL33" i="13"/>
  <c r="AK33" i="13"/>
  <c r="AL32" i="13"/>
  <c r="AK32" i="13"/>
  <c r="AL31" i="13"/>
  <c r="AK31" i="13"/>
  <c r="AL30" i="13"/>
  <c r="AK30" i="13"/>
  <c r="AL29" i="13"/>
  <c r="AK29" i="13"/>
  <c r="AL28" i="13"/>
  <c r="AK28" i="13"/>
  <c r="AL27" i="13"/>
  <c r="AK27" i="13"/>
  <c r="AL26" i="13"/>
  <c r="AK26" i="13"/>
  <c r="AL25" i="13"/>
  <c r="AK25" i="13"/>
  <c r="AL24" i="13"/>
  <c r="AK24" i="13"/>
  <c r="AL23" i="13"/>
  <c r="AK23" i="13"/>
  <c r="AL22" i="13"/>
  <c r="AK22" i="13"/>
  <c r="AM29" i="13" l="1"/>
  <c r="AN31" i="13"/>
  <c r="AO31" i="13"/>
  <c r="AM31" i="13"/>
  <c r="AO33" i="13"/>
  <c r="AN33" i="13"/>
  <c r="AO34" i="13"/>
  <c r="AN34" i="13"/>
  <c r="AM28" i="13"/>
  <c r="AM30" i="13"/>
  <c r="AM27" i="13"/>
  <c r="AM33" i="13"/>
  <c r="AM26" i="13"/>
  <c r="AM34" i="13"/>
  <c r="AM32" i="13"/>
  <c r="AO30" i="13"/>
  <c r="AN30" i="13"/>
  <c r="AM24" i="13"/>
  <c r="AT45" i="13" l="1"/>
  <c r="AN28" i="13"/>
  <c r="AN27" i="13"/>
  <c r="AN29" i="13"/>
  <c r="AP33" i="13"/>
  <c r="AP34" i="13"/>
  <c r="AP31" i="13"/>
  <c r="AP30" i="13"/>
  <c r="AO29" i="13"/>
  <c r="AO28" i="13"/>
  <c r="AO32" i="13"/>
  <c r="AN32" i="13"/>
  <c r="AM25" i="13"/>
  <c r="AN25" i="13"/>
  <c r="AN35" i="13"/>
  <c r="AO35" i="13"/>
  <c r="AM23" i="13"/>
  <c r="AU45" i="13" l="1"/>
  <c r="AV45" i="13"/>
  <c r="AP28" i="13"/>
  <c r="AN26" i="13"/>
  <c r="AN24" i="13"/>
  <c r="AP32" i="13"/>
  <c r="AP35" i="13"/>
  <c r="AP29" i="13"/>
  <c r="AO25" i="13"/>
  <c r="AO26" i="13"/>
  <c r="AO27" i="13"/>
  <c r="AA22" i="12"/>
  <c r="AB22" i="12"/>
  <c r="AA23" i="12"/>
  <c r="AB23" i="12"/>
  <c r="AA24" i="12"/>
  <c r="AB24" i="12"/>
  <c r="AA25" i="12"/>
  <c r="AB25" i="12"/>
  <c r="AA26" i="12"/>
  <c r="AB26" i="12"/>
  <c r="AA27" i="12"/>
  <c r="AB27" i="12"/>
  <c r="AA28" i="12"/>
  <c r="AB28" i="12"/>
  <c r="AA29" i="12"/>
  <c r="AB29" i="12"/>
  <c r="AA30" i="12"/>
  <c r="AB30" i="12"/>
  <c r="AA31" i="12"/>
  <c r="AB31" i="12"/>
  <c r="AA32" i="12"/>
  <c r="AB32" i="12"/>
  <c r="AA33" i="12"/>
  <c r="AB33" i="12"/>
  <c r="AA34" i="12"/>
  <c r="AB34" i="12"/>
  <c r="AA35" i="12"/>
  <c r="AB35" i="12"/>
  <c r="AR35" i="12"/>
  <c r="AR34" i="12"/>
  <c r="AR31" i="12"/>
  <c r="AR30" i="12"/>
  <c r="AR24" i="12"/>
  <c r="AR23" i="12"/>
  <c r="AP27" i="13" l="1"/>
  <c r="AP26" i="13"/>
  <c r="AP25" i="13"/>
  <c r="AR28" i="12"/>
  <c r="AR27" i="12"/>
  <c r="AR25" i="12"/>
  <c r="AR33" i="12"/>
  <c r="AR22" i="12"/>
  <c r="AR26" i="12"/>
  <c r="AR32" i="12"/>
  <c r="AR29" i="12"/>
  <c r="AR35" i="11" l="1"/>
  <c r="AK23" i="11"/>
  <c r="AL23" i="11"/>
  <c r="AM23" i="11"/>
  <c r="AK24" i="11"/>
  <c r="AL24" i="11"/>
  <c r="AM24" i="11"/>
  <c r="AK25" i="11"/>
  <c r="AL25" i="11"/>
  <c r="AM25" i="11"/>
  <c r="AK26" i="11"/>
  <c r="AL26" i="11"/>
  <c r="AM26" i="11"/>
  <c r="AK27" i="11"/>
  <c r="AL27" i="11"/>
  <c r="AM27" i="11"/>
  <c r="AK28" i="11"/>
  <c r="AL28" i="11"/>
  <c r="AM28" i="11"/>
  <c r="AK29" i="11"/>
  <c r="AL29" i="11"/>
  <c r="AM29" i="11"/>
  <c r="AK30" i="11"/>
  <c r="AL30" i="11"/>
  <c r="AM30" i="11"/>
  <c r="AK31" i="11"/>
  <c r="AL31" i="11"/>
  <c r="AM31" i="11"/>
  <c r="AK32" i="11"/>
  <c r="AL32" i="11"/>
  <c r="AM32" i="11"/>
  <c r="AK33" i="11"/>
  <c r="AL33" i="11"/>
  <c r="AM33" i="11"/>
  <c r="AK34" i="11"/>
  <c r="AL34" i="11"/>
  <c r="AM34" i="11"/>
  <c r="AK35" i="11"/>
  <c r="AL35" i="11"/>
  <c r="AM35" i="11"/>
  <c r="AF32" i="11"/>
  <c r="AG32" i="11"/>
  <c r="AO32" i="11" s="1"/>
  <c r="AF33" i="11"/>
  <c r="AG33" i="11"/>
  <c r="AF34" i="11"/>
  <c r="AG34" i="11"/>
  <c r="AF35" i="11"/>
  <c r="AG35" i="11"/>
  <c r="AT41" i="11" l="1"/>
  <c r="AO35" i="11"/>
  <c r="AN33" i="11"/>
  <c r="AN34" i="11"/>
  <c r="AO33" i="11"/>
  <c r="AN35" i="11"/>
  <c r="AO34" i="11"/>
  <c r="AN32" i="11"/>
  <c r="AP32" i="11" l="1"/>
  <c r="AP35" i="11"/>
  <c r="AP34" i="11"/>
  <c r="AP33" i="11"/>
  <c r="AR35" i="9"/>
  <c r="AR35" i="10" l="1"/>
  <c r="AR33" i="10"/>
  <c r="AR31" i="10"/>
  <c r="AR29" i="10"/>
  <c r="AR28" i="10"/>
  <c r="AR26" i="10"/>
  <c r="AR25" i="10"/>
  <c r="AR23" i="10"/>
  <c r="AP25" i="10" l="1"/>
  <c r="AR27" i="10"/>
  <c r="AR30" i="10"/>
  <c r="AR32" i="10"/>
  <c r="AR34" i="10"/>
  <c r="AR22" i="10"/>
  <c r="AR24" i="10"/>
  <c r="AP34" i="10" l="1"/>
  <c r="AP32" i="10"/>
  <c r="AP26" i="10"/>
  <c r="AP28" i="10"/>
  <c r="AP22" i="10"/>
  <c r="AP29" i="10"/>
  <c r="AP23" i="10"/>
  <c r="AP35" i="10"/>
  <c r="AP31" i="10"/>
  <c r="AP27" i="10"/>
  <c r="AP33" i="10"/>
  <c r="AP24" i="10"/>
  <c r="AP30" i="10" l="1"/>
  <c r="AR33" i="9"/>
  <c r="AR34" i="9"/>
  <c r="AR32" i="9"/>
  <c r="AG35" i="8" l="1"/>
  <c r="AO35" i="8" s="1"/>
  <c r="AF35" i="8"/>
  <c r="AN35" i="8" s="1"/>
  <c r="AB35" i="8"/>
  <c r="AA35" i="8"/>
  <c r="AG34" i="8"/>
  <c r="AO34" i="8" s="1"/>
  <c r="AF34" i="8"/>
  <c r="AN34" i="8" s="1"/>
  <c r="AB34" i="8"/>
  <c r="AA34" i="8"/>
  <c r="AG33" i="8"/>
  <c r="AO33" i="8" s="1"/>
  <c r="AF33" i="8"/>
  <c r="AN33" i="8" s="1"/>
  <c r="AB33" i="8"/>
  <c r="AA33" i="8"/>
  <c r="AG32" i="8"/>
  <c r="AO32" i="8" s="1"/>
  <c r="AF32" i="8"/>
  <c r="AN32" i="8" s="1"/>
  <c r="AB32" i="8"/>
  <c r="AA32" i="8"/>
  <c r="AG31" i="8"/>
  <c r="AO31" i="8" s="1"/>
  <c r="AF31" i="8"/>
  <c r="AN31" i="8" s="1"/>
  <c r="AB31" i="8"/>
  <c r="AA31" i="8"/>
  <c r="AG30" i="8"/>
  <c r="AF30" i="8"/>
  <c r="AN30" i="8" s="1"/>
  <c r="AB30" i="8"/>
  <c r="AA30" i="8"/>
  <c r="AG29" i="8"/>
  <c r="AF29" i="8"/>
  <c r="AN29" i="8" s="1"/>
  <c r="AB29" i="8"/>
  <c r="AA29" i="8"/>
  <c r="AG28" i="8"/>
  <c r="AF28" i="8"/>
  <c r="AB28" i="8"/>
  <c r="AA28" i="8"/>
  <c r="AG27" i="8"/>
  <c r="AF27" i="8"/>
  <c r="AB27" i="8"/>
  <c r="AA27" i="8"/>
  <c r="AG26" i="8"/>
  <c r="AF26" i="8"/>
  <c r="AB26" i="8"/>
  <c r="AA26" i="8"/>
  <c r="AG25" i="8"/>
  <c r="AF25" i="8"/>
  <c r="AB25" i="8"/>
  <c r="AA25" i="8"/>
  <c r="AG24" i="8"/>
  <c r="AF24" i="8"/>
  <c r="AB24" i="8"/>
  <c r="AA24" i="8"/>
  <c r="AG23" i="8"/>
  <c r="AF23" i="8"/>
  <c r="AB23" i="8"/>
  <c r="AA23" i="8"/>
  <c r="AG22" i="8"/>
  <c r="AF22" i="8"/>
  <c r="AB22" i="8"/>
  <c r="AA22" i="8"/>
  <c r="H25" i="8" l="1"/>
  <c r="AO25" i="8" s="1"/>
  <c r="AN24" i="8"/>
  <c r="H26" i="8"/>
  <c r="AO26" i="8" s="1"/>
  <c r="AN25" i="8"/>
  <c r="AN28" i="8"/>
  <c r="AU41" i="8" s="1"/>
  <c r="H23" i="8"/>
  <c r="AO23" i="8" s="1"/>
  <c r="AN22" i="8"/>
  <c r="H27" i="8"/>
  <c r="AO27" i="8" s="1"/>
  <c r="AN26" i="8"/>
  <c r="AO28" i="8"/>
  <c r="AN27" i="8"/>
  <c r="H24" i="8"/>
  <c r="AO24" i="8" s="1"/>
  <c r="AN23" i="8"/>
  <c r="AO29" i="8"/>
  <c r="AP29" i="8" s="1"/>
  <c r="AP35" i="8"/>
  <c r="AP31" i="8"/>
  <c r="AP32" i="8"/>
  <c r="AP33" i="8"/>
  <c r="AP34" i="8"/>
  <c r="AO30" i="8"/>
  <c r="AR35" i="7"/>
  <c r="AR34" i="7"/>
  <c r="AV41" i="8" l="1"/>
  <c r="AP28" i="8"/>
  <c r="AP26" i="8"/>
  <c r="AP23" i="8"/>
  <c r="AP24" i="8"/>
  <c r="AP27" i="8"/>
  <c r="AP25" i="8"/>
  <c r="AP30" i="8"/>
  <c r="AO34" i="5" l="1"/>
  <c r="AN34" i="5"/>
  <c r="AO33" i="5"/>
  <c r="AN33" i="5"/>
  <c r="AO32" i="5"/>
  <c r="AN32" i="5"/>
  <c r="AP33" i="5" l="1"/>
  <c r="AP32" i="5"/>
  <c r="AP34" i="5"/>
  <c r="AR33" i="7"/>
  <c r="AR32" i="7"/>
  <c r="AR31" i="7"/>
  <c r="AR30" i="7"/>
  <c r="AR29" i="7"/>
  <c r="AR28" i="7"/>
  <c r="AR30" i="14" l="1"/>
  <c r="AR29" i="14"/>
  <c r="AR28" i="14"/>
  <c r="AR27" i="14"/>
  <c r="AR26" i="14"/>
  <c r="AR25" i="14"/>
  <c r="AR24" i="14"/>
  <c r="AR31" i="9" l="1"/>
  <c r="AR30" i="9"/>
  <c r="AO31" i="5" l="1"/>
  <c r="AN31" i="5"/>
  <c r="AO30" i="5"/>
  <c r="AN30" i="5"/>
  <c r="AP30" i="5" l="1"/>
  <c r="AP31" i="5"/>
  <c r="AG31" i="11"/>
  <c r="AO31" i="11" s="1"/>
  <c r="AF31" i="11"/>
  <c r="AN31" i="11" s="1"/>
  <c r="AG30" i="11"/>
  <c r="AO30" i="11" s="1"/>
  <c r="AF30" i="11"/>
  <c r="AN30" i="11" s="1"/>
  <c r="AG29" i="11"/>
  <c r="AO29" i="11" s="1"/>
  <c r="AF29" i="11"/>
  <c r="AN29" i="11" s="1"/>
  <c r="AG28" i="11"/>
  <c r="AO28" i="11" s="1"/>
  <c r="AF28" i="11"/>
  <c r="AN28" i="11" s="1"/>
  <c r="AG27" i="11"/>
  <c r="AO27" i="11" s="1"/>
  <c r="AF27" i="11"/>
  <c r="AN27" i="11" s="1"/>
  <c r="AG26" i="11"/>
  <c r="AO26" i="11" s="1"/>
  <c r="AF26" i="11"/>
  <c r="AN26" i="11" s="1"/>
  <c r="AG25" i="11"/>
  <c r="AO25" i="11" s="1"/>
  <c r="AF25" i="11"/>
  <c r="AN25" i="11" s="1"/>
  <c r="AG24" i="11"/>
  <c r="AO24" i="11" s="1"/>
  <c r="AF24" i="11"/>
  <c r="AN24" i="11" s="1"/>
  <c r="AG23" i="11"/>
  <c r="AO23" i="11" s="1"/>
  <c r="AF23" i="11"/>
  <c r="AN23" i="11" s="1"/>
  <c r="AL22" i="11"/>
  <c r="AK22" i="11"/>
  <c r="AG22" i="11"/>
  <c r="AF22" i="11"/>
  <c r="AU41" i="11" l="1"/>
  <c r="AV41" i="11"/>
  <c r="AP23" i="11"/>
  <c r="AP25" i="11"/>
  <c r="AP29" i="11"/>
  <c r="AP31" i="11"/>
  <c r="AP30" i="11"/>
  <c r="AP27" i="11"/>
  <c r="AP24" i="11"/>
  <c r="AP26" i="11"/>
  <c r="AP28" i="11"/>
  <c r="AO22" i="11"/>
  <c r="AN22" i="11"/>
  <c r="AM22" i="11"/>
  <c r="AP22" i="11" l="1"/>
  <c r="AO29" i="5"/>
  <c r="AN29" i="5"/>
  <c r="AO28" i="5"/>
  <c r="AN28" i="5"/>
  <c r="AO27" i="5"/>
  <c r="AN27" i="5"/>
  <c r="AO26" i="5"/>
  <c r="AN26" i="5"/>
  <c r="AO25" i="5"/>
  <c r="AN25" i="5"/>
  <c r="AO24" i="5"/>
  <c r="AN24" i="5"/>
  <c r="AO23" i="5"/>
  <c r="AN23" i="5"/>
  <c r="AO22" i="5"/>
  <c r="AN22" i="5"/>
  <c r="AP25" i="5" l="1"/>
  <c r="AP27" i="5"/>
  <c r="AP29" i="5"/>
  <c r="AP23" i="5"/>
  <c r="AP22" i="5"/>
  <c r="AP24" i="5"/>
  <c r="AP26" i="5"/>
  <c r="AP28" i="5"/>
  <c r="AR28" i="9"/>
  <c r="AR27" i="9"/>
  <c r="AK5" i="14" l="1"/>
  <c r="AN5" i="14" s="1"/>
  <c r="AL5" i="14"/>
  <c r="AO5" i="14" s="1"/>
  <c r="AK6" i="14"/>
  <c r="AN6" i="14" s="1"/>
  <c r="AL6" i="14"/>
  <c r="AO6" i="14" s="1"/>
  <c r="AK7" i="14"/>
  <c r="AN7" i="14" s="1"/>
  <c r="AL7" i="14"/>
  <c r="AO7" i="14" s="1"/>
  <c r="AK8" i="14"/>
  <c r="AN8" i="14" s="1"/>
  <c r="AL8" i="14"/>
  <c r="AO8" i="14" s="1"/>
  <c r="AK9" i="14"/>
  <c r="AN9" i="14" s="1"/>
  <c r="AL9" i="14"/>
  <c r="AO9" i="14" s="1"/>
  <c r="AK10" i="14"/>
  <c r="AN10" i="14" s="1"/>
  <c r="AL10" i="14"/>
  <c r="AO10" i="14" s="1"/>
  <c r="AK11" i="14"/>
  <c r="AN11" i="14" s="1"/>
  <c r="AL11" i="14"/>
  <c r="AO11" i="14" s="1"/>
  <c r="AK12" i="14"/>
  <c r="AN12" i="14" s="1"/>
  <c r="AL12" i="14"/>
  <c r="AO12" i="14" s="1"/>
  <c r="AK13" i="14"/>
  <c r="AN13" i="14" s="1"/>
  <c r="AL13" i="14"/>
  <c r="AO13" i="14" s="1"/>
  <c r="AK14" i="14"/>
  <c r="AN14" i="14" s="1"/>
  <c r="AL14" i="14"/>
  <c r="AO14" i="14" s="1"/>
  <c r="AK15" i="14"/>
  <c r="AN15" i="14" s="1"/>
  <c r="AL15" i="14"/>
  <c r="AO15" i="14" s="1"/>
  <c r="AK16" i="14"/>
  <c r="AN16" i="14" s="1"/>
  <c r="AL16" i="14"/>
  <c r="AO16" i="14" s="1"/>
  <c r="AK17" i="14"/>
  <c r="AN17" i="14" s="1"/>
  <c r="AL17" i="14"/>
  <c r="AO17" i="14" s="1"/>
  <c r="AK18" i="14"/>
  <c r="AN18" i="14" s="1"/>
  <c r="AL18" i="14"/>
  <c r="AO18" i="14" s="1"/>
  <c r="AK19" i="14"/>
  <c r="AN19" i="14" s="1"/>
  <c r="AL19" i="14"/>
  <c r="AO19" i="14" s="1"/>
  <c r="AK20" i="14"/>
  <c r="AN20" i="14" s="1"/>
  <c r="AL20" i="14"/>
  <c r="AO20" i="14" s="1"/>
  <c r="AK21" i="14"/>
  <c r="AN21" i="14" s="1"/>
  <c r="AL21" i="14"/>
  <c r="AO21" i="14" s="1"/>
  <c r="AV27" i="14" l="1"/>
  <c r="AU27" i="14"/>
  <c r="AP20" i="14"/>
  <c r="AP16" i="14"/>
  <c r="AP18" i="14"/>
  <c r="AP21" i="14"/>
  <c r="AP19" i="14"/>
  <c r="AP17" i="14"/>
  <c r="AP14" i="14"/>
  <c r="AP12" i="14"/>
  <c r="AP10" i="14"/>
  <c r="AP8" i="14"/>
  <c r="AP6" i="14"/>
  <c r="AP15" i="14"/>
  <c r="AP13" i="14"/>
  <c r="AP11" i="14"/>
  <c r="AP9" i="14"/>
  <c r="AP7" i="14"/>
  <c r="AP5" i="14"/>
  <c r="AK5" i="13"/>
  <c r="AL5" i="13"/>
  <c r="AK6" i="13"/>
  <c r="AL6" i="13"/>
  <c r="AK7" i="13"/>
  <c r="AL7" i="13"/>
  <c r="AK8" i="13"/>
  <c r="AL8" i="13"/>
  <c r="AK9" i="13"/>
  <c r="AN9" i="13" s="1"/>
  <c r="AL9" i="13"/>
  <c r="AO9" i="13" s="1"/>
  <c r="AK10" i="13"/>
  <c r="AL10" i="13"/>
  <c r="AO10" i="13" s="1"/>
  <c r="AK11" i="13"/>
  <c r="AL11" i="13"/>
  <c r="AK12" i="13"/>
  <c r="AN12" i="13" s="1"/>
  <c r="AL12" i="13"/>
  <c r="AK13" i="13"/>
  <c r="AN13" i="13" s="1"/>
  <c r="AL13" i="13"/>
  <c r="AO13" i="13" s="1"/>
  <c r="AK14" i="13"/>
  <c r="AL14" i="13"/>
  <c r="AK15" i="13"/>
  <c r="AN15" i="13" s="1"/>
  <c r="AL15" i="13"/>
  <c r="AK16" i="13"/>
  <c r="AL16" i="13"/>
  <c r="AM17" i="13" s="1"/>
  <c r="AK17" i="13"/>
  <c r="AL17" i="13"/>
  <c r="AM18" i="13" s="1"/>
  <c r="AK18" i="13"/>
  <c r="AL18" i="13"/>
  <c r="AK19" i="13"/>
  <c r="AL19" i="13"/>
  <c r="AM20" i="13" s="1"/>
  <c r="AK20" i="13"/>
  <c r="AL20" i="13"/>
  <c r="AK21" i="13"/>
  <c r="AL21" i="13"/>
  <c r="AM22" i="13" s="1"/>
  <c r="AM8" i="13"/>
  <c r="AM9" i="13"/>
  <c r="AM10" i="13"/>
  <c r="AM11" i="13"/>
  <c r="AM12" i="13"/>
  <c r="AM13" i="13"/>
  <c r="AM14" i="13"/>
  <c r="AM15" i="13"/>
  <c r="AM16" i="13"/>
  <c r="AM19" i="13"/>
  <c r="AM21" i="13"/>
  <c r="AT31" i="13" l="1"/>
  <c r="AN22" i="13"/>
  <c r="AN23" i="13"/>
  <c r="AO24" i="13"/>
  <c r="AN17" i="13"/>
  <c r="AO23" i="13"/>
  <c r="AN21" i="13"/>
  <c r="AP13" i="13"/>
  <c r="AP9" i="13"/>
  <c r="AO18" i="13"/>
  <c r="AO14" i="13"/>
  <c r="AN20" i="13"/>
  <c r="AN16" i="13"/>
  <c r="AN8" i="13"/>
  <c r="AN19" i="13"/>
  <c r="AO11" i="13"/>
  <c r="AO15" i="13"/>
  <c r="AO12" i="13"/>
  <c r="AN11" i="13"/>
  <c r="AN18" i="13"/>
  <c r="AO16" i="13"/>
  <c r="AN14" i="13"/>
  <c r="AN10" i="13"/>
  <c r="AO8" i="13"/>
  <c r="AU31" i="13" l="1"/>
  <c r="AP24" i="13"/>
  <c r="AP23" i="13"/>
  <c r="AO20" i="13"/>
  <c r="AO17" i="13"/>
  <c r="AP16" i="13"/>
  <c r="AO21" i="13"/>
  <c r="AO19" i="13"/>
  <c r="AP18" i="13"/>
  <c r="AO22" i="13"/>
  <c r="AP15" i="13"/>
  <c r="AP10" i="13"/>
  <c r="AP11" i="13"/>
  <c r="AP14" i="13"/>
  <c r="AP12" i="13"/>
  <c r="AP8" i="13"/>
  <c r="AR6" i="11"/>
  <c r="AK20" i="11"/>
  <c r="AL20" i="11"/>
  <c r="AK21" i="11"/>
  <c r="AL21" i="11"/>
  <c r="AM20" i="11"/>
  <c r="AM21" i="11"/>
  <c r="AF19" i="11"/>
  <c r="AN19" i="11" s="1"/>
  <c r="AG19" i="11"/>
  <c r="AO19" i="11" s="1"/>
  <c r="AF20" i="11"/>
  <c r="AG20" i="11"/>
  <c r="AF21" i="11"/>
  <c r="AG21" i="11"/>
  <c r="AV31" i="13" l="1"/>
  <c r="AU19" i="11"/>
  <c r="AT27" i="11"/>
  <c r="AV19" i="11"/>
  <c r="AP19" i="13"/>
  <c r="AP21" i="13"/>
  <c r="AP19" i="11"/>
  <c r="AP20" i="13"/>
  <c r="AP22" i="13"/>
  <c r="AP17" i="13"/>
  <c r="AN21" i="11"/>
  <c r="AN20" i="11"/>
  <c r="AO21" i="11"/>
  <c r="AO20" i="11"/>
  <c r="AV27" i="11" l="1"/>
  <c r="AU27" i="11"/>
  <c r="AP20" i="11"/>
  <c r="AP21" i="11"/>
  <c r="R4" i="10"/>
  <c r="T4" i="10"/>
  <c r="AT29" i="10" l="1"/>
  <c r="AP19" i="10"/>
  <c r="AP21" i="10"/>
  <c r="AP18" i="10"/>
  <c r="AP20" i="10"/>
  <c r="S4" i="10"/>
  <c r="AR13" i="10"/>
  <c r="AR17" i="10"/>
  <c r="AR12" i="10"/>
  <c r="AR16" i="10"/>
  <c r="AR19" i="10"/>
  <c r="AR15" i="10"/>
  <c r="AR20" i="10"/>
  <c r="AR18" i="10"/>
  <c r="AR14" i="10"/>
  <c r="AR21" i="10"/>
  <c r="AV29" i="10" l="1"/>
  <c r="AP16" i="10"/>
  <c r="AU29" i="10"/>
  <c r="AP17" i="10"/>
  <c r="AP15" i="10"/>
  <c r="AP14" i="10"/>
  <c r="AP13" i="10"/>
  <c r="AP12" i="10"/>
  <c r="AR21" i="9"/>
  <c r="AR20" i="9"/>
  <c r="AA14" i="12" l="1"/>
  <c r="AB14" i="12"/>
  <c r="AA15" i="12"/>
  <c r="AB15" i="12"/>
  <c r="AA16" i="12"/>
  <c r="AB16" i="12"/>
  <c r="AA17" i="12"/>
  <c r="AB17" i="12"/>
  <c r="AA18" i="12"/>
  <c r="AB18" i="12"/>
  <c r="AA19" i="12"/>
  <c r="AB19" i="12"/>
  <c r="AA20" i="12"/>
  <c r="AB20" i="12"/>
  <c r="AA21" i="12"/>
  <c r="AB21" i="12"/>
  <c r="AR21" i="12"/>
  <c r="AR20" i="12"/>
  <c r="AR19" i="12"/>
  <c r="AR16" i="12"/>
  <c r="AR15" i="12"/>
  <c r="AR17" i="12" l="1"/>
  <c r="AR14" i="12"/>
  <c r="AR18" i="12"/>
  <c r="AO8" i="8" l="1"/>
  <c r="AB12" i="8" l="1"/>
  <c r="AB13" i="8"/>
  <c r="AG21" i="8"/>
  <c r="AF21" i="8"/>
  <c r="AB21" i="8"/>
  <c r="AA21" i="8"/>
  <c r="AG20" i="8"/>
  <c r="AF20" i="8"/>
  <c r="AN20" i="8" s="1"/>
  <c r="AB20" i="8"/>
  <c r="AA20" i="8"/>
  <c r="AG19" i="8"/>
  <c r="AF19" i="8"/>
  <c r="AB19" i="8"/>
  <c r="AA19" i="8"/>
  <c r="AG18" i="8"/>
  <c r="AF18" i="8"/>
  <c r="AN18" i="8" s="1"/>
  <c r="AB18" i="8"/>
  <c r="AA18" i="8"/>
  <c r="AG17" i="8"/>
  <c r="AF17" i="8"/>
  <c r="AB17" i="8"/>
  <c r="AA17" i="8"/>
  <c r="AG16" i="8"/>
  <c r="AO16" i="8" s="1"/>
  <c r="AF16" i="8"/>
  <c r="AB16" i="8"/>
  <c r="AA16" i="8"/>
  <c r="AR16" i="8"/>
  <c r="AG15" i="8"/>
  <c r="AO15" i="8" s="1"/>
  <c r="AF15" i="8"/>
  <c r="AN15" i="8" s="1"/>
  <c r="AB15" i="8"/>
  <c r="AA15" i="8"/>
  <c r="AR15" i="8"/>
  <c r="AG14" i="8"/>
  <c r="AO14" i="8" s="1"/>
  <c r="AF14" i="8"/>
  <c r="AN14" i="8" s="1"/>
  <c r="AB14" i="8"/>
  <c r="AA14" i="8"/>
  <c r="AR14" i="8"/>
  <c r="AG13" i="8"/>
  <c r="AO13" i="8" s="1"/>
  <c r="AF13" i="8"/>
  <c r="AN13" i="8" s="1"/>
  <c r="AA13" i="8"/>
  <c r="AR13" i="8"/>
  <c r="AG12" i="8"/>
  <c r="AO12" i="8" s="1"/>
  <c r="AF12" i="8"/>
  <c r="AN12" i="8" s="1"/>
  <c r="AA12" i="8"/>
  <c r="AG11" i="8"/>
  <c r="AO11" i="8" s="1"/>
  <c r="AF11" i="8"/>
  <c r="AN11" i="8" s="1"/>
  <c r="AB11" i="8"/>
  <c r="AA11" i="8"/>
  <c r="AR11" i="8"/>
  <c r="AG10" i="8"/>
  <c r="AO10" i="8" s="1"/>
  <c r="AF10" i="8"/>
  <c r="AN10" i="8" s="1"/>
  <c r="AB10" i="8"/>
  <c r="AA10" i="8"/>
  <c r="AO9" i="8"/>
  <c r="AN9" i="8"/>
  <c r="AR9" i="8"/>
  <c r="AN8" i="8"/>
  <c r="AP8" i="8" s="1"/>
  <c r="AR8" i="8"/>
  <c r="AP15" i="8" l="1"/>
  <c r="AP9" i="8"/>
  <c r="AP12" i="8"/>
  <c r="AP10" i="8"/>
  <c r="AP13" i="8"/>
  <c r="AP14" i="8"/>
  <c r="H17" i="8"/>
  <c r="AO17" i="8" s="1"/>
  <c r="AN16" i="8"/>
  <c r="H18" i="8"/>
  <c r="AO18" i="8" s="1"/>
  <c r="AN17" i="8"/>
  <c r="H20" i="8"/>
  <c r="AO20" i="8" s="1"/>
  <c r="AN19" i="8"/>
  <c r="H22" i="8"/>
  <c r="AO22" i="8" s="1"/>
  <c r="AN21" i="8"/>
  <c r="AP11" i="8"/>
  <c r="H21" i="8"/>
  <c r="AO21" i="8" s="1"/>
  <c r="H19" i="8"/>
  <c r="AO19" i="8" s="1"/>
  <c r="AR10" i="8"/>
  <c r="AR12" i="8"/>
  <c r="AR18" i="8"/>
  <c r="AR20" i="8"/>
  <c r="AR17" i="8"/>
  <c r="AR19" i="8"/>
  <c r="AR21" i="8"/>
  <c r="AU21" i="8" l="1"/>
  <c r="AV21" i="8"/>
  <c r="AV29" i="8"/>
  <c r="AP16" i="8"/>
  <c r="AU29" i="8"/>
  <c r="AV25" i="8"/>
  <c r="AU25" i="8"/>
  <c r="AP18" i="8"/>
  <c r="AP20" i="8"/>
  <c r="AP22" i="8"/>
  <c r="AP21" i="8"/>
  <c r="AP19" i="8"/>
  <c r="AP17" i="8"/>
  <c r="AR21" i="7"/>
  <c r="AR20" i="7"/>
  <c r="AO21" i="5" l="1"/>
  <c r="AN21" i="5"/>
  <c r="AO20" i="5"/>
  <c r="AN20" i="5"/>
  <c r="AP21" i="5" l="1"/>
  <c r="AP20" i="5"/>
  <c r="AR21" i="3"/>
  <c r="AR20" i="3"/>
  <c r="AR19" i="3"/>
  <c r="AR18" i="3"/>
  <c r="AR19" i="9" l="1"/>
  <c r="AR18" i="9"/>
  <c r="AR17" i="9"/>
  <c r="AR16" i="9"/>
  <c r="AR15" i="9"/>
  <c r="AR14" i="9"/>
  <c r="AR19" i="7" l="1"/>
  <c r="AR18" i="7"/>
  <c r="AR17" i="7"/>
  <c r="AR16" i="7"/>
  <c r="AR15" i="7"/>
  <c r="AR14" i="7"/>
  <c r="AR19" i="5" l="1"/>
  <c r="AR18" i="5"/>
  <c r="AR17" i="5"/>
  <c r="AR16" i="5"/>
  <c r="AR15" i="5"/>
  <c r="AR14" i="5"/>
  <c r="AO19" i="5"/>
  <c r="AN19" i="5"/>
  <c r="AO18" i="5"/>
  <c r="AN18" i="5"/>
  <c r="AO17" i="5"/>
  <c r="AN17" i="5"/>
  <c r="AO16" i="5"/>
  <c r="AN16" i="5"/>
  <c r="AO15" i="5"/>
  <c r="AN15" i="5"/>
  <c r="AO14" i="5"/>
  <c r="AN14" i="5"/>
  <c r="AP16" i="5" l="1"/>
  <c r="AP14" i="5"/>
  <c r="AP18" i="5"/>
  <c r="AP15" i="5"/>
  <c r="AP17" i="5"/>
  <c r="AP19" i="5"/>
  <c r="AR8" i="3"/>
  <c r="AR15" i="3"/>
  <c r="AR14" i="3"/>
  <c r="AR13" i="3"/>
  <c r="AR12" i="3"/>
  <c r="AR11" i="3"/>
  <c r="AR10" i="3"/>
  <c r="AR9" i="3"/>
  <c r="AR13" i="14" l="1"/>
  <c r="AR12" i="14"/>
  <c r="AR11" i="14"/>
  <c r="AR10" i="14"/>
  <c r="AR9" i="14"/>
  <c r="AR8" i="14"/>
  <c r="AR7" i="14"/>
  <c r="AR6" i="14"/>
  <c r="AR5" i="14"/>
  <c r="AR4" i="14"/>
  <c r="AL4" i="14"/>
  <c r="AK4" i="14"/>
  <c r="AG4" i="14"/>
  <c r="AF4" i="14"/>
  <c r="AB4" i="14"/>
  <c r="AA4" i="14"/>
  <c r="T4" i="14"/>
  <c r="S4" i="14"/>
  <c r="R4" i="14"/>
  <c r="AM4" i="14" s="1"/>
  <c r="AT17" i="14" s="1"/>
  <c r="AM66" i="14" l="1"/>
  <c r="H29" i="1" s="1"/>
  <c r="AN4" i="14"/>
  <c r="AU17" i="14" s="1"/>
  <c r="AO4" i="14"/>
  <c r="AV17" i="14" s="1"/>
  <c r="AO66" i="14" l="1"/>
  <c r="J29" i="1" s="1"/>
  <c r="AN66" i="14"/>
  <c r="I29" i="1" s="1"/>
  <c r="AP4" i="14"/>
  <c r="AR10" i="11"/>
  <c r="AR4" i="11"/>
  <c r="AL4" i="11"/>
  <c r="AK4" i="11"/>
  <c r="AG4" i="11"/>
  <c r="AF4" i="11"/>
  <c r="T4" i="11"/>
  <c r="S4" i="11"/>
  <c r="R4" i="11"/>
  <c r="AM4" i="11" s="1"/>
  <c r="AO4" i="11" l="1"/>
  <c r="AR13" i="11"/>
  <c r="AR12" i="11"/>
  <c r="AR11" i="11"/>
  <c r="AR9" i="11"/>
  <c r="AR8" i="11"/>
  <c r="AN4" i="11"/>
  <c r="AR5" i="11"/>
  <c r="AP4" i="11" l="1"/>
  <c r="AR7" i="12" l="1"/>
  <c r="AG4" i="12"/>
  <c r="AF4" i="12"/>
  <c r="AB13" i="12"/>
  <c r="AA13" i="12"/>
  <c r="AB12" i="12"/>
  <c r="AA12" i="12"/>
  <c r="AB11" i="12"/>
  <c r="AA11" i="12"/>
  <c r="AB10" i="12"/>
  <c r="AA10" i="12"/>
  <c r="AB9" i="12"/>
  <c r="AA9" i="12"/>
  <c r="AB8" i="12"/>
  <c r="AA8" i="12"/>
  <c r="AB7" i="12"/>
  <c r="AA7" i="12"/>
  <c r="AB6" i="12"/>
  <c r="AA6" i="12"/>
  <c r="AB5" i="12"/>
  <c r="AA5" i="12"/>
  <c r="AB4" i="12"/>
  <c r="AA4" i="12"/>
  <c r="T4" i="12"/>
  <c r="S4" i="12"/>
  <c r="R4" i="12"/>
  <c r="AM4" i="12" s="1"/>
  <c r="AR13" i="12"/>
  <c r="AR12" i="12"/>
  <c r="AR11" i="12"/>
  <c r="AR10" i="12"/>
  <c r="AR9" i="12"/>
  <c r="AR8" i="12"/>
  <c r="AR6" i="12"/>
  <c r="AR5" i="12"/>
  <c r="AR4" i="12"/>
  <c r="AL4" i="12"/>
  <c r="AK4" i="12"/>
  <c r="AT19" i="12" l="1"/>
  <c r="AM66" i="12"/>
  <c r="H27" i="1" s="1"/>
  <c r="AO4" i="12"/>
  <c r="AN4" i="12"/>
  <c r="AV19" i="12" l="1"/>
  <c r="AU19" i="12"/>
  <c r="AO66" i="12"/>
  <c r="J27" i="1" s="1"/>
  <c r="AN66" i="12"/>
  <c r="I27" i="1" s="1"/>
  <c r="AP4" i="12"/>
  <c r="M64" i="16" l="1"/>
  <c r="M63" i="16"/>
  <c r="AR11" i="10"/>
  <c r="AR9" i="10"/>
  <c r="AP10" i="10" l="1"/>
  <c r="AP8" i="10"/>
  <c r="AP11" i="10"/>
  <c r="AP9" i="10"/>
  <c r="AR10" i="10"/>
  <c r="AR8" i="10"/>
  <c r="AR13" i="9" l="1"/>
  <c r="AR12" i="9"/>
  <c r="AR11" i="9"/>
  <c r="AR10" i="9"/>
  <c r="AR9" i="9"/>
  <c r="AR8" i="9"/>
  <c r="AR7" i="9"/>
  <c r="AR6" i="9"/>
  <c r="AR5" i="9"/>
  <c r="AR4" i="9"/>
  <c r="AL4" i="9"/>
  <c r="AK4" i="9"/>
  <c r="AR13" i="7" l="1"/>
  <c r="AR12" i="7"/>
  <c r="AR9" i="7"/>
  <c r="AR8" i="7"/>
  <c r="AR11" i="7" l="1"/>
  <c r="AR10" i="7"/>
  <c r="AN8" i="5" l="1"/>
  <c r="AO8" i="5"/>
  <c r="AN9" i="5"/>
  <c r="AO9" i="5"/>
  <c r="AN10" i="5"/>
  <c r="AO10" i="5"/>
  <c r="AN11" i="5"/>
  <c r="AO11" i="5"/>
  <c r="AN12" i="5"/>
  <c r="AO12" i="5"/>
  <c r="AN13" i="5"/>
  <c r="AO13" i="5"/>
  <c r="AR13" i="5"/>
  <c r="AR11" i="5"/>
  <c r="AR9" i="5"/>
  <c r="AP9" i="5" l="1"/>
  <c r="AP13" i="5"/>
  <c r="AP11" i="5"/>
  <c r="AP10" i="5"/>
  <c r="AP12" i="5"/>
  <c r="AP8" i="5"/>
  <c r="AR12" i="5"/>
  <c r="AR8" i="5"/>
  <c r="AR10" i="5"/>
  <c r="AR59" i="14" l="1"/>
  <c r="AR58" i="14"/>
  <c r="AR34" i="14"/>
  <c r="AR33" i="14"/>
  <c r="AR32" i="14"/>
  <c r="AR23" i="14"/>
  <c r="AR22" i="14"/>
  <c r="AR21" i="14"/>
  <c r="AR20" i="14"/>
  <c r="AR19" i="14"/>
  <c r="AR18" i="14"/>
  <c r="AR17" i="14"/>
  <c r="AR16" i="14"/>
  <c r="AR15" i="14"/>
  <c r="AR14" i="14"/>
  <c r="A8" i="14"/>
  <c r="A5" i="14"/>
  <c r="A4" i="14"/>
  <c r="A6" i="14" l="1"/>
  <c r="A10" i="14" l="1"/>
  <c r="A7" i="14"/>
  <c r="A12" i="14" l="1"/>
  <c r="A9" i="14"/>
  <c r="A11" i="14" l="1"/>
  <c r="A14" i="14"/>
  <c r="A16" i="14" l="1"/>
  <c r="A13" i="14"/>
  <c r="A15" i="14" l="1"/>
  <c r="A18" i="14"/>
  <c r="A20" i="14" l="1"/>
  <c r="A17" i="14"/>
  <c r="A19" i="14" l="1"/>
  <c r="A22" i="14"/>
  <c r="A24" i="14" l="1"/>
  <c r="A21" i="14"/>
  <c r="A23" i="14" l="1"/>
  <c r="A26" i="14"/>
  <c r="A28" i="14" l="1"/>
  <c r="A25" i="14"/>
  <c r="A30" i="14" l="1"/>
  <c r="A27" i="14"/>
  <c r="A29" i="14" l="1"/>
  <c r="A32" i="14"/>
  <c r="A34" i="14" l="1"/>
  <c r="A31" i="14"/>
  <c r="A33" i="14" l="1"/>
  <c r="A36" i="14"/>
  <c r="A38" i="14" l="1"/>
  <c r="A35" i="14"/>
  <c r="A37" i="14" l="1"/>
  <c r="A40" i="14"/>
  <c r="A42" i="14" l="1"/>
  <c r="A39" i="14"/>
  <c r="A41" i="14" l="1"/>
  <c r="A44" i="14"/>
  <c r="A46" i="14" l="1"/>
  <c r="A43" i="14"/>
  <c r="A45" i="14" l="1"/>
  <c r="A48" i="14"/>
  <c r="A50" i="14" l="1"/>
  <c r="A47" i="14"/>
  <c r="A49" i="14" l="1"/>
  <c r="A52" i="14"/>
  <c r="A54" i="14" l="1"/>
  <c r="A51" i="14"/>
  <c r="A53" i="14" l="1"/>
  <c r="A56" i="14"/>
  <c r="A58" i="14" l="1"/>
  <c r="A55" i="14"/>
  <c r="A57" i="14" l="1"/>
  <c r="A59" i="14" l="1"/>
  <c r="G28" i="1" l="1"/>
  <c r="AR48" i="13"/>
  <c r="AR47" i="13"/>
  <c r="AR46" i="13"/>
  <c r="AR45" i="13"/>
  <c r="AR44" i="13"/>
  <c r="AR43" i="13"/>
  <c r="AR41" i="13"/>
  <c r="AR40" i="13"/>
  <c r="AR39" i="13"/>
  <c r="AR38" i="13"/>
  <c r="AR37" i="13"/>
  <c r="AR36" i="13"/>
  <c r="AR35" i="13"/>
  <c r="AR34" i="13"/>
  <c r="AR33" i="13"/>
  <c r="AR32" i="13"/>
  <c r="AR31" i="13"/>
  <c r="AR30" i="13"/>
  <c r="AR29" i="13"/>
  <c r="AR28" i="13"/>
  <c r="AR27" i="13"/>
  <c r="AR26" i="13"/>
  <c r="AR25" i="13"/>
  <c r="AR24" i="13"/>
  <c r="AR23" i="13"/>
  <c r="AR22" i="13"/>
  <c r="AR21" i="13"/>
  <c r="AR20" i="13"/>
  <c r="AR19" i="13"/>
  <c r="AR18" i="13"/>
  <c r="AR17" i="13"/>
  <c r="AR16" i="13"/>
  <c r="AR15" i="13"/>
  <c r="AR14" i="13"/>
  <c r="AR13" i="13"/>
  <c r="AR12" i="13"/>
  <c r="AR11" i="13"/>
  <c r="AR10" i="13"/>
  <c r="AR9" i="13"/>
  <c r="AR8" i="13"/>
  <c r="AR7" i="13"/>
  <c r="AO7" i="13"/>
  <c r="AN7" i="13"/>
  <c r="AM7" i="13"/>
  <c r="AO6" i="13"/>
  <c r="AN6" i="13"/>
  <c r="AM6" i="13"/>
  <c r="AR5" i="13"/>
  <c r="AO5" i="13"/>
  <c r="AN5" i="13"/>
  <c r="AM5" i="13"/>
  <c r="A5" i="13"/>
  <c r="AR4" i="13"/>
  <c r="AL4" i="13"/>
  <c r="AK4" i="13"/>
  <c r="AG4" i="13"/>
  <c r="AF4" i="13"/>
  <c r="T4" i="13"/>
  <c r="S4" i="13"/>
  <c r="AM4" i="13"/>
  <c r="A4" i="13"/>
  <c r="AT17" i="13" l="1"/>
  <c r="AP5" i="13"/>
  <c r="AP7" i="13"/>
  <c r="AP6" i="13"/>
  <c r="AN4" i="13"/>
  <c r="AU17" i="13" s="1"/>
  <c r="AM66" i="13"/>
  <c r="H28" i="1" s="1"/>
  <c r="AO4" i="13"/>
  <c r="AV17" i="13" s="1"/>
  <c r="A8" i="13"/>
  <c r="A6" i="13"/>
  <c r="AR6" i="13"/>
  <c r="AN66" i="13" l="1"/>
  <c r="I28" i="1" s="1"/>
  <c r="AO66" i="13"/>
  <c r="AP4" i="13"/>
  <c r="A10" i="13"/>
  <c r="A7" i="13"/>
  <c r="J28" i="1" l="1"/>
  <c r="A12" i="13"/>
  <c r="A9" i="13"/>
  <c r="A11" i="13" l="1"/>
  <c r="A14" i="13"/>
  <c r="A16" i="13" l="1"/>
  <c r="A13" i="13"/>
  <c r="A15" i="13" l="1"/>
  <c r="A18" i="13"/>
  <c r="A17" i="13" l="1"/>
  <c r="A20" i="13"/>
  <c r="A22" i="13" l="1"/>
  <c r="A19" i="13"/>
  <c r="A21" i="13" l="1"/>
  <c r="A24" i="13"/>
  <c r="A26" i="13" l="1"/>
  <c r="A23" i="13"/>
  <c r="A25" i="13" l="1"/>
  <c r="A28" i="13"/>
  <c r="A30" i="13" l="1"/>
  <c r="A27" i="13"/>
  <c r="A32" i="13" l="1"/>
  <c r="A29" i="13"/>
  <c r="A31" i="13" l="1"/>
  <c r="A34" i="13"/>
  <c r="A36" i="13" l="1"/>
  <c r="A33" i="13"/>
  <c r="A35" i="13" l="1"/>
  <c r="A38" i="13"/>
  <c r="A40" i="13" l="1"/>
  <c r="A37" i="13"/>
  <c r="A39" i="13" l="1"/>
  <c r="A42" i="13"/>
  <c r="A44" i="13" l="1"/>
  <c r="A41" i="13"/>
  <c r="A43" i="13" l="1"/>
  <c r="A46" i="13"/>
  <c r="A45" i="13" l="1"/>
  <c r="A48" i="13"/>
  <c r="A50" i="13" l="1"/>
  <c r="A47" i="13"/>
  <c r="A49" i="13" l="1"/>
  <c r="A52" i="13"/>
  <c r="A54" i="13" l="1"/>
  <c r="A51" i="13"/>
  <c r="A53" i="13" l="1"/>
  <c r="A56" i="13"/>
  <c r="A58" i="13" l="1"/>
  <c r="A55" i="13"/>
  <c r="A57" i="13" l="1"/>
  <c r="A60" i="13"/>
  <c r="A62" i="13" l="1"/>
  <c r="A64" i="13"/>
  <c r="A59" i="13"/>
  <c r="A61" i="13" l="1"/>
  <c r="A63" i="13" l="1"/>
  <c r="A65" i="13"/>
  <c r="AR51" i="12" l="1"/>
  <c r="AR50" i="12"/>
  <c r="AR48" i="12"/>
  <c r="AR47" i="12"/>
  <c r="AR46" i="12"/>
  <c r="AR45" i="12"/>
  <c r="AR44" i="12"/>
  <c r="AR43" i="12"/>
  <c r="AR42" i="12"/>
  <c r="AR41" i="12"/>
  <c r="AR40" i="12"/>
  <c r="A5" i="12"/>
  <c r="A4" i="12"/>
  <c r="A8" i="12" l="1"/>
  <c r="A6" i="12"/>
  <c r="A10" i="12" l="1"/>
  <c r="A7" i="12"/>
  <c r="A12" i="12" l="1"/>
  <c r="A9" i="12"/>
  <c r="A11" i="12" l="1"/>
  <c r="A14" i="12"/>
  <c r="A16" i="12" l="1"/>
  <c r="A13" i="12"/>
  <c r="A15" i="12" l="1"/>
  <c r="A18" i="12"/>
  <c r="A20" i="12" l="1"/>
  <c r="A17" i="12"/>
  <c r="A19" i="12" l="1"/>
  <c r="A22" i="12"/>
  <c r="A21" i="12" l="1"/>
  <c r="A24" i="12"/>
  <c r="A26" i="12" l="1"/>
  <c r="A23" i="12"/>
  <c r="A28" i="12" l="1"/>
  <c r="A25" i="12"/>
  <c r="A27" i="12" l="1"/>
  <c r="A30" i="12"/>
  <c r="A32" i="12" l="1"/>
  <c r="A29" i="12"/>
  <c r="A31" i="12" l="1"/>
  <c r="A34" i="12"/>
  <c r="A33" i="12" l="1"/>
  <c r="A36" i="12"/>
  <c r="A38" i="12" l="1"/>
  <c r="A35" i="12"/>
  <c r="A37" i="12" l="1"/>
  <c r="A40" i="12"/>
  <c r="A42" i="12" l="1"/>
  <c r="A39" i="12"/>
  <c r="A41" i="12" l="1"/>
  <c r="A44" i="12"/>
  <c r="A46" i="12" l="1"/>
  <c r="A43" i="12"/>
  <c r="A45" i="12" l="1"/>
  <c r="A48" i="12"/>
  <c r="A50" i="12" l="1"/>
  <c r="A47" i="12"/>
  <c r="A49" i="12" l="1"/>
  <c r="A52" i="12"/>
  <c r="A54" i="12" l="1"/>
  <c r="A51" i="12"/>
  <c r="A53" i="12" l="1"/>
  <c r="A56" i="12"/>
  <c r="A58" i="12" l="1"/>
  <c r="A55" i="12"/>
  <c r="A57" i="12" l="1"/>
  <c r="A59" i="12" l="1"/>
  <c r="G25" i="1" l="1"/>
  <c r="AR65" i="11"/>
  <c r="AR64" i="11"/>
  <c r="AR63" i="11"/>
  <c r="AR62" i="11"/>
  <c r="AR61" i="11"/>
  <c r="AR60" i="11"/>
  <c r="AR59" i="11"/>
  <c r="AR58" i="11"/>
  <c r="AR57" i="11"/>
  <c r="AR56" i="11"/>
  <c r="AR55" i="11"/>
  <c r="AR54" i="11"/>
  <c r="AR53" i="11"/>
  <c r="AR52" i="11"/>
  <c r="AR51" i="11"/>
  <c r="AR50" i="11"/>
  <c r="AR48" i="11"/>
  <c r="AR47" i="11"/>
  <c r="AR46" i="11"/>
  <c r="AR45" i="11"/>
  <c r="AR44" i="11"/>
  <c r="AR43" i="11"/>
  <c r="AR42" i="11"/>
  <c r="AR41" i="11"/>
  <c r="AR40" i="11"/>
  <c r="AR39" i="11"/>
  <c r="AR38" i="11"/>
  <c r="AR37" i="11"/>
  <c r="AR36" i="11"/>
  <c r="AR34" i="11"/>
  <c r="AR33" i="11"/>
  <c r="AR32" i="11"/>
  <c r="AR31" i="11"/>
  <c r="AR30" i="11"/>
  <c r="AR29" i="11"/>
  <c r="AR28" i="11"/>
  <c r="AR27" i="11"/>
  <c r="AR26" i="11"/>
  <c r="AR25" i="11"/>
  <c r="AR24" i="11"/>
  <c r="AR23" i="11"/>
  <c r="AR22" i="11"/>
  <c r="AR21" i="11"/>
  <c r="AR20" i="11"/>
  <c r="AR19" i="11"/>
  <c r="AR18" i="11"/>
  <c r="AR17" i="11"/>
  <c r="AR16" i="11"/>
  <c r="AR15" i="11"/>
  <c r="AR14" i="11"/>
  <c r="A5" i="11"/>
  <c r="A4" i="11"/>
  <c r="AO66" i="11" l="1"/>
  <c r="J25" i="1" s="1"/>
  <c r="A8" i="11"/>
  <c r="AN66" i="11"/>
  <c r="I25" i="1" s="1"/>
  <c r="A6" i="11"/>
  <c r="AM66" i="11"/>
  <c r="H25" i="1" s="1"/>
  <c r="A7" i="11" l="1"/>
  <c r="A10" i="11"/>
  <c r="A12" i="11" l="1"/>
  <c r="A9" i="11"/>
  <c r="A11" i="11" l="1"/>
  <c r="A14" i="11"/>
  <c r="A16" i="11" l="1"/>
  <c r="A13" i="11"/>
  <c r="A18" i="11" l="1"/>
  <c r="A15" i="11"/>
  <c r="A20" i="11" l="1"/>
  <c r="A17" i="11"/>
  <c r="A19" i="11" l="1"/>
  <c r="A22" i="11"/>
  <c r="A24" i="11" l="1"/>
  <c r="A21" i="11"/>
  <c r="A23" i="11" l="1"/>
  <c r="A26" i="11"/>
  <c r="A25" i="11" l="1"/>
  <c r="A28" i="11"/>
  <c r="A30" i="11" l="1"/>
  <c r="A27" i="11"/>
  <c r="A29" i="11" l="1"/>
  <c r="A32" i="11"/>
  <c r="A34" i="11" l="1"/>
  <c r="A31" i="11"/>
  <c r="A33" i="11" l="1"/>
  <c r="A36" i="11"/>
  <c r="A38" i="11" l="1"/>
  <c r="A35" i="11"/>
  <c r="A37" i="11" l="1"/>
  <c r="A40" i="11"/>
  <c r="A42" i="11" l="1"/>
  <c r="A39" i="11"/>
  <c r="A41" i="11" l="1"/>
  <c r="A44" i="11"/>
  <c r="A46" i="11" l="1"/>
  <c r="A43" i="11"/>
  <c r="A45" i="11" l="1"/>
  <c r="A48" i="11"/>
  <c r="A50" i="11" l="1"/>
  <c r="A47" i="11"/>
  <c r="A49" i="11" l="1"/>
  <c r="A52" i="11"/>
  <c r="A54" i="11" l="1"/>
  <c r="A51" i="11"/>
  <c r="A56" i="11" l="1"/>
  <c r="A53" i="11"/>
  <c r="A55" i="11" l="1"/>
  <c r="A58" i="11"/>
  <c r="A60" i="11" l="1"/>
  <c r="A57" i="11"/>
  <c r="A59" i="11" l="1"/>
  <c r="A62" i="11"/>
  <c r="A64" i="11"/>
  <c r="A61" i="11" l="1"/>
  <c r="A63" i="11" l="1"/>
  <c r="A65" i="11"/>
  <c r="J66" i="10" l="1"/>
  <c r="G23" i="1" s="1"/>
  <c r="AR65" i="10"/>
  <c r="AR64" i="10"/>
  <c r="AR49" i="10"/>
  <c r="AR48" i="10"/>
  <c r="AR47" i="10"/>
  <c r="AR45" i="10"/>
  <c r="AR44" i="10"/>
  <c r="AR43" i="10"/>
  <c r="AR42" i="10"/>
  <c r="AR7" i="10"/>
  <c r="AR6" i="10"/>
  <c r="AR5" i="10"/>
  <c r="AR4" i="10"/>
  <c r="AL4" i="10"/>
  <c r="AK4" i="10"/>
  <c r="AG4" i="10"/>
  <c r="AF4" i="10"/>
  <c r="AB4" i="10"/>
  <c r="AA4" i="10"/>
  <c r="AM4" i="10"/>
  <c r="A4" i="10"/>
  <c r="AP7" i="10" l="1"/>
  <c r="AP5" i="10"/>
  <c r="AP6" i="10"/>
  <c r="AN4" i="10"/>
  <c r="A6" i="10"/>
  <c r="AO4" i="10"/>
  <c r="A8" i="10"/>
  <c r="A7" i="10"/>
  <c r="A5" i="10"/>
  <c r="AO66" i="10" l="1"/>
  <c r="J23" i="1" s="1"/>
  <c r="AP4" i="10"/>
  <c r="AM66" i="10"/>
  <c r="H23" i="1" s="1"/>
  <c r="AN66" i="10"/>
  <c r="I23" i="1" s="1"/>
  <c r="A9" i="10"/>
  <c r="A10" i="10"/>
  <c r="A12" i="10" l="1"/>
  <c r="A11" i="10"/>
  <c r="A13" i="10" l="1"/>
  <c r="A14" i="10"/>
  <c r="A15" i="10" l="1"/>
  <c r="A16" i="10"/>
  <c r="A18" i="10" l="1"/>
  <c r="A17" i="10"/>
  <c r="A19" i="10" l="1"/>
  <c r="A20" i="10"/>
  <c r="A21" i="10" l="1"/>
  <c r="A22" i="10"/>
  <c r="A24" i="10" l="1"/>
  <c r="A23" i="10"/>
  <c r="A25" i="10" l="1"/>
  <c r="A26" i="10"/>
  <c r="A28" i="10" l="1"/>
  <c r="A27" i="10"/>
  <c r="A29" i="10" l="1"/>
  <c r="A30" i="10"/>
  <c r="A32" i="10" l="1"/>
  <c r="A31" i="10"/>
  <c r="A33" i="10" l="1"/>
  <c r="A34" i="10"/>
  <c r="A36" i="10" l="1"/>
  <c r="A35" i="10"/>
  <c r="A37" i="10" l="1"/>
  <c r="A38" i="10"/>
  <c r="A40" i="10" l="1"/>
  <c r="A39" i="10"/>
  <c r="A41" i="10" l="1"/>
  <c r="A42" i="10"/>
  <c r="A44" i="10" l="1"/>
  <c r="A43" i="10"/>
  <c r="A45" i="10" l="1"/>
  <c r="A46" i="10"/>
  <c r="A48" i="10" l="1"/>
  <c r="A47" i="10"/>
  <c r="A49" i="10" l="1"/>
  <c r="A50" i="10"/>
  <c r="A52" i="10" l="1"/>
  <c r="A51" i="10"/>
  <c r="A53" i="10" l="1"/>
  <c r="A54" i="10"/>
  <c r="A56" i="10" l="1"/>
  <c r="A55" i="10"/>
  <c r="A57" i="10" l="1"/>
  <c r="A58" i="10"/>
  <c r="A60" i="10" l="1"/>
  <c r="A59" i="10"/>
  <c r="J66" i="9"/>
  <c r="G21" i="1" s="1"/>
  <c r="AR57" i="9"/>
  <c r="AR56" i="9"/>
  <c r="AR49" i="9"/>
  <c r="AR48" i="9"/>
  <c r="AR47" i="9"/>
  <c r="AR46" i="9"/>
  <c r="AR45" i="9"/>
  <c r="AR44" i="9"/>
  <c r="AR29" i="9"/>
  <c r="AR26" i="9"/>
  <c r="AR25" i="9"/>
  <c r="AR24" i="9"/>
  <c r="AR23" i="9"/>
  <c r="AR22" i="9"/>
  <c r="AG4" i="9"/>
  <c r="AF4" i="9"/>
  <c r="T4" i="9"/>
  <c r="S4" i="9"/>
  <c r="R4" i="9"/>
  <c r="AM4" i="9" s="1"/>
  <c r="AT17" i="9" s="1"/>
  <c r="A4" i="9"/>
  <c r="A5" i="9" l="1"/>
  <c r="A6" i="9"/>
  <c r="AO4" i="9"/>
  <c r="AV17" i="9" s="1"/>
  <c r="AN4" i="9"/>
  <c r="AU17" i="9" s="1"/>
  <c r="A61" i="10"/>
  <c r="A62" i="10"/>
  <c r="A64" i="10"/>
  <c r="A8" i="9"/>
  <c r="A7" i="9"/>
  <c r="AN66" i="9" l="1"/>
  <c r="I21" i="1" s="1"/>
  <c r="AO66" i="9"/>
  <c r="J21" i="1" s="1"/>
  <c r="AP4" i="9"/>
  <c r="AM66" i="9"/>
  <c r="H21" i="1" s="1"/>
  <c r="A65" i="10"/>
  <c r="A63" i="10"/>
  <c r="A9" i="9"/>
  <c r="A10" i="9"/>
  <c r="A12" i="9" l="1"/>
  <c r="A11" i="9"/>
  <c r="A13" i="9" l="1"/>
  <c r="A14" i="9"/>
  <c r="A16" i="9" l="1"/>
  <c r="A15" i="9"/>
  <c r="A17" i="9" l="1"/>
  <c r="A18" i="9"/>
  <c r="A20" i="9" l="1"/>
  <c r="A19" i="9"/>
  <c r="A21" i="9" l="1"/>
  <c r="A22" i="9"/>
  <c r="A24" i="9" l="1"/>
  <c r="A23" i="9"/>
  <c r="A25" i="9" l="1"/>
  <c r="A26" i="9"/>
  <c r="A28" i="9" l="1"/>
  <c r="A27" i="9"/>
  <c r="A30" i="9" l="1"/>
  <c r="A29" i="9"/>
  <c r="A31" i="9" l="1"/>
  <c r="A32" i="9"/>
  <c r="A33" i="9" l="1"/>
  <c r="A34" i="9"/>
  <c r="A36" i="9" l="1"/>
  <c r="A35" i="9"/>
  <c r="A37" i="9" l="1"/>
  <c r="A38" i="9"/>
  <c r="A40" i="9" l="1"/>
  <c r="A39" i="9"/>
  <c r="A41" i="9" l="1"/>
  <c r="A42" i="9"/>
  <c r="A43" i="9" l="1"/>
  <c r="A44" i="9"/>
  <c r="A46" i="9" l="1"/>
  <c r="A45" i="9"/>
  <c r="A47" i="9" l="1"/>
  <c r="A48" i="9"/>
  <c r="A50" i="9" l="1"/>
  <c r="A49" i="9"/>
  <c r="A51" i="9" l="1"/>
  <c r="A52" i="9"/>
  <c r="A54" i="9" l="1"/>
  <c r="A53" i="9"/>
  <c r="A55" i="9" l="1"/>
  <c r="A56" i="9"/>
  <c r="A58" i="9" l="1"/>
  <c r="A57" i="9"/>
  <c r="A59" i="9" l="1"/>
  <c r="A60" i="9"/>
  <c r="A64" i="9" l="1"/>
  <c r="A62" i="9"/>
  <c r="A61" i="9"/>
  <c r="A63" i="9" l="1"/>
  <c r="A65" i="9"/>
  <c r="J66" i="8" l="1"/>
  <c r="G20" i="1" s="1"/>
  <c r="AR65" i="8"/>
  <c r="AR64" i="8"/>
  <c r="AR49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7" i="8"/>
  <c r="AO6" i="8"/>
  <c r="AN6" i="8"/>
  <c r="AR5" i="8"/>
  <c r="AO5" i="8"/>
  <c r="AN5" i="8"/>
  <c r="A5" i="8"/>
  <c r="AR4" i="8"/>
  <c r="AL4" i="8"/>
  <c r="AK4" i="8"/>
  <c r="T4" i="8"/>
  <c r="S4" i="8"/>
  <c r="R4" i="8"/>
  <c r="AM4" i="8" s="1"/>
  <c r="AT17" i="8" s="1"/>
  <c r="A4" i="8"/>
  <c r="AP5" i="8" l="1"/>
  <c r="AP6" i="8"/>
  <c r="AN4" i="8"/>
  <c r="AO4" i="8"/>
  <c r="A8" i="8"/>
  <c r="A6" i="8"/>
  <c r="AR6" i="8"/>
  <c r="AP4" i="8" l="1"/>
  <c r="AM66" i="8"/>
  <c r="H20" i="1" s="1"/>
  <c r="A7" i="8"/>
  <c r="A10" i="8"/>
  <c r="A9" i="8" l="1"/>
  <c r="A12" i="8"/>
  <c r="A14" i="8" l="1"/>
  <c r="A11" i="8"/>
  <c r="A13" i="8" l="1"/>
  <c r="A16" i="8"/>
  <c r="A18" i="8" l="1"/>
  <c r="A15" i="8"/>
  <c r="A17" i="8" l="1"/>
  <c r="A20" i="8"/>
  <c r="A22" i="8" l="1"/>
  <c r="A19" i="8"/>
  <c r="A21" i="8" l="1"/>
  <c r="A24" i="8"/>
  <c r="A26" i="8" l="1"/>
  <c r="A23" i="8"/>
  <c r="A25" i="8" l="1"/>
  <c r="A28" i="8"/>
  <c r="A30" i="8" l="1"/>
  <c r="A27" i="8"/>
  <c r="A29" i="8" l="1"/>
  <c r="A32" i="8"/>
  <c r="A34" i="8" l="1"/>
  <c r="A31" i="8"/>
  <c r="A36" i="8" l="1"/>
  <c r="A33" i="8"/>
  <c r="A35" i="8" l="1"/>
  <c r="A38" i="8"/>
  <c r="A37" i="8" l="1"/>
  <c r="A40" i="8"/>
  <c r="A42" i="8" l="1"/>
  <c r="A39" i="8"/>
  <c r="A41" i="8" l="1"/>
  <c r="A44" i="8"/>
  <c r="A46" i="8" l="1"/>
  <c r="A43" i="8"/>
  <c r="A45" i="8" l="1"/>
  <c r="A48" i="8"/>
  <c r="A50" i="8" l="1"/>
  <c r="A47" i="8"/>
  <c r="A52" i="8" l="1"/>
  <c r="A49" i="8"/>
  <c r="A51" i="8" l="1"/>
  <c r="A54" i="8"/>
  <c r="A56" i="8" l="1"/>
  <c r="A53" i="8"/>
  <c r="A55" i="8" l="1"/>
  <c r="A58" i="8"/>
  <c r="A60" i="8" l="1"/>
  <c r="A57" i="8"/>
  <c r="A59" i="8" l="1"/>
  <c r="A62" i="8"/>
  <c r="A64" i="8"/>
  <c r="A61" i="8" l="1"/>
  <c r="A63" i="8" l="1"/>
  <c r="A65" i="8"/>
  <c r="J66" i="7" l="1"/>
  <c r="G13" i="1" s="1"/>
  <c r="AR65" i="7"/>
  <c r="AR64" i="7"/>
  <c r="AR27" i="7"/>
  <c r="AR26" i="7"/>
  <c r="AR25" i="7"/>
  <c r="AR24" i="7"/>
  <c r="AR23" i="7"/>
  <c r="AR22" i="7"/>
  <c r="AR7" i="7"/>
  <c r="AR6" i="7"/>
  <c r="AR5" i="7"/>
  <c r="A5" i="7"/>
  <c r="AR4" i="7"/>
  <c r="AL4" i="7"/>
  <c r="AK4" i="7"/>
  <c r="AF4" i="7"/>
  <c r="AB4" i="7"/>
  <c r="AA4" i="7"/>
  <c r="T4" i="7"/>
  <c r="S4" i="7"/>
  <c r="R4" i="7"/>
  <c r="AM4" i="7" s="1"/>
  <c r="A4" i="7"/>
  <c r="AO4" i="7" l="1"/>
  <c r="AN4" i="7"/>
  <c r="AN66" i="7" s="1"/>
  <c r="I13" i="1" s="1"/>
  <c r="AM66" i="7"/>
  <c r="H13" i="1" s="1"/>
  <c r="A8" i="7"/>
  <c r="A6" i="7"/>
  <c r="AP4" i="7" l="1"/>
  <c r="A7" i="7"/>
  <c r="AO66" i="7"/>
  <c r="J13" i="1" s="1"/>
  <c r="M13" i="1" s="1"/>
  <c r="A10" i="7"/>
  <c r="A12" i="7" l="1"/>
  <c r="A9" i="7"/>
  <c r="A11" i="7" l="1"/>
  <c r="A14" i="7"/>
  <c r="A16" i="7" l="1"/>
  <c r="A13" i="7"/>
  <c r="A15" i="7" l="1"/>
  <c r="A18" i="7"/>
  <c r="A20" i="7" l="1"/>
  <c r="A17" i="7"/>
  <c r="A19" i="7" l="1"/>
  <c r="A22" i="7"/>
  <c r="A24" i="7" l="1"/>
  <c r="A21" i="7"/>
  <c r="A23" i="7" l="1"/>
  <c r="A26" i="7"/>
  <c r="A25" i="7" l="1"/>
  <c r="A28" i="7"/>
  <c r="A30" i="7" l="1"/>
  <c r="A27" i="7"/>
  <c r="A29" i="7" l="1"/>
  <c r="A32" i="7"/>
  <c r="A34" i="7" l="1"/>
  <c r="A31" i="7"/>
  <c r="A33" i="7" l="1"/>
  <c r="A36" i="7"/>
  <c r="A38" i="7" l="1"/>
  <c r="A35" i="7"/>
  <c r="A40" i="7" l="1"/>
  <c r="A37" i="7"/>
  <c r="A39" i="7" l="1"/>
  <c r="A42" i="7"/>
  <c r="A44" i="7" l="1"/>
  <c r="A41" i="7"/>
  <c r="A43" i="7" l="1"/>
  <c r="A46" i="7"/>
  <c r="A48" i="7" l="1"/>
  <c r="A45" i="7"/>
  <c r="A47" i="7" l="1"/>
  <c r="A50" i="7"/>
  <c r="A52" i="7" l="1"/>
  <c r="A49" i="7"/>
  <c r="A51" i="7" l="1"/>
  <c r="A54" i="7"/>
  <c r="A56" i="7" l="1"/>
  <c r="A53" i="7"/>
  <c r="A55" i="7" l="1"/>
  <c r="A58" i="7"/>
  <c r="A57" i="7" l="1"/>
  <c r="A60" i="7"/>
  <c r="A62" i="7" l="1"/>
  <c r="A64" i="7"/>
  <c r="A59" i="7"/>
  <c r="A61" i="7" l="1"/>
  <c r="A63" i="7" l="1"/>
  <c r="A65" i="7"/>
  <c r="AG66" i="5" l="1"/>
  <c r="AF66" i="5"/>
  <c r="AE66" i="5"/>
  <c r="AD66" i="5"/>
  <c r="AC66" i="5"/>
  <c r="AB66" i="5"/>
  <c r="AA66" i="5"/>
  <c r="S66" i="5"/>
  <c r="AO7" i="5"/>
  <c r="AN7" i="5"/>
  <c r="AR7" i="5"/>
  <c r="AO6" i="5"/>
  <c r="AN6" i="5"/>
  <c r="AO5" i="5"/>
  <c r="AN5" i="5"/>
  <c r="AR5" i="5"/>
  <c r="AR4" i="5"/>
  <c r="AL4" i="5"/>
  <c r="AK4" i="5"/>
  <c r="AG4" i="5"/>
  <c r="AF4" i="5"/>
  <c r="T4" i="5"/>
  <c r="S4" i="5"/>
  <c r="R4" i="5"/>
  <c r="AM4" i="5" s="1"/>
  <c r="AM66" i="5" s="1"/>
  <c r="A4" i="5"/>
  <c r="AP7" i="5" l="1"/>
  <c r="AP6" i="5"/>
  <c r="AP5" i="5"/>
  <c r="A6" i="5"/>
  <c r="A5" i="5"/>
  <c r="AO4" i="5"/>
  <c r="AO66" i="5" s="1"/>
  <c r="AN4" i="5"/>
  <c r="AN66" i="5" s="1"/>
  <c r="T66" i="5"/>
  <c r="G8" i="1"/>
  <c r="A7" i="5"/>
  <c r="A8" i="5"/>
  <c r="AR6" i="5"/>
  <c r="H8" i="1" l="1"/>
  <c r="AP4" i="5"/>
  <c r="J8" i="1"/>
  <c r="A9" i="5"/>
  <c r="A10" i="5"/>
  <c r="I8" i="1"/>
  <c r="M8" i="1" l="1"/>
  <c r="A12" i="5"/>
  <c r="A11" i="5"/>
  <c r="A13" i="5" l="1"/>
  <c r="A14" i="5"/>
  <c r="A16" i="5" l="1"/>
  <c r="A15" i="5"/>
  <c r="A17" i="5" l="1"/>
  <c r="A18" i="5"/>
  <c r="A20" i="5" l="1"/>
  <c r="A19" i="5"/>
  <c r="A21" i="5" l="1"/>
  <c r="A22" i="5"/>
  <c r="A24" i="5" l="1"/>
  <c r="A23" i="5"/>
  <c r="A25" i="5" l="1"/>
  <c r="A26" i="5"/>
  <c r="A28" i="5" l="1"/>
  <c r="A27" i="5"/>
  <c r="A29" i="5" l="1"/>
  <c r="A30" i="5"/>
  <c r="A32" i="5" l="1"/>
  <c r="A31" i="5"/>
  <c r="A33" i="5" l="1"/>
  <c r="A34" i="5"/>
  <c r="A35" i="5" l="1"/>
  <c r="A36" i="5"/>
  <c r="A37" i="5" l="1"/>
  <c r="A38" i="5"/>
  <c r="A40" i="5" l="1"/>
  <c r="A39" i="5"/>
  <c r="A41" i="5" l="1"/>
  <c r="A42" i="5"/>
  <c r="A44" i="5" l="1"/>
  <c r="A43" i="5"/>
  <c r="A45" i="5" l="1"/>
  <c r="A46" i="5"/>
  <c r="A47" i="5" l="1"/>
  <c r="A48" i="5"/>
  <c r="A50" i="5" l="1"/>
  <c r="A49" i="5"/>
  <c r="A51" i="5" l="1"/>
  <c r="A52" i="5"/>
  <c r="A54" i="5" l="1"/>
  <c r="A53" i="5"/>
  <c r="A55" i="5" l="1"/>
  <c r="A56" i="5"/>
  <c r="A58" i="5" l="1"/>
  <c r="A57" i="5"/>
  <c r="A59" i="5" l="1"/>
  <c r="A60" i="5"/>
  <c r="A62" i="5" l="1"/>
  <c r="A64" i="5"/>
  <c r="A61" i="5"/>
  <c r="A65" i="5" l="1"/>
  <c r="A63" i="5"/>
  <c r="AG66" i="4" l="1"/>
  <c r="AF66" i="4"/>
  <c r="AB66" i="4"/>
  <c r="AA66" i="4"/>
  <c r="T66" i="4"/>
  <c r="AW23" i="4"/>
  <c r="AW22" i="4"/>
  <c r="AW24" i="4" s="1"/>
  <c r="AL4" i="4"/>
  <c r="AK4" i="4"/>
  <c r="AG4" i="4"/>
  <c r="AF4" i="4"/>
  <c r="AM4" i="4"/>
  <c r="A4" i="4"/>
  <c r="A5" i="4" l="1"/>
  <c r="A6" i="4"/>
  <c r="AN4" i="4"/>
  <c r="AO4" i="4"/>
  <c r="A7" i="4"/>
  <c r="A8" i="4"/>
  <c r="R66" i="4"/>
  <c r="G11" i="1" s="1"/>
  <c r="S66" i="4"/>
  <c r="AP4" i="4" l="1"/>
  <c r="AO66" i="4"/>
  <c r="J11" i="1" s="1"/>
  <c r="AM66" i="4"/>
  <c r="H11" i="1" s="1"/>
  <c r="A10" i="4"/>
  <c r="AN66" i="4"/>
  <c r="I11" i="1" s="1"/>
  <c r="A9" i="4"/>
  <c r="M11" i="1" l="1"/>
  <c r="A11" i="4"/>
  <c r="A12" i="4"/>
  <c r="A14" i="4" l="1"/>
  <c r="A13" i="4"/>
  <c r="A16" i="4" l="1"/>
  <c r="A15" i="4"/>
  <c r="A17" i="4" l="1"/>
  <c r="A18" i="4"/>
  <c r="A20" i="4" l="1"/>
  <c r="A19" i="4"/>
  <c r="A21" i="4" l="1"/>
  <c r="A22" i="4"/>
  <c r="A24" i="4" l="1"/>
  <c r="A23" i="4"/>
  <c r="A25" i="4" l="1"/>
  <c r="A26" i="4"/>
  <c r="A28" i="4" l="1"/>
  <c r="A27" i="4"/>
  <c r="A29" i="4" l="1"/>
  <c r="A30" i="4"/>
  <c r="A31" i="4" l="1"/>
  <c r="A32" i="4"/>
  <c r="A34" i="4" l="1"/>
  <c r="A33" i="4"/>
  <c r="A35" i="4" l="1"/>
  <c r="A36" i="4"/>
  <c r="A38" i="4" l="1"/>
  <c r="A37" i="4"/>
  <c r="A40" i="4" l="1"/>
  <c r="A39" i="4"/>
  <c r="A41" i="4" l="1"/>
  <c r="A42" i="4"/>
  <c r="A44" i="4" l="1"/>
  <c r="A43" i="4"/>
  <c r="A45" i="4" l="1"/>
  <c r="A46" i="4"/>
  <c r="A48" i="4" l="1"/>
  <c r="A47" i="4"/>
  <c r="A49" i="4" l="1"/>
  <c r="A50" i="4"/>
  <c r="A52" i="4" l="1"/>
  <c r="A51" i="4"/>
  <c r="A53" i="4" l="1"/>
  <c r="A54" i="4"/>
  <c r="A56" i="4" l="1"/>
  <c r="A55" i="4"/>
  <c r="A57" i="4" l="1"/>
  <c r="A58" i="4"/>
  <c r="A60" i="4" l="1"/>
  <c r="A59" i="4"/>
  <c r="A61" i="4" l="1"/>
  <c r="A64" i="4"/>
  <c r="A62" i="4"/>
  <c r="A63" i="4" l="1"/>
  <c r="A65" i="4"/>
  <c r="G6" i="1" l="1"/>
  <c r="G17" i="1" s="1"/>
  <c r="AR65" i="3"/>
  <c r="AR64" i="3"/>
  <c r="AR49" i="3"/>
  <c r="AR48" i="3"/>
  <c r="AR47" i="3"/>
  <c r="AR46" i="3"/>
  <c r="AR45" i="3"/>
  <c r="AR44" i="3"/>
  <c r="AR43" i="3"/>
  <c r="AR42" i="3"/>
  <c r="AR41" i="3"/>
  <c r="AR40" i="3"/>
  <c r="AR39" i="3"/>
  <c r="AR38" i="3"/>
  <c r="AR37" i="3"/>
  <c r="AR36" i="3"/>
  <c r="AR35" i="3"/>
  <c r="AR34" i="3"/>
  <c r="AR33" i="3"/>
  <c r="AR32" i="3"/>
  <c r="AR31" i="3"/>
  <c r="AR30" i="3"/>
  <c r="AR29" i="3"/>
  <c r="AR28" i="3"/>
  <c r="AR27" i="3"/>
  <c r="AR26" i="3"/>
  <c r="AR25" i="3"/>
  <c r="AR24" i="3"/>
  <c r="AR23" i="3"/>
  <c r="AR22" i="3"/>
  <c r="AR17" i="3"/>
  <c r="AR16" i="3"/>
  <c r="AR7" i="3"/>
  <c r="B6" i="3"/>
  <c r="B8" i="3" s="1"/>
  <c r="AR5" i="3"/>
  <c r="B5" i="3"/>
  <c r="A5" i="3" s="1"/>
  <c r="AR4" i="3"/>
  <c r="AL4" i="3"/>
  <c r="AK4" i="3"/>
  <c r="AG4" i="3"/>
  <c r="AF4" i="3"/>
  <c r="AM4" i="3"/>
  <c r="A4" i="3"/>
  <c r="A7" i="16" l="1"/>
  <c r="A5" i="16"/>
  <c r="A6" i="16"/>
  <c r="A4" i="16"/>
  <c r="AN4" i="3"/>
  <c r="AO4" i="3"/>
  <c r="B10" i="3"/>
  <c r="A8" i="3"/>
  <c r="A6" i="3"/>
  <c r="B7" i="3"/>
  <c r="AR6" i="3"/>
  <c r="A9" i="16"/>
  <c r="A8" i="16" l="1"/>
  <c r="AM66" i="3"/>
  <c r="H6" i="1" s="1"/>
  <c r="AN66" i="3"/>
  <c r="I6" i="1" s="1"/>
  <c r="AP4" i="3"/>
  <c r="H4" i="1"/>
  <c r="J4" i="1"/>
  <c r="A7" i="3"/>
  <c r="B9" i="3"/>
  <c r="AO66" i="3"/>
  <c r="J6" i="1" s="1"/>
  <c r="A10" i="3"/>
  <c r="B12" i="3"/>
  <c r="A11" i="16"/>
  <c r="I4" i="1"/>
  <c r="A10" i="16"/>
  <c r="M6" i="1" l="1"/>
  <c r="H17" i="1"/>
  <c r="J17" i="1"/>
  <c r="I17" i="1"/>
  <c r="B11" i="3"/>
  <c r="A9" i="3"/>
  <c r="B14" i="3"/>
  <c r="A12" i="3"/>
  <c r="A13" i="16"/>
  <c r="A12" i="16"/>
  <c r="A14" i="3" l="1"/>
  <c r="B16" i="3"/>
  <c r="A11" i="3"/>
  <c r="B13" i="3"/>
  <c r="A14" i="16"/>
  <c r="A15" i="16"/>
  <c r="B18" i="3" l="1"/>
  <c r="A16" i="3"/>
  <c r="B15" i="3"/>
  <c r="A13" i="3"/>
  <c r="A17" i="16"/>
  <c r="A16" i="16"/>
  <c r="A15" i="3" l="1"/>
  <c r="B17" i="3"/>
  <c r="A18" i="3"/>
  <c r="B20" i="3"/>
  <c r="A18" i="16"/>
  <c r="A19" i="16"/>
  <c r="B19" i="3" l="1"/>
  <c r="A17" i="3"/>
  <c r="A20" i="3"/>
  <c r="B22" i="3"/>
  <c r="A21" i="16"/>
  <c r="A20" i="16"/>
  <c r="A22" i="3" l="1"/>
  <c r="B24" i="3"/>
  <c r="A19" i="3"/>
  <c r="B21" i="3"/>
  <c r="A23" i="16"/>
  <c r="A22" i="16"/>
  <c r="A24" i="3" l="1"/>
  <c r="B26" i="3"/>
  <c r="B23" i="3"/>
  <c r="A21" i="3"/>
  <c r="A24" i="16"/>
  <c r="A25" i="16"/>
  <c r="A23" i="3" l="1"/>
  <c r="B25" i="3"/>
  <c r="A26" i="3"/>
  <c r="B28" i="3"/>
  <c r="A27" i="16"/>
  <c r="A26" i="16"/>
  <c r="A28" i="3" l="1"/>
  <c r="B30" i="3"/>
  <c r="B27" i="3"/>
  <c r="A25" i="3"/>
  <c r="A29" i="16"/>
  <c r="A28" i="16"/>
  <c r="A27" i="3" l="1"/>
  <c r="B29" i="3"/>
  <c r="A30" i="3"/>
  <c r="B32" i="3"/>
  <c r="A30" i="16"/>
  <c r="A31" i="16"/>
  <c r="B34" i="3" l="1"/>
  <c r="A32" i="3"/>
  <c r="B31" i="3"/>
  <c r="A29" i="3"/>
  <c r="A32" i="16"/>
  <c r="A33" i="16"/>
  <c r="A31" i="3" l="1"/>
  <c r="B33" i="3"/>
  <c r="A34" i="3"/>
  <c r="B36" i="3"/>
  <c r="A35" i="16"/>
  <c r="A34" i="16"/>
  <c r="B35" i="3" l="1"/>
  <c r="A33" i="3"/>
  <c r="A36" i="3"/>
  <c r="B38" i="3"/>
  <c r="A36" i="16"/>
  <c r="A37" i="16"/>
  <c r="A38" i="3" l="1"/>
  <c r="B40" i="3"/>
  <c r="A35" i="3"/>
  <c r="B37" i="3"/>
  <c r="A39" i="16"/>
  <c r="A38" i="16"/>
  <c r="A40" i="3" l="1"/>
  <c r="B42" i="3"/>
  <c r="B39" i="3"/>
  <c r="A37" i="3"/>
  <c r="A40" i="16"/>
  <c r="A41" i="16"/>
  <c r="A39" i="3" l="1"/>
  <c r="B41" i="3"/>
  <c r="A42" i="3"/>
  <c r="B44" i="3"/>
  <c r="A43" i="16"/>
  <c r="A42" i="16"/>
  <c r="B46" i="3" l="1"/>
  <c r="A44" i="3"/>
  <c r="B43" i="3"/>
  <c r="A41" i="3"/>
  <c r="A45" i="16"/>
  <c r="A44" i="16"/>
  <c r="A46" i="3" l="1"/>
  <c r="B48" i="3"/>
  <c r="A43" i="3"/>
  <c r="B45" i="3"/>
  <c r="A46" i="16"/>
  <c r="A47" i="16"/>
  <c r="B47" i="3" l="1"/>
  <c r="A45" i="3"/>
  <c r="A48" i="3"/>
  <c r="B50" i="3"/>
  <c r="A49" i="16"/>
  <c r="A48" i="16"/>
  <c r="A50" i="3" l="1"/>
  <c r="B52" i="3"/>
  <c r="A47" i="3"/>
  <c r="B49" i="3"/>
  <c r="A51" i="16"/>
  <c r="A50" i="16"/>
  <c r="B51" i="3" l="1"/>
  <c r="A49" i="3"/>
  <c r="A52" i="3"/>
  <c r="B54" i="3"/>
  <c r="A52" i="16"/>
  <c r="A53" i="16"/>
  <c r="A54" i="3" l="1"/>
  <c r="B56" i="3"/>
  <c r="A51" i="3"/>
  <c r="B53" i="3"/>
  <c r="A55" i="16"/>
  <c r="A54" i="16"/>
  <c r="B58" i="3" l="1"/>
  <c r="A56" i="3"/>
  <c r="B55" i="3"/>
  <c r="A53" i="3"/>
  <c r="A57" i="16"/>
  <c r="A56" i="16"/>
  <c r="A55" i="3" l="1"/>
  <c r="B57" i="3"/>
  <c r="A58" i="3"/>
  <c r="B60" i="3"/>
  <c r="A58" i="16"/>
  <c r="A59" i="16"/>
  <c r="B59" i="3" l="1"/>
  <c r="A57" i="3"/>
  <c r="B62" i="3"/>
  <c r="A60" i="3"/>
  <c r="A60" i="16"/>
  <c r="A61" i="16"/>
  <c r="A62" i="3" l="1"/>
  <c r="B64" i="3"/>
  <c r="A64" i="3" s="1"/>
  <c r="A59" i="3"/>
  <c r="B61" i="3"/>
  <c r="A62" i="16"/>
  <c r="A63" i="16" l="1"/>
  <c r="B63" i="3"/>
  <c r="A61" i="3"/>
  <c r="A64" i="16" l="1"/>
  <c r="A63" i="3"/>
  <c r="B65" i="3"/>
  <c r="A65" i="3" s="1"/>
  <c r="K42" i="1" l="1"/>
  <c r="N40" i="1"/>
  <c r="N38" i="1"/>
  <c r="N37" i="1"/>
  <c r="N35" i="1"/>
  <c r="P32" i="1"/>
  <c r="P44" i="1" s="1"/>
  <c r="O32" i="1"/>
  <c r="O44" i="1" s="1"/>
  <c r="N32" i="1"/>
  <c r="N44" i="1" s="1"/>
  <c r="M32" i="1"/>
  <c r="M44" i="1" s="1"/>
  <c r="L32" i="1"/>
  <c r="L44" i="1" s="1"/>
  <c r="K32" i="1"/>
  <c r="K44" i="1" s="1"/>
  <c r="J32" i="1"/>
  <c r="J44" i="1" s="1"/>
  <c r="I32" i="1"/>
  <c r="I44" i="1" s="1"/>
  <c r="H32" i="1"/>
  <c r="H44" i="1" s="1"/>
  <c r="G32" i="1"/>
  <c r="G44" i="1" s="1"/>
  <c r="F32" i="1"/>
  <c r="F44" i="1" s="1"/>
  <c r="E32" i="1"/>
  <c r="E44" i="1" s="1"/>
  <c r="D32" i="1"/>
  <c r="D44" i="1" s="1"/>
  <c r="C32" i="1"/>
  <c r="C44" i="1" s="1"/>
  <c r="K30" i="1"/>
  <c r="M29" i="1"/>
  <c r="N29" i="1" s="1"/>
  <c r="M28" i="1"/>
  <c r="N28" i="1" s="1"/>
  <c r="M27" i="1"/>
  <c r="N27" i="1" s="1"/>
  <c r="M25" i="1"/>
  <c r="N25" i="1" s="1"/>
  <c r="M23" i="1"/>
  <c r="N23" i="1" s="1"/>
  <c r="H30" i="1"/>
  <c r="G30" i="1"/>
  <c r="N11" i="1"/>
  <c r="N8" i="1"/>
  <c r="AQ1" i="2"/>
  <c r="N6" i="1" l="1"/>
  <c r="AQ5" i="2"/>
  <c r="AQ9" i="2"/>
  <c r="AQ22" i="2"/>
  <c r="AQ27" i="2"/>
  <c r="AQ23" i="2"/>
  <c r="AQ24" i="2"/>
  <c r="AQ7" i="2"/>
  <c r="AQ20" i="2"/>
  <c r="AQ46" i="2"/>
  <c r="AQ62" i="2"/>
  <c r="AQ60" i="2"/>
  <c r="AQ16" i="2"/>
  <c r="AQ13" i="2"/>
  <c r="AQ17" i="2"/>
  <c r="AQ26" i="2"/>
  <c r="AQ58" i="2"/>
  <c r="AQ14" i="2"/>
  <c r="AQ8" i="2"/>
  <c r="AQ6" i="2"/>
  <c r="AQ63" i="2"/>
  <c r="AQ57" i="2"/>
  <c r="AQ44" i="2"/>
  <c r="AQ61" i="2"/>
  <c r="AQ65" i="2"/>
  <c r="AQ21" i="2"/>
  <c r="AQ25" i="2"/>
  <c r="AQ28" i="2"/>
  <c r="AQ19" i="2"/>
  <c r="AQ18" i="2"/>
  <c r="AQ15" i="2"/>
  <c r="AQ10" i="2"/>
  <c r="AQ11" i="2"/>
  <c r="AQ53" i="2"/>
  <c r="AQ54" i="2"/>
  <c r="AQ50" i="2"/>
  <c r="AQ42" i="2"/>
  <c r="AQ12" i="2"/>
  <c r="AQ59" i="2"/>
  <c r="AQ64" i="2"/>
  <c r="AQ41" i="2"/>
  <c r="AQ47" i="2"/>
  <c r="AQ33" i="2"/>
  <c r="AQ34" i="2"/>
  <c r="AQ4" i="2"/>
  <c r="AQ37" i="2"/>
  <c r="AQ56" i="2"/>
  <c r="AQ43" i="2"/>
  <c r="AQ39" i="2"/>
  <c r="AQ52" i="2"/>
  <c r="AQ48" i="2"/>
  <c r="AQ38" i="2"/>
  <c r="AQ30" i="2"/>
  <c r="AQ35" i="2"/>
  <c r="AQ31" i="2"/>
  <c r="AQ51" i="2"/>
  <c r="AQ55" i="2"/>
  <c r="AQ45" i="2"/>
  <c r="AQ29" i="2"/>
  <c r="AQ40" i="2"/>
  <c r="AQ32" i="2"/>
  <c r="AQ49" i="2"/>
  <c r="AQ36" i="2"/>
  <c r="N13" i="1"/>
  <c r="AQ1" i="4"/>
  <c r="AQ1" i="3"/>
  <c r="AQ1" i="13"/>
  <c r="AQ1" i="11"/>
  <c r="AQ1" i="9"/>
  <c r="AQ1" i="8"/>
  <c r="AQ1" i="7"/>
  <c r="AQ1" i="5"/>
  <c r="AQ1" i="14"/>
  <c r="AQ1" i="12"/>
  <c r="AQ1" i="10"/>
  <c r="L42" i="1"/>
  <c r="N33" i="1"/>
  <c r="M4" i="1"/>
  <c r="N4" i="1" s="1"/>
  <c r="L30" i="1"/>
  <c r="M58" i="1"/>
  <c r="N58" i="1" s="1"/>
  <c r="M21" i="1"/>
  <c r="N21" i="1" s="1"/>
  <c r="AQ29" i="14" l="1"/>
  <c r="O28" i="16" s="1"/>
  <c r="AQ8" i="13"/>
  <c r="AQ50" i="13"/>
  <c r="N49" i="16" s="1"/>
  <c r="AQ5" i="13"/>
  <c r="N4" i="16" s="1"/>
  <c r="AQ21" i="13"/>
  <c r="AQ63" i="13"/>
  <c r="AQ18" i="13"/>
  <c r="N17" i="16" s="1"/>
  <c r="AQ60" i="13"/>
  <c r="AQ15" i="13"/>
  <c r="N14" i="16" s="1"/>
  <c r="AQ64" i="13"/>
  <c r="AQ23" i="13"/>
  <c r="AQ12" i="13"/>
  <c r="AQ54" i="13"/>
  <c r="AQ9" i="13"/>
  <c r="AQ51" i="13"/>
  <c r="N50" i="16" s="1"/>
  <c r="AQ6" i="13"/>
  <c r="AQ22" i="13"/>
  <c r="AQ61" i="13"/>
  <c r="N60" i="16" s="1"/>
  <c r="AQ16" i="13"/>
  <c r="N15" i="16" s="1"/>
  <c r="AQ58" i="13"/>
  <c r="N57" i="16" s="1"/>
  <c r="AQ13" i="13"/>
  <c r="AQ55" i="13"/>
  <c r="AQ10" i="13"/>
  <c r="AQ52" i="13"/>
  <c r="N51" i="16" s="1"/>
  <c r="AQ7" i="13"/>
  <c r="AQ20" i="13"/>
  <c r="AQ62" i="13"/>
  <c r="N61" i="16" s="1"/>
  <c r="AQ17" i="13"/>
  <c r="AQ59" i="13"/>
  <c r="AQ14" i="13"/>
  <c r="AQ56" i="13"/>
  <c r="AQ11" i="13"/>
  <c r="AQ53" i="13"/>
  <c r="AQ57" i="13"/>
  <c r="AQ19" i="13"/>
  <c r="N18" i="16" s="1"/>
  <c r="AQ65" i="13"/>
  <c r="AQ41" i="13"/>
  <c r="AQ47" i="13"/>
  <c r="AQ38" i="13"/>
  <c r="AQ37" i="13"/>
  <c r="AQ45" i="13"/>
  <c r="AQ48" i="13"/>
  <c r="AQ42" i="13"/>
  <c r="AQ44" i="13"/>
  <c r="AQ49" i="13"/>
  <c r="AQ36" i="13"/>
  <c r="N35" i="16" s="1"/>
  <c r="AQ43" i="13"/>
  <c r="AQ40" i="13"/>
  <c r="AQ46" i="13"/>
  <c r="AQ39" i="13"/>
  <c r="AQ33" i="13"/>
  <c r="AQ34" i="13"/>
  <c r="N33" i="16" s="1"/>
  <c r="AQ30" i="13"/>
  <c r="N29" i="16" s="1"/>
  <c r="AQ31" i="13"/>
  <c r="AQ28" i="13"/>
  <c r="AQ35" i="13"/>
  <c r="AQ32" i="13"/>
  <c r="N31" i="16" s="1"/>
  <c r="AQ29" i="13"/>
  <c r="AQ25" i="13"/>
  <c r="AQ26" i="13"/>
  <c r="AQ27" i="13"/>
  <c r="AQ24" i="13"/>
  <c r="N23" i="16" s="1"/>
  <c r="AQ45" i="12"/>
  <c r="M44" i="16" s="1"/>
  <c r="AQ65" i="12"/>
  <c r="AQ21" i="12"/>
  <c r="M20" i="16" s="1"/>
  <c r="AQ47" i="12"/>
  <c r="AQ42" i="12"/>
  <c r="M41" i="16" s="1"/>
  <c r="AQ11" i="12"/>
  <c r="M10" i="16" s="1"/>
  <c r="AQ54" i="12"/>
  <c r="M53" i="16" s="1"/>
  <c r="AQ23" i="12"/>
  <c r="AQ10" i="12"/>
  <c r="M9" i="16" s="1"/>
  <c r="AQ12" i="12"/>
  <c r="M11" i="16" s="1"/>
  <c r="AQ43" i="12"/>
  <c r="M42" i="16" s="1"/>
  <c r="AQ24" i="12"/>
  <c r="AQ53" i="12"/>
  <c r="M52" i="16" s="1"/>
  <c r="AQ9" i="12"/>
  <c r="M8" i="16" s="1"/>
  <c r="AQ57" i="12"/>
  <c r="M56" i="16" s="1"/>
  <c r="AQ46" i="12"/>
  <c r="AQ52" i="12"/>
  <c r="M51" i="16" s="1"/>
  <c r="AQ14" i="12"/>
  <c r="AQ64" i="12"/>
  <c r="AQ7" i="12"/>
  <c r="AQ58" i="12"/>
  <c r="AQ19" i="12"/>
  <c r="AQ55" i="12"/>
  <c r="M54" i="16" s="1"/>
  <c r="AQ61" i="12"/>
  <c r="AQ5" i="12"/>
  <c r="M4" i="16" s="1"/>
  <c r="AQ17" i="12"/>
  <c r="M16" i="16" s="1"/>
  <c r="AQ26" i="12"/>
  <c r="AQ20" i="12"/>
  <c r="AQ59" i="12"/>
  <c r="M58" i="16" s="1"/>
  <c r="AQ48" i="12"/>
  <c r="M47" i="16" s="1"/>
  <c r="AQ6" i="12"/>
  <c r="M5" i="16" s="1"/>
  <c r="AQ60" i="12"/>
  <c r="AQ63" i="12"/>
  <c r="AQ50" i="12"/>
  <c r="M49" i="16" s="1"/>
  <c r="AQ15" i="12"/>
  <c r="M14" i="16" s="1"/>
  <c r="AQ49" i="12"/>
  <c r="AQ13" i="12"/>
  <c r="M12" i="16" s="1"/>
  <c r="AQ25" i="12"/>
  <c r="M24" i="16" s="1"/>
  <c r="AQ22" i="12"/>
  <c r="M21" i="16" s="1"/>
  <c r="AQ27" i="12"/>
  <c r="AQ18" i="12"/>
  <c r="M17" i="16" s="1"/>
  <c r="AQ16" i="12"/>
  <c r="AQ51" i="12"/>
  <c r="AQ44" i="12"/>
  <c r="M43" i="16" s="1"/>
  <c r="AQ62" i="12"/>
  <c r="AQ56" i="12"/>
  <c r="M55" i="16" s="1"/>
  <c r="AQ8" i="12"/>
  <c r="M7" i="16" s="1"/>
  <c r="AQ41" i="12"/>
  <c r="AQ38" i="12"/>
  <c r="AQ39" i="12"/>
  <c r="M38" i="16" s="1"/>
  <c r="AQ40" i="12"/>
  <c r="AQ37" i="12"/>
  <c r="AQ31" i="12"/>
  <c r="AQ30" i="12"/>
  <c r="M29" i="16" s="1"/>
  <c r="AQ35" i="12"/>
  <c r="M34" i="16" s="1"/>
  <c r="AQ36" i="12"/>
  <c r="AQ33" i="12"/>
  <c r="M32" i="16" s="1"/>
  <c r="AQ32" i="12"/>
  <c r="AQ28" i="12"/>
  <c r="M27" i="16" s="1"/>
  <c r="AQ34" i="12"/>
  <c r="AQ29" i="12"/>
  <c r="AQ19" i="11"/>
  <c r="L18" i="16" s="1"/>
  <c r="AQ11" i="11"/>
  <c r="L10" i="16" s="1"/>
  <c r="AQ7" i="11"/>
  <c r="L6" i="16" s="1"/>
  <c r="AQ17" i="11"/>
  <c r="AQ13" i="11"/>
  <c r="L12" i="16" s="1"/>
  <c r="AQ18" i="11"/>
  <c r="L17" i="16" s="1"/>
  <c r="AQ14" i="11"/>
  <c r="AQ9" i="11"/>
  <c r="L8" i="16" s="1"/>
  <c r="AQ5" i="11"/>
  <c r="L4" i="16" s="1"/>
  <c r="AQ10" i="11"/>
  <c r="AQ8" i="11"/>
  <c r="L7" i="16" s="1"/>
  <c r="AQ16" i="11"/>
  <c r="AQ12" i="11"/>
  <c r="L11" i="16" s="1"/>
  <c r="AQ15" i="11"/>
  <c r="L14" i="16" s="1"/>
  <c r="AQ6" i="11"/>
  <c r="AQ61" i="14"/>
  <c r="AQ65" i="14"/>
  <c r="AQ60" i="14"/>
  <c r="AQ63" i="14"/>
  <c r="AQ62" i="14"/>
  <c r="AQ64" i="14"/>
  <c r="AQ18" i="5"/>
  <c r="E17" i="16" s="1"/>
  <c r="AQ22" i="5"/>
  <c r="E21" i="16" s="1"/>
  <c r="AQ9" i="5"/>
  <c r="AQ17" i="5"/>
  <c r="E16" i="16" s="1"/>
  <c r="AQ64" i="5"/>
  <c r="E63" i="16" s="1"/>
  <c r="AQ19" i="5"/>
  <c r="E18" i="16" s="1"/>
  <c r="AQ63" i="5"/>
  <c r="AQ12" i="5"/>
  <c r="E11" i="16" s="1"/>
  <c r="AQ62" i="5"/>
  <c r="E61" i="16" s="1"/>
  <c r="AQ10" i="5"/>
  <c r="E9" i="16" s="1"/>
  <c r="AQ28" i="5"/>
  <c r="E27" i="16" s="1"/>
  <c r="AQ21" i="5"/>
  <c r="E20" i="16" s="1"/>
  <c r="AQ24" i="5"/>
  <c r="E23" i="16" s="1"/>
  <c r="AQ27" i="5"/>
  <c r="E26" i="16" s="1"/>
  <c r="AQ65" i="5"/>
  <c r="AQ15" i="5"/>
  <c r="E14" i="16" s="1"/>
  <c r="AQ14" i="5"/>
  <c r="E13" i="16" s="1"/>
  <c r="AQ7" i="5"/>
  <c r="E6" i="16" s="1"/>
  <c r="AQ16" i="5"/>
  <c r="E15" i="16" s="1"/>
  <c r="AQ59" i="5"/>
  <c r="E58" i="16" s="1"/>
  <c r="AQ13" i="5"/>
  <c r="E12" i="16" s="1"/>
  <c r="AQ23" i="5"/>
  <c r="E22" i="16" s="1"/>
  <c r="AQ29" i="5"/>
  <c r="E28" i="16" s="1"/>
  <c r="AQ60" i="5"/>
  <c r="E59" i="16" s="1"/>
  <c r="AQ6" i="5"/>
  <c r="E5" i="16" s="1"/>
  <c r="AQ5" i="5"/>
  <c r="E4" i="16" s="1"/>
  <c r="AQ8" i="5"/>
  <c r="AQ61" i="5"/>
  <c r="E60" i="16" s="1"/>
  <c r="AQ11" i="5"/>
  <c r="E10" i="16" s="1"/>
  <c r="AQ58" i="5"/>
  <c r="E57" i="16" s="1"/>
  <c r="AQ20" i="5"/>
  <c r="E19" i="16" s="1"/>
  <c r="AQ55" i="5"/>
  <c r="E54" i="16" s="1"/>
  <c r="AQ56" i="5"/>
  <c r="E55" i="16" s="1"/>
  <c r="AQ53" i="5"/>
  <c r="E52" i="16" s="1"/>
  <c r="AQ57" i="5"/>
  <c r="E56" i="16" s="1"/>
  <c r="AQ52" i="5"/>
  <c r="E51" i="16" s="1"/>
  <c r="AQ54" i="5"/>
  <c r="E53" i="16" s="1"/>
  <c r="AQ51" i="5"/>
  <c r="E50" i="16" s="1"/>
  <c r="AQ50" i="5"/>
  <c r="AQ42" i="5"/>
  <c r="E41" i="16" s="1"/>
  <c r="AQ44" i="5"/>
  <c r="E43" i="16" s="1"/>
  <c r="AQ48" i="5"/>
  <c r="E47" i="16" s="1"/>
  <c r="AQ40" i="5"/>
  <c r="AQ46" i="5"/>
  <c r="E45" i="16" s="1"/>
  <c r="AQ37" i="5"/>
  <c r="E36" i="16" s="1"/>
  <c r="AQ49" i="5"/>
  <c r="E48" i="16" s="1"/>
  <c r="AQ39" i="5"/>
  <c r="E38" i="16" s="1"/>
  <c r="AQ41" i="5"/>
  <c r="E40" i="16" s="1"/>
  <c r="AQ45" i="5"/>
  <c r="E44" i="16" s="1"/>
  <c r="AQ38" i="5"/>
  <c r="E37" i="16" s="1"/>
  <c r="AQ43" i="5"/>
  <c r="AQ47" i="5"/>
  <c r="E46" i="16" s="1"/>
  <c r="AQ36" i="5"/>
  <c r="E35" i="16" s="1"/>
  <c r="AQ26" i="5"/>
  <c r="E25" i="16" s="1"/>
  <c r="AQ25" i="5"/>
  <c r="E24" i="16" s="1"/>
  <c r="AQ35" i="5"/>
  <c r="E34" i="16" s="1"/>
  <c r="AQ33" i="5"/>
  <c r="E32" i="16" s="1"/>
  <c r="AQ34" i="5"/>
  <c r="AQ32" i="5"/>
  <c r="E31" i="16" s="1"/>
  <c r="AQ30" i="5"/>
  <c r="E29" i="16" s="1"/>
  <c r="AQ31" i="5"/>
  <c r="E30" i="16" s="1"/>
  <c r="AQ66" i="2"/>
  <c r="AQ61" i="7"/>
  <c r="H60" i="16" s="1"/>
  <c r="AQ65" i="7"/>
  <c r="H64" i="16" s="1"/>
  <c r="AQ62" i="7"/>
  <c r="H61" i="16" s="1"/>
  <c r="AQ19" i="7"/>
  <c r="H18" i="16" s="1"/>
  <c r="AQ6" i="7"/>
  <c r="H5" i="16" s="1"/>
  <c r="AQ18" i="7"/>
  <c r="H17" i="16" s="1"/>
  <c r="AQ13" i="7"/>
  <c r="H12" i="16" s="1"/>
  <c r="AQ17" i="7"/>
  <c r="H16" i="16" s="1"/>
  <c r="AQ60" i="7"/>
  <c r="H59" i="16" s="1"/>
  <c r="AQ20" i="7"/>
  <c r="H19" i="16" s="1"/>
  <c r="AQ28" i="7"/>
  <c r="H27" i="16" s="1"/>
  <c r="AQ10" i="7"/>
  <c r="AQ14" i="7"/>
  <c r="H13" i="16" s="1"/>
  <c r="AQ7" i="7"/>
  <c r="H6" i="16" s="1"/>
  <c r="AQ24" i="7"/>
  <c r="H23" i="16" s="1"/>
  <c r="AQ21" i="7"/>
  <c r="AQ25" i="7"/>
  <c r="H24" i="16" s="1"/>
  <c r="AQ16" i="7"/>
  <c r="H15" i="16" s="1"/>
  <c r="AQ58" i="7"/>
  <c r="H57" i="16" s="1"/>
  <c r="AQ12" i="7"/>
  <c r="AQ27" i="7"/>
  <c r="H26" i="16" s="1"/>
  <c r="AQ9" i="7"/>
  <c r="H8" i="16" s="1"/>
  <c r="AQ29" i="7"/>
  <c r="H28" i="16" s="1"/>
  <c r="AQ5" i="7"/>
  <c r="H4" i="16" s="1"/>
  <c r="AQ23" i="7"/>
  <c r="H22" i="16" s="1"/>
  <c r="AQ26" i="7"/>
  <c r="H25" i="16" s="1"/>
  <c r="AQ15" i="7"/>
  <c r="H14" i="16" s="1"/>
  <c r="AQ22" i="7"/>
  <c r="AQ8" i="7"/>
  <c r="H7" i="16" s="1"/>
  <c r="AQ59" i="7"/>
  <c r="H58" i="16" s="1"/>
  <c r="AQ11" i="7"/>
  <c r="H10" i="16" s="1"/>
  <c r="AQ63" i="7"/>
  <c r="AQ64" i="7"/>
  <c r="H63" i="16" s="1"/>
  <c r="AQ57" i="7"/>
  <c r="H56" i="16" s="1"/>
  <c r="AQ55" i="7"/>
  <c r="H54" i="16" s="1"/>
  <c r="AQ54" i="7"/>
  <c r="H53" i="16" s="1"/>
  <c r="AQ56" i="7"/>
  <c r="H55" i="16" s="1"/>
  <c r="AQ51" i="7"/>
  <c r="H50" i="16" s="1"/>
  <c r="AQ53" i="7"/>
  <c r="H52" i="16" s="1"/>
  <c r="AQ52" i="7"/>
  <c r="H51" i="16" s="1"/>
  <c r="AQ50" i="7"/>
  <c r="H49" i="16" s="1"/>
  <c r="AQ47" i="7"/>
  <c r="H46" i="16" s="1"/>
  <c r="AQ49" i="7"/>
  <c r="H48" i="16" s="1"/>
  <c r="AQ43" i="7"/>
  <c r="H42" i="16" s="1"/>
  <c r="AQ34" i="7"/>
  <c r="H33" i="16" s="1"/>
  <c r="AQ30" i="7"/>
  <c r="H29" i="16" s="1"/>
  <c r="AQ32" i="7"/>
  <c r="H31" i="16" s="1"/>
  <c r="AQ31" i="7"/>
  <c r="AQ45" i="7"/>
  <c r="H44" i="16" s="1"/>
  <c r="AQ38" i="7"/>
  <c r="H37" i="16" s="1"/>
  <c r="AQ41" i="7"/>
  <c r="H40" i="16" s="1"/>
  <c r="AQ36" i="7"/>
  <c r="H35" i="16" s="1"/>
  <c r="AQ40" i="7"/>
  <c r="H39" i="16" s="1"/>
  <c r="AQ44" i="7"/>
  <c r="H43" i="16" s="1"/>
  <c r="AQ46" i="7"/>
  <c r="H45" i="16" s="1"/>
  <c r="AQ33" i="7"/>
  <c r="H32" i="16" s="1"/>
  <c r="AQ42" i="7"/>
  <c r="H41" i="16" s="1"/>
  <c r="AQ39" i="7"/>
  <c r="H38" i="16" s="1"/>
  <c r="AQ35" i="7"/>
  <c r="H34" i="16" s="1"/>
  <c r="AQ37" i="7"/>
  <c r="H36" i="16" s="1"/>
  <c r="AQ48" i="7"/>
  <c r="H47" i="16" s="1"/>
  <c r="AQ9" i="8"/>
  <c r="I8" i="16" s="1"/>
  <c r="AQ5" i="8"/>
  <c r="I4" i="16" s="1"/>
  <c r="AQ18" i="8"/>
  <c r="I17" i="16" s="1"/>
  <c r="AQ12" i="8"/>
  <c r="AQ27" i="8"/>
  <c r="I26" i="16" s="1"/>
  <c r="AQ23" i="8"/>
  <c r="I22" i="16" s="1"/>
  <c r="AQ58" i="8"/>
  <c r="I57" i="16" s="1"/>
  <c r="AQ20" i="8"/>
  <c r="AQ13" i="8"/>
  <c r="I12" i="16" s="1"/>
  <c r="AQ17" i="8"/>
  <c r="AQ6" i="8"/>
  <c r="AQ24" i="8"/>
  <c r="AQ16" i="8"/>
  <c r="AQ59" i="8"/>
  <c r="I58" i="16" s="1"/>
  <c r="AQ15" i="8"/>
  <c r="I14" i="16" s="1"/>
  <c r="AQ21" i="8"/>
  <c r="AQ25" i="8"/>
  <c r="I24" i="16" s="1"/>
  <c r="AQ65" i="8"/>
  <c r="AQ22" i="8"/>
  <c r="I21" i="16" s="1"/>
  <c r="AQ8" i="8"/>
  <c r="I7" i="16" s="1"/>
  <c r="AQ19" i="8"/>
  <c r="I18" i="16" s="1"/>
  <c r="AQ62" i="8"/>
  <c r="I61" i="16" s="1"/>
  <c r="AQ26" i="8"/>
  <c r="AQ61" i="8"/>
  <c r="AQ63" i="8"/>
  <c r="I62" i="16" s="1"/>
  <c r="AQ28" i="8"/>
  <c r="AQ11" i="8"/>
  <c r="I10" i="16" s="1"/>
  <c r="AQ10" i="8"/>
  <c r="AQ14" i="8"/>
  <c r="I13" i="16" s="1"/>
  <c r="AQ64" i="8"/>
  <c r="AQ60" i="8"/>
  <c r="AQ44" i="8"/>
  <c r="I43" i="16" s="1"/>
  <c r="AQ50" i="8"/>
  <c r="I49" i="16" s="1"/>
  <c r="AQ51" i="8"/>
  <c r="I50" i="16" s="1"/>
  <c r="AQ52" i="8"/>
  <c r="I51" i="16" s="1"/>
  <c r="AQ56" i="8"/>
  <c r="I55" i="16" s="1"/>
  <c r="AQ54" i="8"/>
  <c r="I53" i="16" s="1"/>
  <c r="AQ57" i="8"/>
  <c r="AQ53" i="8"/>
  <c r="AQ55" i="8"/>
  <c r="I54" i="16" s="1"/>
  <c r="AQ40" i="8"/>
  <c r="I39" i="16" s="1"/>
  <c r="AQ43" i="8"/>
  <c r="AQ41" i="8"/>
  <c r="I40" i="16" s="1"/>
  <c r="AQ49" i="8"/>
  <c r="I48" i="16" s="1"/>
  <c r="AQ47" i="8"/>
  <c r="I46" i="16" s="1"/>
  <c r="AQ42" i="8"/>
  <c r="I41" i="16" s="1"/>
  <c r="AQ39" i="8"/>
  <c r="I38" i="16" s="1"/>
  <c r="AQ45" i="8"/>
  <c r="I44" i="16" s="1"/>
  <c r="AQ37" i="8"/>
  <c r="I36" i="16" s="1"/>
  <c r="AQ48" i="8"/>
  <c r="I47" i="16" s="1"/>
  <c r="AQ46" i="8"/>
  <c r="I45" i="16" s="1"/>
  <c r="AQ38" i="8"/>
  <c r="I37" i="16" s="1"/>
  <c r="AQ36" i="8"/>
  <c r="AQ35" i="8"/>
  <c r="AQ32" i="8"/>
  <c r="I31" i="16" s="1"/>
  <c r="AQ34" i="8"/>
  <c r="I33" i="16" s="1"/>
  <c r="AQ33" i="8"/>
  <c r="I32" i="16" s="1"/>
  <c r="AQ31" i="8"/>
  <c r="AQ29" i="8"/>
  <c r="I28" i="16" s="1"/>
  <c r="AQ30" i="8"/>
  <c r="I29" i="16" s="1"/>
  <c r="AQ25" i="3"/>
  <c r="D24" i="16" s="1"/>
  <c r="AQ21" i="3"/>
  <c r="D20" i="16" s="1"/>
  <c r="AQ22" i="3"/>
  <c r="D21" i="16" s="1"/>
  <c r="AQ11" i="3"/>
  <c r="D10" i="16" s="1"/>
  <c r="AQ14" i="3"/>
  <c r="D13" i="16" s="1"/>
  <c r="AQ7" i="3"/>
  <c r="D6" i="16" s="1"/>
  <c r="AQ61" i="3"/>
  <c r="D60" i="16" s="1"/>
  <c r="AQ19" i="3"/>
  <c r="D18" i="16" s="1"/>
  <c r="AQ65" i="3"/>
  <c r="D64" i="16" s="1"/>
  <c r="AQ29" i="3"/>
  <c r="D28" i="16" s="1"/>
  <c r="AQ28" i="3"/>
  <c r="D27" i="16" s="1"/>
  <c r="AQ60" i="3"/>
  <c r="D59" i="16" s="1"/>
  <c r="AQ24" i="3"/>
  <c r="D23" i="16" s="1"/>
  <c r="AQ58" i="3"/>
  <c r="D57" i="16" s="1"/>
  <c r="AQ64" i="3"/>
  <c r="D63" i="16" s="1"/>
  <c r="AQ26" i="3"/>
  <c r="D25" i="16" s="1"/>
  <c r="AQ9" i="3"/>
  <c r="D8" i="16" s="1"/>
  <c r="AQ5" i="3"/>
  <c r="D4" i="16" s="1"/>
  <c r="AQ18" i="3"/>
  <c r="D17" i="16" s="1"/>
  <c r="AQ12" i="3"/>
  <c r="D11" i="16" s="1"/>
  <c r="AQ15" i="3"/>
  <c r="D14" i="16" s="1"/>
  <c r="AQ8" i="3"/>
  <c r="D7" i="16" s="1"/>
  <c r="AQ16" i="3"/>
  <c r="D15" i="16" s="1"/>
  <c r="AQ20" i="3"/>
  <c r="D19" i="16" s="1"/>
  <c r="AQ59" i="3"/>
  <c r="D58" i="16" s="1"/>
  <c r="AQ17" i="3"/>
  <c r="D16" i="16" s="1"/>
  <c r="AQ13" i="3"/>
  <c r="D12" i="16" s="1"/>
  <c r="AQ62" i="3"/>
  <c r="D61" i="16" s="1"/>
  <c r="AQ27" i="3"/>
  <c r="D26" i="16" s="1"/>
  <c r="AQ10" i="3"/>
  <c r="D9" i="16" s="1"/>
  <c r="AQ23" i="3"/>
  <c r="D22" i="16" s="1"/>
  <c r="AQ6" i="3"/>
  <c r="D5" i="16" s="1"/>
  <c r="AQ63" i="3"/>
  <c r="D62" i="16" s="1"/>
  <c r="AQ55" i="3"/>
  <c r="D54" i="16" s="1"/>
  <c r="AQ45" i="3"/>
  <c r="D44" i="16" s="1"/>
  <c r="AQ53" i="3"/>
  <c r="D52" i="16" s="1"/>
  <c r="AQ42" i="3"/>
  <c r="D41" i="16" s="1"/>
  <c r="AQ37" i="3"/>
  <c r="D36" i="16" s="1"/>
  <c r="AQ36" i="3"/>
  <c r="D35" i="16" s="1"/>
  <c r="AQ35" i="3"/>
  <c r="D34" i="16" s="1"/>
  <c r="AQ34" i="3"/>
  <c r="D33" i="16" s="1"/>
  <c r="AQ33" i="3"/>
  <c r="D32" i="16" s="1"/>
  <c r="AQ47" i="3"/>
  <c r="D46" i="16" s="1"/>
  <c r="AQ46" i="3"/>
  <c r="D45" i="16" s="1"/>
  <c r="AQ54" i="3"/>
  <c r="D53" i="16" s="1"/>
  <c r="AQ49" i="3"/>
  <c r="D48" i="16" s="1"/>
  <c r="AQ48" i="3"/>
  <c r="D47" i="16" s="1"/>
  <c r="AQ56" i="3"/>
  <c r="D55" i="16" s="1"/>
  <c r="AQ39" i="3"/>
  <c r="D38" i="16" s="1"/>
  <c r="AQ32" i="3"/>
  <c r="D31" i="16" s="1"/>
  <c r="AQ51" i="3"/>
  <c r="D50" i="16" s="1"/>
  <c r="AQ57" i="3"/>
  <c r="D56" i="16" s="1"/>
  <c r="AQ41" i="3"/>
  <c r="D40" i="16" s="1"/>
  <c r="AQ40" i="3"/>
  <c r="D39" i="16" s="1"/>
  <c r="AQ30" i="3"/>
  <c r="D29" i="16" s="1"/>
  <c r="AQ50" i="3"/>
  <c r="D49" i="16" s="1"/>
  <c r="AQ44" i="3"/>
  <c r="D43" i="16" s="1"/>
  <c r="AQ52" i="3"/>
  <c r="D51" i="16" s="1"/>
  <c r="AQ43" i="3"/>
  <c r="D42" i="16" s="1"/>
  <c r="AQ38" i="3"/>
  <c r="D37" i="16" s="1"/>
  <c r="AQ31" i="3"/>
  <c r="D30" i="16" s="1"/>
  <c r="AQ12" i="9"/>
  <c r="AQ28" i="9"/>
  <c r="AQ18" i="9"/>
  <c r="J17" i="16" s="1"/>
  <c r="AQ27" i="9"/>
  <c r="J26" i="16" s="1"/>
  <c r="AQ13" i="9"/>
  <c r="J12" i="16" s="1"/>
  <c r="AQ29" i="9"/>
  <c r="AQ14" i="9"/>
  <c r="J13" i="16" s="1"/>
  <c r="AQ23" i="9"/>
  <c r="J22" i="16" s="1"/>
  <c r="AQ22" i="9"/>
  <c r="J21" i="16" s="1"/>
  <c r="AQ31" i="9"/>
  <c r="J30" i="16" s="1"/>
  <c r="AQ59" i="9"/>
  <c r="J58" i="16" s="1"/>
  <c r="AQ64" i="9"/>
  <c r="J63" i="16" s="1"/>
  <c r="AQ50" i="9"/>
  <c r="J49" i="16" s="1"/>
  <c r="AQ16" i="9"/>
  <c r="J15" i="16" s="1"/>
  <c r="AQ32" i="9"/>
  <c r="J31" i="16" s="1"/>
  <c r="AQ30" i="9"/>
  <c r="J29" i="16" s="1"/>
  <c r="AQ39" i="9"/>
  <c r="J38" i="16" s="1"/>
  <c r="AQ17" i="9"/>
  <c r="J16" i="16" s="1"/>
  <c r="AQ33" i="9"/>
  <c r="J32" i="16" s="1"/>
  <c r="AQ26" i="9"/>
  <c r="AQ35" i="9"/>
  <c r="AQ34" i="9"/>
  <c r="J33" i="16" s="1"/>
  <c r="AQ43" i="9"/>
  <c r="J42" i="16" s="1"/>
  <c r="AQ61" i="9"/>
  <c r="J60" i="16" s="1"/>
  <c r="AQ48" i="9"/>
  <c r="J47" i="16" s="1"/>
  <c r="AQ20" i="9"/>
  <c r="J19" i="16" s="1"/>
  <c r="AQ36" i="9"/>
  <c r="J35" i="16" s="1"/>
  <c r="AQ42" i="9"/>
  <c r="J41" i="16" s="1"/>
  <c r="AQ5" i="9"/>
  <c r="J4" i="16" s="1"/>
  <c r="AQ21" i="9"/>
  <c r="J20" i="16" s="1"/>
  <c r="AQ37" i="9"/>
  <c r="J36" i="16" s="1"/>
  <c r="AQ38" i="9"/>
  <c r="J37" i="16" s="1"/>
  <c r="AQ6" i="9"/>
  <c r="J5" i="16" s="1"/>
  <c r="AQ7" i="9"/>
  <c r="J6" i="16" s="1"/>
  <c r="AQ62" i="9"/>
  <c r="J61" i="16" s="1"/>
  <c r="AQ65" i="9"/>
  <c r="J64" i="16" s="1"/>
  <c r="AQ56" i="9"/>
  <c r="J55" i="16" s="1"/>
  <c r="AQ8" i="9"/>
  <c r="J7" i="16" s="1"/>
  <c r="AQ24" i="9"/>
  <c r="AQ40" i="9"/>
  <c r="J39" i="16" s="1"/>
  <c r="AQ11" i="9"/>
  <c r="J10" i="16" s="1"/>
  <c r="AQ9" i="9"/>
  <c r="J8" i="16" s="1"/>
  <c r="AQ25" i="9"/>
  <c r="J24" i="16" s="1"/>
  <c r="AQ41" i="9"/>
  <c r="J40" i="16" s="1"/>
  <c r="AQ15" i="9"/>
  <c r="J14" i="16" s="1"/>
  <c r="AQ10" i="9"/>
  <c r="AQ19" i="9"/>
  <c r="AQ60" i="9"/>
  <c r="J59" i="16" s="1"/>
  <c r="AQ63" i="9"/>
  <c r="J62" i="16" s="1"/>
  <c r="AQ54" i="9"/>
  <c r="J53" i="16" s="1"/>
  <c r="AQ46" i="9"/>
  <c r="J45" i="16" s="1"/>
  <c r="AQ51" i="9"/>
  <c r="J50" i="16" s="1"/>
  <c r="AQ44" i="9"/>
  <c r="J43" i="16" s="1"/>
  <c r="AQ58" i="9"/>
  <c r="J57" i="16" s="1"/>
  <c r="AQ47" i="9"/>
  <c r="J46" i="16" s="1"/>
  <c r="AQ55" i="9"/>
  <c r="J54" i="16" s="1"/>
  <c r="AQ52" i="9"/>
  <c r="J51" i="16" s="1"/>
  <c r="AQ49" i="9"/>
  <c r="J48" i="16" s="1"/>
  <c r="AQ45" i="9"/>
  <c r="J44" i="16" s="1"/>
  <c r="AQ53" i="9"/>
  <c r="J52" i="16" s="1"/>
  <c r="AQ57" i="9"/>
  <c r="J56" i="16" s="1"/>
  <c r="AQ9" i="4"/>
  <c r="F8" i="16" s="1"/>
  <c r="AQ21" i="4"/>
  <c r="F20" i="16" s="1"/>
  <c r="AQ14" i="4"/>
  <c r="F13" i="16" s="1"/>
  <c r="AQ22" i="4"/>
  <c r="F21" i="16" s="1"/>
  <c r="AQ12" i="4"/>
  <c r="F11" i="16" s="1"/>
  <c r="AQ25" i="4"/>
  <c r="F24" i="16" s="1"/>
  <c r="AQ60" i="4"/>
  <c r="F59" i="16" s="1"/>
  <c r="AQ59" i="4"/>
  <c r="F58" i="16" s="1"/>
  <c r="AQ19" i="4"/>
  <c r="F18" i="16" s="1"/>
  <c r="AQ15" i="4"/>
  <c r="F14" i="16" s="1"/>
  <c r="AQ29" i="4"/>
  <c r="F28" i="16" s="1"/>
  <c r="AQ10" i="4"/>
  <c r="F9" i="16" s="1"/>
  <c r="AQ18" i="4"/>
  <c r="F17" i="16" s="1"/>
  <c r="AQ20" i="4"/>
  <c r="F19" i="16" s="1"/>
  <c r="AQ58" i="4"/>
  <c r="F57" i="16" s="1"/>
  <c r="AQ64" i="4"/>
  <c r="AQ62" i="4"/>
  <c r="F61" i="16" s="1"/>
  <c r="AQ27" i="4"/>
  <c r="F26" i="16" s="1"/>
  <c r="AQ23" i="4"/>
  <c r="F22" i="16" s="1"/>
  <c r="AQ5" i="4"/>
  <c r="F4" i="16" s="1"/>
  <c r="AQ28" i="4"/>
  <c r="F27" i="16" s="1"/>
  <c r="AQ24" i="4"/>
  <c r="F23" i="16" s="1"/>
  <c r="AQ17" i="4"/>
  <c r="F16" i="16" s="1"/>
  <c r="AQ26" i="4"/>
  <c r="F25" i="16" s="1"/>
  <c r="AQ63" i="4"/>
  <c r="F62" i="16" s="1"/>
  <c r="AQ11" i="4"/>
  <c r="F10" i="16" s="1"/>
  <c r="AQ7" i="4"/>
  <c r="F6" i="16" s="1"/>
  <c r="AQ8" i="4"/>
  <c r="F7" i="16" s="1"/>
  <c r="AQ13" i="4"/>
  <c r="F12" i="16" s="1"/>
  <c r="AQ6" i="4"/>
  <c r="F5" i="16" s="1"/>
  <c r="AQ16" i="4"/>
  <c r="F15" i="16" s="1"/>
  <c r="AQ61" i="4"/>
  <c r="F60" i="16" s="1"/>
  <c r="AQ65" i="4"/>
  <c r="F64" i="16" s="1"/>
  <c r="AQ57" i="4"/>
  <c r="F56" i="16" s="1"/>
  <c r="AQ52" i="4"/>
  <c r="F51" i="16" s="1"/>
  <c r="AQ54" i="4"/>
  <c r="F53" i="16" s="1"/>
  <c r="AQ46" i="4"/>
  <c r="F45" i="16" s="1"/>
  <c r="AQ43" i="4"/>
  <c r="F42" i="16" s="1"/>
  <c r="AQ38" i="4"/>
  <c r="F37" i="16" s="1"/>
  <c r="AQ45" i="4"/>
  <c r="F44" i="16" s="1"/>
  <c r="AQ48" i="4"/>
  <c r="F47" i="16" s="1"/>
  <c r="AQ42" i="4"/>
  <c r="F41" i="16" s="1"/>
  <c r="AQ39" i="4"/>
  <c r="F38" i="16" s="1"/>
  <c r="AQ36" i="4"/>
  <c r="F35" i="16" s="1"/>
  <c r="AQ33" i="4"/>
  <c r="F32" i="16" s="1"/>
  <c r="AQ34" i="4"/>
  <c r="F33" i="16" s="1"/>
  <c r="AQ31" i="4"/>
  <c r="F30" i="16" s="1"/>
  <c r="AQ53" i="4"/>
  <c r="F52" i="16" s="1"/>
  <c r="AQ55" i="4"/>
  <c r="F54" i="16" s="1"/>
  <c r="AQ51" i="4"/>
  <c r="F50" i="16" s="1"/>
  <c r="AQ50" i="4"/>
  <c r="F49" i="16" s="1"/>
  <c r="AQ41" i="4"/>
  <c r="F40" i="16" s="1"/>
  <c r="AQ30" i="4"/>
  <c r="F29" i="16" s="1"/>
  <c r="AQ35" i="4"/>
  <c r="F34" i="16" s="1"/>
  <c r="AQ49" i="4"/>
  <c r="F48" i="16" s="1"/>
  <c r="AQ56" i="4"/>
  <c r="F55" i="16" s="1"/>
  <c r="AQ44" i="4"/>
  <c r="F43" i="16" s="1"/>
  <c r="AQ47" i="4"/>
  <c r="F46" i="16" s="1"/>
  <c r="AQ37" i="4"/>
  <c r="F36" i="16" s="1"/>
  <c r="AQ40" i="4"/>
  <c r="F39" i="16" s="1"/>
  <c r="AQ32" i="4"/>
  <c r="F31" i="16" s="1"/>
  <c r="M17" i="1"/>
  <c r="N17" i="1" s="1"/>
  <c r="M48" i="16"/>
  <c r="M46" i="16"/>
  <c r="M30" i="16"/>
  <c r="M40" i="16"/>
  <c r="M6" i="16"/>
  <c r="AQ4" i="12"/>
  <c r="AQ56" i="14"/>
  <c r="O55" i="16" s="1"/>
  <c r="AQ48" i="14"/>
  <c r="O47" i="16" s="1"/>
  <c r="AQ40" i="14"/>
  <c r="O39" i="16" s="1"/>
  <c r="AQ32" i="14"/>
  <c r="AQ24" i="14"/>
  <c r="AQ16" i="14"/>
  <c r="AQ53" i="14"/>
  <c r="O52" i="16" s="1"/>
  <c r="AQ45" i="14"/>
  <c r="O44" i="16" s="1"/>
  <c r="AQ37" i="14"/>
  <c r="O36" i="16" s="1"/>
  <c r="AQ21" i="14"/>
  <c r="O20" i="16" s="1"/>
  <c r="AQ35" i="14"/>
  <c r="O34" i="16" s="1"/>
  <c r="AQ19" i="14"/>
  <c r="O18" i="16" s="1"/>
  <c r="AQ54" i="14"/>
  <c r="AQ46" i="14"/>
  <c r="O45" i="16" s="1"/>
  <c r="AQ38" i="14"/>
  <c r="AQ30" i="14"/>
  <c r="AQ22" i="14"/>
  <c r="O21" i="16" s="1"/>
  <c r="AQ59" i="14"/>
  <c r="AQ51" i="14"/>
  <c r="O50" i="16" s="1"/>
  <c r="AQ43" i="14"/>
  <c r="O42" i="16" s="1"/>
  <c r="AQ27" i="14"/>
  <c r="AQ52" i="14"/>
  <c r="AQ44" i="14"/>
  <c r="O43" i="16" s="1"/>
  <c r="AQ36" i="14"/>
  <c r="O35" i="16" s="1"/>
  <c r="AQ28" i="14"/>
  <c r="AQ20" i="14"/>
  <c r="O19" i="16" s="1"/>
  <c r="AQ57" i="14"/>
  <c r="AQ49" i="14"/>
  <c r="O48" i="16" s="1"/>
  <c r="AQ41" i="14"/>
  <c r="AQ33" i="14"/>
  <c r="AQ25" i="14"/>
  <c r="O24" i="16" s="1"/>
  <c r="AQ17" i="14"/>
  <c r="O16" i="16" s="1"/>
  <c r="AQ58" i="14"/>
  <c r="AQ50" i="14"/>
  <c r="O49" i="16" s="1"/>
  <c r="AQ42" i="14"/>
  <c r="O41" i="16" s="1"/>
  <c r="AQ34" i="14"/>
  <c r="AQ26" i="14"/>
  <c r="AQ18" i="14"/>
  <c r="AQ55" i="14"/>
  <c r="O54" i="16" s="1"/>
  <c r="AQ47" i="14"/>
  <c r="AQ39" i="14"/>
  <c r="AQ31" i="14"/>
  <c r="O30" i="16" s="1"/>
  <c r="AQ23" i="14"/>
  <c r="AQ13" i="14"/>
  <c r="O12" i="16" s="1"/>
  <c r="AQ9" i="14"/>
  <c r="O8" i="16" s="1"/>
  <c r="AQ5" i="14"/>
  <c r="O4" i="16" s="1"/>
  <c r="AQ14" i="14"/>
  <c r="AQ10" i="14"/>
  <c r="AQ6" i="14"/>
  <c r="AQ8" i="14"/>
  <c r="O7" i="16" s="1"/>
  <c r="AQ15" i="14"/>
  <c r="AQ11" i="14"/>
  <c r="O10" i="16" s="1"/>
  <c r="AQ7" i="14"/>
  <c r="O6" i="16" s="1"/>
  <c r="AQ12" i="14"/>
  <c r="AQ4" i="14"/>
  <c r="I56" i="16"/>
  <c r="I59" i="16"/>
  <c r="I27" i="16"/>
  <c r="I42" i="16"/>
  <c r="I63" i="16"/>
  <c r="I34" i="16"/>
  <c r="I30" i="16"/>
  <c r="I64" i="16"/>
  <c r="AQ4" i="8"/>
  <c r="AQ4" i="3"/>
  <c r="N46" i="16"/>
  <c r="N19" i="16"/>
  <c r="N38" i="16"/>
  <c r="N63" i="16"/>
  <c r="N7" i="16"/>
  <c r="AQ4" i="13"/>
  <c r="C63" i="16"/>
  <c r="C40" i="16"/>
  <c r="C56" i="16"/>
  <c r="C41" i="16"/>
  <c r="C57" i="16"/>
  <c r="C42" i="16"/>
  <c r="C58" i="16"/>
  <c r="C44" i="16"/>
  <c r="C60" i="16"/>
  <c r="C29" i="16"/>
  <c r="C45" i="16"/>
  <c r="C61" i="16"/>
  <c r="C32" i="16"/>
  <c r="C48" i="16"/>
  <c r="C64" i="16"/>
  <c r="C36" i="16"/>
  <c r="C52" i="16"/>
  <c r="C37" i="16"/>
  <c r="C53" i="16"/>
  <c r="C38" i="16"/>
  <c r="C54" i="16"/>
  <c r="C34" i="16"/>
  <c r="C35" i="16"/>
  <c r="C51" i="16"/>
  <c r="C55" i="16"/>
  <c r="C46" i="16"/>
  <c r="C39" i="16"/>
  <c r="C33" i="16"/>
  <c r="C50" i="16"/>
  <c r="C43" i="16"/>
  <c r="C59" i="16"/>
  <c r="C31" i="16"/>
  <c r="C49" i="16"/>
  <c r="C30" i="16"/>
  <c r="C62" i="16"/>
  <c r="C47" i="16"/>
  <c r="C22" i="16"/>
  <c r="C24" i="16"/>
  <c r="C25" i="16"/>
  <c r="C23" i="16"/>
  <c r="C28" i="16"/>
  <c r="C27" i="16"/>
  <c r="C26" i="16"/>
  <c r="C21" i="16"/>
  <c r="C16" i="16"/>
  <c r="C20" i="16"/>
  <c r="C10" i="16"/>
  <c r="C13" i="16"/>
  <c r="C17" i="16"/>
  <c r="C11" i="16"/>
  <c r="C12" i="16"/>
  <c r="C18" i="16"/>
  <c r="C19" i="16"/>
  <c r="C14" i="16"/>
  <c r="C15" i="16"/>
  <c r="C7" i="16"/>
  <c r="C8" i="16"/>
  <c r="C9" i="16"/>
  <c r="C4" i="16"/>
  <c r="C6" i="16"/>
  <c r="C5" i="16"/>
  <c r="AQ4" i="9"/>
  <c r="F63" i="16"/>
  <c r="AQ4" i="4"/>
  <c r="H62" i="16"/>
  <c r="H30" i="16"/>
  <c r="H20" i="16"/>
  <c r="H21" i="16"/>
  <c r="H11" i="16"/>
  <c r="H9" i="16"/>
  <c r="AQ4" i="7"/>
  <c r="AQ65" i="10"/>
  <c r="K64" i="16" s="1"/>
  <c r="AQ49" i="10"/>
  <c r="K48" i="16" s="1"/>
  <c r="AQ33" i="10"/>
  <c r="K32" i="16" s="1"/>
  <c r="AQ17" i="10"/>
  <c r="K16" i="16" s="1"/>
  <c r="AQ52" i="10"/>
  <c r="K51" i="16" s="1"/>
  <c r="AQ36" i="10"/>
  <c r="K35" i="16" s="1"/>
  <c r="AQ20" i="10"/>
  <c r="K19" i="16" s="1"/>
  <c r="AQ55" i="10"/>
  <c r="K54" i="16" s="1"/>
  <c r="AQ39" i="10"/>
  <c r="K38" i="16" s="1"/>
  <c r="AQ53" i="10"/>
  <c r="K52" i="16" s="1"/>
  <c r="AQ29" i="10"/>
  <c r="K28" i="16" s="1"/>
  <c r="AQ60" i="10"/>
  <c r="K59" i="16" s="1"/>
  <c r="AQ40" i="10"/>
  <c r="K39" i="16" s="1"/>
  <c r="AQ16" i="10"/>
  <c r="AQ47" i="10"/>
  <c r="K46" i="16" s="1"/>
  <c r="AQ27" i="10"/>
  <c r="K26" i="16" s="1"/>
  <c r="AQ58" i="10"/>
  <c r="K57" i="16" s="1"/>
  <c r="AQ42" i="10"/>
  <c r="K41" i="16" s="1"/>
  <c r="AQ26" i="10"/>
  <c r="K25" i="16" s="1"/>
  <c r="AQ45" i="10"/>
  <c r="K44" i="16" s="1"/>
  <c r="AQ25" i="10"/>
  <c r="K24" i="16" s="1"/>
  <c r="AQ56" i="10"/>
  <c r="K55" i="16" s="1"/>
  <c r="AQ32" i="10"/>
  <c r="K31" i="16" s="1"/>
  <c r="AQ63" i="10"/>
  <c r="K62" i="16" s="1"/>
  <c r="AQ43" i="10"/>
  <c r="K42" i="16" s="1"/>
  <c r="AQ23" i="10"/>
  <c r="K22" i="16" s="1"/>
  <c r="AQ54" i="10"/>
  <c r="K53" i="16" s="1"/>
  <c r="AQ38" i="10"/>
  <c r="AQ22" i="10"/>
  <c r="K21" i="16" s="1"/>
  <c r="AQ61" i="10"/>
  <c r="K60" i="16" s="1"/>
  <c r="AQ41" i="10"/>
  <c r="K40" i="16" s="1"/>
  <c r="AQ21" i="10"/>
  <c r="K20" i="16" s="1"/>
  <c r="AQ48" i="10"/>
  <c r="K47" i="16" s="1"/>
  <c r="AQ28" i="10"/>
  <c r="K27" i="16" s="1"/>
  <c r="AQ59" i="10"/>
  <c r="K58" i="16" s="1"/>
  <c r="AQ35" i="10"/>
  <c r="K34" i="16" s="1"/>
  <c r="AQ19" i="10"/>
  <c r="K18" i="16" s="1"/>
  <c r="AQ50" i="10"/>
  <c r="K49" i="16" s="1"/>
  <c r="AQ34" i="10"/>
  <c r="K33" i="16" s="1"/>
  <c r="AQ18" i="10"/>
  <c r="K17" i="16" s="1"/>
  <c r="AQ57" i="10"/>
  <c r="K56" i="16" s="1"/>
  <c r="AQ37" i="10"/>
  <c r="K36" i="16" s="1"/>
  <c r="AQ64" i="10"/>
  <c r="K63" i="16" s="1"/>
  <c r="AQ44" i="10"/>
  <c r="K43" i="16" s="1"/>
  <c r="AQ24" i="10"/>
  <c r="K23" i="16" s="1"/>
  <c r="AQ51" i="10"/>
  <c r="K50" i="16" s="1"/>
  <c r="AQ31" i="10"/>
  <c r="K30" i="16" s="1"/>
  <c r="AQ62" i="10"/>
  <c r="K61" i="16" s="1"/>
  <c r="AQ46" i="10"/>
  <c r="K45" i="16" s="1"/>
  <c r="AQ30" i="10"/>
  <c r="AQ13" i="10"/>
  <c r="K12" i="16" s="1"/>
  <c r="AQ15" i="10"/>
  <c r="K14" i="16" s="1"/>
  <c r="AQ12" i="10"/>
  <c r="K11" i="16" s="1"/>
  <c r="AQ14" i="10"/>
  <c r="K13" i="16" s="1"/>
  <c r="AQ9" i="10"/>
  <c r="K8" i="16" s="1"/>
  <c r="AQ8" i="10"/>
  <c r="K7" i="16" s="1"/>
  <c r="AQ10" i="10"/>
  <c r="K9" i="16" s="1"/>
  <c r="AQ11" i="10"/>
  <c r="K10" i="16" s="1"/>
  <c r="AQ6" i="10"/>
  <c r="K5" i="16" s="1"/>
  <c r="AQ7" i="10"/>
  <c r="K6" i="16" s="1"/>
  <c r="AQ5" i="10"/>
  <c r="K4" i="16" s="1"/>
  <c r="AQ4" i="10"/>
  <c r="E39" i="16"/>
  <c r="E42" i="16"/>
  <c r="E64" i="16"/>
  <c r="E62" i="16"/>
  <c r="E49" i="16"/>
  <c r="E33" i="16"/>
  <c r="E8" i="16"/>
  <c r="E7" i="16"/>
  <c r="AQ4" i="5"/>
  <c r="AQ53" i="11"/>
  <c r="L52" i="16" s="1"/>
  <c r="AQ37" i="11"/>
  <c r="AQ21" i="11"/>
  <c r="L20" i="16" s="1"/>
  <c r="AQ56" i="11"/>
  <c r="L55" i="16" s="1"/>
  <c r="AQ40" i="11"/>
  <c r="AQ24" i="11"/>
  <c r="L23" i="16" s="1"/>
  <c r="AQ59" i="11"/>
  <c r="L58" i="16" s="1"/>
  <c r="AQ43" i="11"/>
  <c r="L42" i="16" s="1"/>
  <c r="AQ27" i="11"/>
  <c r="AQ58" i="11"/>
  <c r="L57" i="16" s="1"/>
  <c r="AQ42" i="11"/>
  <c r="AQ26" i="11"/>
  <c r="AQ65" i="11"/>
  <c r="L64" i="16" s="1"/>
  <c r="AQ49" i="11"/>
  <c r="L48" i="16" s="1"/>
  <c r="AQ33" i="11"/>
  <c r="L32" i="16" s="1"/>
  <c r="AQ52" i="11"/>
  <c r="L51" i="16" s="1"/>
  <c r="AQ36" i="11"/>
  <c r="L35" i="16" s="1"/>
  <c r="AQ20" i="11"/>
  <c r="AQ55" i="11"/>
  <c r="L54" i="16" s="1"/>
  <c r="AQ39" i="11"/>
  <c r="L38" i="16" s="1"/>
  <c r="AQ23" i="11"/>
  <c r="L22" i="16" s="1"/>
  <c r="AQ54" i="11"/>
  <c r="L53" i="16" s="1"/>
  <c r="AQ38" i="11"/>
  <c r="AQ22" i="11"/>
  <c r="L21" i="16" s="1"/>
  <c r="AQ61" i="11"/>
  <c r="L60" i="16" s="1"/>
  <c r="AQ45" i="11"/>
  <c r="L44" i="16" s="1"/>
  <c r="AQ29" i="11"/>
  <c r="L28" i="16" s="1"/>
  <c r="AQ64" i="11"/>
  <c r="L63" i="16" s="1"/>
  <c r="AQ48" i="11"/>
  <c r="AQ32" i="11"/>
  <c r="AQ51" i="11"/>
  <c r="L50" i="16" s="1"/>
  <c r="AQ35" i="11"/>
  <c r="L34" i="16" s="1"/>
  <c r="AQ50" i="11"/>
  <c r="AQ34" i="11"/>
  <c r="AQ57" i="11"/>
  <c r="L56" i="16" s="1"/>
  <c r="AQ41" i="11"/>
  <c r="L40" i="16" s="1"/>
  <c r="AQ25" i="11"/>
  <c r="L24" i="16" s="1"/>
  <c r="AQ60" i="11"/>
  <c r="L59" i="16" s="1"/>
  <c r="AQ44" i="11"/>
  <c r="L43" i="16" s="1"/>
  <c r="AQ28" i="11"/>
  <c r="AQ63" i="11"/>
  <c r="L62" i="16" s="1"/>
  <c r="AQ47" i="11"/>
  <c r="L46" i="16" s="1"/>
  <c r="AQ31" i="11"/>
  <c r="L30" i="16" s="1"/>
  <c r="AQ62" i="11"/>
  <c r="AQ46" i="11"/>
  <c r="L45" i="16" s="1"/>
  <c r="AQ30" i="11"/>
  <c r="L29" i="16" s="1"/>
  <c r="AQ4" i="11"/>
  <c r="AW17" i="9" l="1"/>
  <c r="AW65" i="13"/>
  <c r="N45" i="16"/>
  <c r="AW59" i="13"/>
  <c r="AW45" i="13"/>
  <c r="M28" i="16"/>
  <c r="AW31" i="12"/>
  <c r="AW31" i="13"/>
  <c r="O14" i="16"/>
  <c r="AW17" i="14"/>
  <c r="I16" i="16"/>
  <c r="N16" i="16"/>
  <c r="AW17" i="13"/>
  <c r="L49" i="16"/>
  <c r="AW63" i="11"/>
  <c r="N59" i="16"/>
  <c r="J34" i="16"/>
  <c r="AW35" i="9"/>
  <c r="I20" i="16"/>
  <c r="AW21" i="8"/>
  <c r="N20" i="16"/>
  <c r="AW41" i="8"/>
  <c r="M50" i="16"/>
  <c r="AW55" i="12"/>
  <c r="O53" i="16"/>
  <c r="AW55" i="14"/>
  <c r="N41" i="16"/>
  <c r="AW41" i="11"/>
  <c r="AW27" i="14"/>
  <c r="M39" i="16"/>
  <c r="AW41" i="12"/>
  <c r="O38" i="16"/>
  <c r="AW41" i="14"/>
  <c r="N40" i="16"/>
  <c r="M13" i="16"/>
  <c r="L13" i="16"/>
  <c r="AW27" i="11"/>
  <c r="N26" i="16"/>
  <c r="AW61" i="14"/>
  <c r="L61" i="16"/>
  <c r="AW65" i="11"/>
  <c r="O33" i="16"/>
  <c r="O5" i="16"/>
  <c r="I5" i="16"/>
  <c r="AW19" i="11"/>
  <c r="O22" i="16"/>
  <c r="L25" i="16"/>
  <c r="N11" i="16"/>
  <c r="I15" i="16"/>
  <c r="AW29" i="8"/>
  <c r="N42" i="16"/>
  <c r="M35" i="16"/>
  <c r="AW49" i="11"/>
  <c r="I35" i="16"/>
  <c r="AW49" i="8"/>
  <c r="N48" i="16"/>
  <c r="N34" i="16"/>
  <c r="N53" i="16"/>
  <c r="I52" i="16"/>
  <c r="AW53" i="8"/>
  <c r="N52" i="16"/>
  <c r="N39" i="16"/>
  <c r="O25" i="16"/>
  <c r="I25" i="16"/>
  <c r="J25" i="16"/>
  <c r="AW39" i="9"/>
  <c r="M25" i="16"/>
  <c r="N36" i="16"/>
  <c r="I11" i="16"/>
  <c r="AW25" i="8"/>
  <c r="J11" i="16"/>
  <c r="AW25" i="9"/>
  <c r="O11" i="16"/>
  <c r="N10" i="16"/>
  <c r="O31" i="16"/>
  <c r="M31" i="16"/>
  <c r="M45" i="16"/>
  <c r="AW59" i="12"/>
  <c r="L31" i="16"/>
  <c r="O58" i="16"/>
  <c r="N58" i="16"/>
  <c r="N44" i="16"/>
  <c r="L16" i="16"/>
  <c r="I23" i="16"/>
  <c r="J9" i="16"/>
  <c r="AW65" i="12"/>
  <c r="O23" i="16"/>
  <c r="J23" i="16"/>
  <c r="M23" i="16"/>
  <c r="N25" i="16"/>
  <c r="N6" i="16"/>
  <c r="AW55" i="9"/>
  <c r="N62" i="16"/>
  <c r="O51" i="16"/>
  <c r="N54" i="16"/>
  <c r="L41" i="16"/>
  <c r="L27" i="16"/>
  <c r="N13" i="16"/>
  <c r="N27" i="16"/>
  <c r="O27" i="16"/>
  <c r="O13" i="16"/>
  <c r="J27" i="16"/>
  <c r="AW41" i="9"/>
  <c r="L26" i="16"/>
  <c r="M26" i="16"/>
  <c r="N12" i="16"/>
  <c r="AW61" i="12"/>
  <c r="N64" i="16"/>
  <c r="I60" i="16"/>
  <c r="AW61" i="8"/>
  <c r="L47" i="16"/>
  <c r="AW61" i="9"/>
  <c r="N47" i="16"/>
  <c r="L33" i="16"/>
  <c r="O46" i="16"/>
  <c r="N43" i="16"/>
  <c r="L19" i="16"/>
  <c r="M19" i="16"/>
  <c r="O32" i="16"/>
  <c r="N32" i="16"/>
  <c r="N21" i="16"/>
  <c r="J18" i="16"/>
  <c r="L5" i="16"/>
  <c r="M18" i="16"/>
  <c r="AW19" i="12"/>
  <c r="O17" i="16"/>
  <c r="N5" i="16"/>
  <c r="N9" i="16"/>
  <c r="L9" i="16"/>
  <c r="N55" i="16"/>
  <c r="AW65" i="14"/>
  <c r="O37" i="16"/>
  <c r="N37" i="16"/>
  <c r="L37" i="16"/>
  <c r="K37" i="16"/>
  <c r="AW51" i="10"/>
  <c r="M37" i="16"/>
  <c r="O26" i="16"/>
  <c r="N24" i="16"/>
  <c r="M36" i="16"/>
  <c r="L36" i="16"/>
  <c r="M22" i="16"/>
  <c r="I9" i="16"/>
  <c r="O9" i="16"/>
  <c r="N22" i="16"/>
  <c r="N8" i="16"/>
  <c r="AQ66" i="14"/>
  <c r="O57" i="16"/>
  <c r="M57" i="16"/>
  <c r="AQ66" i="12"/>
  <c r="AQ66" i="9"/>
  <c r="O56" i="16"/>
  <c r="N56" i="16"/>
  <c r="AQ66" i="4"/>
  <c r="O15" i="16"/>
  <c r="O29" i="16"/>
  <c r="K29" i="16"/>
  <c r="O40" i="16"/>
  <c r="N30" i="16"/>
  <c r="M33" i="16"/>
  <c r="L39" i="16"/>
  <c r="K15" i="16"/>
  <c r="AW29" i="10"/>
  <c r="I19" i="16"/>
  <c r="J28" i="16"/>
  <c r="M15" i="16"/>
  <c r="L15" i="16"/>
  <c r="N28" i="16"/>
  <c r="AQ66" i="5"/>
  <c r="E3" i="16"/>
  <c r="E65" i="16" s="1"/>
  <c r="C3" i="16"/>
  <c r="C65" i="16" s="1"/>
  <c r="O3" i="16"/>
  <c r="F3" i="16"/>
  <c r="F65" i="16" s="1"/>
  <c r="D3" i="16"/>
  <c r="D65" i="16" s="1"/>
  <c r="AQ66" i="3"/>
  <c r="AQ66" i="7"/>
  <c r="H3" i="16"/>
  <c r="H65" i="16" s="1"/>
  <c r="J3" i="16"/>
  <c r="N3" i="16"/>
  <c r="AQ66" i="13"/>
  <c r="I3" i="16"/>
  <c r="M3" i="16"/>
  <c r="L3" i="16"/>
  <c r="AQ66" i="11"/>
  <c r="K3" i="16"/>
  <c r="AQ66" i="10"/>
  <c r="O65" i="16" l="1"/>
  <c r="N65" i="16"/>
  <c r="M65" i="16"/>
  <c r="K65" i="16"/>
  <c r="J65" i="16"/>
  <c r="L65" i="16"/>
  <c r="AF7" i="8" l="1"/>
  <c r="AN7" i="8" s="1"/>
  <c r="AU17" i="8" s="1"/>
  <c r="AG7" i="8"/>
  <c r="AO7" i="8" s="1"/>
  <c r="AV17" i="8" s="1"/>
  <c r="AO66" i="8" l="1"/>
  <c r="J20" i="1" s="1"/>
  <c r="J30" i="1" s="1"/>
  <c r="AP7" i="8"/>
  <c r="AN66" i="8"/>
  <c r="I20" i="1" s="1"/>
  <c r="AQ7" i="8"/>
  <c r="AW17" i="8" s="1"/>
  <c r="M20" i="1" l="1"/>
  <c r="I30" i="1"/>
  <c r="I6" i="16"/>
  <c r="I65" i="16" s="1"/>
  <c r="AQ66" i="8"/>
  <c r="N20" i="1" l="1"/>
  <c r="M30" i="1"/>
  <c r="N30" i="1" s="1"/>
</calcChain>
</file>

<file path=xl/sharedStrings.xml><?xml version="1.0" encoding="utf-8"?>
<sst xmlns="http://schemas.openxmlformats.org/spreadsheetml/2006/main" count="4310" uniqueCount="480">
  <si>
    <r>
      <t xml:space="preserve">State wise BMC wise </t>
    </r>
    <r>
      <rPr>
        <b/>
        <sz val="10"/>
        <color rgb="FF00B050"/>
        <rFont val="Calibri"/>
        <family val="2"/>
        <scheme val="minor"/>
      </rPr>
      <t>Gain/</t>
    </r>
    <r>
      <rPr>
        <b/>
        <sz val="10"/>
        <color rgb="FFFF0000"/>
        <rFont val="Calibri"/>
        <family val="2"/>
        <scheme val="minor"/>
      </rPr>
      <t>(Loss)</t>
    </r>
  </si>
  <si>
    <t>State</t>
  </si>
  <si>
    <t>Type</t>
  </si>
  <si>
    <t>Code</t>
  </si>
  <si>
    <t>BMC Name</t>
  </si>
  <si>
    <t>MTD Volume</t>
  </si>
  <si>
    <t>Vol Kg</t>
  </si>
  <si>
    <t>FAT kg</t>
  </si>
  <si>
    <t>SNF Kg</t>
  </si>
  <si>
    <t>FAT Rate</t>
  </si>
  <si>
    <t>SNF Rate</t>
  </si>
  <si>
    <t>Amount</t>
  </si>
  <si>
    <t>Loss/gain per Kg</t>
  </si>
  <si>
    <t>Day book received till</t>
  </si>
  <si>
    <t>Remarks</t>
  </si>
  <si>
    <t>BR</t>
  </si>
  <si>
    <t>Daya BMC</t>
  </si>
  <si>
    <t>Majhaul</t>
  </si>
  <si>
    <t>Sahibpur Kamal</t>
  </si>
  <si>
    <t>Dalsingsarai</t>
  </si>
  <si>
    <t>Musrigharari</t>
  </si>
  <si>
    <t>Dumrao</t>
  </si>
  <si>
    <t>Bihar Daya BMCTotal</t>
  </si>
  <si>
    <t>SP BMC</t>
  </si>
  <si>
    <t>Laldiyara</t>
  </si>
  <si>
    <t>Asarganj</t>
  </si>
  <si>
    <t>SP RMC</t>
  </si>
  <si>
    <t>Mahadatpur</t>
  </si>
  <si>
    <t>Sonvarsha</t>
  </si>
  <si>
    <t>Aariya</t>
  </si>
  <si>
    <t>Teghra</t>
  </si>
  <si>
    <t>Halsi</t>
  </si>
  <si>
    <t>Bihar Service Provider Total</t>
  </si>
  <si>
    <t>JH</t>
  </si>
  <si>
    <t>2001</t>
  </si>
  <si>
    <t>Itki</t>
  </si>
  <si>
    <t>2002</t>
  </si>
  <si>
    <t>Pali</t>
  </si>
  <si>
    <t>2003</t>
  </si>
  <si>
    <t>Hisri Thakurgaon</t>
  </si>
  <si>
    <t>2004</t>
  </si>
  <si>
    <t>Choreya</t>
  </si>
  <si>
    <t>2005</t>
  </si>
  <si>
    <t>Baski</t>
  </si>
  <si>
    <t>2006</t>
  </si>
  <si>
    <t>Ormanjhi Rmc</t>
  </si>
  <si>
    <t>2007</t>
  </si>
  <si>
    <t>Piragutu Rmc</t>
  </si>
  <si>
    <t>Jharkhand Total</t>
  </si>
  <si>
    <t>WB</t>
  </si>
  <si>
    <t>B020</t>
  </si>
  <si>
    <t>Arasul</t>
  </si>
  <si>
    <t>B022</t>
  </si>
  <si>
    <t>Karnasubarna</t>
  </si>
  <si>
    <t>B004</t>
  </si>
  <si>
    <t>Haripal</t>
  </si>
  <si>
    <t>B014</t>
  </si>
  <si>
    <t>Kaochmali</t>
  </si>
  <si>
    <t>B016</t>
  </si>
  <si>
    <t>Uchalan</t>
  </si>
  <si>
    <t>B023</t>
  </si>
  <si>
    <t>Lohar</t>
  </si>
  <si>
    <t>West Bengal Total</t>
  </si>
  <si>
    <t>Manjhaul Bmc</t>
  </si>
  <si>
    <t>Date</t>
  </si>
  <si>
    <t>Shift</t>
  </si>
  <si>
    <t>OB</t>
  </si>
  <si>
    <t>Milk from MPG in Ltr</t>
  </si>
  <si>
    <t>Transfer from other BMC/RMC</t>
  </si>
  <si>
    <t>Total Milk Receipt in Kg</t>
  </si>
  <si>
    <t>Tanker Dispatch Details</t>
  </si>
  <si>
    <t>Plant Receipt</t>
  </si>
  <si>
    <t>CB</t>
  </si>
  <si>
    <t>Loss/(Gain)</t>
  </si>
  <si>
    <t xml:space="preserve"> Qty KG</t>
  </si>
  <si>
    <t>Fat%</t>
  </si>
  <si>
    <t>Snf%</t>
  </si>
  <si>
    <t>FAT Kg</t>
  </si>
  <si>
    <t>Qty Ltr</t>
  </si>
  <si>
    <t>Qty Kg</t>
  </si>
  <si>
    <t>From</t>
  </si>
  <si>
    <t>Tanker No</t>
  </si>
  <si>
    <t>Tanker</t>
  </si>
  <si>
    <t>Challan</t>
  </si>
  <si>
    <t>To</t>
  </si>
  <si>
    <t>Qty KG</t>
  </si>
  <si>
    <t>TS Loss%</t>
  </si>
  <si>
    <t>M</t>
  </si>
  <si>
    <t>E</t>
  </si>
  <si>
    <t>S Kamal Bmc</t>
  </si>
  <si>
    <t>Musrighrari Bmc</t>
  </si>
  <si>
    <t>TOTAL-</t>
  </si>
  <si>
    <t>Simri Bmc</t>
  </si>
  <si>
    <t>Halsi Bmc</t>
  </si>
  <si>
    <t xml:space="preserve"> </t>
  </si>
  <si>
    <t>Buxar</t>
  </si>
  <si>
    <t>Laldiyara Bmc</t>
  </si>
  <si>
    <t>Asarganj Bmc</t>
  </si>
  <si>
    <t>Pakra Bmc</t>
  </si>
  <si>
    <t>Sonevarsa Bmc</t>
  </si>
  <si>
    <t>Araria Bmc</t>
  </si>
  <si>
    <t>Teghra Bmc</t>
  </si>
  <si>
    <t>Bhandra</t>
  </si>
  <si>
    <t>2008</t>
  </si>
  <si>
    <t>Kalyanpur</t>
  </si>
  <si>
    <t>Own BMC</t>
  </si>
  <si>
    <t>Service Provider BMC</t>
  </si>
  <si>
    <t>Total</t>
  </si>
  <si>
    <t>Kalyanpur Bmc</t>
  </si>
  <si>
    <t>B027</t>
  </si>
  <si>
    <t>Mondalgram</t>
  </si>
  <si>
    <t>Challan Missing</t>
  </si>
  <si>
    <t>Milk reject</t>
  </si>
  <si>
    <t>Out Side sell</t>
  </si>
  <si>
    <t>Alauli Bmc</t>
  </si>
  <si>
    <t>Alauli</t>
  </si>
  <si>
    <t>1001</t>
  </si>
  <si>
    <t>1011</t>
  </si>
  <si>
    <t>1012</t>
  </si>
  <si>
    <t>1013</t>
  </si>
  <si>
    <t>1014</t>
  </si>
  <si>
    <t>1002</t>
  </si>
  <si>
    <t>1003</t>
  </si>
  <si>
    <t xml:space="preserve">1006 </t>
  </si>
  <si>
    <t>1007</t>
  </si>
  <si>
    <t>1008</t>
  </si>
  <si>
    <t>1009</t>
  </si>
  <si>
    <t>1054</t>
  </si>
  <si>
    <t>1053</t>
  </si>
  <si>
    <t>B028</t>
  </si>
  <si>
    <t>Bachra</t>
  </si>
  <si>
    <t>2009</t>
  </si>
  <si>
    <t>Chanho</t>
  </si>
  <si>
    <t>1048</t>
  </si>
  <si>
    <t>1056</t>
  </si>
  <si>
    <t>Chautham Bmc</t>
  </si>
  <si>
    <t>Chautham</t>
  </si>
  <si>
    <t>Mathani Bmc</t>
  </si>
  <si>
    <t>1055</t>
  </si>
  <si>
    <t>B029</t>
  </si>
  <si>
    <t>Joyrampur</t>
  </si>
  <si>
    <t>B026</t>
  </si>
  <si>
    <t>Deulpara</t>
  </si>
  <si>
    <t>B030</t>
  </si>
  <si>
    <t>Natungram</t>
  </si>
  <si>
    <t>1057</t>
  </si>
  <si>
    <t>Warisnagar</t>
  </si>
  <si>
    <t>Warisnagar Bmc</t>
  </si>
  <si>
    <t>1058</t>
  </si>
  <si>
    <t>Hasanpur</t>
  </si>
  <si>
    <t>1010</t>
  </si>
  <si>
    <t>Parbatta</t>
  </si>
  <si>
    <t>1059</t>
  </si>
  <si>
    <t>Gopalpur </t>
  </si>
  <si>
    <t>Hasanpur Bmc</t>
  </si>
  <si>
    <t>Parbatta Bmc</t>
  </si>
  <si>
    <t>Gopalpur Bmc</t>
  </si>
  <si>
    <t>B031</t>
  </si>
  <si>
    <t>kandi</t>
  </si>
  <si>
    <t>Matihani</t>
  </si>
  <si>
    <t>Singhia </t>
  </si>
  <si>
    <t>SInghia Bmc</t>
  </si>
  <si>
    <t>1064</t>
  </si>
  <si>
    <t>Mahua Bmc</t>
  </si>
  <si>
    <t>Bachhwara Bmc</t>
  </si>
  <si>
    <t>Bachhwara</t>
  </si>
  <si>
    <t>Mahua</t>
  </si>
  <si>
    <t>0</t>
  </si>
  <si>
    <t>5239</t>
  </si>
  <si>
    <t>7181</t>
  </si>
  <si>
    <t>6102</t>
  </si>
  <si>
    <t>9071</t>
  </si>
  <si>
    <t>6545</t>
  </si>
  <si>
    <t>B032</t>
  </si>
  <si>
    <t>Negun</t>
  </si>
  <si>
    <t>3461</t>
  </si>
  <si>
    <t>Gaighat</t>
  </si>
  <si>
    <t>Rej of Chautham</t>
  </si>
  <si>
    <t>8086/81658</t>
  </si>
  <si>
    <t>5848</t>
  </si>
  <si>
    <t>81656</t>
  </si>
  <si>
    <t xml:space="preserve">Munger </t>
  </si>
  <si>
    <t>81657</t>
  </si>
  <si>
    <t>Arariya</t>
  </si>
  <si>
    <t>8086</t>
  </si>
  <si>
    <t>81658</t>
  </si>
  <si>
    <t>81659</t>
  </si>
  <si>
    <t>00</t>
  </si>
  <si>
    <t>86705</t>
  </si>
  <si>
    <t>Hajipur</t>
  </si>
  <si>
    <t>86706</t>
  </si>
  <si>
    <t>Itc munger</t>
  </si>
  <si>
    <t>86707</t>
  </si>
  <si>
    <t>86708</t>
  </si>
  <si>
    <t>Skamal</t>
  </si>
  <si>
    <t>Mahdatpur</t>
  </si>
  <si>
    <t>8581/85464</t>
  </si>
  <si>
    <t>8581/85465</t>
  </si>
  <si>
    <t>86458</t>
  </si>
  <si>
    <t>86459</t>
  </si>
  <si>
    <t>8086/8581</t>
  </si>
  <si>
    <t>86460/461</t>
  </si>
  <si>
    <t>86462</t>
  </si>
  <si>
    <t>86463</t>
  </si>
  <si>
    <t>86464</t>
  </si>
  <si>
    <t>89380</t>
  </si>
  <si>
    <t>87788</t>
  </si>
  <si>
    <t>87789</t>
  </si>
  <si>
    <t>Munger</t>
  </si>
  <si>
    <t>87790</t>
  </si>
  <si>
    <t>9071/3461</t>
  </si>
  <si>
    <t>87791/92</t>
  </si>
  <si>
    <t>Muzaffurpur/Hasanpur</t>
  </si>
  <si>
    <t>Singhiya</t>
  </si>
  <si>
    <t>87611</t>
  </si>
  <si>
    <t>87612</t>
  </si>
  <si>
    <t>87855</t>
  </si>
  <si>
    <t>Muzaffurpur</t>
  </si>
  <si>
    <t>87856</t>
  </si>
  <si>
    <t>Manjhaul</t>
  </si>
  <si>
    <t>87857</t>
  </si>
  <si>
    <t>2950</t>
  </si>
  <si>
    <t>87610</t>
  </si>
  <si>
    <t>5239/86745</t>
  </si>
  <si>
    <t>Route Vechicle</t>
  </si>
  <si>
    <t>Muzaffarpur</t>
  </si>
  <si>
    <t>86666</t>
  </si>
  <si>
    <t>itc munger</t>
  </si>
  <si>
    <t>86667</t>
  </si>
  <si>
    <t>86668</t>
  </si>
  <si>
    <t>86669</t>
  </si>
  <si>
    <t>86742</t>
  </si>
  <si>
    <t>1842</t>
  </si>
  <si>
    <t>86743</t>
  </si>
  <si>
    <t>86744</t>
  </si>
  <si>
    <t>86745</t>
  </si>
  <si>
    <t>skamal</t>
  </si>
  <si>
    <t>86746</t>
  </si>
  <si>
    <t>89379</t>
  </si>
  <si>
    <t>Kaliyanpur</t>
  </si>
  <si>
    <t>87593</t>
  </si>
  <si>
    <t>87594</t>
  </si>
  <si>
    <t>87595</t>
  </si>
  <si>
    <t>87596</t>
  </si>
  <si>
    <t>0111</t>
  </si>
  <si>
    <t>88784</t>
  </si>
  <si>
    <t>7300</t>
  </si>
  <si>
    <t>88785</t>
  </si>
  <si>
    <t>88786</t>
  </si>
  <si>
    <t>88787</t>
  </si>
  <si>
    <t>88788</t>
  </si>
  <si>
    <t>9250</t>
  </si>
  <si>
    <t>85016</t>
  </si>
  <si>
    <t>Warishnagar</t>
  </si>
  <si>
    <t>85017</t>
  </si>
  <si>
    <t>85018</t>
  </si>
  <si>
    <t>7770</t>
  </si>
  <si>
    <t>85350</t>
  </si>
  <si>
    <t>89051</t>
  </si>
  <si>
    <t>85310</t>
  </si>
  <si>
    <t>85311</t>
  </si>
  <si>
    <t>85312</t>
  </si>
  <si>
    <t>Mahuwa</t>
  </si>
  <si>
    <t>85313</t>
  </si>
  <si>
    <t>Bachwara</t>
  </si>
  <si>
    <t>6545/89379</t>
  </si>
  <si>
    <t>3542</t>
  </si>
  <si>
    <t>88724</t>
  </si>
  <si>
    <t>85151</t>
  </si>
  <si>
    <t>88301</t>
  </si>
  <si>
    <t>87961</t>
  </si>
  <si>
    <t>7035</t>
  </si>
  <si>
    <t>71636</t>
  </si>
  <si>
    <t>0150</t>
  </si>
  <si>
    <t>71637</t>
  </si>
  <si>
    <t>71638</t>
  </si>
  <si>
    <t>Rej of Asarganj</t>
  </si>
  <si>
    <t>87205</t>
  </si>
  <si>
    <t>9812</t>
  </si>
  <si>
    <t>87207</t>
  </si>
  <si>
    <t>6160</t>
  </si>
  <si>
    <t>87208</t>
  </si>
  <si>
    <t>87209</t>
  </si>
  <si>
    <t>6160/0807</t>
  </si>
  <si>
    <t>87210/211</t>
  </si>
  <si>
    <t>87212</t>
  </si>
  <si>
    <t>0807</t>
  </si>
  <si>
    <t>87213</t>
  </si>
  <si>
    <t>87136</t>
  </si>
  <si>
    <t>1500</t>
  </si>
  <si>
    <t>87137</t>
  </si>
  <si>
    <t>Gaya</t>
  </si>
  <si>
    <t>87138</t>
  </si>
  <si>
    <t>6263</t>
  </si>
  <si>
    <t>87200</t>
  </si>
  <si>
    <t>1842/68222</t>
  </si>
  <si>
    <t>1842/5239</t>
  </si>
  <si>
    <t>68223/87326</t>
  </si>
  <si>
    <t>68224</t>
  </si>
  <si>
    <t>86801</t>
  </si>
  <si>
    <t>86802</t>
  </si>
  <si>
    <t>4974</t>
  </si>
  <si>
    <t>83311</t>
  </si>
  <si>
    <t>Sonversa</t>
  </si>
  <si>
    <t>83312</t>
  </si>
  <si>
    <t>83313</t>
  </si>
  <si>
    <t>83314</t>
  </si>
  <si>
    <t>Gopalpur</t>
  </si>
  <si>
    <t>0316</t>
  </si>
  <si>
    <t>75263</t>
  </si>
  <si>
    <t>8528</t>
  </si>
  <si>
    <t>75264</t>
  </si>
  <si>
    <t>75265</t>
  </si>
  <si>
    <t>75266</t>
  </si>
  <si>
    <t>75267</t>
  </si>
  <si>
    <t>75268</t>
  </si>
  <si>
    <t>8581</t>
  </si>
  <si>
    <t>85464</t>
  </si>
  <si>
    <t>85465</t>
  </si>
  <si>
    <t>teghra</t>
  </si>
  <si>
    <t>7181/86705</t>
  </si>
  <si>
    <t>1946</t>
  </si>
  <si>
    <t>67950</t>
  </si>
  <si>
    <t>0906</t>
  </si>
  <si>
    <t>70925</t>
  </si>
  <si>
    <t>64127</t>
  </si>
  <si>
    <t>62026</t>
  </si>
  <si>
    <t>62027</t>
  </si>
  <si>
    <t>64128</t>
  </si>
  <si>
    <t>86665</t>
  </si>
  <si>
    <t>Report till updated  08th June 26</t>
  </si>
  <si>
    <t>6545/57859</t>
  </si>
  <si>
    <t>6545/89382</t>
  </si>
  <si>
    <t>87793</t>
  </si>
  <si>
    <t>87794</t>
  </si>
  <si>
    <t xml:space="preserve">Muzaffurpur </t>
  </si>
  <si>
    <t>87795</t>
  </si>
  <si>
    <t>87797</t>
  </si>
  <si>
    <t>87798</t>
  </si>
  <si>
    <t>87029</t>
  </si>
  <si>
    <t>87858</t>
  </si>
  <si>
    <t>87030</t>
  </si>
  <si>
    <t>87031</t>
  </si>
  <si>
    <t>87032</t>
  </si>
  <si>
    <t>86670</t>
  </si>
  <si>
    <t>86672</t>
  </si>
  <si>
    <t>86673</t>
  </si>
  <si>
    <t>3461/89381</t>
  </si>
  <si>
    <t>86747</t>
  </si>
  <si>
    <t>86748</t>
  </si>
  <si>
    <t>86749</t>
  </si>
  <si>
    <t>89381</t>
  </si>
  <si>
    <t>89382</t>
  </si>
  <si>
    <t>87597</t>
  </si>
  <si>
    <t>87598</t>
  </si>
  <si>
    <t>87599</t>
  </si>
  <si>
    <t>88789</t>
  </si>
  <si>
    <t>88790</t>
  </si>
  <si>
    <t>88791</t>
  </si>
  <si>
    <t>88792</t>
  </si>
  <si>
    <t>0111/7300</t>
  </si>
  <si>
    <t>88793/88794</t>
  </si>
  <si>
    <t>Muzaffarpur/Hajipur</t>
  </si>
  <si>
    <t>85019</t>
  </si>
  <si>
    <t>Report till updated  09th June 26</t>
  </si>
  <si>
    <t>85314</t>
  </si>
  <si>
    <t>85315</t>
  </si>
  <si>
    <t>88302</t>
  </si>
  <si>
    <t>88303</t>
  </si>
  <si>
    <t>88304</t>
  </si>
  <si>
    <t>88305</t>
  </si>
  <si>
    <t>87962</t>
  </si>
  <si>
    <t>87963</t>
  </si>
  <si>
    <t>87964</t>
  </si>
  <si>
    <t>71639</t>
  </si>
  <si>
    <t>71640</t>
  </si>
  <si>
    <t>83315</t>
  </si>
  <si>
    <t>83316</t>
  </si>
  <si>
    <t>75269</t>
  </si>
  <si>
    <t>75270</t>
  </si>
  <si>
    <t>85466</t>
  </si>
  <si>
    <t>8581/85466</t>
  </si>
  <si>
    <t>86465</t>
  </si>
  <si>
    <t>86466</t>
  </si>
  <si>
    <t>86467</t>
  </si>
  <si>
    <t>86468</t>
  </si>
  <si>
    <t>86469</t>
  </si>
  <si>
    <t>86470</t>
  </si>
  <si>
    <t>81660</t>
  </si>
  <si>
    <t>81661</t>
  </si>
  <si>
    <t>81662</t>
  </si>
  <si>
    <t>87600</t>
  </si>
  <si>
    <t>86601</t>
  </si>
  <si>
    <t>85020</t>
  </si>
  <si>
    <t>85022</t>
  </si>
  <si>
    <t>000</t>
  </si>
  <si>
    <t>85021</t>
  </si>
  <si>
    <t>85316</t>
  </si>
  <si>
    <t>71641</t>
  </si>
  <si>
    <t>87139</t>
  </si>
  <si>
    <t>87141</t>
  </si>
  <si>
    <t>87199</t>
  </si>
  <si>
    <t>87142</t>
  </si>
  <si>
    <t>87143</t>
  </si>
  <si>
    <t>87144</t>
  </si>
  <si>
    <t>83317</t>
  </si>
  <si>
    <t>83318</t>
  </si>
  <si>
    <t>75271</t>
  </si>
  <si>
    <t>75272</t>
  </si>
  <si>
    <t>75273</t>
  </si>
  <si>
    <t>85467</t>
  </si>
  <si>
    <t>81663</t>
  </si>
  <si>
    <t>62028</t>
  </si>
  <si>
    <t>64656</t>
  </si>
  <si>
    <t>62029</t>
  </si>
  <si>
    <t>64657</t>
  </si>
  <si>
    <t>62030</t>
  </si>
  <si>
    <t>Report till updated  10th June 26</t>
  </si>
  <si>
    <t>Report till updated  11th June 26</t>
  </si>
  <si>
    <t>2950/87032</t>
  </si>
  <si>
    <t>83492</t>
  </si>
  <si>
    <t>87859</t>
  </si>
  <si>
    <t>87050</t>
  </si>
  <si>
    <t>87861</t>
  </si>
  <si>
    <t>86674</t>
  </si>
  <si>
    <t>86675</t>
  </si>
  <si>
    <t>80434</t>
  </si>
  <si>
    <t>80435</t>
  </si>
  <si>
    <t>5239/80434</t>
  </si>
  <si>
    <t>86750</t>
  </si>
  <si>
    <t>7181/5239</t>
  </si>
  <si>
    <t>80351/80352</t>
  </si>
  <si>
    <t>80353</t>
  </si>
  <si>
    <t>Route vechicle/80354</t>
  </si>
  <si>
    <t>skamal/itc munger</t>
  </si>
  <si>
    <t>88795</t>
  </si>
  <si>
    <t>88796</t>
  </si>
  <si>
    <t>89052</t>
  </si>
  <si>
    <t>89053</t>
  </si>
  <si>
    <t>89054</t>
  </si>
  <si>
    <t>88306</t>
  </si>
  <si>
    <t>88307</t>
  </si>
  <si>
    <t>87965</t>
  </si>
  <si>
    <t>71642</t>
  </si>
  <si>
    <t>71643</t>
  </si>
  <si>
    <t>87214</t>
  </si>
  <si>
    <t>87216</t>
  </si>
  <si>
    <t>87215</t>
  </si>
  <si>
    <t>87217</t>
  </si>
  <si>
    <t>87218</t>
  </si>
  <si>
    <t>6160/9812</t>
  </si>
  <si>
    <t>87219/220</t>
  </si>
  <si>
    <t>87221</t>
  </si>
  <si>
    <t>87222</t>
  </si>
  <si>
    <t>86803</t>
  </si>
  <si>
    <t>86804</t>
  </si>
  <si>
    <t>86805</t>
  </si>
  <si>
    <t>86806</t>
  </si>
  <si>
    <t>86807</t>
  </si>
  <si>
    <t>86808</t>
  </si>
  <si>
    <t>83319</t>
  </si>
  <si>
    <t>83320</t>
  </si>
  <si>
    <t>Gopalpur/Rej Sonversa</t>
  </si>
  <si>
    <t>83318/75272</t>
  </si>
  <si>
    <t>75274</t>
  </si>
  <si>
    <t>85468</t>
  </si>
  <si>
    <t>8581/85467</t>
  </si>
  <si>
    <t>86471</t>
  </si>
  <si>
    <t>86472</t>
  </si>
  <si>
    <t>86473</t>
  </si>
  <si>
    <t>86474</t>
  </si>
  <si>
    <t>86475</t>
  </si>
  <si>
    <t>81664</t>
  </si>
  <si>
    <t>7181/86709</t>
  </si>
  <si>
    <t>86709</t>
  </si>
  <si>
    <t>86710</t>
  </si>
  <si>
    <t>86711</t>
  </si>
  <si>
    <t>86712</t>
  </si>
  <si>
    <t>86713</t>
  </si>
  <si>
    <t>86715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</si>
</sst>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;\(0\)"/>
    <numFmt numFmtId="165" formatCode="0.00;\(0.00\)"/>
    <numFmt numFmtId="166" formatCode="[$-409]d/mmm/yy;@"/>
    <numFmt numFmtId="167" formatCode="0.0"/>
    <numFmt numFmtId="168" formatCode="0.0%"/>
    <numFmt numFmtId="169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7"/>
      <color rgb="FF607188"/>
      <name val="Poppins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1F1F1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rgb="FFDDDDDD"/>
      </right>
      <top style="medium">
        <color rgb="FFDDDDDD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2">
    <xf numFmtId="0" fontId="0" fillId="0" borderId="0" xfId="0"/>
    <xf numFmtId="0" fontId="0" fillId="0" borderId="0" xfId="0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6" fillId="0" borderId="5" xfId="0" quotePrefix="1" applyFont="1" applyBorder="1" applyAlignment="1">
      <alignment horizontal="center" vertical="center"/>
    </xf>
    <xf numFmtId="0" fontId="6" fillId="0" borderId="6" xfId="0" quotePrefix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64" fontId="7" fillId="0" borderId="6" xfId="0" applyNumberFormat="1" applyFont="1" applyBorder="1" applyAlignment="1">
      <alignment horizontal="center" vertical="center"/>
    </xf>
    <xf numFmtId="1" fontId="6" fillId="0" borderId="6" xfId="1" applyNumberFormat="1" applyFont="1" applyBorder="1" applyAlignment="1">
      <alignment horizontal="center" vertical="center"/>
    </xf>
    <xf numFmtId="1" fontId="6" fillId="0" borderId="6" xfId="0" applyNumberFormat="1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165" fontId="6" fillId="0" borderId="6" xfId="0" applyNumberFormat="1" applyFont="1" applyBorder="1" applyAlignment="1">
      <alignment horizontal="center" vertical="center"/>
    </xf>
    <xf numFmtId="15" fontId="6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quotePrefix="1" applyFont="1" applyBorder="1" applyAlignment="1">
      <alignment horizontal="center" vertical="center"/>
    </xf>
    <xf numFmtId="0" fontId="6" fillId="0" borderId="10" xfId="0" quotePrefix="1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165" fontId="6" fillId="0" borderId="10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8" fillId="2" borderId="12" xfId="0" applyNumberFormat="1" applyFont="1" applyFill="1" applyBorder="1" applyAlignment="1">
      <alignment horizontal="center" vertical="center"/>
    </xf>
    <xf numFmtId="164" fontId="3" fillId="2" borderId="12" xfId="0" applyNumberFormat="1" applyFont="1" applyFill="1" applyBorder="1" applyAlignment="1">
      <alignment horizontal="center" vertical="center"/>
    </xf>
    <xf numFmtId="165" fontId="6" fillId="2" borderId="12" xfId="0" applyNumberFormat="1" applyFont="1" applyFill="1" applyBorder="1" applyAlignment="1">
      <alignment horizontal="center" vertical="center"/>
    </xf>
    <xf numFmtId="165" fontId="6" fillId="2" borderId="13" xfId="0" applyNumberFormat="1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64" fontId="6" fillId="0" borderId="2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164" fontId="7" fillId="2" borderId="12" xfId="0" applyNumberFormat="1" applyFont="1" applyFill="1" applyBorder="1" applyAlignment="1">
      <alignment horizontal="center" vertical="center"/>
    </xf>
    <xf numFmtId="1" fontId="3" fillId="2" borderId="12" xfId="0" applyNumberFormat="1" applyFont="1" applyFill="1" applyBorder="1" applyAlignment="1">
      <alignment horizontal="center" vertical="center"/>
    </xf>
    <xf numFmtId="1" fontId="3" fillId="2" borderId="12" xfId="0" quotePrefix="1" applyNumberFormat="1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 wrapText="1"/>
    </xf>
    <xf numFmtId="0" fontId="9" fillId="0" borderId="0" xfId="0" applyFont="1"/>
    <xf numFmtId="0" fontId="0" fillId="0" borderId="0" xfId="0" applyAlignment="1">
      <alignment horizontal="center"/>
    </xf>
    <xf numFmtId="0" fontId="0" fillId="4" borderId="6" xfId="0" applyFill="1" applyBorder="1" applyAlignment="1">
      <alignment horizontal="center" vertical="top"/>
    </xf>
    <xf numFmtId="0" fontId="0" fillId="4" borderId="8" xfId="0" applyFill="1" applyBorder="1" applyAlignment="1">
      <alignment horizontal="center" vertical="top"/>
    </xf>
    <xf numFmtId="0" fontId="0" fillId="4" borderId="5" xfId="0" applyFill="1" applyBorder="1" applyAlignment="1">
      <alignment horizontal="center" vertical="top"/>
    </xf>
    <xf numFmtId="0" fontId="0" fillId="4" borderId="19" xfId="0" applyFill="1" applyBorder="1" applyAlignment="1">
      <alignment horizontal="center" vertical="top"/>
    </xf>
    <xf numFmtId="0" fontId="0" fillId="4" borderId="7" xfId="0" applyFill="1" applyBorder="1" applyAlignment="1">
      <alignment horizontal="center" vertical="top"/>
    </xf>
    <xf numFmtId="0" fontId="9" fillId="4" borderId="8" xfId="0" applyFont="1" applyFill="1" applyBorder="1" applyAlignment="1">
      <alignment horizontal="center" vertical="top"/>
    </xf>
    <xf numFmtId="166" fontId="0" fillId="4" borderId="5" xfId="0" applyNumberFormat="1" applyFill="1" applyBorder="1" applyAlignment="1">
      <alignment horizontal="left" vertical="top"/>
    </xf>
    <xf numFmtId="0" fontId="0" fillId="0" borderId="6" xfId="0" applyBorder="1" applyAlignment="1">
      <alignment horizontal="center" vertical="top"/>
    </xf>
    <xf numFmtId="1" fontId="0" fillId="5" borderId="6" xfId="0" applyNumberFormat="1" applyFill="1" applyBorder="1" applyAlignment="1">
      <alignment horizontal="center" vertical="center"/>
    </xf>
    <xf numFmtId="2" fontId="0" fillId="5" borderId="8" xfId="0" applyNumberFormat="1" applyFill="1" applyBorder="1" applyAlignment="1">
      <alignment horizontal="center" vertical="center"/>
    </xf>
    <xf numFmtId="2" fontId="0" fillId="5" borderId="6" xfId="0" applyNumberFormat="1" applyFill="1" applyBorder="1" applyAlignment="1">
      <alignment horizontal="center" vertical="center"/>
    </xf>
    <xf numFmtId="2" fontId="0" fillId="6" borderId="6" xfId="0" applyNumberFormat="1" applyFill="1" applyBorder="1" applyAlignment="1" applyProtection="1">
      <alignment horizontal="center" vertical="center"/>
      <protection locked="0"/>
    </xf>
    <xf numFmtId="2" fontId="0" fillId="6" borderId="5" xfId="0" applyNumberFormat="1" applyFill="1" applyBorder="1" applyAlignment="1" applyProtection="1">
      <alignment horizontal="center" vertical="center"/>
      <protection locked="0"/>
    </xf>
    <xf numFmtId="2" fontId="0" fillId="6" borderId="19" xfId="0" applyNumberFormat="1" applyFill="1" applyBorder="1" applyAlignment="1" applyProtection="1">
      <alignment horizontal="center" vertical="center"/>
      <protection locked="0"/>
    </xf>
    <xf numFmtId="1" fontId="0" fillId="6" borderId="6" xfId="0" applyNumberFormat="1" applyFill="1" applyBorder="1" applyAlignment="1" applyProtection="1">
      <alignment horizontal="center" vertical="center"/>
      <protection locked="0"/>
    </xf>
    <xf numFmtId="2" fontId="0" fillId="6" borderId="8" xfId="0" applyNumberFormat="1" applyFill="1" applyBorder="1" applyAlignment="1" applyProtection="1">
      <alignment horizontal="center" vertical="center"/>
      <protection locked="0"/>
    </xf>
    <xf numFmtId="167" fontId="0" fillId="0" borderId="19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49" fontId="0" fillId="0" borderId="5" xfId="0" applyNumberFormat="1" applyBorder="1" applyAlignment="1" applyProtection="1">
      <alignment horizontal="center" vertical="center"/>
      <protection locked="0"/>
    </xf>
    <xf numFmtId="49" fontId="0" fillId="0" borderId="6" xfId="0" applyNumberFormat="1" applyBorder="1" applyAlignment="1" applyProtection="1">
      <alignment horizontal="center" vertical="center"/>
      <protection locked="0"/>
    </xf>
    <xf numFmtId="2" fontId="0" fillId="0" borderId="6" xfId="0" applyNumberFormat="1" applyBorder="1" applyAlignment="1" applyProtection="1">
      <alignment horizontal="center" vertical="center"/>
      <protection locked="0"/>
    </xf>
    <xf numFmtId="1" fontId="0" fillId="7" borderId="6" xfId="0" applyNumberFormat="1" applyFill="1" applyBorder="1" applyAlignment="1" applyProtection="1">
      <alignment horizontal="center" vertical="center"/>
      <protection locked="0"/>
    </xf>
    <xf numFmtId="2" fontId="0" fillId="7" borderId="6" xfId="0" applyNumberFormat="1" applyFill="1" applyBorder="1" applyAlignment="1" applyProtection="1">
      <alignment horizontal="center" vertical="center"/>
      <protection locked="0"/>
    </xf>
    <xf numFmtId="2" fontId="0" fillId="8" borderId="5" xfId="0" applyNumberFormat="1" applyFill="1" applyBorder="1" applyAlignment="1">
      <alignment horizontal="center" vertical="center"/>
    </xf>
    <xf numFmtId="2" fontId="0" fillId="8" borderId="6" xfId="0" applyNumberFormat="1" applyFill="1" applyBorder="1" applyAlignment="1">
      <alignment horizontal="center" vertical="center"/>
    </xf>
    <xf numFmtId="2" fontId="0" fillId="0" borderId="5" xfId="0" applyNumberFormat="1" applyBorder="1" applyAlignment="1" applyProtection="1">
      <alignment horizontal="center" vertical="center"/>
      <protection locked="0"/>
    </xf>
    <xf numFmtId="2" fontId="0" fillId="0" borderId="7" xfId="0" applyNumberFormat="1" applyBorder="1" applyAlignment="1">
      <alignment horizontal="center" vertical="center"/>
    </xf>
    <xf numFmtId="167" fontId="2" fillId="0" borderId="5" xfId="0" applyNumberFormat="1" applyFont="1" applyBorder="1"/>
    <xf numFmtId="167" fontId="2" fillId="0" borderId="6" xfId="0" applyNumberFormat="1" applyFont="1" applyBorder="1"/>
    <xf numFmtId="168" fontId="0" fillId="0" borderId="6" xfId="2" applyNumberFormat="1" applyFont="1" applyBorder="1" applyAlignment="1">
      <alignment horizontal="right"/>
    </xf>
    <xf numFmtId="169" fontId="2" fillId="0" borderId="8" xfId="1" applyNumberFormat="1" applyFont="1" applyBorder="1"/>
    <xf numFmtId="2" fontId="0" fillId="0" borderId="0" xfId="0" applyNumberFormat="1"/>
    <xf numFmtId="49" fontId="0" fillId="0" borderId="0" xfId="0" applyNumberFormat="1"/>
    <xf numFmtId="167" fontId="0" fillId="0" borderId="6" xfId="0" applyNumberFormat="1" applyBorder="1" applyAlignment="1">
      <alignment horizontal="center" vertical="center"/>
    </xf>
    <xf numFmtId="167" fontId="0" fillId="0" borderId="6" xfId="0" applyNumberFormat="1" applyBorder="1"/>
    <xf numFmtId="167" fontId="0" fillId="0" borderId="5" xfId="0" applyNumberFormat="1" applyBorder="1"/>
    <xf numFmtId="2" fontId="0" fillId="9" borderId="5" xfId="0" applyNumberFormat="1" applyFill="1" applyBorder="1" applyAlignment="1" applyProtection="1">
      <alignment horizontal="center" vertical="center"/>
      <protection locked="0"/>
    </xf>
    <xf numFmtId="167" fontId="0" fillId="0" borderId="0" xfId="0" applyNumberFormat="1"/>
    <xf numFmtId="2" fontId="0" fillId="9" borderId="6" xfId="0" applyNumberFormat="1" applyFill="1" applyBorder="1" applyAlignment="1" applyProtection="1">
      <alignment horizontal="center" vertical="center"/>
      <protection locked="0"/>
    </xf>
    <xf numFmtId="49" fontId="0" fillId="9" borderId="6" xfId="0" applyNumberFormat="1" applyFill="1" applyBorder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1" fontId="0" fillId="5" borderId="5" xfId="0" applyNumberFormat="1" applyFill="1" applyBorder="1" applyAlignment="1" applyProtection="1">
      <alignment horizontal="center" vertical="center"/>
      <protection locked="0"/>
    </xf>
    <xf numFmtId="2" fontId="0" fillId="5" borderId="6" xfId="0" applyNumberFormat="1" applyFill="1" applyBorder="1" applyAlignment="1" applyProtection="1">
      <alignment horizontal="center" vertical="center"/>
      <protection locked="0"/>
    </xf>
    <xf numFmtId="1" fontId="0" fillId="0" borderId="5" xfId="0" applyNumberFormat="1" applyBorder="1" applyAlignment="1" applyProtection="1">
      <alignment horizontal="center" vertical="center"/>
      <protection locked="0"/>
    </xf>
    <xf numFmtId="1" fontId="0" fillId="0" borderId="0" xfId="0" applyNumberFormat="1"/>
    <xf numFmtId="1" fontId="0" fillId="0" borderId="6" xfId="0" applyNumberFormat="1" applyBorder="1" applyAlignment="1">
      <alignment horizontal="center" vertical="center"/>
    </xf>
    <xf numFmtId="1" fontId="0" fillId="9" borderId="5" xfId="0" applyNumberFormat="1" applyFill="1" applyBorder="1" applyAlignment="1" applyProtection="1">
      <alignment horizontal="center" vertical="center"/>
      <protection locked="0"/>
    </xf>
    <xf numFmtId="0" fontId="0" fillId="0" borderId="21" xfId="0" applyBorder="1" applyAlignment="1">
      <alignment horizontal="center" vertical="top"/>
    </xf>
    <xf numFmtId="167" fontId="0" fillId="10" borderId="20" xfId="0" applyNumberFormat="1" applyFill="1" applyBorder="1"/>
    <xf numFmtId="0" fontId="0" fillId="0" borderId="21" xfId="0" applyBorder="1"/>
    <xf numFmtId="169" fontId="9" fillId="0" borderId="22" xfId="1" applyNumberFormat="1" applyFont="1" applyBorder="1"/>
    <xf numFmtId="167" fontId="0" fillId="0" borderId="5" xfId="0" applyNumberFormat="1" applyBorder="1" applyAlignment="1" applyProtection="1">
      <alignment horizontal="center" vertical="center"/>
      <protection locked="0"/>
    </xf>
    <xf numFmtId="169" fontId="0" fillId="0" borderId="0" xfId="0" applyNumberFormat="1"/>
    <xf numFmtId="21" fontId="0" fillId="0" borderId="6" xfId="0" applyNumberFormat="1" applyBorder="1" applyAlignment="1">
      <alignment horizontal="center" vertical="top"/>
    </xf>
    <xf numFmtId="0" fontId="11" fillId="0" borderId="6" xfId="0" applyFont="1" applyBorder="1" applyAlignment="1">
      <alignment horizontal="center" vertical="top"/>
    </xf>
    <xf numFmtId="1" fontId="11" fillId="5" borderId="5" xfId="0" applyNumberFormat="1" applyFont="1" applyFill="1" applyBorder="1" applyAlignment="1" applyProtection="1">
      <alignment horizontal="center" vertical="center"/>
      <protection locked="0"/>
    </xf>
    <xf numFmtId="2" fontId="11" fillId="5" borderId="6" xfId="0" applyNumberFormat="1" applyFont="1" applyFill="1" applyBorder="1" applyAlignment="1" applyProtection="1">
      <alignment horizontal="center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6" xfId="0" applyNumberFormat="1" applyFont="1" applyBorder="1" applyAlignment="1" applyProtection="1">
      <alignment horizontal="center" vertical="center"/>
      <protection locked="0"/>
    </xf>
    <xf numFmtId="2" fontId="11" fillId="0" borderId="6" xfId="0" applyNumberFormat="1" applyFont="1" applyBorder="1" applyAlignment="1" applyProtection="1">
      <alignment horizontal="center" vertical="center"/>
      <protection locked="0"/>
    </xf>
    <xf numFmtId="1" fontId="11" fillId="0" borderId="6" xfId="0" applyNumberFormat="1" applyFont="1" applyBorder="1" applyAlignment="1">
      <alignment horizontal="center" vertical="center"/>
    </xf>
    <xf numFmtId="2" fontId="11" fillId="0" borderId="6" xfId="0" applyNumberFormat="1" applyFont="1" applyBorder="1" applyAlignment="1">
      <alignment horizontal="center" vertical="center"/>
    </xf>
    <xf numFmtId="1" fontId="0" fillId="12" borderId="5" xfId="0" applyNumberFormat="1" applyFill="1" applyBorder="1" applyAlignment="1" applyProtection="1">
      <alignment horizontal="center" vertical="center"/>
      <protection locked="0"/>
    </xf>
    <xf numFmtId="2" fontId="0" fillId="12" borderId="6" xfId="0" applyNumberFormat="1" applyFill="1" applyBorder="1" applyAlignment="1" applyProtection="1">
      <alignment horizontal="center" vertical="center"/>
      <protection locked="0"/>
    </xf>
    <xf numFmtId="167" fontId="0" fillId="9" borderId="5" xfId="0" applyNumberFormat="1" applyFill="1" applyBorder="1" applyAlignment="1" applyProtection="1">
      <alignment horizontal="center" vertical="center"/>
      <protection locked="0"/>
    </xf>
    <xf numFmtId="0" fontId="12" fillId="0" borderId="0" xfId="0" applyFont="1"/>
    <xf numFmtId="0" fontId="12" fillId="4" borderId="8" xfId="0" applyFont="1" applyFill="1" applyBorder="1" applyAlignment="1">
      <alignment horizontal="center" vertical="top"/>
    </xf>
    <xf numFmtId="1" fontId="11" fillId="7" borderId="6" xfId="0" applyNumberFormat="1" applyFont="1" applyFill="1" applyBorder="1" applyAlignment="1" applyProtection="1">
      <alignment horizontal="center" vertical="center"/>
      <protection locked="0"/>
    </xf>
    <xf numFmtId="2" fontId="11" fillId="7" borderId="6" xfId="0" applyNumberFormat="1" applyFont="1" applyFill="1" applyBorder="1" applyAlignment="1" applyProtection="1">
      <alignment horizontal="center" vertical="center"/>
      <protection locked="0"/>
    </xf>
    <xf numFmtId="168" fontId="1" fillId="0" borderId="6" xfId="2" applyNumberFormat="1" applyFont="1" applyBorder="1" applyAlignment="1">
      <alignment horizontal="right"/>
    </xf>
    <xf numFmtId="169" fontId="1" fillId="0" borderId="8" xfId="1" applyNumberFormat="1" applyFont="1" applyBorder="1"/>
    <xf numFmtId="1" fontId="0" fillId="11" borderId="0" xfId="0" applyNumberFormat="1" applyFill="1"/>
    <xf numFmtId="2" fontId="0" fillId="0" borderId="23" xfId="0" applyNumberFormat="1" applyBorder="1" applyAlignment="1" applyProtection="1">
      <alignment horizontal="center" vertical="center"/>
      <protection locked="0"/>
    </xf>
    <xf numFmtId="167" fontId="0" fillId="13" borderId="5" xfId="0" applyNumberFormat="1" applyFill="1" applyBorder="1" applyAlignment="1" applyProtection="1">
      <alignment horizontal="center" vertical="center" wrapText="1"/>
      <protection locked="0"/>
    </xf>
    <xf numFmtId="167" fontId="0" fillId="13" borderId="6" xfId="0" applyNumberFormat="1" applyFill="1" applyBorder="1" applyAlignment="1">
      <alignment horizontal="center" vertical="center"/>
    </xf>
    <xf numFmtId="2" fontId="0" fillId="13" borderId="6" xfId="0" applyNumberFormat="1" applyFill="1" applyBorder="1" applyAlignment="1" applyProtection="1">
      <alignment horizontal="center" vertical="center"/>
      <protection locked="0"/>
    </xf>
    <xf numFmtId="2" fontId="0" fillId="13" borderId="7" xfId="0" applyNumberFormat="1" applyFill="1" applyBorder="1" applyAlignment="1" applyProtection="1">
      <alignment horizontal="center" vertical="center"/>
      <protection locked="0"/>
    </xf>
    <xf numFmtId="167" fontId="0" fillId="13" borderId="6" xfId="0" applyNumberFormat="1" applyFill="1" applyBorder="1" applyAlignment="1" applyProtection="1">
      <alignment horizontal="center" vertical="center" wrapText="1"/>
      <protection locked="0"/>
    </xf>
    <xf numFmtId="2" fontId="0" fillId="0" borderId="23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1" fontId="0" fillId="0" borderId="10" xfId="0" applyNumberFormat="1" applyBorder="1"/>
    <xf numFmtId="167" fontId="2" fillId="0" borderId="0" xfId="0" applyNumberFormat="1" applyFont="1"/>
    <xf numFmtId="167" fontId="2" fillId="10" borderId="20" xfId="0" applyNumberFormat="1" applyFont="1" applyFill="1" applyBorder="1"/>
    <xf numFmtId="169" fontId="2" fillId="0" borderId="0" xfId="0" applyNumberFormat="1" applyFont="1"/>
    <xf numFmtId="0" fontId="6" fillId="0" borderId="0" xfId="0" applyFont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166" fontId="6" fillId="3" borderId="25" xfId="0" applyNumberFormat="1" applyFont="1" applyFill="1" applyBorder="1" applyAlignment="1">
      <alignment horizontal="left" vertical="top"/>
    </xf>
    <xf numFmtId="0" fontId="6" fillId="3" borderId="25" xfId="0" applyFont="1" applyFill="1" applyBorder="1" applyAlignment="1">
      <alignment horizontal="center" vertical="top"/>
    </xf>
    <xf numFmtId="1" fontId="13" fillId="0" borderId="25" xfId="0" applyNumberFormat="1" applyFont="1" applyBorder="1" applyAlignment="1">
      <alignment horizontal="center" vertical="center"/>
    </xf>
    <xf numFmtId="1" fontId="14" fillId="0" borderId="25" xfId="0" applyNumberFormat="1" applyFont="1" applyBorder="1" applyAlignment="1">
      <alignment horizontal="center" vertical="center"/>
    </xf>
    <xf numFmtId="49" fontId="0" fillId="0" borderId="6" xfId="0" quotePrefix="1" applyNumberFormat="1" applyBorder="1" applyAlignment="1" applyProtection="1">
      <alignment horizontal="center" vertical="center"/>
      <protection locked="0"/>
    </xf>
    <xf numFmtId="49" fontId="11" fillId="0" borderId="26" xfId="0" applyNumberFormat="1" applyFont="1" applyBorder="1" applyAlignment="1" applyProtection="1">
      <alignment horizontal="center" vertical="center"/>
      <protection locked="0"/>
    </xf>
    <xf numFmtId="49" fontId="11" fillId="0" borderId="27" xfId="0" applyNumberFormat="1" applyFont="1" applyBorder="1" applyAlignment="1" applyProtection="1">
      <alignment horizontal="center" vertical="center"/>
      <protection locked="0"/>
    </xf>
    <xf numFmtId="2" fontId="11" fillId="0" borderId="27" xfId="0" applyNumberFormat="1" applyFont="1" applyBorder="1" applyAlignment="1" applyProtection="1">
      <alignment horizontal="center" vertical="center"/>
      <protection locked="0"/>
    </xf>
    <xf numFmtId="1" fontId="11" fillId="7" borderId="27" xfId="0" applyNumberFormat="1" applyFont="1" applyFill="1" applyBorder="1" applyAlignment="1" applyProtection="1">
      <alignment horizontal="center" vertical="center"/>
      <protection locked="0"/>
    </xf>
    <xf numFmtId="2" fontId="11" fillId="7" borderId="27" xfId="0" applyNumberFormat="1" applyFont="1" applyFill="1" applyBorder="1" applyAlignment="1" applyProtection="1">
      <alignment horizontal="center" vertical="center"/>
      <protection locked="0"/>
    </xf>
    <xf numFmtId="1" fontId="11" fillId="0" borderId="26" xfId="0" applyNumberFormat="1" applyFont="1" applyBorder="1" applyAlignment="1" applyProtection="1">
      <alignment horizontal="center" vertical="center"/>
      <protection locked="0"/>
    </xf>
    <xf numFmtId="2" fontId="0" fillId="5" borderId="7" xfId="0" applyNumberFormat="1" applyFill="1" applyBorder="1" applyAlignment="1">
      <alignment horizontal="center" vertical="center"/>
    </xf>
    <xf numFmtId="167" fontId="0" fillId="13" borderId="26" xfId="0" applyNumberFormat="1" applyFill="1" applyBorder="1" applyAlignment="1" applyProtection="1">
      <alignment horizontal="center" vertical="center" wrapText="1"/>
      <protection locked="0"/>
    </xf>
    <xf numFmtId="167" fontId="0" fillId="13" borderId="27" xfId="0" applyNumberFormat="1" applyFill="1" applyBorder="1" applyAlignment="1">
      <alignment horizontal="center" vertical="center"/>
    </xf>
    <xf numFmtId="2" fontId="0" fillId="13" borderId="27" xfId="0" applyNumberFormat="1" applyFill="1" applyBorder="1" applyAlignment="1" applyProtection="1">
      <alignment horizontal="center" vertical="center"/>
      <protection locked="0"/>
    </xf>
    <xf numFmtId="2" fontId="0" fillId="13" borderId="28" xfId="0" applyNumberFormat="1" applyFill="1" applyBorder="1" applyAlignment="1" applyProtection="1">
      <alignment horizontal="center" vertical="center"/>
      <protection locked="0"/>
    </xf>
    <xf numFmtId="167" fontId="0" fillId="13" borderId="27" xfId="0" applyNumberFormat="1" applyFill="1" applyBorder="1" applyAlignment="1" applyProtection="1">
      <alignment horizontal="center" vertical="center" wrapText="1"/>
      <protection locked="0"/>
    </xf>
    <xf numFmtId="0" fontId="6" fillId="0" borderId="0" xfId="0" applyFont="1"/>
    <xf numFmtId="0" fontId="15" fillId="0" borderId="0" xfId="0" applyFont="1"/>
    <xf numFmtId="0" fontId="6" fillId="0" borderId="0" xfId="0" applyFont="1" applyAlignment="1">
      <alignment horizontal="center"/>
    </xf>
    <xf numFmtId="0" fontId="6" fillId="4" borderId="6" xfId="0" applyFont="1" applyFill="1" applyBorder="1" applyAlignment="1">
      <alignment horizontal="center" vertical="top"/>
    </xf>
    <xf numFmtId="0" fontId="6" fillId="4" borderId="8" xfId="0" applyFont="1" applyFill="1" applyBorder="1" applyAlignment="1">
      <alignment horizontal="center" vertical="top"/>
    </xf>
    <xf numFmtId="0" fontId="6" fillId="4" borderId="19" xfId="0" applyFont="1" applyFill="1" applyBorder="1" applyAlignment="1">
      <alignment horizontal="center" vertical="top"/>
    </xf>
    <xf numFmtId="0" fontId="6" fillId="4" borderId="5" xfId="0" applyFont="1" applyFill="1" applyBorder="1" applyAlignment="1">
      <alignment horizontal="center" vertical="top"/>
    </xf>
    <xf numFmtId="0" fontId="6" fillId="4" borderId="7" xfId="0" applyFont="1" applyFill="1" applyBorder="1" applyAlignment="1">
      <alignment horizontal="center" vertical="top"/>
    </xf>
    <xf numFmtId="0" fontId="15" fillId="4" borderId="8" xfId="0" applyFont="1" applyFill="1" applyBorder="1" applyAlignment="1">
      <alignment horizontal="center" vertical="top"/>
    </xf>
    <xf numFmtId="0" fontId="6" fillId="0" borderId="29" xfId="0" applyFont="1" applyBorder="1"/>
    <xf numFmtId="2" fontId="6" fillId="0" borderId="5" xfId="0" applyNumberFormat="1" applyFont="1" applyBorder="1" applyAlignment="1" applyProtection="1">
      <alignment horizontal="center" vertical="center"/>
      <protection locked="0"/>
    </xf>
    <xf numFmtId="2" fontId="6" fillId="0" borderId="6" xfId="0" applyNumberFormat="1" applyFont="1" applyBorder="1" applyAlignment="1" applyProtection="1">
      <alignment horizontal="center" vertical="center"/>
      <protection locked="0"/>
    </xf>
    <xf numFmtId="167" fontId="6" fillId="13" borderId="5" xfId="0" applyNumberFormat="1" applyFont="1" applyFill="1" applyBorder="1" applyAlignment="1" applyProtection="1">
      <alignment horizontal="center" vertical="center" wrapText="1"/>
      <protection locked="0"/>
    </xf>
    <xf numFmtId="167" fontId="6" fillId="13" borderId="6" xfId="0" applyNumberFormat="1" applyFont="1" applyFill="1" applyBorder="1" applyAlignment="1">
      <alignment horizontal="center" vertical="center"/>
    </xf>
    <xf numFmtId="2" fontId="6" fillId="13" borderId="6" xfId="0" applyNumberFormat="1" applyFont="1" applyFill="1" applyBorder="1" applyAlignment="1" applyProtection="1">
      <alignment horizontal="center" vertical="center"/>
      <protection locked="0"/>
    </xf>
    <xf numFmtId="2" fontId="6" fillId="13" borderId="7" xfId="0" applyNumberFormat="1" applyFont="1" applyFill="1" applyBorder="1" applyAlignment="1" applyProtection="1">
      <alignment horizontal="center" vertical="center"/>
      <protection locked="0"/>
    </xf>
    <xf numFmtId="2" fontId="6" fillId="6" borderId="19" xfId="0" applyNumberFormat="1" applyFont="1" applyFill="1" applyBorder="1" applyAlignment="1" applyProtection="1">
      <alignment horizontal="center" vertical="center"/>
      <protection locked="0"/>
    </xf>
    <xf numFmtId="1" fontId="6" fillId="6" borderId="6" xfId="0" applyNumberFormat="1" applyFont="1" applyFill="1" applyBorder="1" applyAlignment="1" applyProtection="1">
      <alignment horizontal="center" vertical="center"/>
      <protection locked="0"/>
    </xf>
    <xf numFmtId="2" fontId="6" fillId="6" borderId="6" xfId="0" applyNumberFormat="1" applyFont="1" applyFill="1" applyBorder="1" applyAlignment="1" applyProtection="1">
      <alignment horizontal="center" vertical="center"/>
      <protection locked="0"/>
    </xf>
    <xf numFmtId="2" fontId="6" fillId="6" borderId="8" xfId="0" applyNumberFormat="1" applyFont="1" applyFill="1" applyBorder="1" applyAlignment="1" applyProtection="1">
      <alignment horizontal="center" vertical="center"/>
      <protection locked="0"/>
    </xf>
    <xf numFmtId="167" fontId="6" fillId="0" borderId="19" xfId="0" applyNumberFormat="1" applyFont="1" applyBorder="1" applyAlignment="1">
      <alignment horizontal="center" vertical="center"/>
    </xf>
    <xf numFmtId="2" fontId="6" fillId="0" borderId="6" xfId="0" applyNumberFormat="1" applyFont="1" applyBorder="1" applyAlignment="1">
      <alignment horizontal="center" vertical="center"/>
    </xf>
    <xf numFmtId="2" fontId="6" fillId="0" borderId="8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 applyProtection="1">
      <alignment horizontal="center" vertical="center"/>
      <protection locked="0"/>
    </xf>
    <xf numFmtId="49" fontId="6" fillId="0" borderId="6" xfId="0" applyNumberFormat="1" applyFont="1" applyBorder="1" applyAlignment="1" applyProtection="1">
      <alignment horizontal="center" vertical="center"/>
      <protection locked="0"/>
    </xf>
    <xf numFmtId="1" fontId="6" fillId="7" borderId="6" xfId="0" applyNumberFormat="1" applyFont="1" applyFill="1" applyBorder="1" applyAlignment="1" applyProtection="1">
      <alignment horizontal="center" vertical="center"/>
      <protection locked="0"/>
    </xf>
    <xf numFmtId="2" fontId="6" fillId="7" borderId="6" xfId="0" applyNumberFormat="1" applyFont="1" applyFill="1" applyBorder="1" applyAlignment="1" applyProtection="1">
      <alignment horizontal="center" vertical="center"/>
      <protection locked="0"/>
    </xf>
    <xf numFmtId="2" fontId="6" fillId="8" borderId="5" xfId="0" applyNumberFormat="1" applyFont="1" applyFill="1" applyBorder="1" applyAlignment="1">
      <alignment horizontal="center" vertical="center"/>
    </xf>
    <xf numFmtId="2" fontId="6" fillId="8" borderId="6" xfId="0" applyNumberFormat="1" applyFont="1" applyFill="1" applyBorder="1" applyAlignment="1">
      <alignment horizontal="center" vertical="center"/>
    </xf>
    <xf numFmtId="1" fontId="6" fillId="0" borderId="5" xfId="0" applyNumberFormat="1" applyFont="1" applyBorder="1" applyAlignment="1" applyProtection="1">
      <alignment horizontal="center" vertical="center"/>
      <protection locked="0"/>
    </xf>
    <xf numFmtId="2" fontId="6" fillId="0" borderId="7" xfId="0" applyNumberFormat="1" applyFont="1" applyBorder="1" applyAlignment="1">
      <alignment horizontal="center" vertical="center"/>
    </xf>
    <xf numFmtId="167" fontId="6" fillId="0" borderId="5" xfId="0" applyNumberFormat="1" applyFont="1" applyBorder="1"/>
    <xf numFmtId="167" fontId="6" fillId="0" borderId="6" xfId="0" applyNumberFormat="1" applyFont="1" applyBorder="1"/>
    <xf numFmtId="168" fontId="6" fillId="0" borderId="6" xfId="2" applyNumberFormat="1" applyFont="1" applyBorder="1" applyAlignment="1">
      <alignment horizontal="right"/>
    </xf>
    <xf numFmtId="1" fontId="6" fillId="0" borderId="0" xfId="0" applyNumberFormat="1" applyFont="1"/>
    <xf numFmtId="167" fontId="6" fillId="0" borderId="5" xfId="0" applyNumberFormat="1" applyFont="1" applyBorder="1" applyAlignment="1" applyProtection="1">
      <alignment horizontal="center" vertical="center"/>
      <protection locked="0"/>
    </xf>
    <xf numFmtId="167" fontId="6" fillId="0" borderId="6" xfId="0" applyNumberFormat="1" applyFont="1" applyBorder="1" applyAlignment="1">
      <alignment horizontal="center" vertical="center"/>
    </xf>
    <xf numFmtId="167" fontId="6" fillId="9" borderId="5" xfId="0" applyNumberFormat="1" applyFont="1" applyFill="1" applyBorder="1" applyAlignment="1" applyProtection="1">
      <alignment horizontal="center" vertical="center"/>
      <protection locked="0"/>
    </xf>
    <xf numFmtId="2" fontId="6" fillId="0" borderId="23" xfId="0" applyNumberFormat="1" applyFont="1" applyBorder="1" applyAlignment="1" applyProtection="1">
      <alignment horizontal="center" vertical="center"/>
      <protection locked="0"/>
    </xf>
    <xf numFmtId="2" fontId="6" fillId="9" borderId="6" xfId="0" applyNumberFormat="1" applyFont="1" applyFill="1" applyBorder="1" applyAlignment="1" applyProtection="1">
      <alignment horizontal="center" vertical="center"/>
      <protection locked="0"/>
    </xf>
    <xf numFmtId="2" fontId="6" fillId="0" borderId="0" xfId="0" applyNumberFormat="1" applyFont="1"/>
    <xf numFmtId="14" fontId="6" fillId="0" borderId="0" xfId="0" applyNumberFormat="1" applyFont="1"/>
    <xf numFmtId="167" fontId="6" fillId="0" borderId="0" xfId="0" applyNumberFormat="1" applyFont="1"/>
    <xf numFmtId="2" fontId="0" fillId="6" borderId="19" xfId="0" quotePrefix="1" applyNumberFormat="1" applyFill="1" applyBorder="1" applyAlignment="1" applyProtection="1">
      <alignment horizontal="center" vertical="center"/>
      <protection locked="0"/>
    </xf>
    <xf numFmtId="2" fontId="0" fillId="13" borderId="8" xfId="0" applyNumberFormat="1" applyFill="1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5" borderId="5" xfId="0" applyNumberFormat="1" applyFill="1" applyBorder="1" applyAlignment="1" applyProtection="1">
      <alignment horizontal="center" vertical="center"/>
      <protection locked="0"/>
    </xf>
    <xf numFmtId="0" fontId="0" fillId="11" borderId="6" xfId="0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" fontId="0" fillId="15" borderId="5" xfId="0" applyNumberFormat="1" applyFill="1" applyBorder="1" applyAlignment="1" applyProtection="1">
      <alignment horizontal="center" vertical="center"/>
      <protection locked="0"/>
    </xf>
    <xf numFmtId="2" fontId="0" fillId="15" borderId="6" xfId="0" applyNumberFormat="1" applyFill="1" applyBorder="1" applyAlignment="1" applyProtection="1">
      <alignment horizontal="center" vertical="center"/>
      <protection locked="0"/>
    </xf>
    <xf numFmtId="2" fontId="0" fillId="13" borderId="5" xfId="0" applyNumberFormat="1" applyFill="1" applyBorder="1" applyAlignment="1" applyProtection="1">
      <alignment horizontal="center" vertical="center" wrapText="1"/>
      <protection locked="0"/>
    </xf>
    <xf numFmtId="2" fontId="0" fillId="13" borderId="6" xfId="0" applyNumberFormat="1" applyFill="1" applyBorder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0" fontId="6" fillId="0" borderId="35" xfId="0" applyFont="1" applyBorder="1" applyAlignment="1">
      <alignment horizontal="left" vertical="center"/>
    </xf>
    <xf numFmtId="167" fontId="0" fillId="0" borderId="6" xfId="0" applyNumberFormat="1" applyBorder="1" applyAlignment="1" applyProtection="1">
      <alignment horizontal="center" vertical="center"/>
      <protection locked="0"/>
    </xf>
    <xf numFmtId="167" fontId="0" fillId="9" borderId="6" xfId="0" applyNumberFormat="1" applyFill="1" applyBorder="1" applyAlignment="1" applyProtection="1">
      <alignment horizontal="center" vertical="center"/>
      <protection locked="0"/>
    </xf>
    <xf numFmtId="0" fontId="17" fillId="16" borderId="36" xfId="0" applyFont="1" applyFill="1" applyBorder="1" applyAlignment="1">
      <alignment vertical="center"/>
    </xf>
    <xf numFmtId="2" fontId="0" fillId="13" borderId="0" xfId="0" applyNumberFormat="1" applyFill="1" applyAlignment="1" applyProtection="1">
      <alignment horizontal="center" vertical="center"/>
      <protection locked="0"/>
    </xf>
    <xf numFmtId="2" fontId="0" fillId="6" borderId="0" xfId="0" applyNumberFormat="1" applyFill="1" applyAlignment="1" applyProtection="1">
      <alignment horizontal="center" vertical="center"/>
      <protection locked="0"/>
    </xf>
    <xf numFmtId="1" fontId="6" fillId="0" borderId="10" xfId="0" applyNumberFormat="1" applyFont="1" applyBorder="1"/>
    <xf numFmtId="164" fontId="7" fillId="0" borderId="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6" fillId="0" borderId="20" xfId="0" quotePrefix="1" applyFont="1" applyBorder="1" applyAlignment="1">
      <alignment horizontal="center" vertical="center"/>
    </xf>
    <xf numFmtId="0" fontId="6" fillId="0" borderId="21" xfId="0" quotePrefix="1" applyFont="1" applyBorder="1" applyAlignment="1">
      <alignment horizontal="center" vertical="center"/>
    </xf>
    <xf numFmtId="0" fontId="6" fillId="0" borderId="21" xfId="0" applyFont="1" applyBorder="1" applyAlignment="1">
      <alignment horizontal="left" vertical="center"/>
    </xf>
    <xf numFmtId="164" fontId="7" fillId="0" borderId="21" xfId="0" applyNumberFormat="1" applyFont="1" applyBorder="1" applyAlignment="1">
      <alignment horizontal="center" vertical="center"/>
    </xf>
    <xf numFmtId="1" fontId="6" fillId="0" borderId="21" xfId="1" applyNumberFormat="1" applyFon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64" fontId="6" fillId="0" borderId="21" xfId="0" applyNumberFormat="1" applyFont="1" applyBorder="1" applyAlignment="1">
      <alignment horizontal="center" vertical="center"/>
    </xf>
    <xf numFmtId="165" fontId="6" fillId="0" borderId="21" xfId="0" applyNumberFormat="1" applyFont="1" applyBorder="1" applyAlignment="1">
      <alignment horizontal="center" vertical="center"/>
    </xf>
    <xf numFmtId="0" fontId="3" fillId="2" borderId="15" xfId="0" quotePrefix="1" applyFont="1" applyFill="1" applyBorder="1" applyAlignment="1">
      <alignment horizontal="center" vertical="center" wrapText="1"/>
    </xf>
    <xf numFmtId="0" fontId="3" fillId="2" borderId="16" xfId="0" quotePrefix="1" applyFont="1" applyFill="1" applyBorder="1" applyAlignment="1">
      <alignment horizontal="center" vertical="center" wrapText="1"/>
    </xf>
    <xf numFmtId="0" fontId="3" fillId="2" borderId="17" xfId="0" quotePrefix="1" applyFont="1" applyFill="1" applyBorder="1" applyAlignment="1">
      <alignment horizontal="center" vertical="center" wrapText="1"/>
    </xf>
    <xf numFmtId="2" fontId="0" fillId="11" borderId="5" xfId="0" applyNumberFormat="1" applyFill="1" applyBorder="1" applyAlignment="1">
      <alignment horizontal="center" vertical="center"/>
    </xf>
    <xf numFmtId="2" fontId="0" fillId="11" borderId="6" xfId="0" applyNumberFormat="1" applyFill="1" applyBorder="1" applyAlignment="1">
      <alignment horizontal="center" vertical="center"/>
    </xf>
    <xf numFmtId="2" fontId="0" fillId="14" borderId="5" xfId="0" applyNumberFormat="1" applyFill="1" applyBorder="1" applyAlignment="1">
      <alignment horizontal="center" vertical="center"/>
    </xf>
    <xf numFmtId="2" fontId="0" fillId="14" borderId="6" xfId="0" applyNumberFormat="1" applyFill="1" applyBorder="1" applyAlignment="1">
      <alignment horizontal="center" vertical="center"/>
    </xf>
    <xf numFmtId="2" fontId="6" fillId="11" borderId="5" xfId="0" applyNumberFormat="1" applyFont="1" applyFill="1" applyBorder="1" applyAlignment="1">
      <alignment horizontal="center" vertical="center"/>
    </xf>
    <xf numFmtId="2" fontId="6" fillId="11" borderId="6" xfId="0" applyNumberFormat="1" applyFont="1" applyFill="1" applyBorder="1" applyAlignment="1">
      <alignment horizontal="center" vertical="center"/>
    </xf>
    <xf numFmtId="0" fontId="3" fillId="2" borderId="11" xfId="0" quotePrefix="1" applyFont="1" applyFill="1" applyBorder="1" applyAlignment="1">
      <alignment horizontal="center" vertical="center"/>
    </xf>
    <xf numFmtId="0" fontId="3" fillId="2" borderId="12" xfId="0" quotePrefix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4" borderId="30" xfId="0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30" xfId="0" applyFill="1" applyBorder="1" applyAlignment="1">
      <alignment horizontal="center" vertical="top"/>
    </xf>
    <xf numFmtId="0" fontId="0" fillId="4" borderId="31" xfId="0" applyFill="1" applyBorder="1" applyAlignment="1">
      <alignment horizontal="center" vertical="top"/>
    </xf>
    <xf numFmtId="0" fontId="0" fillId="4" borderId="32" xfId="0" applyFill="1" applyBorder="1" applyAlignment="1">
      <alignment horizontal="center" vertical="top"/>
    </xf>
    <xf numFmtId="0" fontId="10" fillId="4" borderId="34" xfId="0" applyFont="1" applyFill="1" applyBorder="1" applyAlignment="1">
      <alignment horizontal="center" vertical="center"/>
    </xf>
    <xf numFmtId="0" fontId="10" fillId="4" borderId="26" xfId="0" applyFont="1" applyFill="1" applyBorder="1" applyAlignment="1">
      <alignment horizontal="center" vertical="center"/>
    </xf>
    <xf numFmtId="0" fontId="10" fillId="4" borderId="33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top" wrapText="1"/>
    </xf>
    <xf numFmtId="0" fontId="0" fillId="4" borderId="31" xfId="0" applyFill="1" applyBorder="1" applyAlignment="1">
      <alignment horizontal="center" vertical="top" wrapText="1"/>
    </xf>
    <xf numFmtId="0" fontId="0" fillId="4" borderId="32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" xfId="0" applyFill="1" applyBorder="1" applyAlignment="1">
      <alignment horizontal="center" vertical="top"/>
    </xf>
    <xf numFmtId="0" fontId="0" fillId="4" borderId="2" xfId="0" applyFill="1" applyBorder="1" applyAlignment="1">
      <alignment horizontal="center" vertical="top"/>
    </xf>
    <xf numFmtId="0" fontId="0" fillId="4" borderId="4" xfId="0" applyFill="1" applyBorder="1" applyAlignment="1">
      <alignment horizontal="center" vertical="top"/>
    </xf>
    <xf numFmtId="0" fontId="0" fillId="4" borderId="3" xfId="0" applyFill="1" applyBorder="1" applyAlignment="1">
      <alignment horizontal="center" vertical="top"/>
    </xf>
    <xf numFmtId="0" fontId="10" fillId="4" borderId="1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18" xfId="0" applyFill="1" applyBorder="1" applyAlignment="1">
      <alignment horizontal="center" vertical="top"/>
    </xf>
    <xf numFmtId="0" fontId="6" fillId="3" borderId="25" xfId="0" applyFont="1" applyFill="1" applyBorder="1" applyAlignment="1">
      <alignment horizontal="center" vertical="center"/>
    </xf>
    <xf numFmtId="166" fontId="3" fillId="3" borderId="25" xfId="0" applyNumberFormat="1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top"/>
    </xf>
    <xf numFmtId="0" fontId="6" fillId="4" borderId="2" xfId="0" applyFont="1" applyFill="1" applyBorder="1" applyAlignment="1">
      <alignment horizontal="center" vertical="top"/>
    </xf>
    <xf numFmtId="0" fontId="6" fillId="4" borderId="4" xfId="0" applyFont="1" applyFill="1" applyBorder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16" fillId="4" borderId="1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top" wrapText="1"/>
    </xf>
    <xf numFmtId="0" fontId="6" fillId="4" borderId="18" xfId="0" applyFont="1" applyFill="1" applyBorder="1" applyAlignment="1">
      <alignment horizontal="center" vertical="top"/>
    </xf>
  </cellXfs>
  <cellStyles count="3">
    <cellStyle name="Comma" xfId="1" builtinId="3"/>
    <cellStyle name="Normal" xfId="0" builtinId="0"/>
    <cellStyle name="Percent" xfId="2" builtinId="5"/>
  </cellStyles>
  <dxfs count="13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863D"/>
      </font>
    </dxf>
    <dxf>
      <font>
        <color rgb="FF9C0006"/>
      </font>
    </dxf>
    <dxf>
      <font>
        <color rgb="FF00863D"/>
      </font>
    </dxf>
    <dxf>
      <font>
        <color rgb="FF9C0006"/>
      </font>
    </dxf>
    <dxf>
      <font>
        <color rgb="FF00863D"/>
      </font>
    </dxf>
    <dxf>
      <font>
        <color rgb="FF9C0006"/>
      </font>
    </dxf>
    <dxf>
      <font>
        <color rgb="FF00863D"/>
      </font>
    </dxf>
    <dxf>
      <font>
        <color rgb="FF9C0006"/>
      </font>
    </dxf>
    <dxf>
      <font>
        <color rgb="FF00863D"/>
      </font>
    </dxf>
    <dxf>
      <font>
        <color rgb="FF9C0006"/>
      </font>
    </dxf>
    <dxf>
      <font>
        <color rgb="FF00863D"/>
      </font>
    </dxf>
    <dxf>
      <font>
        <color rgb="FF9C0006"/>
      </font>
    </dxf>
    <dxf>
      <font>
        <color rgb="FF00863D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1:Z58"/>
  <sheetViews>
    <sheetView tabSelected="1" topLeftCell="A15" zoomScale="91" zoomScaleNormal="91" workbookViewId="0">
      <selection activeCell="X40" sqref="X40"/>
    </sheetView>
  </sheetViews>
  <sheetFormatPr defaultColWidth="8.7109375" defaultRowHeight="15" x14ac:dyDescent="0.25"/>
  <cols>
    <col min="1" max="1" width="8.7109375" style="1"/>
    <col min="2" max="2" width="12.42578125" style="1" bestFit="1" customWidth="1"/>
    <col min="3" max="3" width="9" style="1" customWidth="1"/>
    <col min="4" max="4" width="9.42578125" style="1" bestFit="1" customWidth="1"/>
    <col min="5" max="5" width="5.42578125" style="1" bestFit="1" customWidth="1"/>
    <col min="6" max="6" width="14.7109375" style="1" bestFit="1" customWidth="1"/>
    <col min="7" max="7" width="11.140625" style="1" bestFit="1" customWidth="1"/>
    <col min="8" max="8" width="7.140625" style="1" customWidth="1"/>
    <col min="9" max="9" width="6.140625" style="1" bestFit="1" customWidth="1"/>
    <col min="10" max="10" width="8.42578125" style="1" customWidth="1"/>
    <col min="11" max="11" width="8" style="1" hidden="1" customWidth="1"/>
    <col min="12" max="12" width="8.140625" style="1" hidden="1" customWidth="1"/>
    <col min="13" max="13" width="9.140625" style="1" bestFit="1" customWidth="1"/>
    <col min="14" max="14" width="14" style="1" bestFit="1" customWidth="1"/>
    <col min="15" max="15" width="18" style="1" bestFit="1" customWidth="1"/>
    <col min="16" max="16" width="29.28515625" style="1" bestFit="1" customWidth="1"/>
    <col min="17" max="17" width="8.7109375" style="1"/>
    <col min="18" max="19" width="0" style="1" hidden="1" customWidth="1"/>
    <col min="20" max="20" width="15.85546875" style="1" hidden="1" customWidth="1"/>
    <col min="21" max="21" width="7.7109375" style="1" customWidth="1"/>
    <col min="22" max="22" width="14.5703125" style="1" bestFit="1" customWidth="1"/>
    <col min="23" max="23" width="7.7109375" style="1" customWidth="1"/>
    <col min="24" max="24" width="10.28515625" style="1" bestFit="1" customWidth="1"/>
    <col min="25" max="25" width="7.7109375" style="1" customWidth="1"/>
    <col min="26" max="26" width="12" style="1" bestFit="1" customWidth="1"/>
    <col min="27" max="16384" width="8.7109375" style="1"/>
  </cols>
  <sheetData>
    <row r="1" spans="3:26" ht="15.75" thickBot="1" x14ac:dyDescent="0.3"/>
    <row r="2" spans="3:26" x14ac:dyDescent="0.25">
      <c r="C2" s="234" t="s">
        <v>0</v>
      </c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6"/>
      <c r="P2" s="237"/>
    </row>
    <row r="3" spans="3:26" x14ac:dyDescent="0.25">
      <c r="C3" s="2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4" t="s">
        <v>13</v>
      </c>
      <c r="P3" s="5" t="s">
        <v>14</v>
      </c>
    </row>
    <row r="4" spans="3:26" x14ac:dyDescent="0.25">
      <c r="C4" s="6" t="s">
        <v>15</v>
      </c>
      <c r="D4" s="7" t="s">
        <v>16</v>
      </c>
      <c r="E4" s="7" t="s">
        <v>116</v>
      </c>
      <c r="F4" s="8" t="s">
        <v>17</v>
      </c>
      <c r="G4" s="9">
        <f>Manjhaul!J66</f>
        <v>37533.715000000004</v>
      </c>
      <c r="H4" s="9">
        <f>+Manjhaul!AM66</f>
        <v>-170.71500000000106</v>
      </c>
      <c r="I4" s="9">
        <f>+Manjhaul!AN66</f>
        <v>15.577818099999842</v>
      </c>
      <c r="J4" s="9">
        <f>+Manjhaul!AO66</f>
        <v>-24.482540400000399</v>
      </c>
      <c r="K4" s="11">
        <v>448.91</v>
      </c>
      <c r="L4" s="11">
        <f t="shared" ref="L4" si="0">K4*2/3</f>
        <v>299.27333333333337</v>
      </c>
      <c r="M4" s="12">
        <f>I4*K4+J4*L4</f>
        <v>-333.93315070519111</v>
      </c>
      <c r="N4" s="13">
        <f t="shared" ref="N4:N13" si="1">M4/G4</f>
        <v>-8.8968851259511907E-3</v>
      </c>
      <c r="O4" s="14">
        <v>46182</v>
      </c>
      <c r="P4" s="15" t="s">
        <v>364</v>
      </c>
      <c r="U4" s="238" t="s">
        <v>14</v>
      </c>
      <c r="V4" s="238"/>
      <c r="W4" s="238"/>
      <c r="X4" s="238"/>
      <c r="Y4" s="238"/>
      <c r="Z4" s="238"/>
    </row>
    <row r="5" spans="3:26" x14ac:dyDescent="0.25">
      <c r="C5" s="6" t="s">
        <v>15</v>
      </c>
      <c r="D5" s="7" t="s">
        <v>16</v>
      </c>
      <c r="E5" s="7" t="s">
        <v>148</v>
      </c>
      <c r="F5" s="8" t="s">
        <v>149</v>
      </c>
      <c r="G5" s="9">
        <f>Hasanpur!J66</f>
        <v>20426.547999999999</v>
      </c>
      <c r="H5" s="9">
        <f>+Hasanpur!AM66</f>
        <v>510.25200000000132</v>
      </c>
      <c r="I5" s="9">
        <f>+Hasanpur!AN66</f>
        <v>50.589990000000029</v>
      </c>
      <c r="J5" s="9">
        <f>+Hasanpur!AO66</f>
        <v>60.146947399999966</v>
      </c>
      <c r="K5" s="11">
        <v>448.91</v>
      </c>
      <c r="L5" s="11">
        <f t="shared" ref="L5" si="2">K5*2/3</f>
        <v>299.27333333333337</v>
      </c>
      <c r="M5" s="12">
        <f t="shared" ref="M5:M15" si="3">I5*K5+J5*L5</f>
        <v>40710.729849122668</v>
      </c>
      <c r="N5" s="13">
        <f t="shared" ref="N5" si="4">M5/G5</f>
        <v>1.993030337241646</v>
      </c>
      <c r="O5" s="14">
        <v>46184</v>
      </c>
      <c r="P5" s="15" t="s">
        <v>418</v>
      </c>
      <c r="U5" s="197"/>
      <c r="V5" s="200" t="s">
        <v>111</v>
      </c>
      <c r="W5" s="198"/>
      <c r="X5" s="200" t="s">
        <v>112</v>
      </c>
      <c r="Y5" s="199"/>
      <c r="Z5" s="200" t="s">
        <v>113</v>
      </c>
    </row>
    <row r="6" spans="3:26" x14ac:dyDescent="0.25">
      <c r="C6" s="6" t="s">
        <v>15</v>
      </c>
      <c r="D6" s="7" t="s">
        <v>16</v>
      </c>
      <c r="E6" s="7" t="s">
        <v>117</v>
      </c>
      <c r="F6" s="8" t="s">
        <v>18</v>
      </c>
      <c r="G6" s="9">
        <f>+'Sahibpur Kamal'!J66</f>
        <v>91062.093999999997</v>
      </c>
      <c r="H6" s="9">
        <f>+'Sahibpur Kamal'!AM66</f>
        <v>218.90599999999904</v>
      </c>
      <c r="I6" s="9">
        <f>+'Sahibpur Kamal'!AN66</f>
        <v>76.667234100000073</v>
      </c>
      <c r="J6" s="9">
        <f>+'Sahibpur Kamal'!AO66</f>
        <v>-8.1414302000003715</v>
      </c>
      <c r="K6" s="11">
        <v>448.91</v>
      </c>
      <c r="L6" s="11">
        <f t="shared" ref="L6:L16" si="5">K6*2/3</f>
        <v>299.27333333333337</v>
      </c>
      <c r="M6" s="12">
        <f t="shared" si="3"/>
        <v>31980.175105776259</v>
      </c>
      <c r="N6" s="13">
        <f>M6/G6</f>
        <v>0.35119086000566008</v>
      </c>
      <c r="O6" s="14">
        <v>46184</v>
      </c>
      <c r="P6" s="15" t="s">
        <v>418</v>
      </c>
    </row>
    <row r="7" spans="3:26" x14ac:dyDescent="0.25">
      <c r="C7" s="6" t="s">
        <v>15</v>
      </c>
      <c r="D7" s="7" t="s">
        <v>16</v>
      </c>
      <c r="E7" s="7" t="s">
        <v>117</v>
      </c>
      <c r="F7" s="8" t="s">
        <v>165</v>
      </c>
      <c r="G7" s="9">
        <f>+Bachhwara!J66</f>
        <v>14979.805</v>
      </c>
      <c r="H7" s="9">
        <f>+Bachhwara!AM66</f>
        <v>54.195000000000164</v>
      </c>
      <c r="I7" s="9">
        <f>+Bachhwara!AN66</f>
        <v>5.96413930000001</v>
      </c>
      <c r="J7" s="9">
        <f>+Bachhwara!AO66</f>
        <v>-22.406393500000199</v>
      </c>
      <c r="K7" s="11">
        <v>448.91</v>
      </c>
      <c r="L7" s="11">
        <f t="shared" ref="L7" si="6">K7*2/3</f>
        <v>299.27333333333337</v>
      </c>
      <c r="M7" s="12">
        <f t="shared" si="3"/>
        <v>-4028.2742975603887</v>
      </c>
      <c r="N7" s="13">
        <f>M7/G7</f>
        <v>-0.26891366727139565</v>
      </c>
      <c r="O7" s="14">
        <v>46184</v>
      </c>
      <c r="P7" s="15" t="s">
        <v>418</v>
      </c>
    </row>
    <row r="8" spans="3:26" x14ac:dyDescent="0.25">
      <c r="C8" s="6" t="s">
        <v>15</v>
      </c>
      <c r="D8" s="7" t="s">
        <v>16</v>
      </c>
      <c r="E8" s="7" t="s">
        <v>118</v>
      </c>
      <c r="F8" s="8" t="s">
        <v>19</v>
      </c>
      <c r="G8" s="9">
        <f>+Dalsingsarai!J66</f>
        <v>125928.3665</v>
      </c>
      <c r="H8" s="9">
        <f>+Dalsingsarai!AM66</f>
        <v>-61.366500000001906</v>
      </c>
      <c r="I8" s="9">
        <f>+Dalsingsarai!AN66</f>
        <v>101.62154630000055</v>
      </c>
      <c r="J8" s="9">
        <f>+Dalsingsarai!AO66</f>
        <v>-100.80511280000231</v>
      </c>
      <c r="K8" s="11">
        <v>448.91</v>
      </c>
      <c r="L8" s="11">
        <f t="shared" si="5"/>
        <v>299.27333333333337</v>
      </c>
      <c r="M8" s="12">
        <f t="shared" si="3"/>
        <v>15450.64622483389</v>
      </c>
      <c r="N8" s="13">
        <f t="shared" si="1"/>
        <v>0.12269393032136162</v>
      </c>
      <c r="O8" s="14">
        <v>46183</v>
      </c>
      <c r="P8" s="15" t="s">
        <v>417</v>
      </c>
    </row>
    <row r="9" spans="3:26" x14ac:dyDescent="0.25">
      <c r="C9" s="6" t="s">
        <v>15</v>
      </c>
      <c r="D9" s="7" t="s">
        <v>16</v>
      </c>
      <c r="E9" s="7" t="s">
        <v>127</v>
      </c>
      <c r="F9" s="8" t="s">
        <v>115</v>
      </c>
      <c r="G9" s="9">
        <f>+Alauli!J66</f>
        <v>56583.152999999998</v>
      </c>
      <c r="H9" s="9">
        <f>+Alauli!AM66</f>
        <v>-151.05299999999767</v>
      </c>
      <c r="I9" s="9">
        <f>+Alauli!AN66</f>
        <v>12.796429300000021</v>
      </c>
      <c r="J9" s="9">
        <f>+Alauli!AO66</f>
        <v>20.613994300000044</v>
      </c>
      <c r="K9" s="11">
        <v>448.91</v>
      </c>
      <c r="L9" s="11">
        <f t="shared" si="5"/>
        <v>299.27333333333337</v>
      </c>
      <c r="M9" s="12">
        <f t="shared" si="3"/>
        <v>11913.663864538357</v>
      </c>
      <c r="N9" s="13">
        <f t="shared" ref="N9" si="7">M9/G9</f>
        <v>0.21055143152836248</v>
      </c>
      <c r="O9" s="14">
        <v>46184</v>
      </c>
      <c r="P9" s="15" t="s">
        <v>418</v>
      </c>
    </row>
    <row r="10" spans="3:26" x14ac:dyDescent="0.25">
      <c r="C10" s="6" t="s">
        <v>15</v>
      </c>
      <c r="D10" s="7" t="s">
        <v>16</v>
      </c>
      <c r="E10" s="7" t="s">
        <v>138</v>
      </c>
      <c r="F10" s="8" t="s">
        <v>159</v>
      </c>
      <c r="G10" s="9">
        <f>+Matihani!J66</f>
        <v>73236.60500000001</v>
      </c>
      <c r="H10" s="9">
        <f>+Matihani!AM66</f>
        <v>465.39499999999566</v>
      </c>
      <c r="I10" s="9">
        <f>+Matihani!AN66</f>
        <v>31.267184300000139</v>
      </c>
      <c r="J10" s="9">
        <f>+Matihani!AO66</f>
        <v>38.98157089999976</v>
      </c>
      <c r="K10" s="11">
        <v>448.91</v>
      </c>
      <c r="L10" s="11">
        <f t="shared" si="5"/>
        <v>299.27333333333337</v>
      </c>
      <c r="M10" s="12">
        <f t="shared" si="3"/>
        <v>25702.296365925657</v>
      </c>
      <c r="N10" s="13">
        <f t="shared" ref="N10" si="8">M10/G10</f>
        <v>0.35094876893768701</v>
      </c>
      <c r="O10" s="14">
        <v>46184</v>
      </c>
      <c r="P10" s="15" t="s">
        <v>418</v>
      </c>
    </row>
    <row r="11" spans="3:26" x14ac:dyDescent="0.25">
      <c r="C11" s="6" t="s">
        <v>15</v>
      </c>
      <c r="D11" s="7" t="s">
        <v>16</v>
      </c>
      <c r="E11" s="7" t="s">
        <v>119</v>
      </c>
      <c r="F11" s="8" t="s">
        <v>20</v>
      </c>
      <c r="G11" s="9">
        <f>+Musrigharari!R66</f>
        <v>46060.158000000003</v>
      </c>
      <c r="H11" s="9">
        <f>+Musrigharari!AM66</f>
        <v>63.841999999998734</v>
      </c>
      <c r="I11" s="9">
        <f>+Musrigharari!AN66</f>
        <v>42.865291400000046</v>
      </c>
      <c r="J11" s="9">
        <f>+Musrigharari!AO66</f>
        <v>10.587750599999572</v>
      </c>
      <c r="K11" s="11">
        <v>448.91</v>
      </c>
      <c r="L11" s="11">
        <f t="shared" si="5"/>
        <v>299.27333333333337</v>
      </c>
      <c r="M11" s="12">
        <f t="shared" si="3"/>
        <v>22411.289376937893</v>
      </c>
      <c r="N11" s="13">
        <f t="shared" si="1"/>
        <v>0.48656562091988248</v>
      </c>
      <c r="O11" s="14">
        <v>46183</v>
      </c>
      <c r="P11" s="15" t="s">
        <v>417</v>
      </c>
    </row>
    <row r="12" spans="3:26" x14ac:dyDescent="0.25">
      <c r="C12" s="6" t="s">
        <v>15</v>
      </c>
      <c r="D12" s="7" t="s">
        <v>16</v>
      </c>
      <c r="E12" s="7" t="s">
        <v>119</v>
      </c>
      <c r="F12" s="8" t="s">
        <v>166</v>
      </c>
      <c r="G12" s="9">
        <f>+Mahua!R66</f>
        <v>22170.853000000006</v>
      </c>
      <c r="H12" s="9">
        <f>+Mahua!AM66</f>
        <v>779.34699999999964</v>
      </c>
      <c r="I12" s="9">
        <f>+Mahua!AN66</f>
        <v>77.55334619999995</v>
      </c>
      <c r="J12" s="9">
        <f>+Mahua!AO66</f>
        <v>116.03488079999954</v>
      </c>
      <c r="K12" s="11">
        <v>448.91</v>
      </c>
      <c r="L12" s="11">
        <f t="shared" ref="L12" si="9">K12*2/3</f>
        <v>299.27333333333337</v>
      </c>
      <c r="M12" s="12">
        <f t="shared" si="3"/>
        <v>69540.618202593847</v>
      </c>
      <c r="N12" s="13">
        <f t="shared" ref="N12" si="10">M12/G12</f>
        <v>3.1365783807503402</v>
      </c>
      <c r="O12" s="14">
        <v>46184</v>
      </c>
      <c r="P12" s="15" t="s">
        <v>418</v>
      </c>
    </row>
    <row r="13" spans="3:26" x14ac:dyDescent="0.25">
      <c r="C13" s="6" t="s">
        <v>15</v>
      </c>
      <c r="D13" s="7" t="s">
        <v>16</v>
      </c>
      <c r="E13" s="7" t="s">
        <v>120</v>
      </c>
      <c r="F13" s="8" t="s">
        <v>21</v>
      </c>
      <c r="G13" s="9">
        <f>+Buxar!J66</f>
        <v>74530.799999999988</v>
      </c>
      <c r="H13" s="9">
        <f>+Buxar!AM66</f>
        <v>695.40000000000464</v>
      </c>
      <c r="I13" s="9">
        <f>+Buxar!AN66</f>
        <v>151.07160460000017</v>
      </c>
      <c r="J13" s="9">
        <f>+Buxar!AO66</f>
        <v>-180.32868140000011</v>
      </c>
      <c r="K13" s="11">
        <v>448.91</v>
      </c>
      <c r="L13" s="11">
        <f t="shared" si="5"/>
        <v>299.27333333333337</v>
      </c>
      <c r="M13" s="12">
        <f t="shared" si="3"/>
        <v>13849.988442803369</v>
      </c>
      <c r="N13" s="13">
        <f t="shared" si="1"/>
        <v>0.1858290591648469</v>
      </c>
      <c r="O13" s="14">
        <v>46184</v>
      </c>
      <c r="P13" s="15" t="s">
        <v>418</v>
      </c>
      <c r="R13" s="20"/>
    </row>
    <row r="14" spans="3:26" x14ac:dyDescent="0.25">
      <c r="C14" s="6" t="s">
        <v>15</v>
      </c>
      <c r="D14" s="7" t="s">
        <v>16</v>
      </c>
      <c r="E14" s="7" t="s">
        <v>120</v>
      </c>
      <c r="F14" s="8" t="s">
        <v>176</v>
      </c>
      <c r="G14" s="9">
        <f>+Gaighat!J66</f>
        <v>24399.670000000002</v>
      </c>
      <c r="H14" s="9">
        <f>+Gaighat!AM66</f>
        <v>361.02999999999861</v>
      </c>
      <c r="I14" s="9">
        <f>+Gaighat!AN66</f>
        <v>8.0405695000000108</v>
      </c>
      <c r="J14" s="9">
        <f>+Gaighat!AO66</f>
        <v>-10.464333600000174</v>
      </c>
      <c r="K14" s="11">
        <v>448.91</v>
      </c>
      <c r="L14" s="11">
        <f t="shared" ref="L14" si="11">K14*2/3</f>
        <v>299.27333333333337</v>
      </c>
      <c r="M14" s="12">
        <f t="shared" si="3"/>
        <v>477.79605666095267</v>
      </c>
      <c r="N14" s="13">
        <f t="shared" ref="N14" si="12">M14/G14</f>
        <v>1.9582070440335983E-2</v>
      </c>
      <c r="O14" s="14">
        <v>46184</v>
      </c>
      <c r="P14" s="15" t="s">
        <v>418</v>
      </c>
      <c r="R14" s="20"/>
    </row>
    <row r="15" spans="3:26" x14ac:dyDescent="0.25">
      <c r="C15" s="6" t="s">
        <v>15</v>
      </c>
      <c r="D15" s="7" t="s">
        <v>16</v>
      </c>
      <c r="E15" s="7" t="s">
        <v>145</v>
      </c>
      <c r="F15" s="8" t="s">
        <v>146</v>
      </c>
      <c r="G15" s="9">
        <f>+Warisnagar!J66</f>
        <v>32709.812999999998</v>
      </c>
      <c r="H15" s="9">
        <f>+Warisnagar!AM66</f>
        <v>89.886999999999404</v>
      </c>
      <c r="I15" s="9">
        <f>+Warisnagar!AN66</f>
        <v>39.259266400000058</v>
      </c>
      <c r="J15" s="9">
        <f>+Warisnagar!AO66</f>
        <v>-17.329005699999957</v>
      </c>
      <c r="K15" s="11">
        <v>448.91</v>
      </c>
      <c r="L15" s="11">
        <f t="shared" si="5"/>
        <v>299.27333333333337</v>
      </c>
      <c r="M15" s="12">
        <f t="shared" si="3"/>
        <v>12437.767980432705</v>
      </c>
      <c r="N15" s="13">
        <f t="shared" ref="N15" si="13">M15/G15</f>
        <v>0.38024576846198133</v>
      </c>
      <c r="O15" s="14">
        <v>46182</v>
      </c>
      <c r="P15" s="15" t="s">
        <v>364</v>
      </c>
      <c r="R15" s="20"/>
    </row>
    <row r="16" spans="3:26" ht="15.75" thickBot="1" x14ac:dyDescent="0.3">
      <c r="C16" s="6" t="s">
        <v>15</v>
      </c>
      <c r="D16" s="7" t="s">
        <v>16</v>
      </c>
      <c r="E16" s="7" t="s">
        <v>128</v>
      </c>
      <c r="F16" s="8" t="s">
        <v>104</v>
      </c>
      <c r="G16" s="9">
        <f>+Kalyanpur!J66</f>
        <v>130300.56199999999</v>
      </c>
      <c r="H16" s="9">
        <f>+Kalyanpur!AM66</f>
        <v>460.63799999999384</v>
      </c>
      <c r="I16" s="9">
        <f>+Kalyanpur!AN66</f>
        <v>92.233649899999477</v>
      </c>
      <c r="J16" s="9">
        <f>+Kalyanpur!AO66</f>
        <v>79.162847299997395</v>
      </c>
      <c r="K16" s="11">
        <v>448.91</v>
      </c>
      <c r="L16" s="11">
        <f t="shared" si="5"/>
        <v>299.27333333333337</v>
      </c>
      <c r="M16" s="12">
        <f>I16*K16+J16*L16</f>
        <v>65095.936964236658</v>
      </c>
      <c r="N16" s="13">
        <f t="shared" ref="N16" si="14">M16/G16</f>
        <v>0.49958293322047731</v>
      </c>
      <c r="O16" s="14">
        <v>46184</v>
      </c>
      <c r="P16" s="15" t="s">
        <v>418</v>
      </c>
      <c r="R16" s="20"/>
    </row>
    <row r="17" spans="3:16" ht="15.75" thickBot="1" x14ac:dyDescent="0.3">
      <c r="C17" s="232" t="s">
        <v>22</v>
      </c>
      <c r="D17" s="233"/>
      <c r="E17" s="233"/>
      <c r="F17" s="233"/>
      <c r="G17" s="21">
        <f t="shared" ref="G17:M17" si="15">SUM(G4:G16)</f>
        <v>749922.14250000007</v>
      </c>
      <c r="H17" s="22">
        <f t="shared" si="15"/>
        <v>3315.7574999999906</v>
      </c>
      <c r="I17" s="22">
        <f t="shared" si="15"/>
        <v>705.50806940000041</v>
      </c>
      <c r="J17" s="22">
        <f t="shared" si="15"/>
        <v>-38.429506300007233</v>
      </c>
      <c r="K17" s="22">
        <f t="shared" si="15"/>
        <v>5835.829999999999</v>
      </c>
      <c r="L17" s="22">
        <f t="shared" si="15"/>
        <v>3890.5533333333346</v>
      </c>
      <c r="M17" s="22">
        <f t="shared" si="15"/>
        <v>305208.70098559669</v>
      </c>
      <c r="N17" s="23">
        <f>M17/G17</f>
        <v>0.40698718398703193</v>
      </c>
      <c r="O17" s="24"/>
      <c r="P17" s="25"/>
    </row>
    <row r="18" spans="3:16" ht="15.75" thickBot="1" x14ac:dyDescent="0.3"/>
    <row r="19" spans="3:16" ht="15.75" thickBot="1" x14ac:dyDescent="0.3">
      <c r="C19" s="26" t="s">
        <v>15</v>
      </c>
      <c r="D19" s="27" t="s">
        <v>16</v>
      </c>
      <c r="E19" s="27" t="s">
        <v>162</v>
      </c>
      <c r="F19" s="28" t="s">
        <v>160</v>
      </c>
      <c r="G19" s="213">
        <f>'Singhia '!J66</f>
        <v>14325.075200000003</v>
      </c>
      <c r="H19" s="213">
        <f>+'Singhia '!AM66</f>
        <v>770.82480000000101</v>
      </c>
      <c r="I19" s="213">
        <f>+'Singhia '!AN66</f>
        <v>1.5865826000001029</v>
      </c>
      <c r="J19" s="213">
        <f>+'Singhia '!AO66</f>
        <v>28.844780100000058</v>
      </c>
      <c r="K19" s="214">
        <v>448.91</v>
      </c>
      <c r="L19" s="214">
        <f t="shared" ref="L19" si="16">K19*2/3</f>
        <v>299.27333333333337</v>
      </c>
      <c r="M19" s="29">
        <f t="shared" ref="M19" si="17">I19*K19+J19*L19</f>
        <v>9344.7062847600646</v>
      </c>
      <c r="N19" s="30">
        <f t="shared" ref="N19" si="18">M19/G19</f>
        <v>0.65233209280186277</v>
      </c>
      <c r="O19" s="14">
        <v>46184</v>
      </c>
      <c r="P19" s="15" t="s">
        <v>418</v>
      </c>
    </row>
    <row r="20" spans="3:16" x14ac:dyDescent="0.25">
      <c r="C20" s="26" t="s">
        <v>15</v>
      </c>
      <c r="D20" s="27" t="s">
        <v>23</v>
      </c>
      <c r="E20" s="27" t="s">
        <v>121</v>
      </c>
      <c r="F20" s="28" t="s">
        <v>24</v>
      </c>
      <c r="G20" s="9">
        <f>+Laldiyara!J66</f>
        <v>128432.19350000001</v>
      </c>
      <c r="H20" s="9">
        <f>+Laldiyara!AM66</f>
        <v>-670.19350000000122</v>
      </c>
      <c r="I20" s="9">
        <f>+Laldiyara!AN66</f>
        <v>39.390461899999714</v>
      </c>
      <c r="J20" s="9">
        <f>+Laldiyara!AO66</f>
        <v>-128.06078229999969</v>
      </c>
      <c r="K20" s="10">
        <v>448.91001526471649</v>
      </c>
      <c r="L20" s="11">
        <f t="shared" ref="L20:L29" si="19">K20*2/3</f>
        <v>299.27334350981101</v>
      </c>
      <c r="M20" s="29">
        <f>I20*K20+J20*L20</f>
        <v>-20642.405638589829</v>
      </c>
      <c r="N20" s="30">
        <f t="shared" ref="N20:N29" si="20">M20/G20</f>
        <v>-0.16072610048967068</v>
      </c>
      <c r="O20" s="14">
        <v>46182</v>
      </c>
      <c r="P20" s="15" t="s">
        <v>364</v>
      </c>
    </row>
    <row r="21" spans="3:16" x14ac:dyDescent="0.25">
      <c r="C21" s="6" t="s">
        <v>15</v>
      </c>
      <c r="D21" s="7" t="s">
        <v>23</v>
      </c>
      <c r="E21" s="7" t="s">
        <v>122</v>
      </c>
      <c r="F21" s="8" t="s">
        <v>25</v>
      </c>
      <c r="G21" s="9">
        <f>+Asarganj!J66</f>
        <v>125905.86099999998</v>
      </c>
      <c r="H21" s="9">
        <f>+Asarganj!AM66</f>
        <v>-266.86100000000988</v>
      </c>
      <c r="I21" s="9">
        <f>+Asarganj!AN66</f>
        <v>-21.305352100000302</v>
      </c>
      <c r="J21" s="9">
        <f>+Asarganj!AO66</f>
        <v>-45.605310599999953</v>
      </c>
      <c r="K21" s="10">
        <v>448.91001526471649</v>
      </c>
      <c r="L21" s="11">
        <f t="shared" si="19"/>
        <v>299.27334350981101</v>
      </c>
      <c r="M21" s="12">
        <f>I21*K21+J21*L21</f>
        <v>-23212.639721496707</v>
      </c>
      <c r="N21" s="13">
        <f t="shared" si="20"/>
        <v>-0.18436504494017728</v>
      </c>
      <c r="O21" s="14">
        <v>46183</v>
      </c>
      <c r="P21" s="15" t="s">
        <v>417</v>
      </c>
    </row>
    <row r="22" spans="3:16" x14ac:dyDescent="0.25">
      <c r="C22" s="6" t="s">
        <v>15</v>
      </c>
      <c r="D22" s="7" t="s">
        <v>23</v>
      </c>
      <c r="E22" s="7" t="s">
        <v>150</v>
      </c>
      <c r="F22" s="8" t="s">
        <v>151</v>
      </c>
      <c r="G22" s="9">
        <f>+Parbatta!J66</f>
        <v>78825.179000000004</v>
      </c>
      <c r="H22" s="9">
        <f>+Parbatta!AM66</f>
        <v>-72.179000000000997</v>
      </c>
      <c r="I22" s="9">
        <f>+Parbatta!AN66</f>
        <v>-92.384279000000049</v>
      </c>
      <c r="J22" s="9">
        <f>+Parbatta!AO66</f>
        <v>41.534126999999899</v>
      </c>
      <c r="K22" s="10">
        <v>448.91001526471649</v>
      </c>
      <c r="L22" s="11">
        <f t="shared" ref="L22" si="21">K22*2/3</f>
        <v>299.27334350981101</v>
      </c>
      <c r="M22" s="12">
        <f>I22*K22+J22*L22</f>
        <v>-29042.171039058765</v>
      </c>
      <c r="N22" s="13">
        <f t="shared" ref="N22" si="22">M22/G22</f>
        <v>-0.36843774295848747</v>
      </c>
      <c r="O22" s="14">
        <v>46183</v>
      </c>
      <c r="P22" s="15" t="s">
        <v>417</v>
      </c>
    </row>
    <row r="23" spans="3:16" x14ac:dyDescent="0.25">
      <c r="C23" s="6" t="s">
        <v>15</v>
      </c>
      <c r="D23" s="7" t="s">
        <v>26</v>
      </c>
      <c r="E23" s="7" t="s">
        <v>133</v>
      </c>
      <c r="F23" s="8" t="s">
        <v>27</v>
      </c>
      <c r="G23" s="9">
        <f>+Madhatpur!J66</f>
        <v>12981.811</v>
      </c>
      <c r="H23" s="9">
        <f>+Madhatpur!AM66</f>
        <v>-20.811000000001286</v>
      </c>
      <c r="I23" s="9">
        <f>+Madhatpur!AN66</f>
        <v>-2.9607861000000506</v>
      </c>
      <c r="J23" s="9">
        <f>+Madhatpur!AO66</f>
        <v>-11.201197700000028</v>
      </c>
      <c r="K23" s="10">
        <v>448.91001526471649</v>
      </c>
      <c r="L23" s="11">
        <f t="shared" si="19"/>
        <v>299.27334350981101</v>
      </c>
      <c r="M23" s="12">
        <f t="shared" ref="M23:M29" si="23">I23*K23+J23*L23</f>
        <v>-4681.3464203399963</v>
      </c>
      <c r="N23" s="13">
        <f t="shared" si="20"/>
        <v>-0.36060811702928014</v>
      </c>
      <c r="O23" s="14">
        <v>46184</v>
      </c>
      <c r="P23" s="15" t="s">
        <v>418</v>
      </c>
    </row>
    <row r="24" spans="3:16" x14ac:dyDescent="0.25">
      <c r="C24" s="6" t="s">
        <v>15</v>
      </c>
      <c r="D24" s="7" t="s">
        <v>26</v>
      </c>
      <c r="E24" s="7" t="s">
        <v>134</v>
      </c>
      <c r="F24" s="8" t="s">
        <v>136</v>
      </c>
      <c r="G24" s="9">
        <f>+Chautham!J66</f>
        <v>45900.827300000004</v>
      </c>
      <c r="H24" s="9">
        <f>+Chautham!AM66</f>
        <v>346.17269999999917</v>
      </c>
      <c r="I24" s="9">
        <f>+Chautham!AN66</f>
        <v>-32.274794719999946</v>
      </c>
      <c r="J24" s="9">
        <f>+Chautham!AO66</f>
        <v>21.397707279999651</v>
      </c>
      <c r="K24" s="10">
        <v>448.91001526471649</v>
      </c>
      <c r="L24" s="11">
        <f t="shared" si="19"/>
        <v>299.27334350981101</v>
      </c>
      <c r="M24" s="12">
        <f>I24*K24+J24*L24</f>
        <v>-8084.7151892910479</v>
      </c>
      <c r="N24" s="13">
        <f t="shared" si="20"/>
        <v>-0.17613441118284695</v>
      </c>
      <c r="O24" s="14">
        <v>46184</v>
      </c>
      <c r="P24" s="15" t="s">
        <v>418</v>
      </c>
    </row>
    <row r="25" spans="3:16" x14ac:dyDescent="0.25">
      <c r="C25" s="6" t="s">
        <v>15</v>
      </c>
      <c r="D25" s="7" t="s">
        <v>23</v>
      </c>
      <c r="E25" s="7" t="s">
        <v>123</v>
      </c>
      <c r="F25" s="8" t="s">
        <v>28</v>
      </c>
      <c r="G25" s="9">
        <f>+Sonvarsha!J66</f>
        <v>73171.714999999997</v>
      </c>
      <c r="H25" s="9">
        <f>+Sonvarsha!AM66</f>
        <v>78.284999999998035</v>
      </c>
      <c r="I25" s="9">
        <f>+Sonvarsha!AN66</f>
        <v>-14.575021599999843</v>
      </c>
      <c r="J25" s="9">
        <f>+Sonvarsha!AO66</f>
        <v>68.916592700000422</v>
      </c>
      <c r="K25" s="10">
        <v>448.91001526471649</v>
      </c>
      <c r="L25" s="11">
        <f t="shared" si="19"/>
        <v>299.27334350981101</v>
      </c>
      <c r="M25" s="12">
        <f t="shared" si="23"/>
        <v>14082.025951693457</v>
      </c>
      <c r="N25" s="13">
        <f t="shared" si="20"/>
        <v>0.192451768442129</v>
      </c>
      <c r="O25" s="14">
        <v>46182</v>
      </c>
      <c r="P25" s="15" t="s">
        <v>364</v>
      </c>
    </row>
    <row r="26" spans="3:16" x14ac:dyDescent="0.25">
      <c r="C26" s="6" t="s">
        <v>15</v>
      </c>
      <c r="D26" s="7" t="s">
        <v>23</v>
      </c>
      <c r="E26" s="7" t="s">
        <v>152</v>
      </c>
      <c r="F26" s="8" t="s">
        <v>153</v>
      </c>
      <c r="G26" s="9">
        <f>+Gopalpur!J66</f>
        <v>24402.347999999998</v>
      </c>
      <c r="H26" s="9">
        <f>+Gopalpur!AM66</f>
        <v>351.65199999999686</v>
      </c>
      <c r="I26" s="9">
        <f>+Gopalpur!AN66</f>
        <v>4.7709275000000275</v>
      </c>
      <c r="J26" s="9">
        <f>+Gopalpur!AO66</f>
        <v>-6.4395426999997767</v>
      </c>
      <c r="K26" s="10">
        <v>448.91001526471649</v>
      </c>
      <c r="L26" s="11">
        <f t="shared" ref="L26" si="24">K26*2/3</f>
        <v>299.27334350981101</v>
      </c>
      <c r="M26" s="12">
        <f>I26*K26+J26*L26</f>
        <v>214.53366234873897</v>
      </c>
      <c r="N26" s="13">
        <f t="shared" ref="N26" si="25">M26/G26</f>
        <v>8.7915172076366982E-3</v>
      </c>
      <c r="O26" s="14">
        <v>46183</v>
      </c>
      <c r="P26" s="15" t="s">
        <v>417</v>
      </c>
    </row>
    <row r="27" spans="3:16" x14ac:dyDescent="0.25">
      <c r="C27" s="6" t="s">
        <v>15</v>
      </c>
      <c r="D27" s="7" t="s">
        <v>23</v>
      </c>
      <c r="E27" s="7" t="s">
        <v>124</v>
      </c>
      <c r="F27" s="8" t="s">
        <v>29</v>
      </c>
      <c r="G27" s="9">
        <f>+Araiya!J66</f>
        <v>104417.48599999999</v>
      </c>
      <c r="H27" s="9">
        <f>+Araiya!AM66</f>
        <v>153.81400000000031</v>
      </c>
      <c r="I27" s="9">
        <f>+Araiya!AN66</f>
        <v>43.674607399999999</v>
      </c>
      <c r="J27" s="9">
        <f>+Araiya!AO66</f>
        <v>-11.009151599999512</v>
      </c>
      <c r="K27" s="10">
        <v>448.91001526471649</v>
      </c>
      <c r="L27" s="11">
        <f t="shared" si="19"/>
        <v>299.27334350981101</v>
      </c>
      <c r="M27" s="12">
        <f t="shared" si="23"/>
        <v>16311.223066076258</v>
      </c>
      <c r="N27" s="13">
        <f t="shared" si="20"/>
        <v>0.15621160488460964</v>
      </c>
      <c r="O27" s="14">
        <v>46183</v>
      </c>
      <c r="P27" s="15" t="s">
        <v>417</v>
      </c>
    </row>
    <row r="28" spans="3:16" x14ac:dyDescent="0.25">
      <c r="C28" s="6" t="s">
        <v>15</v>
      </c>
      <c r="D28" s="7" t="s">
        <v>23</v>
      </c>
      <c r="E28" s="7" t="s">
        <v>125</v>
      </c>
      <c r="F28" s="8" t="s">
        <v>30</v>
      </c>
      <c r="G28" s="9">
        <f>+Teghra!J66</f>
        <v>50629.392500000009</v>
      </c>
      <c r="H28" s="9">
        <f>+Teghra!AM66</f>
        <v>386.60749999999803</v>
      </c>
      <c r="I28" s="9">
        <f>+Teghra!AN66</f>
        <v>33.477854399999899</v>
      </c>
      <c r="J28" s="9">
        <f>+Teghra!AO66</f>
        <v>102.29163599999958</v>
      </c>
      <c r="K28" s="10">
        <v>448.91001526471649</v>
      </c>
      <c r="L28" s="11">
        <f t="shared" si="19"/>
        <v>299.27334350981101</v>
      </c>
      <c r="M28" s="12">
        <f>I28*K28+J28*L28</f>
        <v>45641.704048542335</v>
      </c>
      <c r="N28" s="13">
        <f t="shared" si="20"/>
        <v>0.90148630656673057</v>
      </c>
      <c r="O28" s="14">
        <v>46184</v>
      </c>
      <c r="P28" s="15" t="s">
        <v>418</v>
      </c>
    </row>
    <row r="29" spans="3:16" ht="15.75" thickBot="1" x14ac:dyDescent="0.3">
      <c r="C29" s="215" t="s">
        <v>15</v>
      </c>
      <c r="D29" s="216" t="s">
        <v>23</v>
      </c>
      <c r="E29" s="216" t="s">
        <v>126</v>
      </c>
      <c r="F29" s="217" t="s">
        <v>31</v>
      </c>
      <c r="G29" s="218">
        <f>+Halsi!J66</f>
        <v>81916.002999999997</v>
      </c>
      <c r="H29" s="218">
        <f>+Halsi!AM66</f>
        <v>-308.00300000000243</v>
      </c>
      <c r="I29" s="218">
        <f>+Halsi!AN66</f>
        <v>110.60745899999949</v>
      </c>
      <c r="J29" s="218">
        <f>+Halsi!AO66</f>
        <v>-45.726449999999886</v>
      </c>
      <c r="K29" s="219">
        <v>448.91001526471649</v>
      </c>
      <c r="L29" s="220">
        <f t="shared" si="19"/>
        <v>299.27334350981101</v>
      </c>
      <c r="M29" s="221">
        <f t="shared" si="23"/>
        <v>35968.08852974711</v>
      </c>
      <c r="N29" s="222">
        <f t="shared" si="20"/>
        <v>0.43908500430309216</v>
      </c>
      <c r="O29" s="14">
        <v>46181</v>
      </c>
      <c r="P29" s="15" t="s">
        <v>330</v>
      </c>
    </row>
    <row r="30" spans="3:16" ht="15.75" thickBot="1" x14ac:dyDescent="0.3">
      <c r="C30" s="232" t="s">
        <v>32</v>
      </c>
      <c r="D30" s="233"/>
      <c r="E30" s="233"/>
      <c r="F30" s="233"/>
      <c r="G30" s="21">
        <f t="shared" ref="G30:M30" si="26">SUM(G20:G29)</f>
        <v>726582.81629999995</v>
      </c>
      <c r="H30" s="22">
        <f t="shared" si="26"/>
        <v>-21.516300000023421</v>
      </c>
      <c r="I30" s="22">
        <f t="shared" si="26"/>
        <v>68.421076679998947</v>
      </c>
      <c r="J30" s="22">
        <f t="shared" si="26"/>
        <v>-13.902371919999268</v>
      </c>
      <c r="K30" s="22">
        <f t="shared" si="26"/>
        <v>4489.1001526471646</v>
      </c>
      <c r="L30" s="22">
        <f t="shared" si="26"/>
        <v>2992.7334350981105</v>
      </c>
      <c r="M30" s="22">
        <f t="shared" si="26"/>
        <v>26554.297249631563</v>
      </c>
      <c r="N30" s="23">
        <f>M30/G30</f>
        <v>3.6546828047564942E-2</v>
      </c>
      <c r="O30" s="24"/>
      <c r="P30" s="25"/>
    </row>
    <row r="31" spans="3:16" ht="15.75" thickBot="1" x14ac:dyDescent="0.3">
      <c r="H31" s="20"/>
      <c r="I31" s="20"/>
      <c r="J31" s="20"/>
      <c r="M31" s="20"/>
      <c r="N31" s="20"/>
      <c r="O31" s="20"/>
    </row>
    <row r="32" spans="3:16" x14ac:dyDescent="0.25">
      <c r="C32" s="33" t="str">
        <f t="shared" ref="C32:P32" si="27">C3</f>
        <v>State</v>
      </c>
      <c r="D32" s="34" t="str">
        <f t="shared" si="27"/>
        <v>Type</v>
      </c>
      <c r="E32" s="34" t="str">
        <f t="shared" si="27"/>
        <v>Code</v>
      </c>
      <c r="F32" s="35" t="str">
        <f t="shared" si="27"/>
        <v>BMC Name</v>
      </c>
      <c r="G32" s="34" t="str">
        <f t="shared" si="27"/>
        <v>MTD Volume</v>
      </c>
      <c r="H32" s="36" t="str">
        <f t="shared" si="27"/>
        <v>Vol Kg</v>
      </c>
      <c r="I32" s="36" t="str">
        <f t="shared" si="27"/>
        <v>FAT kg</v>
      </c>
      <c r="J32" s="36" t="str">
        <f t="shared" si="27"/>
        <v>SNF Kg</v>
      </c>
      <c r="K32" s="34" t="str">
        <f t="shared" si="27"/>
        <v>FAT Rate</v>
      </c>
      <c r="L32" s="34" t="str">
        <f t="shared" si="27"/>
        <v>SNF Rate</v>
      </c>
      <c r="M32" s="36" t="str">
        <f t="shared" si="27"/>
        <v>Amount</v>
      </c>
      <c r="N32" s="34" t="str">
        <f t="shared" si="27"/>
        <v>Loss/gain per Kg</v>
      </c>
      <c r="O32" s="34" t="str">
        <f t="shared" si="27"/>
        <v>Day book received till</v>
      </c>
      <c r="P32" s="37" t="str">
        <f t="shared" si="27"/>
        <v>Remarks</v>
      </c>
    </row>
    <row r="33" spans="3:16" x14ac:dyDescent="0.25">
      <c r="C33" s="7" t="s">
        <v>33</v>
      </c>
      <c r="D33" s="7" t="s">
        <v>26</v>
      </c>
      <c r="E33" s="7" t="s">
        <v>34</v>
      </c>
      <c r="F33" s="38" t="s">
        <v>35</v>
      </c>
      <c r="G33" s="9">
        <v>50361.798500000012</v>
      </c>
      <c r="H33" s="9">
        <v>204.2014999999983</v>
      </c>
      <c r="I33" s="9">
        <v>-31.48129999999999</v>
      </c>
      <c r="J33" s="9">
        <v>-35.012899999999917</v>
      </c>
      <c r="K33" s="10">
        <v>436.77</v>
      </c>
      <c r="L33" s="11">
        <v>296.59999999999997</v>
      </c>
      <c r="M33" s="12">
        <f t="shared" ref="M33" si="28">I33*K33+J33*L33</f>
        <v>-24134.913540999969</v>
      </c>
      <c r="N33" s="13">
        <f t="shared" ref="N33:N41" si="29">M33/G33</f>
        <v>-0.47923057277233583</v>
      </c>
      <c r="O33" s="14">
        <v>46184</v>
      </c>
      <c r="P33" s="15" t="s">
        <v>418</v>
      </c>
    </row>
    <row r="34" spans="3:16" x14ac:dyDescent="0.25">
      <c r="C34" s="7" t="s">
        <v>33</v>
      </c>
      <c r="D34" s="7" t="s">
        <v>26</v>
      </c>
      <c r="E34" s="7" t="s">
        <v>36</v>
      </c>
      <c r="F34" s="38" t="s">
        <v>37</v>
      </c>
      <c r="G34" s="9">
        <v>55815.751500000006</v>
      </c>
      <c r="H34" s="9">
        <v>-253.89150000000245</v>
      </c>
      <c r="I34" s="9">
        <v>-5.0486480000000675</v>
      </c>
      <c r="J34" s="9">
        <v>-62.148059999999674</v>
      </c>
      <c r="K34" s="10">
        <v>436.77</v>
      </c>
      <c r="L34" s="11">
        <v>296.59999999999997</v>
      </c>
      <c r="M34" s="12">
        <f t="shared" ref="M34:M41" si="30">I34*K34+J34*L34</f>
        <v>-20638.212582959932</v>
      </c>
      <c r="N34" s="13">
        <f t="shared" si="29"/>
        <v>-0.36975606398419503</v>
      </c>
      <c r="O34" s="14">
        <v>46184</v>
      </c>
      <c r="P34" s="15" t="s">
        <v>418</v>
      </c>
    </row>
    <row r="35" spans="3:16" x14ac:dyDescent="0.25">
      <c r="C35" s="7" t="s">
        <v>33</v>
      </c>
      <c r="D35" s="7" t="s">
        <v>26</v>
      </c>
      <c r="E35" s="7" t="s">
        <v>38</v>
      </c>
      <c r="F35" s="38" t="s">
        <v>39</v>
      </c>
      <c r="G35" s="9">
        <v>14476.619099999994</v>
      </c>
      <c r="H35" s="9">
        <v>-16.269100000000098</v>
      </c>
      <c r="I35" s="9">
        <v>-6.9331649999999865</v>
      </c>
      <c r="J35" s="9">
        <v>-21.573147999999936</v>
      </c>
      <c r="K35" s="10">
        <v>436.77</v>
      </c>
      <c r="L35" s="11">
        <v>296.59999999999997</v>
      </c>
      <c r="M35" s="12">
        <f t="shared" si="30"/>
        <v>-9426.794173849974</v>
      </c>
      <c r="N35" s="13">
        <f t="shared" si="29"/>
        <v>-0.65117373806222323</v>
      </c>
      <c r="O35" s="14">
        <v>46184</v>
      </c>
      <c r="P35" s="15" t="s">
        <v>418</v>
      </c>
    </row>
    <row r="36" spans="3:16" x14ac:dyDescent="0.25">
      <c r="C36" s="7" t="s">
        <v>33</v>
      </c>
      <c r="D36" s="7" t="s">
        <v>26</v>
      </c>
      <c r="E36" s="7" t="s">
        <v>40</v>
      </c>
      <c r="F36" s="8" t="s">
        <v>41</v>
      </c>
      <c r="G36" s="9">
        <v>6665.8509999999997</v>
      </c>
      <c r="H36" s="9">
        <v>88.008999999999517</v>
      </c>
      <c r="I36" s="9">
        <v>-28.11142400000001</v>
      </c>
      <c r="J36" s="9">
        <v>-20.091168000000017</v>
      </c>
      <c r="K36" s="10">
        <v>436.77</v>
      </c>
      <c r="L36" s="11">
        <v>296.59999999999997</v>
      </c>
      <c r="M36" s="12">
        <f t="shared" si="30"/>
        <v>-18237.267089280009</v>
      </c>
      <c r="N36" s="13">
        <f t="shared" ref="N36" si="31">M36/G36</f>
        <v>-2.7359248037917454</v>
      </c>
      <c r="O36" s="14">
        <v>46184</v>
      </c>
      <c r="P36" s="15" t="s">
        <v>418</v>
      </c>
    </row>
    <row r="37" spans="3:16" ht="14.45" hidden="1" customHeight="1" x14ac:dyDescent="0.25">
      <c r="C37" s="7" t="s">
        <v>33</v>
      </c>
      <c r="D37" s="7" t="s">
        <v>26</v>
      </c>
      <c r="E37" s="7" t="s">
        <v>42</v>
      </c>
      <c r="F37" s="8" t="s">
        <v>43</v>
      </c>
      <c r="G37" s="9">
        <v>0</v>
      </c>
      <c r="H37" s="9">
        <v>0</v>
      </c>
      <c r="I37" s="9">
        <v>0</v>
      </c>
      <c r="J37" s="9">
        <v>0</v>
      </c>
      <c r="K37" s="10">
        <v>436.77</v>
      </c>
      <c r="L37" s="11">
        <v>296.59999999999997</v>
      </c>
      <c r="M37" s="12">
        <f t="shared" si="30"/>
        <v>0</v>
      </c>
      <c r="N37" s="13" t="e">
        <f t="shared" si="29"/>
        <v>#DIV/0!</v>
      </c>
      <c r="O37" s="14">
        <v>46184</v>
      </c>
      <c r="P37" s="15" t="s">
        <v>418</v>
      </c>
    </row>
    <row r="38" spans="3:16" x14ac:dyDescent="0.25">
      <c r="C38" s="7" t="s">
        <v>33</v>
      </c>
      <c r="D38" s="7" t="s">
        <v>26</v>
      </c>
      <c r="E38" s="7" t="s">
        <v>44</v>
      </c>
      <c r="F38" s="8" t="s">
        <v>45</v>
      </c>
      <c r="G38" s="9">
        <v>28830.760899999997</v>
      </c>
      <c r="H38" s="9">
        <v>1196.2391000000002</v>
      </c>
      <c r="I38" s="9">
        <v>-30.117800000000045</v>
      </c>
      <c r="J38" s="9">
        <v>45.247899999999504</v>
      </c>
      <c r="K38" s="10">
        <v>436.77</v>
      </c>
      <c r="L38" s="11">
        <v>296.59999999999997</v>
      </c>
      <c r="M38" s="12">
        <f t="shared" si="30"/>
        <v>265.97563399983119</v>
      </c>
      <c r="N38" s="13">
        <f t="shared" si="29"/>
        <v>9.2254115291085237E-3</v>
      </c>
      <c r="O38" s="14">
        <v>46184</v>
      </c>
      <c r="P38" s="15" t="s">
        <v>418</v>
      </c>
    </row>
    <row r="39" spans="3:16" x14ac:dyDescent="0.25">
      <c r="C39" s="7" t="s">
        <v>33</v>
      </c>
      <c r="D39" s="7" t="s">
        <v>26</v>
      </c>
      <c r="E39" s="7" t="s">
        <v>46</v>
      </c>
      <c r="F39" s="8" t="s">
        <v>47</v>
      </c>
      <c r="G39" s="9">
        <v>17268.578299999997</v>
      </c>
      <c r="H39" s="9">
        <v>-142.95830000000018</v>
      </c>
      <c r="I39" s="9">
        <v>-15.656588000000006</v>
      </c>
      <c r="J39" s="9">
        <v>-40.535792000000164</v>
      </c>
      <c r="K39" s="10">
        <v>436.77</v>
      </c>
      <c r="L39" s="11">
        <v>296.59999999999997</v>
      </c>
      <c r="M39" s="12">
        <f t="shared" si="30"/>
        <v>-18861.24384796005</v>
      </c>
      <c r="N39" s="13">
        <f t="shared" ref="N39" si="32">M39/G39</f>
        <v>-1.0922291065478189</v>
      </c>
      <c r="O39" s="14">
        <v>46184</v>
      </c>
      <c r="P39" s="15" t="s">
        <v>418</v>
      </c>
    </row>
    <row r="40" spans="3:16" x14ac:dyDescent="0.25">
      <c r="C40" s="7" t="s">
        <v>33</v>
      </c>
      <c r="D40" s="7" t="s">
        <v>26</v>
      </c>
      <c r="E40" s="7" t="s">
        <v>103</v>
      </c>
      <c r="F40" s="8" t="s">
        <v>102</v>
      </c>
      <c r="G40" s="9">
        <v>29859.411599999999</v>
      </c>
      <c r="H40" s="9">
        <v>1051.588399999999</v>
      </c>
      <c r="I40" s="9">
        <v>-6.9077000000000837</v>
      </c>
      <c r="J40" s="9">
        <v>2.1372999999996836</v>
      </c>
      <c r="K40" s="10">
        <v>436.77</v>
      </c>
      <c r="L40" s="11">
        <v>296.59999999999997</v>
      </c>
      <c r="M40" s="12">
        <f t="shared" si="30"/>
        <v>-2383.1529490001303</v>
      </c>
      <c r="N40" s="13">
        <f t="shared" si="29"/>
        <v>-7.9812455145637576E-2</v>
      </c>
      <c r="O40" s="14">
        <v>46184</v>
      </c>
      <c r="P40" s="15" t="s">
        <v>418</v>
      </c>
    </row>
    <row r="41" spans="3:16" ht="15.75" thickBot="1" x14ac:dyDescent="0.3">
      <c r="C41" s="7" t="s">
        <v>33</v>
      </c>
      <c r="D41" s="7" t="s">
        <v>26</v>
      </c>
      <c r="E41" s="205" t="s">
        <v>131</v>
      </c>
      <c r="F41" s="206" t="s">
        <v>132</v>
      </c>
      <c r="G41" s="9">
        <v>24711.554000000007</v>
      </c>
      <c r="H41" s="9">
        <v>228.44599999999741</v>
      </c>
      <c r="I41" s="9">
        <v>11.064899999999913</v>
      </c>
      <c r="J41" s="9">
        <v>-19.789399999999887</v>
      </c>
      <c r="K41" s="10">
        <v>436.77</v>
      </c>
      <c r="L41" s="11">
        <v>296.59999999999997</v>
      </c>
      <c r="M41" s="12">
        <f t="shared" si="30"/>
        <v>-1036.7196670000039</v>
      </c>
      <c r="N41" s="13">
        <f t="shared" si="29"/>
        <v>-4.1952831740165092E-2</v>
      </c>
      <c r="O41" s="14">
        <v>46184</v>
      </c>
      <c r="P41" s="15" t="s">
        <v>418</v>
      </c>
    </row>
    <row r="42" spans="3:16" ht="26.25" thickBot="1" x14ac:dyDescent="0.3">
      <c r="C42" s="223" t="s">
        <v>48</v>
      </c>
      <c r="D42" s="224"/>
      <c r="E42" s="224"/>
      <c r="F42" s="225"/>
      <c r="G42" s="39">
        <f>SUM(G33:G41)</f>
        <v>227990.32490000001</v>
      </c>
      <c r="H42" s="22">
        <f>SUM(H33:H41)</f>
        <v>2355.3650999999918</v>
      </c>
      <c r="I42" s="22">
        <f>SUM(I33:I41)</f>
        <v>-113.1917250000003</v>
      </c>
      <c r="J42" s="22">
        <f>SUM(J33:J41)</f>
        <v>-151.76526800000039</v>
      </c>
      <c r="K42" s="40">
        <f t="shared" ref="K42:L42" si="33">SUM(K33:K40)</f>
        <v>3494.16</v>
      </c>
      <c r="L42" s="40">
        <f t="shared" si="33"/>
        <v>2372.7999999999997</v>
      </c>
      <c r="M42" s="22">
        <f>SUM(M33:M41)</f>
        <v>-94452.328217050235</v>
      </c>
      <c r="N42" s="23">
        <f>M42/G42</f>
        <v>-0.41428217736203699</v>
      </c>
      <c r="O42" s="24"/>
      <c r="P42" s="25"/>
    </row>
    <row r="43" spans="3:16" ht="15.75" thickBot="1" x14ac:dyDescent="0.3">
      <c r="H43" s="20"/>
      <c r="I43" s="20"/>
      <c r="J43" s="20"/>
      <c r="M43" s="20"/>
      <c r="N43" s="20"/>
      <c r="O43" s="20"/>
    </row>
    <row r="44" spans="3:16" x14ac:dyDescent="0.25">
      <c r="C44" s="33" t="str">
        <f t="shared" ref="C44:P44" si="34">C32</f>
        <v>State</v>
      </c>
      <c r="D44" s="34" t="str">
        <f t="shared" si="34"/>
        <v>Type</v>
      </c>
      <c r="E44" s="34" t="str">
        <f t="shared" si="34"/>
        <v>Code</v>
      </c>
      <c r="F44" s="35" t="str">
        <f t="shared" si="34"/>
        <v>BMC Name</v>
      </c>
      <c r="G44" s="34" t="str">
        <f t="shared" si="34"/>
        <v>MTD Volume</v>
      </c>
      <c r="H44" s="36" t="str">
        <f t="shared" si="34"/>
        <v>Vol Kg</v>
      </c>
      <c r="I44" s="36" t="str">
        <f t="shared" si="34"/>
        <v>FAT kg</v>
      </c>
      <c r="J44" s="36" t="str">
        <f t="shared" si="34"/>
        <v>SNF Kg</v>
      </c>
      <c r="K44" s="34" t="str">
        <f t="shared" si="34"/>
        <v>FAT Rate</v>
      </c>
      <c r="L44" s="34" t="str">
        <f t="shared" si="34"/>
        <v>SNF Rate</v>
      </c>
      <c r="M44" s="36" t="str">
        <f t="shared" si="34"/>
        <v>Amount</v>
      </c>
      <c r="N44" s="34" t="str">
        <f t="shared" si="34"/>
        <v>Loss/gain per Kg</v>
      </c>
      <c r="O44" s="34" t="str">
        <f t="shared" si="34"/>
        <v>Day book received till</v>
      </c>
      <c r="P44" s="37" t="str">
        <f t="shared" si="34"/>
        <v>Remarks</v>
      </c>
    </row>
    <row r="45" spans="3:16" x14ac:dyDescent="0.25">
      <c r="C45" s="6" t="s">
        <v>49</v>
      </c>
      <c r="D45" s="7" t="s">
        <v>16</v>
      </c>
      <c r="E45" s="7" t="s">
        <v>50</v>
      </c>
      <c r="F45" s="8" t="s">
        <v>51</v>
      </c>
      <c r="G45" s="9">
        <v>57235.69999999999</v>
      </c>
      <c r="H45" s="12">
        <v>903.30000000000996</v>
      </c>
      <c r="I45" s="12">
        <v>40.4643000000002</v>
      </c>
      <c r="J45" s="12">
        <v>18.837999999999901</v>
      </c>
      <c r="K45" s="10">
        <v>420.58</v>
      </c>
      <c r="L45" s="11">
        <v>296.59999999999997</v>
      </c>
      <c r="M45" s="12">
        <f t="shared" ref="M45" si="35">I45*K45+J45*L45</f>
        <v>22605.826094000055</v>
      </c>
      <c r="N45" s="13">
        <f t="shared" ref="N45:N58" si="36">M45/G45</f>
        <v>0.39496024498695848</v>
      </c>
      <c r="O45" s="14">
        <v>46182</v>
      </c>
      <c r="P45" s="15" t="s">
        <v>364</v>
      </c>
    </row>
    <row r="46" spans="3:16" x14ac:dyDescent="0.25">
      <c r="C46" s="6" t="s">
        <v>49</v>
      </c>
      <c r="D46" s="7" t="s">
        <v>16</v>
      </c>
      <c r="E46" s="7" t="s">
        <v>52</v>
      </c>
      <c r="F46" s="8" t="s">
        <v>53</v>
      </c>
      <c r="G46" s="9">
        <v>45726.54</v>
      </c>
      <c r="H46" s="12">
        <v>125.159999999999</v>
      </c>
      <c r="I46" s="12">
        <v>2.0670299999999302</v>
      </c>
      <c r="J46" s="12">
        <v>-17.843629999999902</v>
      </c>
      <c r="K46" s="10">
        <v>420.58</v>
      </c>
      <c r="L46" s="11">
        <v>296.59999999999997</v>
      </c>
      <c r="M46" s="12">
        <f t="shared" ref="M46:M57" si="37">I46*K46+J46*L46</f>
        <v>-4423.0691805999995</v>
      </c>
      <c r="N46" s="13">
        <f t="shared" si="36"/>
        <v>-9.6728708986072415E-2</v>
      </c>
      <c r="O46" s="14">
        <v>46182</v>
      </c>
      <c r="P46" s="15" t="s">
        <v>364</v>
      </c>
    </row>
    <row r="47" spans="3:16" x14ac:dyDescent="0.25">
      <c r="C47" s="6" t="s">
        <v>49</v>
      </c>
      <c r="D47" s="7" t="s">
        <v>16</v>
      </c>
      <c r="E47" s="7" t="s">
        <v>141</v>
      </c>
      <c r="F47" s="8" t="s">
        <v>130</v>
      </c>
      <c r="G47" s="9">
        <v>28312</v>
      </c>
      <c r="H47" s="12">
        <v>298.90000000000202</v>
      </c>
      <c r="I47" s="12">
        <v>30.691400000000002</v>
      </c>
      <c r="J47" s="12">
        <v>67.209289999999697</v>
      </c>
      <c r="K47" s="10">
        <v>420.58</v>
      </c>
      <c r="L47" s="11">
        <v>296.59999999999997</v>
      </c>
      <c r="M47" s="12">
        <f t="shared" si="37"/>
        <v>32842.464425999911</v>
      </c>
      <c r="N47" s="13">
        <f t="shared" si="36"/>
        <v>1.160019229513984</v>
      </c>
      <c r="O47" s="14">
        <v>46182</v>
      </c>
      <c r="P47" s="15" t="s">
        <v>364</v>
      </c>
    </row>
    <row r="48" spans="3:16" x14ac:dyDescent="0.25">
      <c r="C48" s="6" t="s">
        <v>49</v>
      </c>
      <c r="D48" s="7" t="s">
        <v>16</v>
      </c>
      <c r="E48" s="7" t="s">
        <v>157</v>
      </c>
      <c r="F48" s="8" t="s">
        <v>158</v>
      </c>
      <c r="G48" s="9">
        <v>75199.999999999985</v>
      </c>
      <c r="H48" s="12">
        <v>1200.00000000001</v>
      </c>
      <c r="I48" s="12">
        <v>-98.128499999999093</v>
      </c>
      <c r="J48" s="12">
        <v>56.715799999999398</v>
      </c>
      <c r="K48" s="10">
        <v>420.58</v>
      </c>
      <c r="L48" s="11">
        <v>296.59999999999997</v>
      </c>
      <c r="M48" s="12">
        <f t="shared" ref="M48" si="38">I48*K48+J48*L48</f>
        <v>-24448.978249999796</v>
      </c>
      <c r="N48" s="13">
        <f t="shared" ref="N48" si="39">M48/G48</f>
        <v>-0.32511939162233777</v>
      </c>
      <c r="O48" s="14">
        <v>46182</v>
      </c>
      <c r="P48" s="15" t="s">
        <v>364</v>
      </c>
    </row>
    <row r="49" spans="3:16" x14ac:dyDescent="0.25">
      <c r="C49" s="6" t="s">
        <v>49</v>
      </c>
      <c r="D49" s="7" t="s">
        <v>16</v>
      </c>
      <c r="E49" s="7" t="s">
        <v>54</v>
      </c>
      <c r="F49" s="8" t="s">
        <v>55</v>
      </c>
      <c r="G49" s="9">
        <v>22521.599999999999</v>
      </c>
      <c r="H49" s="12">
        <v>-317.600000000004</v>
      </c>
      <c r="I49" s="12">
        <v>8.3013999999998003</v>
      </c>
      <c r="J49" s="12">
        <v>-16.922100000000199</v>
      </c>
      <c r="K49" s="10">
        <v>420.58</v>
      </c>
      <c r="L49" s="11">
        <v>296.59999999999997</v>
      </c>
      <c r="M49" s="12">
        <f t="shared" si="37"/>
        <v>-1527.6920480001427</v>
      </c>
      <c r="N49" s="13">
        <f t="shared" si="36"/>
        <v>-6.7832305342433161E-2</v>
      </c>
      <c r="O49" s="14">
        <v>46182</v>
      </c>
      <c r="P49" s="15" t="s">
        <v>364</v>
      </c>
    </row>
    <row r="50" spans="3:16" x14ac:dyDescent="0.25">
      <c r="C50" s="6" t="s">
        <v>49</v>
      </c>
      <c r="D50" s="7" t="s">
        <v>16</v>
      </c>
      <c r="E50" s="7" t="s">
        <v>56</v>
      </c>
      <c r="F50" s="8" t="s">
        <v>57</v>
      </c>
      <c r="G50" s="9">
        <v>39806.399999999994</v>
      </c>
      <c r="H50" s="12">
        <v>-83.199999999999804</v>
      </c>
      <c r="I50" s="12">
        <v>54.402240000000099</v>
      </c>
      <c r="J50" s="12">
        <v>-114.8573</v>
      </c>
      <c r="K50" s="10">
        <v>420.58</v>
      </c>
      <c r="L50" s="11">
        <v>296.59999999999997</v>
      </c>
      <c r="M50" s="12">
        <f t="shared" si="37"/>
        <v>-11186.18108079995</v>
      </c>
      <c r="N50" s="13">
        <f t="shared" si="36"/>
        <v>-0.28101463786727643</v>
      </c>
      <c r="O50" s="14">
        <v>46182</v>
      </c>
      <c r="P50" s="15" t="s">
        <v>364</v>
      </c>
    </row>
    <row r="51" spans="3:16" x14ac:dyDescent="0.25">
      <c r="C51" s="6" t="s">
        <v>49</v>
      </c>
      <c r="D51" s="7" t="s">
        <v>16</v>
      </c>
      <c r="E51" s="7" t="s">
        <v>129</v>
      </c>
      <c r="F51" s="8" t="s">
        <v>142</v>
      </c>
      <c r="G51" s="9">
        <v>21304.82</v>
      </c>
      <c r="H51" s="12">
        <v>-259.02</v>
      </c>
      <c r="I51" s="12">
        <v>65.806100000000001</v>
      </c>
      <c r="J51" s="12">
        <v>-10.194979999999999</v>
      </c>
      <c r="K51" s="10">
        <v>420.58</v>
      </c>
      <c r="L51" s="11">
        <v>296.59999999999997</v>
      </c>
      <c r="M51" s="12">
        <f t="shared" si="37"/>
        <v>24652.89847</v>
      </c>
      <c r="N51" s="13">
        <f t="shared" ref="N51" si="40">M51/G51</f>
        <v>1.1571512207096799</v>
      </c>
      <c r="O51" s="14">
        <v>46182</v>
      </c>
      <c r="P51" s="15" t="s">
        <v>364</v>
      </c>
    </row>
    <row r="52" spans="3:16" x14ac:dyDescent="0.25">
      <c r="C52" s="6" t="s">
        <v>49</v>
      </c>
      <c r="D52" s="7" t="s">
        <v>16</v>
      </c>
      <c r="E52" s="7" t="s">
        <v>58</v>
      </c>
      <c r="F52" s="8" t="s">
        <v>59</v>
      </c>
      <c r="G52" s="9">
        <v>72989.099999999991</v>
      </c>
      <c r="H52" s="12">
        <v>98.964030508308497</v>
      </c>
      <c r="I52" s="12">
        <v>78.119788453959103</v>
      </c>
      <c r="J52" s="12">
        <v>44.102235562428703</v>
      </c>
      <c r="K52" s="10">
        <v>420.58</v>
      </c>
      <c r="L52" s="11">
        <v>296.59999999999997</v>
      </c>
      <c r="M52" s="12">
        <f t="shared" si="37"/>
        <v>45936.343695782474</v>
      </c>
      <c r="N52" s="13">
        <f t="shared" si="36"/>
        <v>0.6293589549094657</v>
      </c>
      <c r="O52" s="14">
        <v>46182</v>
      </c>
      <c r="P52" s="15" t="s">
        <v>364</v>
      </c>
    </row>
    <row r="53" spans="3:16" x14ac:dyDescent="0.25">
      <c r="C53" s="6" t="s">
        <v>49</v>
      </c>
      <c r="D53" s="7" t="s">
        <v>16</v>
      </c>
      <c r="E53" s="17" t="s">
        <v>109</v>
      </c>
      <c r="F53" s="18" t="s">
        <v>110</v>
      </c>
      <c r="G53" s="31">
        <v>33338.700000000004</v>
      </c>
      <c r="H53" s="32">
        <v>246.30000000000101</v>
      </c>
      <c r="I53" s="32">
        <v>12.379099999999999</v>
      </c>
      <c r="J53" s="32">
        <v>39.957400000000398</v>
      </c>
      <c r="K53" s="10">
        <v>420.58</v>
      </c>
      <c r="L53" s="11">
        <v>296.59999999999997</v>
      </c>
      <c r="M53" s="12">
        <f t="shared" si="37"/>
        <v>17057.766718000115</v>
      </c>
      <c r="N53" s="13">
        <f t="shared" ref="N53:N56" si="41">M53/G53</f>
        <v>0.51165062578925136</v>
      </c>
      <c r="O53" s="14">
        <v>46182</v>
      </c>
      <c r="P53" s="15" t="s">
        <v>364</v>
      </c>
    </row>
    <row r="54" spans="3:16" x14ac:dyDescent="0.25">
      <c r="C54" s="6" t="s">
        <v>49</v>
      </c>
      <c r="D54" s="7" t="s">
        <v>16</v>
      </c>
      <c r="E54" s="17" t="s">
        <v>143</v>
      </c>
      <c r="F54" s="18" t="s">
        <v>144</v>
      </c>
      <c r="G54" s="31">
        <v>17509.5</v>
      </c>
      <c r="H54" s="32">
        <v>-61.499999999999503</v>
      </c>
      <c r="I54" s="32">
        <v>-10.005299999999901</v>
      </c>
      <c r="J54" s="32">
        <v>46.7336999999998</v>
      </c>
      <c r="K54" s="10">
        <v>420.58</v>
      </c>
      <c r="L54" s="11">
        <v>296.59999999999997</v>
      </c>
      <c r="M54" s="12">
        <f t="shared" si="37"/>
        <v>9653.1863459999804</v>
      </c>
      <c r="N54" s="13">
        <f t="shared" ref="N54:N55" si="42">M54/G54</f>
        <v>0.55131136503041089</v>
      </c>
      <c r="O54" s="14">
        <v>46182</v>
      </c>
      <c r="P54" s="15" t="s">
        <v>364</v>
      </c>
    </row>
    <row r="55" spans="3:16" x14ac:dyDescent="0.25">
      <c r="C55" s="6" t="s">
        <v>49</v>
      </c>
      <c r="D55" s="7" t="s">
        <v>16</v>
      </c>
      <c r="E55" s="17" t="s">
        <v>173</v>
      </c>
      <c r="F55" s="18" t="s">
        <v>174</v>
      </c>
      <c r="G55" s="31">
        <v>14830.099999999999</v>
      </c>
      <c r="H55" s="32">
        <v>109.9</v>
      </c>
      <c r="I55" s="32">
        <v>-4.9573</v>
      </c>
      <c r="J55" s="32">
        <v>10.8531999999999</v>
      </c>
      <c r="K55" s="10">
        <v>420.58</v>
      </c>
      <c r="L55" s="11">
        <v>296.59999999999997</v>
      </c>
      <c r="M55" s="12">
        <f t="shared" si="37"/>
        <v>1134.11788599997</v>
      </c>
      <c r="N55" s="13">
        <f t="shared" si="42"/>
        <v>7.6474055198546886E-2</v>
      </c>
      <c r="O55" s="14">
        <v>46182</v>
      </c>
      <c r="P55" s="15" t="s">
        <v>364</v>
      </c>
    </row>
    <row r="56" spans="3:16" x14ac:dyDescent="0.25">
      <c r="C56" s="6" t="s">
        <v>49</v>
      </c>
      <c r="D56" s="7" t="s">
        <v>16</v>
      </c>
      <c r="E56" s="17" t="s">
        <v>139</v>
      </c>
      <c r="F56" s="18" t="s">
        <v>140</v>
      </c>
      <c r="G56" s="31">
        <v>33977.200000000004</v>
      </c>
      <c r="H56" s="32">
        <v>35.428098071652101</v>
      </c>
      <c r="I56" s="32">
        <v>34.275648843421997</v>
      </c>
      <c r="J56" s="32">
        <v>29.271623828205499</v>
      </c>
      <c r="K56" s="10">
        <v>420.58</v>
      </c>
      <c r="L56" s="11">
        <v>296.59999999999997</v>
      </c>
      <c r="M56" s="12">
        <f t="shared" si="37"/>
        <v>23097.616018012173</v>
      </c>
      <c r="N56" s="13">
        <f t="shared" si="41"/>
        <v>0.67979751180239012</v>
      </c>
      <c r="O56" s="14">
        <v>46182</v>
      </c>
      <c r="P56" s="15" t="s">
        <v>364</v>
      </c>
    </row>
    <row r="57" spans="3:16" ht="15.75" thickBot="1" x14ac:dyDescent="0.3">
      <c r="C57" s="16" t="s">
        <v>49</v>
      </c>
      <c r="D57" s="17" t="s">
        <v>16</v>
      </c>
      <c r="E57" s="17" t="s">
        <v>60</v>
      </c>
      <c r="F57" s="18" t="s">
        <v>61</v>
      </c>
      <c r="G57" s="31">
        <v>67116.800000000003</v>
      </c>
      <c r="H57" s="32">
        <v>58.200000000002497</v>
      </c>
      <c r="I57" s="32">
        <v>24.139999999999599</v>
      </c>
      <c r="J57" s="32">
        <v>32.518399999998998</v>
      </c>
      <c r="K57" s="10">
        <v>420.58</v>
      </c>
      <c r="L57" s="11">
        <v>296.59999999999997</v>
      </c>
      <c r="M57" s="12">
        <f t="shared" si="37"/>
        <v>19797.758639999534</v>
      </c>
      <c r="N57" s="19">
        <f t="shared" si="36"/>
        <v>0.29497471035567152</v>
      </c>
      <c r="O57" s="14">
        <v>46182</v>
      </c>
      <c r="P57" s="15" t="s">
        <v>364</v>
      </c>
    </row>
    <row r="58" spans="3:16" ht="15.75" thickBot="1" x14ac:dyDescent="0.3">
      <c r="C58" s="232" t="s">
        <v>62</v>
      </c>
      <c r="D58" s="233"/>
      <c r="E58" s="233"/>
      <c r="F58" s="233"/>
      <c r="G58" s="41">
        <f>SUM(G45:G57)</f>
        <v>529868.46</v>
      </c>
      <c r="H58" s="22">
        <f>SUM(H45:H57)</f>
        <v>2354.8321285799821</v>
      </c>
      <c r="I58" s="22">
        <f>SUM(I45:I57)</f>
        <v>237.55590729738174</v>
      </c>
      <c r="J58" s="22">
        <f>SUM(J45:J57)</f>
        <v>186.38163939063219</v>
      </c>
      <c r="K58" s="40"/>
      <c r="L58" s="40"/>
      <c r="M58" s="22">
        <f>SUM(M45:M57)</f>
        <v>155192.05773439433</v>
      </c>
      <c r="N58" s="23">
        <f t="shared" si="36"/>
        <v>0.29288789473220267</v>
      </c>
      <c r="O58" s="24"/>
      <c r="P58" s="42"/>
    </row>
  </sheetData>
  <mergeCells count="5">
    <mergeCell ref="C58:F58"/>
    <mergeCell ref="C2:P2"/>
    <mergeCell ref="C17:F17"/>
    <mergeCell ref="C30:F30"/>
    <mergeCell ref="U4:Z4"/>
  </mergeCells>
  <conditionalFormatting sqref="H4:N16">
    <cfRule type="cellIs" dxfId="135" priority="3" operator="greaterThan">
      <formula>0</formula>
    </cfRule>
    <cfRule type="cellIs" dxfId="134" priority="4" operator="lessThan">
      <formula>0</formula>
    </cfRule>
  </conditionalFormatting>
  <conditionalFormatting sqref="H19:N29">
    <cfRule type="cellIs" dxfId="133" priority="1" operator="greaterThan">
      <formula>0</formula>
    </cfRule>
    <cfRule type="cellIs" dxfId="132" priority="2" operator="lessThan">
      <formula>0</formula>
    </cfRule>
  </conditionalFormatting>
  <conditionalFormatting sqref="H33:N41">
    <cfRule type="cellIs" dxfId="131" priority="5" operator="greaterThan">
      <formula>0</formula>
    </cfRule>
    <cfRule type="cellIs" dxfId="130" priority="6" operator="lessThan">
      <formula>0</formula>
    </cfRule>
  </conditionalFormatting>
  <conditionalFormatting sqref="H45:N57">
    <cfRule type="cellIs" dxfId="129" priority="21" operator="greaterThan">
      <formula>0</formula>
    </cfRule>
    <cfRule type="cellIs" dxfId="128" priority="22" operator="lessThan">
      <formula>0</formula>
    </cfRule>
  </conditionalFormatting>
  <conditionalFormatting sqref="H17:O18 H30:O31">
    <cfRule type="cellIs" dxfId="127" priority="63" operator="greaterThan">
      <formula>0</formula>
    </cfRule>
    <cfRule type="cellIs" dxfId="126" priority="64" operator="lessThan">
      <formula>0</formula>
    </cfRule>
  </conditionalFormatting>
  <conditionalFormatting sqref="H42:O43">
    <cfRule type="cellIs" dxfId="125" priority="61" operator="greaterThan">
      <formula>0</formula>
    </cfRule>
    <cfRule type="cellIs" dxfId="124" priority="62" operator="lessThan">
      <formula>0</formula>
    </cfRule>
  </conditionalFormatting>
  <conditionalFormatting sqref="H58:O58">
    <cfRule type="cellIs" dxfId="123" priority="65" operator="greaterThan">
      <formula>0</formula>
    </cfRule>
    <cfRule type="cellIs" dxfId="122" priority="66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V69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O20" sqref="O20:Q20"/>
    </sheetView>
  </sheetViews>
  <sheetFormatPr defaultRowHeight="15" x14ac:dyDescent="0.25"/>
  <cols>
    <col min="1" max="1" width="3.42578125" customWidth="1"/>
    <col min="2" max="2" width="11.5703125" customWidth="1"/>
    <col min="3" max="3" width="4.7109375" bestFit="1" customWidth="1"/>
    <col min="4" max="4" width="7.85546875" customWidth="1"/>
    <col min="5" max="6" width="5" bestFit="1" customWidth="1"/>
    <col min="7" max="7" width="7.7109375" customWidth="1"/>
    <col min="8" max="8" width="8.28515625" customWidth="1"/>
    <col min="9" max="9" width="7.85546875" customWidth="1"/>
    <col min="10" max="10" width="8.5703125" bestFit="1" customWidth="1"/>
    <col min="11" max="11" width="7.28515625" bestFit="1" customWidth="1"/>
    <col min="12" max="12" width="5" bestFit="1" customWidth="1"/>
    <col min="13" max="13" width="6" customWidth="1"/>
    <col min="14" max="14" width="9.42578125" bestFit="1" customWidth="1"/>
    <col min="15" max="15" width="6.28515625" bestFit="1" customWidth="1"/>
    <col min="16" max="16" width="5" bestFit="1" customWidth="1"/>
    <col min="17" max="17" width="6" bestFit="1" customWidth="1"/>
    <col min="18" max="18" width="7.85546875" customWidth="1"/>
    <col min="19" max="19" width="7.42578125" customWidth="1"/>
    <col min="20" max="20" width="7.7109375" customWidth="1"/>
    <col min="21" max="21" width="6.5703125" bestFit="1" customWidth="1"/>
    <col min="22" max="22" width="7" bestFit="1" customWidth="1"/>
    <col min="23" max="23" width="11.7109375" bestFit="1" customWidth="1"/>
    <col min="24" max="24" width="7.5703125" bestFit="1" customWidth="1"/>
    <col min="25" max="26" width="5" style="77" bestFit="1" customWidth="1"/>
    <col min="27" max="27" width="7.28515625" customWidth="1"/>
    <col min="28" max="28" width="7.42578125" customWidth="1"/>
    <col min="29" max="29" width="8.5703125" bestFit="1" customWidth="1"/>
    <col min="30" max="31" width="5" bestFit="1" customWidth="1"/>
    <col min="32" max="32" width="7.28515625" customWidth="1"/>
    <col min="33" max="33" width="7.42578125" customWidth="1"/>
    <col min="34" max="34" width="9.5703125" bestFit="1" customWidth="1"/>
    <col min="35" max="36" width="5" bestFit="1" customWidth="1"/>
    <col min="37" max="37" width="7.7109375" customWidth="1"/>
    <col min="38" max="38" width="8.7109375" customWidth="1"/>
    <col min="39" max="39" width="8.28515625" bestFit="1" customWidth="1"/>
    <col min="40" max="41" width="7.28515625" bestFit="1" customWidth="1"/>
    <col min="42" max="42" width="8.28515625" bestFit="1" customWidth="1"/>
    <col min="43" max="43" width="10.28515625" bestFit="1" customWidth="1"/>
    <col min="44" max="44" width="7.28515625" bestFit="1" customWidth="1"/>
    <col min="45" max="49" width="8.7109375" bestFit="1" customWidth="1"/>
  </cols>
  <sheetData>
    <row r="1" spans="1:46" ht="15.75" thickBot="1" x14ac:dyDescent="0.3">
      <c r="B1" s="43" t="s">
        <v>63</v>
      </c>
      <c r="C1" s="44"/>
      <c r="Y1"/>
      <c r="Z1"/>
      <c r="AG1">
        <v>392</v>
      </c>
      <c r="AP1" s="126">
        <f>Sumarry!$K$4</f>
        <v>448.91</v>
      </c>
      <c r="AQ1" s="126">
        <f>Sumarry!$L$4</f>
        <v>299.27333333333337</v>
      </c>
    </row>
    <row r="2" spans="1:46" x14ac:dyDescent="0.25">
      <c r="B2" s="245" t="s">
        <v>64</v>
      </c>
      <c r="C2" s="247" t="s">
        <v>65</v>
      </c>
      <c r="D2" s="249" t="s">
        <v>66</v>
      </c>
      <c r="E2" s="250"/>
      <c r="F2" s="250"/>
      <c r="G2" s="250"/>
      <c r="H2" s="251"/>
      <c r="I2" s="242" t="s">
        <v>67</v>
      </c>
      <c r="J2" s="243"/>
      <c r="K2" s="243"/>
      <c r="L2" s="244"/>
      <c r="M2" s="242" t="s">
        <v>68</v>
      </c>
      <c r="N2" s="243"/>
      <c r="O2" s="243"/>
      <c r="P2" s="243"/>
      <c r="Q2" s="244"/>
      <c r="R2" s="242" t="s">
        <v>69</v>
      </c>
      <c r="S2" s="243"/>
      <c r="T2" s="244"/>
      <c r="U2" s="239" t="s">
        <v>70</v>
      </c>
      <c r="V2" s="240"/>
      <c r="W2" s="240"/>
      <c r="X2" s="240"/>
      <c r="Y2" s="240"/>
      <c r="Z2" s="240"/>
      <c r="AA2" s="240"/>
      <c r="AB2" s="241"/>
      <c r="AC2" s="242" t="s">
        <v>71</v>
      </c>
      <c r="AD2" s="243"/>
      <c r="AE2" s="243"/>
      <c r="AF2" s="243"/>
      <c r="AG2" s="244"/>
      <c r="AH2" s="242" t="s">
        <v>72</v>
      </c>
      <c r="AI2" s="243"/>
      <c r="AJ2" s="243"/>
      <c r="AK2" s="243"/>
      <c r="AL2" s="244"/>
      <c r="AM2" s="239" t="s">
        <v>73</v>
      </c>
      <c r="AN2" s="240"/>
      <c r="AO2" s="240"/>
      <c r="AP2" s="240"/>
      <c r="AQ2" s="241"/>
    </row>
    <row r="3" spans="1:46" x14ac:dyDescent="0.25">
      <c r="B3" s="246"/>
      <c r="C3" s="248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6" x14ac:dyDescent="0.25">
      <c r="A4" t="str">
        <f>CONCATENATE(B4,C4)</f>
        <v>46174M</v>
      </c>
      <c r="B4" s="51">
        <v>46174</v>
      </c>
      <c r="C4" s="52" t="s">
        <v>87</v>
      </c>
      <c r="D4" s="53">
        <v>4003</v>
      </c>
      <c r="E4" s="54">
        <v>3.7</v>
      </c>
      <c r="F4" s="55">
        <v>8.08</v>
      </c>
      <c r="G4" s="62">
        <f t="shared" ref="G4" si="0">+D4*E4%</f>
        <v>148.11100000000002</v>
      </c>
      <c r="H4" s="63">
        <f t="shared" ref="H4" si="1">+D4*F4%</f>
        <v>323.44239999999996</v>
      </c>
      <c r="I4" s="203">
        <v>1416.1</v>
      </c>
      <c r="J4" s="203">
        <v>1458.5829999999999</v>
      </c>
      <c r="K4" s="203">
        <v>4.1664501094555479</v>
      </c>
      <c r="L4" s="203">
        <v>8.1952475107690166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1458.5829999999999</v>
      </c>
      <c r="S4" s="62">
        <f t="shared" ref="S4" si="2">+J4*K4%+O4*P4%</f>
        <v>60.771133000000013</v>
      </c>
      <c r="T4" s="63">
        <f t="shared" ref="T4" si="3">+J4*L4%+O4*Q4%</f>
        <v>119.53448700000003</v>
      </c>
      <c r="U4" s="64" t="s">
        <v>175</v>
      </c>
      <c r="V4" s="65" t="s">
        <v>206</v>
      </c>
      <c r="W4" s="66" t="s">
        <v>159</v>
      </c>
      <c r="X4" s="67">
        <v>3650</v>
      </c>
      <c r="Y4" s="68">
        <v>4</v>
      </c>
      <c r="Z4" s="68">
        <v>8.33</v>
      </c>
      <c r="AA4" s="62">
        <f t="shared" ref="AA4" si="4">X4*Y4%</f>
        <v>146</v>
      </c>
      <c r="AB4" s="63">
        <f t="shared" ref="AB4" si="5">X4*Z4%</f>
        <v>304.04500000000002</v>
      </c>
      <c r="AC4" s="69">
        <v>3650</v>
      </c>
      <c r="AD4" s="70">
        <v>3.9</v>
      </c>
      <c r="AE4" s="70">
        <v>8.07</v>
      </c>
      <c r="AF4" s="62">
        <f t="shared" ref="AF4" si="6">AC4*AD4%</f>
        <v>142.35</v>
      </c>
      <c r="AG4" s="63">
        <f t="shared" ref="AG4" si="7">AC4*AE4%</f>
        <v>294.55500000000001</v>
      </c>
      <c r="AH4" s="71">
        <v>1812</v>
      </c>
      <c r="AI4" s="66">
        <v>3.82</v>
      </c>
      <c r="AJ4" s="66">
        <v>8.1</v>
      </c>
      <c r="AK4" s="62">
        <f t="shared" ref="AK4:AK22" si="8">AH4*AI4%</f>
        <v>69.218400000000003</v>
      </c>
      <c r="AL4" s="72">
        <f t="shared" ref="AL4:AL22" si="9">AH4*AJ4%</f>
        <v>146.77199999999999</v>
      </c>
      <c r="AM4" s="73">
        <f>+D4+R4-AC4-AH4</f>
        <v>-0.41700000000037107</v>
      </c>
      <c r="AN4" s="74">
        <f t="shared" ref="AN4:AO4" si="10">+G4+S4-AF4-AK4</f>
        <v>-2.6862669999999582</v>
      </c>
      <c r="AO4" s="74">
        <f t="shared" si="10"/>
        <v>1.6498869999999783</v>
      </c>
      <c r="AP4" s="75">
        <f>(AN4+AO4)/(S4+T4)</f>
        <v>-5.7479073586279763E-3</v>
      </c>
      <c r="AQ4" s="76">
        <f t="shared" ref="AQ4" si="11">($AP$1*AN4+$AQ$1*AO4)</f>
        <v>-712.12493685665436</v>
      </c>
      <c r="AR4" s="77">
        <f t="shared" ref="AR4:AR65" si="12">(D4+J4+O4)-(X4+AH4)</f>
        <v>-0.41700000000037107</v>
      </c>
      <c r="AT4" s="78"/>
    </row>
    <row r="5" spans="1:46" x14ac:dyDescent="0.25">
      <c r="A5" t="str">
        <f t="shared" ref="A5:A65" si="13">CONCATENATE(B5,C5)</f>
        <v>46174E</v>
      </c>
      <c r="B5" s="51">
        <f>+B4</f>
        <v>46174</v>
      </c>
      <c r="C5" s="52" t="s">
        <v>88</v>
      </c>
      <c r="D5" s="79">
        <v>1812</v>
      </c>
      <c r="E5" s="62">
        <v>3.82</v>
      </c>
      <c r="F5" s="62">
        <v>8.1</v>
      </c>
      <c r="G5" s="62">
        <f t="shared" ref="G5:G65" si="14">+D5*E5%</f>
        <v>69.218400000000003</v>
      </c>
      <c r="H5" s="63">
        <f t="shared" ref="H5:H65" si="15">+D5*F5%</f>
        <v>146.77199999999999</v>
      </c>
      <c r="I5" s="203">
        <v>2598.5</v>
      </c>
      <c r="J5" s="203">
        <v>2676.4549999999999</v>
      </c>
      <c r="K5" s="203">
        <v>3.7264768135462756</v>
      </c>
      <c r="L5" s="203">
        <v>8.1239946122763129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6">+J5+O5</f>
        <v>2676.4549999999999</v>
      </c>
      <c r="S5" s="62">
        <f t="shared" ref="S5:S65" si="17">+J5*K5%+O5*P5%</f>
        <v>99.737474999999961</v>
      </c>
      <c r="T5" s="63">
        <f t="shared" ref="T5:T65" si="18">+J5*L5%+O5*Q5%</f>
        <v>217.43505999999996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ref="AA5:AA65" si="19">X5*Y5%</f>
        <v>0</v>
      </c>
      <c r="AB5" s="63">
        <f t="shared" ref="AB5:AB65" si="20">X5*Z5%</f>
        <v>0</v>
      </c>
      <c r="AC5" s="69"/>
      <c r="AD5" s="70"/>
      <c r="AE5" s="70"/>
      <c r="AF5" s="62">
        <f t="shared" ref="AF5:AF65" si="21">AC5*AD5%</f>
        <v>0</v>
      </c>
      <c r="AG5" s="63">
        <f t="shared" ref="AG5:AG65" si="22">AC5*AE5%</f>
        <v>0</v>
      </c>
      <c r="AH5" s="71">
        <v>4488</v>
      </c>
      <c r="AI5" s="66">
        <v>3.76</v>
      </c>
      <c r="AJ5" s="66">
        <v>8.07</v>
      </c>
      <c r="AK5" s="62">
        <f t="shared" si="8"/>
        <v>168.74879999999999</v>
      </c>
      <c r="AL5" s="72">
        <f t="shared" si="9"/>
        <v>362.18160000000006</v>
      </c>
      <c r="AM5" s="73">
        <f t="shared" ref="AM5:AM65" si="23">+D5+R5-AC5-AH5</f>
        <v>0.45499999999992724</v>
      </c>
      <c r="AN5" s="74">
        <f t="shared" ref="AN5:AN65" si="24">+G5+S5-AF5-AK5</f>
        <v>0.20707499999997481</v>
      </c>
      <c r="AO5" s="74">
        <f t="shared" ref="AO5:AO65" si="25">+H5+T5-AG5-AL5</f>
        <v>2.0254599999998959</v>
      </c>
      <c r="AP5" s="75">
        <f t="shared" ref="AP5:AP65" si="26">(AN5+AO5)/(S5+T5)</f>
        <v>7.0388660859297646E-3</v>
      </c>
      <c r="AQ5" s="76">
        <f t="shared" ref="AQ5:AQ65" si="27">($AP$1*AN5+$AQ$1*AO5)</f>
        <v>699.12420398329095</v>
      </c>
      <c r="AR5" s="77">
        <f t="shared" si="12"/>
        <v>0.45499999999992724</v>
      </c>
    </row>
    <row r="6" spans="1:46" x14ac:dyDescent="0.25">
      <c r="A6" t="str">
        <f t="shared" si="13"/>
        <v>46175M</v>
      </c>
      <c r="B6" s="51">
        <f>+B4+1</f>
        <v>46175</v>
      </c>
      <c r="C6" s="52" t="s">
        <v>87</v>
      </c>
      <c r="D6" s="79">
        <v>4488</v>
      </c>
      <c r="E6" s="62">
        <v>3.76</v>
      </c>
      <c r="F6" s="62">
        <v>8.07</v>
      </c>
      <c r="G6" s="62">
        <f t="shared" si="14"/>
        <v>168.74879999999999</v>
      </c>
      <c r="H6" s="63">
        <f t="shared" si="15"/>
        <v>362.18160000000006</v>
      </c>
      <c r="I6" s="203">
        <v>1142.1999999999998</v>
      </c>
      <c r="J6" s="203">
        <v>1176.4659999999999</v>
      </c>
      <c r="K6" s="203">
        <v>4.3726317632638754</v>
      </c>
      <c r="L6" s="203">
        <v>8.2112502188758523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6"/>
        <v>1176.4659999999999</v>
      </c>
      <c r="S6" s="62">
        <f t="shared" si="17"/>
        <v>51.44252599999998</v>
      </c>
      <c r="T6" s="63">
        <f t="shared" si="18"/>
        <v>96.602566999999979</v>
      </c>
      <c r="U6" s="64" t="s">
        <v>170</v>
      </c>
      <c r="V6" s="65" t="s">
        <v>207</v>
      </c>
      <c r="W6" s="66" t="s">
        <v>208</v>
      </c>
      <c r="X6" s="67">
        <v>4870</v>
      </c>
      <c r="Y6" s="68">
        <v>4</v>
      </c>
      <c r="Z6" s="68">
        <v>8.2100000000000009</v>
      </c>
      <c r="AA6" s="62">
        <f t="shared" si="19"/>
        <v>194.8</v>
      </c>
      <c r="AB6" s="63">
        <f t="shared" si="20"/>
        <v>399.82700000000006</v>
      </c>
      <c r="AC6" s="69">
        <v>4850</v>
      </c>
      <c r="AD6" s="70">
        <v>3.9</v>
      </c>
      <c r="AE6" s="70">
        <v>8.19</v>
      </c>
      <c r="AF6" s="62">
        <f t="shared" si="21"/>
        <v>189.15</v>
      </c>
      <c r="AG6" s="63">
        <f t="shared" si="22"/>
        <v>397.21499999999997</v>
      </c>
      <c r="AH6" s="71">
        <v>794</v>
      </c>
      <c r="AI6" s="66">
        <v>3.88</v>
      </c>
      <c r="AJ6" s="66">
        <v>8.09</v>
      </c>
      <c r="AK6" s="62">
        <f t="shared" si="8"/>
        <v>30.807200000000002</v>
      </c>
      <c r="AL6" s="72">
        <f t="shared" si="9"/>
        <v>64.2346</v>
      </c>
      <c r="AM6" s="73">
        <f t="shared" si="23"/>
        <v>20.466000000000349</v>
      </c>
      <c r="AN6" s="74">
        <f t="shared" si="24"/>
        <v>0.23412599999996786</v>
      </c>
      <c r="AO6" s="74">
        <f t="shared" si="25"/>
        <v>-2.6654329999999504</v>
      </c>
      <c r="AP6" s="75">
        <f t="shared" si="26"/>
        <v>-1.6422746277716772E-2</v>
      </c>
      <c r="AQ6" s="76">
        <f t="shared" si="27"/>
        <v>-692.59151602666634</v>
      </c>
      <c r="AR6" s="77">
        <f t="shared" si="12"/>
        <v>0.46600000000034925</v>
      </c>
    </row>
    <row r="7" spans="1:46" x14ac:dyDescent="0.25">
      <c r="A7" t="str">
        <f t="shared" si="13"/>
        <v>46175E</v>
      </c>
      <c r="B7" s="51">
        <f>+B5+1</f>
        <v>46175</v>
      </c>
      <c r="C7" s="52" t="s">
        <v>88</v>
      </c>
      <c r="D7" s="79">
        <v>794</v>
      </c>
      <c r="E7" s="62">
        <v>3.88</v>
      </c>
      <c r="F7" s="62">
        <v>8.09</v>
      </c>
      <c r="G7" s="62">
        <f t="shared" si="14"/>
        <v>30.807200000000002</v>
      </c>
      <c r="H7" s="63">
        <f t="shared" si="15"/>
        <v>64.2346</v>
      </c>
      <c r="I7" s="203">
        <v>2548.3000000000002</v>
      </c>
      <c r="J7" s="203">
        <v>2624.7490000000003</v>
      </c>
      <c r="K7" s="203">
        <v>3.6326099752776368</v>
      </c>
      <c r="L7" s="203">
        <v>8.0804300906486706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6"/>
        <v>2624.7490000000003</v>
      </c>
      <c r="S7" s="62">
        <f t="shared" si="17"/>
        <v>95.346894000000034</v>
      </c>
      <c r="T7" s="63">
        <f t="shared" si="18"/>
        <v>212.09100800000007</v>
      </c>
      <c r="U7" s="64" t="s">
        <v>171</v>
      </c>
      <c r="V7" s="65" t="s">
        <v>209</v>
      </c>
      <c r="W7" s="66" t="s">
        <v>159</v>
      </c>
      <c r="X7" s="67">
        <v>3100</v>
      </c>
      <c r="Y7" s="68">
        <v>3.85</v>
      </c>
      <c r="Z7" s="68">
        <v>8.18</v>
      </c>
      <c r="AA7" s="62">
        <f t="shared" si="19"/>
        <v>119.35</v>
      </c>
      <c r="AB7" s="63">
        <f t="shared" si="20"/>
        <v>253.57999999999998</v>
      </c>
      <c r="AC7" s="69">
        <v>3060</v>
      </c>
      <c r="AD7" s="70">
        <v>4</v>
      </c>
      <c r="AE7" s="70">
        <v>7.96</v>
      </c>
      <c r="AF7" s="62">
        <f t="shared" si="21"/>
        <v>122.4</v>
      </c>
      <c r="AG7" s="63">
        <f t="shared" si="22"/>
        <v>243.57600000000002</v>
      </c>
      <c r="AH7" s="71">
        <v>318</v>
      </c>
      <c r="AI7" s="71">
        <v>3.66</v>
      </c>
      <c r="AJ7" s="71">
        <v>8.07</v>
      </c>
      <c r="AK7" s="62">
        <f t="shared" si="8"/>
        <v>11.6388</v>
      </c>
      <c r="AL7" s="72">
        <f t="shared" si="9"/>
        <v>25.662600000000001</v>
      </c>
      <c r="AM7" s="73">
        <f t="shared" si="23"/>
        <v>40.749000000000251</v>
      </c>
      <c r="AN7" s="74">
        <f t="shared" si="24"/>
        <v>-7.8847059999999622</v>
      </c>
      <c r="AO7" s="74">
        <f t="shared" si="25"/>
        <v>7.087008000000079</v>
      </c>
      <c r="AP7" s="75">
        <f t="shared" si="26"/>
        <v>-2.594663816044005E-3</v>
      </c>
      <c r="AQ7" s="76">
        <f t="shared" si="27"/>
        <v>-1418.5708629399592</v>
      </c>
      <c r="AR7" s="77">
        <f t="shared" si="12"/>
        <v>0.74900000000025102</v>
      </c>
    </row>
    <row r="8" spans="1:46" x14ac:dyDescent="0.25">
      <c r="A8" t="str">
        <f t="shared" si="13"/>
        <v>46176M</v>
      </c>
      <c r="B8" s="51">
        <f>+B6+1</f>
        <v>46176</v>
      </c>
      <c r="C8" s="52" t="s">
        <v>87</v>
      </c>
      <c r="D8" s="91">
        <v>318</v>
      </c>
      <c r="E8" s="62">
        <v>3.66</v>
      </c>
      <c r="F8" s="62">
        <v>8.07</v>
      </c>
      <c r="G8" s="62">
        <f t="shared" si="14"/>
        <v>11.6388</v>
      </c>
      <c r="H8" s="63">
        <f t="shared" si="15"/>
        <v>25.662600000000001</v>
      </c>
      <c r="I8" s="203">
        <v>1659.9</v>
      </c>
      <c r="J8" s="203">
        <v>1709.6970000000001</v>
      </c>
      <c r="K8" s="203">
        <v>4.1931019940960317</v>
      </c>
      <c r="L8" s="203">
        <v>8.1770588589674098</v>
      </c>
      <c r="M8" s="58">
        <v>0</v>
      </c>
      <c r="N8" s="58" t="s">
        <v>167</v>
      </c>
      <c r="O8" s="59">
        <v>0</v>
      </c>
      <c r="P8" s="56">
        <v>0</v>
      </c>
      <c r="Q8" s="60">
        <v>0</v>
      </c>
      <c r="R8" s="61">
        <f t="shared" si="16"/>
        <v>1709.6970000000001</v>
      </c>
      <c r="S8" s="62">
        <f t="shared" si="17"/>
        <v>71.689339000000032</v>
      </c>
      <c r="T8" s="63">
        <f t="shared" si="18"/>
        <v>139.80293000000003</v>
      </c>
      <c r="U8" s="64" t="s">
        <v>167</v>
      </c>
      <c r="V8" s="65" t="s">
        <v>167</v>
      </c>
      <c r="W8" s="66">
        <v>0</v>
      </c>
      <c r="X8" s="67">
        <v>0</v>
      </c>
      <c r="Y8" s="68">
        <v>0</v>
      </c>
      <c r="Z8" s="68">
        <v>0</v>
      </c>
      <c r="AA8" s="62">
        <f t="shared" si="19"/>
        <v>0</v>
      </c>
      <c r="AB8" s="63">
        <f t="shared" si="20"/>
        <v>0</v>
      </c>
      <c r="AC8" s="69"/>
      <c r="AD8" s="70"/>
      <c r="AE8" s="70"/>
      <c r="AF8" s="62">
        <f t="shared" si="21"/>
        <v>0</v>
      </c>
      <c r="AG8" s="63">
        <f t="shared" si="22"/>
        <v>0</v>
      </c>
      <c r="AH8" s="71">
        <v>2028</v>
      </c>
      <c r="AI8" s="71">
        <v>4.0999999999999996</v>
      </c>
      <c r="AJ8" s="71">
        <v>8.15</v>
      </c>
      <c r="AK8" s="62">
        <f t="shared" si="8"/>
        <v>83.147999999999996</v>
      </c>
      <c r="AL8" s="72">
        <f t="shared" si="9"/>
        <v>165.28200000000001</v>
      </c>
      <c r="AM8" s="73">
        <f t="shared" si="23"/>
        <v>-0.30299999999988358</v>
      </c>
      <c r="AN8" s="74">
        <f t="shared" si="24"/>
        <v>0.18013900000003957</v>
      </c>
      <c r="AO8" s="74">
        <f t="shared" si="25"/>
        <v>0.18353000000001884</v>
      </c>
      <c r="AP8" s="75">
        <f t="shared" si="26"/>
        <v>1.7195380319081936E-3</v>
      </c>
      <c r="AQ8" s="76">
        <f t="shared" si="27"/>
        <v>135.79183335669006</v>
      </c>
      <c r="AR8" s="90">
        <f t="shared" ref="AR8:AR21" si="28">(D8+J8+O8)-(X8+AH8)</f>
        <v>-0.30299999999988358</v>
      </c>
    </row>
    <row r="9" spans="1:46" x14ac:dyDescent="0.25">
      <c r="A9" t="str">
        <f t="shared" si="13"/>
        <v>46176E</v>
      </c>
      <c r="B9" s="51">
        <f t="shared" ref="B9:B65" si="29">+B7+1</f>
        <v>46176</v>
      </c>
      <c r="C9" s="52" t="s">
        <v>88</v>
      </c>
      <c r="D9" s="91">
        <v>2028</v>
      </c>
      <c r="E9" s="62">
        <v>4.0999999999999996</v>
      </c>
      <c r="F9" s="62">
        <v>8.15</v>
      </c>
      <c r="G9" s="62">
        <f t="shared" si="14"/>
        <v>83.147999999999996</v>
      </c>
      <c r="H9" s="63">
        <f t="shared" si="15"/>
        <v>165.28200000000001</v>
      </c>
      <c r="I9" s="203">
        <v>3053.8000000000006</v>
      </c>
      <c r="J9" s="203">
        <v>3145.4140000000007</v>
      </c>
      <c r="K9" s="203">
        <v>3.6977110485297024</v>
      </c>
      <c r="L9" s="203">
        <v>8.0720282926190343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6"/>
        <v>3145.4140000000007</v>
      </c>
      <c r="S9" s="62">
        <f t="shared" si="17"/>
        <v>116.30832100000008</v>
      </c>
      <c r="T9" s="63">
        <f t="shared" si="18"/>
        <v>253.89870800000011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19"/>
        <v>0</v>
      </c>
      <c r="AB9" s="63">
        <f t="shared" si="20"/>
        <v>0</v>
      </c>
      <c r="AC9" s="69"/>
      <c r="AD9" s="70"/>
      <c r="AE9" s="70"/>
      <c r="AF9" s="62">
        <f t="shared" si="21"/>
        <v>0</v>
      </c>
      <c r="AG9" s="63">
        <f t="shared" si="22"/>
        <v>0</v>
      </c>
      <c r="AH9" s="82">
        <v>5173</v>
      </c>
      <c r="AI9" s="82">
        <v>3.85</v>
      </c>
      <c r="AJ9" s="82">
        <v>8.09</v>
      </c>
      <c r="AK9" s="62">
        <f t="shared" si="8"/>
        <v>199.16049999999998</v>
      </c>
      <c r="AL9" s="72">
        <f t="shared" si="9"/>
        <v>418.4957</v>
      </c>
      <c r="AM9" s="73">
        <f t="shared" si="23"/>
        <v>0.41400000000066939</v>
      </c>
      <c r="AN9" s="74">
        <f t="shared" si="24"/>
        <v>0.29582100000007472</v>
      </c>
      <c r="AO9" s="74">
        <f t="shared" si="25"/>
        <v>0.68500800000009576</v>
      </c>
      <c r="AP9" s="75">
        <f t="shared" si="26"/>
        <v>2.6494067458675127E-3</v>
      </c>
      <c r="AQ9" s="76">
        <f t="shared" si="27"/>
        <v>337.80163263006227</v>
      </c>
      <c r="AR9" s="90">
        <f t="shared" si="28"/>
        <v>0.41400000000066939</v>
      </c>
    </row>
    <row r="10" spans="1:46" x14ac:dyDescent="0.25">
      <c r="A10" t="str">
        <f t="shared" si="13"/>
        <v>46177M</v>
      </c>
      <c r="B10" s="51">
        <f t="shared" si="29"/>
        <v>46177</v>
      </c>
      <c r="C10" s="52" t="s">
        <v>87</v>
      </c>
      <c r="D10" s="91">
        <v>5173</v>
      </c>
      <c r="E10" s="62">
        <v>3.85</v>
      </c>
      <c r="F10" s="62">
        <v>8.09</v>
      </c>
      <c r="G10" s="62">
        <f t="shared" si="14"/>
        <v>199.16049999999998</v>
      </c>
      <c r="H10" s="63">
        <f t="shared" si="15"/>
        <v>418.4957</v>
      </c>
      <c r="I10" s="203">
        <v>1151.7</v>
      </c>
      <c r="J10" s="203">
        <v>1186.251</v>
      </c>
      <c r="K10" s="203">
        <v>4.3506295042111667</v>
      </c>
      <c r="L10" s="203">
        <v>8.2383693670226652</v>
      </c>
      <c r="M10" s="58" t="s">
        <v>165</v>
      </c>
      <c r="N10" s="58" t="s">
        <v>205</v>
      </c>
      <c r="O10" s="59">
        <v>1360</v>
      </c>
      <c r="P10" s="56">
        <v>4.0999999999999996</v>
      </c>
      <c r="Q10" s="60">
        <v>8.0399999999999991</v>
      </c>
      <c r="R10" s="61">
        <f t="shared" si="16"/>
        <v>2546.2510000000002</v>
      </c>
      <c r="S10" s="62">
        <f t="shared" si="17"/>
        <v>107.36938599999999</v>
      </c>
      <c r="T10" s="63">
        <f t="shared" si="18"/>
        <v>207.07173900000001</v>
      </c>
      <c r="U10" s="64" t="s">
        <v>210</v>
      </c>
      <c r="V10" s="136" t="s">
        <v>211</v>
      </c>
      <c r="W10" s="66" t="s">
        <v>212</v>
      </c>
      <c r="X10" s="67">
        <v>6750</v>
      </c>
      <c r="Y10" s="68">
        <v>4.0999999999999996</v>
      </c>
      <c r="Z10" s="68">
        <v>8.26</v>
      </c>
      <c r="AA10" s="62">
        <f t="shared" si="19"/>
        <v>276.74999999999994</v>
      </c>
      <c r="AB10" s="63">
        <f t="shared" si="20"/>
        <v>557.54999999999995</v>
      </c>
      <c r="AC10" s="69">
        <v>6740</v>
      </c>
      <c r="AD10" s="70">
        <v>4.0272255192878346</v>
      </c>
      <c r="AE10" s="70">
        <v>8.1554451038575664</v>
      </c>
      <c r="AF10" s="62">
        <f t="shared" si="21"/>
        <v>271.43500000000006</v>
      </c>
      <c r="AG10" s="63">
        <f t="shared" si="22"/>
        <v>549.67700000000002</v>
      </c>
      <c r="AH10" s="71">
        <v>969</v>
      </c>
      <c r="AI10" s="71">
        <v>3.94</v>
      </c>
      <c r="AJ10" s="71">
        <v>8.11</v>
      </c>
      <c r="AK10" s="62">
        <f t="shared" si="8"/>
        <v>38.178599999999996</v>
      </c>
      <c r="AL10" s="72">
        <f t="shared" si="9"/>
        <v>78.585899999999995</v>
      </c>
      <c r="AM10" s="73">
        <f t="shared" si="23"/>
        <v>10.251000000000204</v>
      </c>
      <c r="AN10" s="74">
        <f t="shared" si="24"/>
        <v>-3.0837140000000787</v>
      </c>
      <c r="AO10" s="74">
        <f t="shared" si="25"/>
        <v>-2.6954609999999803</v>
      </c>
      <c r="AP10" s="75">
        <f t="shared" si="26"/>
        <v>-1.8379195787446883E-2</v>
      </c>
      <c r="AQ10" s="76">
        <f t="shared" si="27"/>
        <v>-2190.9896500800296</v>
      </c>
      <c r="AR10" s="90">
        <f t="shared" si="28"/>
        <v>0.25100000000020373</v>
      </c>
    </row>
    <row r="11" spans="1:46" x14ac:dyDescent="0.25">
      <c r="A11" t="str">
        <f t="shared" si="13"/>
        <v>46177E</v>
      </c>
      <c r="B11" s="51">
        <f t="shared" si="29"/>
        <v>46177</v>
      </c>
      <c r="C11" s="52" t="s">
        <v>88</v>
      </c>
      <c r="D11" s="91">
        <v>969</v>
      </c>
      <c r="E11" s="62">
        <v>3.94</v>
      </c>
      <c r="F11" s="62">
        <v>8.11</v>
      </c>
      <c r="G11" s="62">
        <f t="shared" si="14"/>
        <v>38.178599999999996</v>
      </c>
      <c r="H11" s="63">
        <f t="shared" si="15"/>
        <v>78.585899999999995</v>
      </c>
      <c r="I11" s="203">
        <v>2851.2000000000003</v>
      </c>
      <c r="J11" s="203">
        <v>2936.7360000000003</v>
      </c>
      <c r="K11" s="203">
        <v>3.6417789001122336</v>
      </c>
      <c r="L11" s="203">
        <v>8.1097608024691361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6"/>
        <v>2936.7360000000003</v>
      </c>
      <c r="S11" s="62">
        <f t="shared" si="17"/>
        <v>106.94943200000002</v>
      </c>
      <c r="T11" s="63">
        <f t="shared" si="18"/>
        <v>238.16226500000005</v>
      </c>
      <c r="U11" s="64" t="s">
        <v>167</v>
      </c>
      <c r="V11" s="136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19"/>
        <v>0</v>
      </c>
      <c r="AB11" s="63">
        <f t="shared" si="20"/>
        <v>0</v>
      </c>
      <c r="AC11" s="69"/>
      <c r="AD11" s="70"/>
      <c r="AE11" s="70"/>
      <c r="AF11" s="62">
        <f t="shared" si="21"/>
        <v>0</v>
      </c>
      <c r="AG11" s="63">
        <f t="shared" si="22"/>
        <v>0</v>
      </c>
      <c r="AH11" s="71">
        <v>3905</v>
      </c>
      <c r="AI11" s="71">
        <v>3.7</v>
      </c>
      <c r="AJ11" s="71">
        <v>8.0500000000000007</v>
      </c>
      <c r="AK11" s="62">
        <f t="shared" si="8"/>
        <v>144.48500000000001</v>
      </c>
      <c r="AL11" s="72">
        <f t="shared" si="9"/>
        <v>314.35250000000002</v>
      </c>
      <c r="AM11" s="73">
        <f t="shared" si="23"/>
        <v>0.73600000000033106</v>
      </c>
      <c r="AN11" s="74">
        <f t="shared" si="24"/>
        <v>0.64303200000000516</v>
      </c>
      <c r="AO11" s="74">
        <f t="shared" si="25"/>
        <v>2.3956650000000081</v>
      </c>
      <c r="AP11" s="75">
        <f t="shared" si="26"/>
        <v>8.8049667003897956E-3</v>
      </c>
      <c r="AQ11" s="76">
        <f t="shared" si="27"/>
        <v>1005.6221452200048</v>
      </c>
      <c r="AR11" s="90">
        <f t="shared" si="28"/>
        <v>0.73600000000033106</v>
      </c>
    </row>
    <row r="12" spans="1:46" x14ac:dyDescent="0.25">
      <c r="A12" t="str">
        <f t="shared" si="13"/>
        <v>46178M</v>
      </c>
      <c r="B12" s="51">
        <f t="shared" si="29"/>
        <v>46178</v>
      </c>
      <c r="C12" s="52" t="s">
        <v>87</v>
      </c>
      <c r="D12" s="91">
        <v>3905</v>
      </c>
      <c r="E12" s="62">
        <v>3.7</v>
      </c>
      <c r="F12" s="62">
        <v>8.0500000000000007</v>
      </c>
      <c r="G12" s="62">
        <f t="shared" si="14"/>
        <v>144.48500000000001</v>
      </c>
      <c r="H12" s="63">
        <f t="shared" si="15"/>
        <v>314.35250000000002</v>
      </c>
      <c r="I12" s="203">
        <v>1114.0999999999999</v>
      </c>
      <c r="J12" s="203">
        <v>1147.5229999999999</v>
      </c>
      <c r="K12" s="203">
        <v>4.4800000000000004</v>
      </c>
      <c r="L12" s="203">
        <v>8.1300000000000008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6"/>
        <v>1147.5229999999999</v>
      </c>
      <c r="S12" s="62">
        <f t="shared" si="17"/>
        <v>51.409030400000006</v>
      </c>
      <c r="T12" s="63">
        <f t="shared" si="18"/>
        <v>93.29361990000001</v>
      </c>
      <c r="U12" s="64" t="s">
        <v>171</v>
      </c>
      <c r="V12" s="65" t="s">
        <v>333</v>
      </c>
      <c r="W12" s="66" t="s">
        <v>208</v>
      </c>
      <c r="X12" s="67">
        <v>5200</v>
      </c>
      <c r="Y12" s="68">
        <v>4.05</v>
      </c>
      <c r="Z12" s="68">
        <v>8.2200000000000006</v>
      </c>
      <c r="AA12" s="62">
        <f t="shared" si="19"/>
        <v>210.6</v>
      </c>
      <c r="AB12" s="63">
        <f t="shared" si="20"/>
        <v>427.44000000000005</v>
      </c>
      <c r="AC12" s="69">
        <v>5120</v>
      </c>
      <c r="AD12" s="70">
        <v>4</v>
      </c>
      <c r="AE12" s="70">
        <v>8.0799999999999983</v>
      </c>
      <c r="AF12" s="62">
        <f t="shared" si="21"/>
        <v>204.8</v>
      </c>
      <c r="AG12" s="63">
        <f t="shared" si="22"/>
        <v>413.69599999999991</v>
      </c>
      <c r="AH12" s="71">
        <v>0</v>
      </c>
      <c r="AI12" s="71">
        <v>0</v>
      </c>
      <c r="AJ12" s="71">
        <v>0</v>
      </c>
      <c r="AK12" s="62">
        <f t="shared" si="8"/>
        <v>0</v>
      </c>
      <c r="AL12" s="72">
        <f t="shared" si="9"/>
        <v>0</v>
      </c>
      <c r="AM12" s="73">
        <f t="shared" si="23"/>
        <v>-67.476999999999862</v>
      </c>
      <c r="AN12" s="74">
        <f t="shared" si="24"/>
        <v>-8.9059695999999917</v>
      </c>
      <c r="AO12" s="74">
        <f t="shared" si="25"/>
        <v>-6.0498800999998821</v>
      </c>
      <c r="AP12" s="75">
        <f t="shared" si="26"/>
        <v>-0.1033557413702731</v>
      </c>
      <c r="AQ12" s="76">
        <f t="shared" si="27"/>
        <v>-5808.5465969299612</v>
      </c>
      <c r="AR12" s="90">
        <f t="shared" si="28"/>
        <v>-147.47699999999986</v>
      </c>
    </row>
    <row r="13" spans="1:46" x14ac:dyDescent="0.25">
      <c r="A13" t="str">
        <f t="shared" si="13"/>
        <v>46178E</v>
      </c>
      <c r="B13" s="51">
        <f t="shared" si="29"/>
        <v>46178</v>
      </c>
      <c r="C13" s="52" t="s">
        <v>88</v>
      </c>
      <c r="D13" s="91">
        <v>0</v>
      </c>
      <c r="E13" s="62">
        <v>0</v>
      </c>
      <c r="F13" s="62">
        <v>0</v>
      </c>
      <c r="G13" s="62">
        <f t="shared" si="14"/>
        <v>0</v>
      </c>
      <c r="H13" s="63">
        <f t="shared" si="15"/>
        <v>0</v>
      </c>
      <c r="I13" s="203">
        <v>2973.4</v>
      </c>
      <c r="J13" s="203">
        <v>3062.6020000000003</v>
      </c>
      <c r="K13" s="203">
        <v>3.6</v>
      </c>
      <c r="L13" s="203">
        <v>8.0500000000000007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6"/>
        <v>3062.6020000000003</v>
      </c>
      <c r="S13" s="62">
        <f t="shared" si="17"/>
        <v>110.25367200000002</v>
      </c>
      <c r="T13" s="63">
        <f t="shared" si="18"/>
        <v>246.53946100000005</v>
      </c>
      <c r="U13" s="64" t="s">
        <v>167</v>
      </c>
      <c r="V13" s="136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19"/>
        <v>0</v>
      </c>
      <c r="AB13" s="63">
        <f t="shared" si="20"/>
        <v>0</v>
      </c>
      <c r="AC13" s="69"/>
      <c r="AD13" s="70"/>
      <c r="AE13" s="70"/>
      <c r="AF13" s="62">
        <f t="shared" si="21"/>
        <v>0</v>
      </c>
      <c r="AG13" s="63">
        <f t="shared" si="22"/>
        <v>0</v>
      </c>
      <c r="AH13" s="71">
        <v>3063</v>
      </c>
      <c r="AI13" s="71">
        <v>3.6</v>
      </c>
      <c r="AJ13" s="71">
        <v>8.0500000000000007</v>
      </c>
      <c r="AK13" s="62">
        <f t="shared" si="8"/>
        <v>110.26800000000001</v>
      </c>
      <c r="AL13" s="72">
        <f t="shared" si="9"/>
        <v>246.57150000000001</v>
      </c>
      <c r="AM13" s="73">
        <f t="shared" si="23"/>
        <v>-0.3979999999996835</v>
      </c>
      <c r="AN13" s="74">
        <f t="shared" si="24"/>
        <v>-1.4327999999991903E-2</v>
      </c>
      <c r="AO13" s="74">
        <f t="shared" si="25"/>
        <v>-3.2038999999969064E-2</v>
      </c>
      <c r="AP13" s="75">
        <f t="shared" si="26"/>
        <v>-1.299548553810338E-4</v>
      </c>
      <c r="AQ13" s="76">
        <f t="shared" si="27"/>
        <v>-16.020400806653775</v>
      </c>
      <c r="AR13" s="90">
        <f t="shared" si="28"/>
        <v>-0.3979999999996835</v>
      </c>
    </row>
    <row r="14" spans="1:46" x14ac:dyDescent="0.25">
      <c r="A14" t="str">
        <f t="shared" si="13"/>
        <v>46179M</v>
      </c>
      <c r="B14" s="51">
        <f t="shared" si="29"/>
        <v>46179</v>
      </c>
      <c r="C14" s="52" t="s">
        <v>87</v>
      </c>
      <c r="D14" s="91">
        <v>3063</v>
      </c>
      <c r="E14" s="62">
        <v>3.6</v>
      </c>
      <c r="F14" s="62">
        <v>8.0500000000000007</v>
      </c>
      <c r="G14" s="62">
        <f t="shared" si="14"/>
        <v>110.26800000000001</v>
      </c>
      <c r="H14" s="63">
        <f t="shared" si="15"/>
        <v>246.57150000000001</v>
      </c>
      <c r="I14" s="203">
        <v>1568.1</v>
      </c>
      <c r="J14" s="203">
        <v>1615.143</v>
      </c>
      <c r="K14" s="203">
        <v>4.21</v>
      </c>
      <c r="L14" s="203">
        <v>8.11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6"/>
        <v>1615.143</v>
      </c>
      <c r="S14" s="62">
        <f t="shared" si="17"/>
        <v>67.997520300000005</v>
      </c>
      <c r="T14" s="63">
        <f t="shared" si="18"/>
        <v>130.98809729999999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19"/>
        <v>0</v>
      </c>
      <c r="AB14" s="63">
        <f t="shared" si="20"/>
        <v>0</v>
      </c>
      <c r="AC14" s="69"/>
      <c r="AD14" s="70"/>
      <c r="AE14" s="70"/>
      <c r="AF14" s="62">
        <f t="shared" si="21"/>
        <v>0</v>
      </c>
      <c r="AG14" s="63">
        <f t="shared" si="22"/>
        <v>0</v>
      </c>
      <c r="AH14" s="89">
        <v>4678</v>
      </c>
      <c r="AI14" s="71">
        <v>3.81</v>
      </c>
      <c r="AJ14" s="71">
        <v>8.07</v>
      </c>
      <c r="AK14" s="62">
        <f t="shared" si="8"/>
        <v>178.23180000000002</v>
      </c>
      <c r="AL14" s="72">
        <f t="shared" si="9"/>
        <v>377.51460000000003</v>
      </c>
      <c r="AM14" s="73">
        <f t="shared" si="23"/>
        <v>0.1430000000000291</v>
      </c>
      <c r="AN14" s="74">
        <f t="shared" si="24"/>
        <v>3.3720299999998815E-2</v>
      </c>
      <c r="AO14" s="74">
        <f t="shared" si="25"/>
        <v>4.4997299999977258E-2</v>
      </c>
      <c r="AP14" s="75">
        <f t="shared" si="26"/>
        <v>3.9559442008624881E-4</v>
      </c>
      <c r="AQ14" s="76">
        <f t="shared" si="27"/>
        <v>28.603871834992667</v>
      </c>
      <c r="AR14" s="90">
        <f t="shared" si="28"/>
        <v>0.1430000000000291</v>
      </c>
    </row>
    <row r="15" spans="1:46" x14ac:dyDescent="0.25">
      <c r="A15" t="str">
        <f t="shared" si="13"/>
        <v>46179E</v>
      </c>
      <c r="B15" s="51">
        <f t="shared" si="29"/>
        <v>46179</v>
      </c>
      <c r="C15" s="52" t="s">
        <v>88</v>
      </c>
      <c r="D15" s="91">
        <v>4678</v>
      </c>
      <c r="E15" s="62">
        <v>3.81</v>
      </c>
      <c r="F15" s="62">
        <v>8.07</v>
      </c>
      <c r="G15" s="62">
        <f t="shared" si="14"/>
        <v>178.23180000000002</v>
      </c>
      <c r="H15" s="63">
        <f t="shared" si="15"/>
        <v>377.51460000000003</v>
      </c>
      <c r="I15" s="203">
        <v>2954.1</v>
      </c>
      <c r="J15" s="203">
        <v>3042.723</v>
      </c>
      <c r="K15" s="203">
        <v>3.61</v>
      </c>
      <c r="L15" s="203">
        <v>8.02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6"/>
        <v>3042.723</v>
      </c>
      <c r="S15" s="62">
        <f t="shared" si="17"/>
        <v>109.84230030000001</v>
      </c>
      <c r="T15" s="63">
        <f t="shared" si="18"/>
        <v>244.02638459999997</v>
      </c>
      <c r="U15" s="64" t="s">
        <v>171</v>
      </c>
      <c r="V15" s="136" t="s">
        <v>334</v>
      </c>
      <c r="W15" s="66" t="s">
        <v>335</v>
      </c>
      <c r="X15" s="67">
        <v>6200</v>
      </c>
      <c r="Y15" s="68">
        <v>3.95</v>
      </c>
      <c r="Z15" s="68">
        <v>8.1999999999999993</v>
      </c>
      <c r="AA15" s="62">
        <f t="shared" si="19"/>
        <v>244.9</v>
      </c>
      <c r="AB15" s="63">
        <f t="shared" si="20"/>
        <v>508.39999999999992</v>
      </c>
      <c r="AC15" s="69">
        <v>6140</v>
      </c>
      <c r="AD15" s="70">
        <v>3.8</v>
      </c>
      <c r="AE15" s="70">
        <v>7.98</v>
      </c>
      <c r="AF15" s="62">
        <f t="shared" si="21"/>
        <v>233.32</v>
      </c>
      <c r="AG15" s="63">
        <f t="shared" si="22"/>
        <v>489.97200000000004</v>
      </c>
      <c r="AH15" s="89">
        <v>1521</v>
      </c>
      <c r="AI15" s="66">
        <v>3.73</v>
      </c>
      <c r="AJ15" s="66">
        <v>8.0500000000000007</v>
      </c>
      <c r="AK15" s="62">
        <f t="shared" si="8"/>
        <v>56.7333</v>
      </c>
      <c r="AL15" s="72">
        <f t="shared" si="9"/>
        <v>122.4405</v>
      </c>
      <c r="AM15" s="73">
        <f t="shared" si="23"/>
        <v>59.722999999999956</v>
      </c>
      <c r="AN15" s="74">
        <f t="shared" si="24"/>
        <v>-1.9791996999999384</v>
      </c>
      <c r="AO15" s="74">
        <f t="shared" si="25"/>
        <v>9.1284845999999646</v>
      </c>
      <c r="AP15" s="75">
        <f t="shared" si="26"/>
        <v>2.0203214370382472E-2</v>
      </c>
      <c r="AQ15" s="76">
        <f t="shared" si="27"/>
        <v>1843.4294771970176</v>
      </c>
      <c r="AR15" s="90">
        <f t="shared" si="28"/>
        <v>-0.27700000000004366</v>
      </c>
    </row>
    <row r="16" spans="1:46" x14ac:dyDescent="0.25">
      <c r="A16" t="str">
        <f t="shared" si="13"/>
        <v>46180M</v>
      </c>
      <c r="B16" s="51">
        <f t="shared" si="29"/>
        <v>46180</v>
      </c>
      <c r="C16" s="52" t="s">
        <v>87</v>
      </c>
      <c r="D16" s="79">
        <v>1521</v>
      </c>
      <c r="E16" s="62">
        <v>3.73</v>
      </c>
      <c r="F16" s="62">
        <v>8.0500000000000007</v>
      </c>
      <c r="G16" s="62">
        <f t="shared" si="14"/>
        <v>56.7333</v>
      </c>
      <c r="H16" s="63">
        <f t="shared" si="15"/>
        <v>122.4405</v>
      </c>
      <c r="I16" s="203">
        <v>1248.5999999999999</v>
      </c>
      <c r="J16" s="203">
        <v>1286.058</v>
      </c>
      <c r="K16" s="203">
        <v>4.2</v>
      </c>
      <c r="L16" s="203">
        <v>8.16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6"/>
        <v>1286.058</v>
      </c>
      <c r="S16" s="62">
        <f t="shared" si="17"/>
        <v>54.014436000000003</v>
      </c>
      <c r="T16" s="63">
        <f t="shared" si="18"/>
        <v>104.9423328</v>
      </c>
      <c r="U16" s="64" t="s">
        <v>167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19"/>
        <v>0</v>
      </c>
      <c r="AB16" s="63">
        <f t="shared" si="20"/>
        <v>0</v>
      </c>
      <c r="AC16" s="69"/>
      <c r="AD16" s="70"/>
      <c r="AE16" s="70"/>
      <c r="AF16" s="62">
        <f t="shared" si="21"/>
        <v>0</v>
      </c>
      <c r="AG16" s="63">
        <f t="shared" si="22"/>
        <v>0</v>
      </c>
      <c r="AH16" s="97">
        <v>2807</v>
      </c>
      <c r="AI16" s="71">
        <v>3.95</v>
      </c>
      <c r="AJ16" s="71">
        <v>8.1</v>
      </c>
      <c r="AK16" s="62">
        <f t="shared" si="8"/>
        <v>110.87650000000001</v>
      </c>
      <c r="AL16" s="72">
        <f t="shared" si="9"/>
        <v>227.36700000000002</v>
      </c>
      <c r="AM16" s="73">
        <f t="shared" si="23"/>
        <v>5.7999999999992724E-2</v>
      </c>
      <c r="AN16" s="74">
        <f t="shared" si="24"/>
        <v>-0.12876400000000388</v>
      </c>
      <c r="AO16" s="74">
        <f t="shared" si="25"/>
        <v>1.5832799999998315E-2</v>
      </c>
      <c r="AP16" s="75">
        <f t="shared" si="26"/>
        <v>-7.1045228745242046E-4</v>
      </c>
      <c r="AQ16" s="76">
        <f t="shared" si="27"/>
        <v>-53.06511240800225</v>
      </c>
      <c r="AR16" s="90">
        <f t="shared" si="28"/>
        <v>5.7999999999992724E-2</v>
      </c>
    </row>
    <row r="17" spans="1:48" x14ac:dyDescent="0.25">
      <c r="A17" t="str">
        <f t="shared" si="13"/>
        <v>46180E</v>
      </c>
      <c r="B17" s="51">
        <f t="shared" si="29"/>
        <v>46180</v>
      </c>
      <c r="C17" s="52" t="s">
        <v>88</v>
      </c>
      <c r="D17" s="79">
        <v>2807</v>
      </c>
      <c r="E17" s="62">
        <v>3.95</v>
      </c>
      <c r="F17" s="62">
        <v>8.1</v>
      </c>
      <c r="G17" s="62">
        <f t="shared" si="14"/>
        <v>110.87650000000001</v>
      </c>
      <c r="H17" s="63">
        <f t="shared" si="15"/>
        <v>227.36700000000002</v>
      </c>
      <c r="I17" s="203">
        <v>2747.9</v>
      </c>
      <c r="J17" s="203">
        <v>2830.337</v>
      </c>
      <c r="K17" s="203">
        <v>3.69</v>
      </c>
      <c r="L17" s="203">
        <v>8.07</v>
      </c>
      <c r="M17" s="58" t="s">
        <v>149</v>
      </c>
      <c r="N17" s="58" t="s">
        <v>331</v>
      </c>
      <c r="O17" s="59">
        <v>2400</v>
      </c>
      <c r="P17" s="56">
        <v>4.25</v>
      </c>
      <c r="Q17" s="60">
        <v>8.1</v>
      </c>
      <c r="R17" s="61">
        <f t="shared" si="16"/>
        <v>5230.3369999999995</v>
      </c>
      <c r="S17" s="62">
        <f t="shared" si="17"/>
        <v>206.43943530000001</v>
      </c>
      <c r="T17" s="63">
        <f t="shared" si="18"/>
        <v>422.80819589999999</v>
      </c>
      <c r="U17" s="64" t="s">
        <v>172</v>
      </c>
      <c r="V17" s="65" t="s">
        <v>336</v>
      </c>
      <c r="W17" s="66" t="s">
        <v>335</v>
      </c>
      <c r="X17" s="67">
        <v>3150</v>
      </c>
      <c r="Y17" s="68">
        <v>4.1500000000000004</v>
      </c>
      <c r="Z17" s="68">
        <v>8</v>
      </c>
      <c r="AA17" s="62">
        <f t="shared" si="19"/>
        <v>130.72499999999999</v>
      </c>
      <c r="AB17" s="63">
        <f t="shared" si="20"/>
        <v>252</v>
      </c>
      <c r="AC17" s="69">
        <v>3130</v>
      </c>
      <c r="AD17" s="70">
        <v>4.05</v>
      </c>
      <c r="AE17" s="70">
        <v>7.9</v>
      </c>
      <c r="AF17" s="62">
        <f t="shared" si="21"/>
        <v>126.765</v>
      </c>
      <c r="AG17" s="63">
        <f t="shared" si="22"/>
        <v>247.27</v>
      </c>
      <c r="AH17" s="97">
        <v>4937</v>
      </c>
      <c r="AI17" s="66">
        <v>3.95</v>
      </c>
      <c r="AJ17" s="66">
        <v>8.09</v>
      </c>
      <c r="AK17" s="62">
        <f t="shared" si="8"/>
        <v>195.01150000000001</v>
      </c>
      <c r="AL17" s="72">
        <f>AH17*AJ17%</f>
        <v>399.4033</v>
      </c>
      <c r="AM17" s="73">
        <f t="shared" si="23"/>
        <v>-29.663000000000466</v>
      </c>
      <c r="AN17" s="74">
        <f t="shared" si="24"/>
        <v>-4.4605646999999635</v>
      </c>
      <c r="AO17" s="74">
        <f t="shared" si="25"/>
        <v>3.5018959000000791</v>
      </c>
      <c r="AP17" s="75">
        <f t="shared" si="26"/>
        <v>-1.5235159458155849E-3</v>
      </c>
      <c r="AQ17" s="76">
        <f t="shared" si="27"/>
        <v>-954.36804049762668</v>
      </c>
      <c r="AR17" s="90">
        <f t="shared" si="28"/>
        <v>-49.663000000000466</v>
      </c>
    </row>
    <row r="18" spans="1:48" x14ac:dyDescent="0.25">
      <c r="A18" t="str">
        <f t="shared" si="13"/>
        <v>46181M</v>
      </c>
      <c r="B18" s="51">
        <f t="shared" si="29"/>
        <v>46181</v>
      </c>
      <c r="C18" s="52" t="s">
        <v>87</v>
      </c>
      <c r="D18" s="79">
        <v>4937</v>
      </c>
      <c r="E18" s="62">
        <v>3.95</v>
      </c>
      <c r="F18" s="62">
        <v>8.09</v>
      </c>
      <c r="G18" s="62">
        <f t="shared" si="14"/>
        <v>195.01150000000001</v>
      </c>
      <c r="H18" s="63">
        <f t="shared" si="15"/>
        <v>399.4033</v>
      </c>
      <c r="I18" s="203">
        <v>1191.5999999999999</v>
      </c>
      <c r="J18" s="203">
        <v>1227.348</v>
      </c>
      <c r="K18" s="203">
        <v>4.1500000000000004</v>
      </c>
      <c r="L18" s="203">
        <v>8.1999999999999993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6"/>
        <v>1227.348</v>
      </c>
      <c r="S18" s="62">
        <f t="shared" si="17"/>
        <v>50.934941999999999</v>
      </c>
      <c r="T18" s="63">
        <f t="shared" si="18"/>
        <v>100.64253599999998</v>
      </c>
      <c r="U18" s="64" t="s">
        <v>171</v>
      </c>
      <c r="V18" s="65" t="s">
        <v>337</v>
      </c>
      <c r="W18" s="66" t="s">
        <v>208</v>
      </c>
      <c r="X18" s="67">
        <v>6110</v>
      </c>
      <c r="Y18" s="68">
        <v>3.93</v>
      </c>
      <c r="Z18" s="68">
        <v>8.14</v>
      </c>
      <c r="AA18" s="62">
        <f t="shared" si="19"/>
        <v>240.12300000000002</v>
      </c>
      <c r="AB18" s="63">
        <f t="shared" si="20"/>
        <v>497.35399999999998</v>
      </c>
      <c r="AC18" s="226">
        <v>6110</v>
      </c>
      <c r="AD18" s="227">
        <v>3.93</v>
      </c>
      <c r="AE18" s="227">
        <v>8.14</v>
      </c>
      <c r="AF18" s="62">
        <f t="shared" si="21"/>
        <v>240.12300000000002</v>
      </c>
      <c r="AG18" s="63">
        <f t="shared" si="22"/>
        <v>497.35399999999998</v>
      </c>
      <c r="AH18" s="97">
        <v>0</v>
      </c>
      <c r="AI18" s="71">
        <v>0</v>
      </c>
      <c r="AJ18" s="71">
        <v>0</v>
      </c>
      <c r="AK18" s="62">
        <f t="shared" si="8"/>
        <v>0</v>
      </c>
      <c r="AL18" s="72">
        <f t="shared" si="9"/>
        <v>0</v>
      </c>
      <c r="AM18" s="73">
        <f t="shared" si="23"/>
        <v>54.347999999999956</v>
      </c>
      <c r="AN18" s="74">
        <f t="shared" si="24"/>
        <v>5.823442</v>
      </c>
      <c r="AO18" s="74">
        <f t="shared" si="25"/>
        <v>2.6918360000000234</v>
      </c>
      <c r="AP18" s="75">
        <f t="shared" si="26"/>
        <v>5.6177725822829858E-2</v>
      </c>
      <c r="AQ18" s="76">
        <f t="shared" si="27"/>
        <v>3419.7960807266736</v>
      </c>
      <c r="AR18" s="90">
        <f t="shared" si="28"/>
        <v>54.347999999999956</v>
      </c>
    </row>
    <row r="19" spans="1:48" x14ac:dyDescent="0.25">
      <c r="A19" t="str">
        <f t="shared" si="13"/>
        <v>46181E</v>
      </c>
      <c r="B19" s="51">
        <f t="shared" si="29"/>
        <v>46181</v>
      </c>
      <c r="C19" s="52" t="s">
        <v>88</v>
      </c>
      <c r="D19" s="79">
        <v>0</v>
      </c>
      <c r="E19" s="62">
        <v>0</v>
      </c>
      <c r="F19" s="62">
        <v>0</v>
      </c>
      <c r="G19" s="62">
        <f t="shared" si="14"/>
        <v>0</v>
      </c>
      <c r="H19" s="63">
        <f t="shared" si="15"/>
        <v>0</v>
      </c>
      <c r="I19" s="203">
        <v>2702.1</v>
      </c>
      <c r="J19" s="203">
        <v>2783.163</v>
      </c>
      <c r="K19" s="203">
        <v>3.77</v>
      </c>
      <c r="L19" s="203">
        <v>8.07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6"/>
        <v>2783.163</v>
      </c>
      <c r="S19" s="62">
        <f t="shared" si="17"/>
        <v>104.9252451</v>
      </c>
      <c r="T19" s="63">
        <f t="shared" si="18"/>
        <v>224.60125410000003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19"/>
        <v>0</v>
      </c>
      <c r="AB19" s="63">
        <f t="shared" si="20"/>
        <v>0</v>
      </c>
      <c r="AC19" s="69"/>
      <c r="AD19" s="70"/>
      <c r="AE19" s="70"/>
      <c r="AF19" s="62">
        <f t="shared" si="21"/>
        <v>0</v>
      </c>
      <c r="AG19" s="63">
        <f t="shared" si="22"/>
        <v>0</v>
      </c>
      <c r="AH19" s="97">
        <v>2783</v>
      </c>
      <c r="AI19" s="71">
        <v>3.77</v>
      </c>
      <c r="AJ19" s="71">
        <v>8.07</v>
      </c>
      <c r="AK19" s="62">
        <f t="shared" si="8"/>
        <v>104.91909999999999</v>
      </c>
      <c r="AL19" s="72">
        <f t="shared" si="9"/>
        <v>224.58810000000003</v>
      </c>
      <c r="AM19" s="73">
        <f t="shared" si="23"/>
        <v>0.16300000000001091</v>
      </c>
      <c r="AN19" s="74">
        <f t="shared" si="24"/>
        <v>6.1451000000118938E-3</v>
      </c>
      <c r="AO19" s="74">
        <f t="shared" si="25"/>
        <v>1.3154100000008384E-2</v>
      </c>
      <c r="AP19" s="75">
        <f t="shared" si="26"/>
        <v>5.8566458378532357E-5</v>
      </c>
      <c r="AQ19" s="76">
        <f t="shared" si="27"/>
        <v>6.6952681950078485</v>
      </c>
      <c r="AR19" s="90">
        <f t="shared" si="28"/>
        <v>0.16300000000001091</v>
      </c>
    </row>
    <row r="20" spans="1:48" x14ac:dyDescent="0.25">
      <c r="A20" t="str">
        <f t="shared" si="13"/>
        <v>46182M</v>
      </c>
      <c r="B20" s="51">
        <f t="shared" si="29"/>
        <v>46182</v>
      </c>
      <c r="C20" s="52" t="s">
        <v>87</v>
      </c>
      <c r="D20" s="79">
        <v>2783</v>
      </c>
      <c r="E20" s="62">
        <v>3.77</v>
      </c>
      <c r="F20" s="62">
        <v>8.07</v>
      </c>
      <c r="G20" s="62">
        <f t="shared" si="14"/>
        <v>104.91909999999999</v>
      </c>
      <c r="H20" s="63">
        <f t="shared" si="15"/>
        <v>224.58810000000003</v>
      </c>
      <c r="I20" s="203">
        <v>1085.8</v>
      </c>
      <c r="J20" s="203">
        <v>1118.374</v>
      </c>
      <c r="K20" s="203">
        <v>4.2699999999999996</v>
      </c>
      <c r="L20" s="203">
        <v>8.24</v>
      </c>
      <c r="M20" s="58" t="s">
        <v>165</v>
      </c>
      <c r="N20" s="58" t="s">
        <v>332</v>
      </c>
      <c r="O20" s="59">
        <v>2370</v>
      </c>
      <c r="P20" s="56">
        <v>4.2</v>
      </c>
      <c r="Q20" s="60">
        <v>8</v>
      </c>
      <c r="R20" s="61">
        <f t="shared" si="16"/>
        <v>3488.3739999999998</v>
      </c>
      <c r="S20" s="62">
        <f t="shared" si="17"/>
        <v>147.2945698</v>
      </c>
      <c r="T20" s="63">
        <f t="shared" si="18"/>
        <v>281.7540176</v>
      </c>
      <c r="U20" s="64" t="s">
        <v>172</v>
      </c>
      <c r="V20" s="65" t="s">
        <v>338</v>
      </c>
      <c r="W20" s="66" t="s">
        <v>208</v>
      </c>
      <c r="X20" s="67">
        <v>6230</v>
      </c>
      <c r="Y20" s="68">
        <v>4.03</v>
      </c>
      <c r="Z20" s="68">
        <v>8.1</v>
      </c>
      <c r="AA20" s="62">
        <f t="shared" si="19"/>
        <v>251.06900000000002</v>
      </c>
      <c r="AB20" s="63">
        <f t="shared" si="20"/>
        <v>504.63</v>
      </c>
      <c r="AC20" s="69">
        <v>6190</v>
      </c>
      <c r="AD20" s="70">
        <v>3.975363489499192</v>
      </c>
      <c r="AE20" s="70">
        <v>8.0750726978998379</v>
      </c>
      <c r="AF20" s="62">
        <f t="shared" si="21"/>
        <v>246.07500000000002</v>
      </c>
      <c r="AG20" s="63">
        <f t="shared" si="22"/>
        <v>499.84699999999998</v>
      </c>
      <c r="AH20" s="97">
        <v>0</v>
      </c>
      <c r="AI20" s="66">
        <v>0</v>
      </c>
      <c r="AJ20" s="66">
        <v>0</v>
      </c>
      <c r="AK20" s="62">
        <f t="shared" si="8"/>
        <v>0</v>
      </c>
      <c r="AL20" s="72">
        <f t="shared" si="9"/>
        <v>0</v>
      </c>
      <c r="AM20" s="73">
        <f t="shared" si="23"/>
        <v>81.373999999999796</v>
      </c>
      <c r="AN20" s="74">
        <f t="shared" si="24"/>
        <v>6.138669799999974</v>
      </c>
      <c r="AO20" s="74">
        <f t="shared" si="25"/>
        <v>6.4951176000000714</v>
      </c>
      <c r="AP20" s="75">
        <f t="shared" si="26"/>
        <v>2.9446052897085115E-2</v>
      </c>
      <c r="AQ20" s="76">
        <f t="shared" si="27"/>
        <v>4699.5257544620099</v>
      </c>
      <c r="AR20" s="90">
        <f t="shared" si="28"/>
        <v>41.373999999999796</v>
      </c>
    </row>
    <row r="21" spans="1:48" x14ac:dyDescent="0.25">
      <c r="A21" t="str">
        <f t="shared" si="13"/>
        <v>46182E</v>
      </c>
      <c r="B21" s="51">
        <f t="shared" si="29"/>
        <v>46182</v>
      </c>
      <c r="C21" s="52" t="s">
        <v>88</v>
      </c>
      <c r="D21" s="79">
        <v>0</v>
      </c>
      <c r="E21" s="62">
        <v>0</v>
      </c>
      <c r="F21" s="62">
        <v>0</v>
      </c>
      <c r="G21" s="62">
        <f t="shared" si="14"/>
        <v>0</v>
      </c>
      <c r="H21" s="63">
        <f t="shared" si="15"/>
        <v>0</v>
      </c>
      <c r="I21" s="203">
        <v>2433.1</v>
      </c>
      <c r="J21" s="203">
        <v>2506.0929999999998</v>
      </c>
      <c r="K21" s="203">
        <v>3.79</v>
      </c>
      <c r="L21" s="203">
        <v>8.0399999999999991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6"/>
        <v>2506.0929999999998</v>
      </c>
      <c r="S21" s="62">
        <f t="shared" si="17"/>
        <v>94.980924700000003</v>
      </c>
      <c r="T21" s="63">
        <f t="shared" si="18"/>
        <v>201.48987719999994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19"/>
        <v>0</v>
      </c>
      <c r="AB21" s="63">
        <f t="shared" si="20"/>
        <v>0</v>
      </c>
      <c r="AC21" s="69"/>
      <c r="AD21" s="70"/>
      <c r="AE21" s="70"/>
      <c r="AF21" s="62">
        <f t="shared" si="21"/>
        <v>0</v>
      </c>
      <c r="AG21" s="63">
        <f t="shared" si="22"/>
        <v>0</v>
      </c>
      <c r="AH21" s="97">
        <v>2506</v>
      </c>
      <c r="AI21" s="66">
        <v>3.79</v>
      </c>
      <c r="AJ21" s="66">
        <v>8.0399999999999991</v>
      </c>
      <c r="AK21" s="62">
        <f t="shared" si="8"/>
        <v>94.977400000000003</v>
      </c>
      <c r="AL21" s="72">
        <f t="shared" si="9"/>
        <v>201.48239999999996</v>
      </c>
      <c r="AM21" s="73">
        <f t="shared" si="23"/>
        <v>9.2999999999847205E-2</v>
      </c>
      <c r="AN21" s="74">
        <f t="shared" si="24"/>
        <v>3.5246999999998252E-3</v>
      </c>
      <c r="AO21" s="74">
        <f t="shared" si="25"/>
        <v>7.4771999999825312E-3</v>
      </c>
      <c r="AP21" s="75">
        <f t="shared" si="26"/>
        <v>3.7109556588622556E-5</v>
      </c>
      <c r="AQ21" s="76">
        <f t="shared" si="27"/>
        <v>3.8199996449946942</v>
      </c>
      <c r="AR21" s="90">
        <f t="shared" si="28"/>
        <v>9.2999999999847205E-2</v>
      </c>
    </row>
    <row r="22" spans="1:48" x14ac:dyDescent="0.25">
      <c r="A22" t="str">
        <f t="shared" si="13"/>
        <v>46183M</v>
      </c>
      <c r="B22" s="51">
        <f t="shared" si="29"/>
        <v>46183</v>
      </c>
      <c r="C22" s="52" t="s">
        <v>87</v>
      </c>
      <c r="D22" s="79"/>
      <c r="E22" s="62"/>
      <c r="F22" s="62"/>
      <c r="G22" s="62">
        <f t="shared" si="14"/>
        <v>0</v>
      </c>
      <c r="H22" s="63">
        <f t="shared" si="15"/>
        <v>0</v>
      </c>
      <c r="I22" s="203"/>
      <c r="J22" s="203"/>
      <c r="K22" s="203"/>
      <c r="L22" s="203"/>
      <c r="M22" s="58"/>
      <c r="N22" s="58"/>
      <c r="O22" s="59"/>
      <c r="P22" s="56"/>
      <c r="Q22" s="60"/>
      <c r="R22" s="61">
        <f t="shared" si="16"/>
        <v>0</v>
      </c>
      <c r="S22" s="62">
        <f t="shared" si="17"/>
        <v>0</v>
      </c>
      <c r="T22" s="63">
        <f t="shared" si="18"/>
        <v>0</v>
      </c>
      <c r="U22" s="64"/>
      <c r="V22" s="65"/>
      <c r="W22" s="66"/>
      <c r="X22" s="67"/>
      <c r="Y22" s="68"/>
      <c r="Z22" s="68"/>
      <c r="AA22" s="62">
        <f t="shared" si="19"/>
        <v>0</v>
      </c>
      <c r="AB22" s="63">
        <f t="shared" si="20"/>
        <v>0</v>
      </c>
      <c r="AC22" s="69"/>
      <c r="AD22" s="70"/>
      <c r="AE22" s="70"/>
      <c r="AF22" s="62">
        <f t="shared" si="21"/>
        <v>0</v>
      </c>
      <c r="AG22" s="63">
        <f t="shared" si="22"/>
        <v>0</v>
      </c>
      <c r="AH22" s="97"/>
      <c r="AI22" s="66"/>
      <c r="AJ22" s="66"/>
      <c r="AK22" s="62">
        <f t="shared" si="8"/>
        <v>0</v>
      </c>
      <c r="AL22" s="72">
        <f t="shared" si="9"/>
        <v>0</v>
      </c>
      <c r="AM22" s="73">
        <f t="shared" si="23"/>
        <v>0</v>
      </c>
      <c r="AN22" s="74">
        <f t="shared" si="24"/>
        <v>0</v>
      </c>
      <c r="AO22" s="74">
        <f t="shared" si="25"/>
        <v>0</v>
      </c>
      <c r="AP22" s="75" t="e">
        <f t="shared" si="26"/>
        <v>#DIV/0!</v>
      </c>
      <c r="AQ22" s="76">
        <f t="shared" si="27"/>
        <v>0</v>
      </c>
      <c r="AR22" s="90">
        <f t="shared" ref="AR22:AR33" si="30">(D22+J22+O22)-(X22+AH22)</f>
        <v>0</v>
      </c>
      <c r="AT22" s="83"/>
      <c r="AU22" s="83"/>
    </row>
    <row r="23" spans="1:48" x14ac:dyDescent="0.25">
      <c r="A23" t="str">
        <f t="shared" si="13"/>
        <v>46183E</v>
      </c>
      <c r="B23" s="51">
        <f t="shared" si="29"/>
        <v>46183</v>
      </c>
      <c r="C23" s="52" t="s">
        <v>88</v>
      </c>
      <c r="D23" s="79"/>
      <c r="E23" s="62"/>
      <c r="F23" s="62"/>
      <c r="G23" s="62">
        <f t="shared" si="14"/>
        <v>0</v>
      </c>
      <c r="H23" s="63">
        <f t="shared" si="15"/>
        <v>0</v>
      </c>
      <c r="I23" s="203"/>
      <c r="J23" s="203"/>
      <c r="K23" s="203"/>
      <c r="L23" s="203"/>
      <c r="M23" s="58"/>
      <c r="N23" s="58"/>
      <c r="O23" s="59"/>
      <c r="P23" s="56"/>
      <c r="Q23" s="60"/>
      <c r="R23" s="61">
        <f t="shared" si="16"/>
        <v>0</v>
      </c>
      <c r="S23" s="62">
        <f t="shared" si="17"/>
        <v>0</v>
      </c>
      <c r="T23" s="63">
        <f t="shared" si="18"/>
        <v>0</v>
      </c>
      <c r="U23" s="64"/>
      <c r="V23" s="65"/>
      <c r="W23" s="66"/>
      <c r="X23" s="67"/>
      <c r="Y23" s="68"/>
      <c r="Z23" s="68"/>
      <c r="AA23" s="62">
        <f t="shared" si="19"/>
        <v>0</v>
      </c>
      <c r="AB23" s="63">
        <f t="shared" si="20"/>
        <v>0</v>
      </c>
      <c r="AC23" s="69"/>
      <c r="AD23" s="70"/>
      <c r="AE23" s="70"/>
      <c r="AF23" s="62">
        <f t="shared" si="21"/>
        <v>0</v>
      </c>
      <c r="AG23" s="63">
        <f t="shared" si="22"/>
        <v>0</v>
      </c>
      <c r="AH23" s="97"/>
      <c r="AI23" s="66"/>
      <c r="AJ23" s="84"/>
      <c r="AK23" s="62">
        <f t="shared" ref="AK23:AK36" si="31">AH23*AI23%</f>
        <v>0</v>
      </c>
      <c r="AL23" s="72">
        <f t="shared" ref="AL23:AL36" si="32">AH23*AJ23%</f>
        <v>0</v>
      </c>
      <c r="AM23" s="73">
        <f t="shared" si="23"/>
        <v>0</v>
      </c>
      <c r="AN23" s="74">
        <f t="shared" si="24"/>
        <v>0</v>
      </c>
      <c r="AO23" s="74">
        <f t="shared" si="25"/>
        <v>0</v>
      </c>
      <c r="AP23" s="75" t="e">
        <f t="shared" si="26"/>
        <v>#DIV/0!</v>
      </c>
      <c r="AQ23" s="76">
        <f t="shared" si="27"/>
        <v>0</v>
      </c>
      <c r="AR23" s="90">
        <f t="shared" si="30"/>
        <v>0</v>
      </c>
      <c r="AU23" s="83"/>
    </row>
    <row r="24" spans="1:48" x14ac:dyDescent="0.25">
      <c r="A24" t="str">
        <f t="shared" si="13"/>
        <v>46184M</v>
      </c>
      <c r="B24" s="51">
        <f t="shared" si="29"/>
        <v>46184</v>
      </c>
      <c r="C24" s="52" t="s">
        <v>87</v>
      </c>
      <c r="D24" s="79"/>
      <c r="E24" s="62"/>
      <c r="F24" s="62"/>
      <c r="G24" s="62">
        <f t="shared" si="14"/>
        <v>0</v>
      </c>
      <c r="H24" s="63">
        <f t="shared" si="15"/>
        <v>0</v>
      </c>
      <c r="I24" s="203"/>
      <c r="J24" s="203"/>
      <c r="K24" s="203"/>
      <c r="L24" s="203"/>
      <c r="M24" s="58"/>
      <c r="N24" s="58"/>
      <c r="O24" s="59"/>
      <c r="P24" s="56"/>
      <c r="Q24" s="60"/>
      <c r="R24" s="61">
        <f t="shared" si="16"/>
        <v>0</v>
      </c>
      <c r="S24" s="62">
        <f t="shared" si="17"/>
        <v>0</v>
      </c>
      <c r="T24" s="63">
        <f t="shared" si="18"/>
        <v>0</v>
      </c>
      <c r="U24" s="64"/>
      <c r="V24" s="65"/>
      <c r="W24" s="66"/>
      <c r="X24" s="67"/>
      <c r="Y24" s="68"/>
      <c r="Z24" s="68"/>
      <c r="AA24" s="62">
        <f t="shared" si="19"/>
        <v>0</v>
      </c>
      <c r="AB24" s="63">
        <f t="shared" si="20"/>
        <v>0</v>
      </c>
      <c r="AC24" s="69"/>
      <c r="AD24" s="70"/>
      <c r="AE24" s="70"/>
      <c r="AF24" s="62">
        <f t="shared" si="21"/>
        <v>0</v>
      </c>
      <c r="AG24" s="63">
        <f t="shared" si="22"/>
        <v>0</v>
      </c>
      <c r="AH24" s="97"/>
      <c r="AI24" s="66"/>
      <c r="AJ24" s="66"/>
      <c r="AK24" s="62">
        <f t="shared" si="31"/>
        <v>0</v>
      </c>
      <c r="AL24" s="72">
        <f t="shared" si="32"/>
        <v>0</v>
      </c>
      <c r="AM24" s="73">
        <f t="shared" si="23"/>
        <v>0</v>
      </c>
      <c r="AN24" s="74">
        <f t="shared" si="24"/>
        <v>0</v>
      </c>
      <c r="AO24" s="74">
        <f t="shared" si="25"/>
        <v>0</v>
      </c>
      <c r="AP24" s="75" t="e">
        <f t="shared" si="26"/>
        <v>#DIV/0!</v>
      </c>
      <c r="AQ24" s="76">
        <f t="shared" si="27"/>
        <v>0</v>
      </c>
      <c r="AR24" s="90">
        <f t="shared" si="30"/>
        <v>0</v>
      </c>
      <c r="AT24" s="77"/>
      <c r="AU24" s="77"/>
      <c r="AV24" s="77"/>
    </row>
    <row r="25" spans="1:48" x14ac:dyDescent="0.25">
      <c r="A25" t="str">
        <f t="shared" si="13"/>
        <v>46184E</v>
      </c>
      <c r="B25" s="51">
        <f t="shared" si="29"/>
        <v>46184</v>
      </c>
      <c r="C25" s="52" t="s">
        <v>88</v>
      </c>
      <c r="D25" s="79"/>
      <c r="E25" s="62"/>
      <c r="F25" s="62"/>
      <c r="G25" s="62">
        <f t="shared" si="14"/>
        <v>0</v>
      </c>
      <c r="H25" s="63">
        <f t="shared" si="15"/>
        <v>0</v>
      </c>
      <c r="I25" s="203"/>
      <c r="J25" s="203"/>
      <c r="K25" s="203"/>
      <c r="L25" s="203"/>
      <c r="M25" s="58"/>
      <c r="N25" s="58"/>
      <c r="O25" s="59"/>
      <c r="P25" s="56"/>
      <c r="Q25" s="60"/>
      <c r="R25" s="61">
        <f t="shared" si="16"/>
        <v>0</v>
      </c>
      <c r="S25" s="62">
        <f t="shared" si="17"/>
        <v>0</v>
      </c>
      <c r="T25" s="63">
        <f t="shared" si="18"/>
        <v>0</v>
      </c>
      <c r="U25" s="64"/>
      <c r="V25" s="65"/>
      <c r="W25" s="66"/>
      <c r="X25" s="67"/>
      <c r="Y25" s="68"/>
      <c r="Z25" s="68"/>
      <c r="AA25" s="62">
        <f t="shared" si="19"/>
        <v>0</v>
      </c>
      <c r="AB25" s="63">
        <f t="shared" si="20"/>
        <v>0</v>
      </c>
      <c r="AC25" s="69"/>
      <c r="AD25" s="70"/>
      <c r="AE25" s="70"/>
      <c r="AF25" s="62">
        <f t="shared" si="21"/>
        <v>0</v>
      </c>
      <c r="AG25" s="63">
        <f t="shared" si="22"/>
        <v>0</v>
      </c>
      <c r="AH25" s="97"/>
      <c r="AI25" s="66"/>
      <c r="AJ25" s="66"/>
      <c r="AK25" s="62">
        <f t="shared" si="31"/>
        <v>0</v>
      </c>
      <c r="AL25" s="72">
        <f t="shared" si="32"/>
        <v>0</v>
      </c>
      <c r="AM25" s="73">
        <f t="shared" si="23"/>
        <v>0</v>
      </c>
      <c r="AN25" s="74">
        <f t="shared" si="24"/>
        <v>0</v>
      </c>
      <c r="AO25" s="74">
        <f t="shared" si="25"/>
        <v>0</v>
      </c>
      <c r="AP25" s="75" t="e">
        <f t="shared" si="26"/>
        <v>#DIV/0!</v>
      </c>
      <c r="AQ25" s="76">
        <f t="shared" si="27"/>
        <v>0</v>
      </c>
      <c r="AR25" s="90">
        <f t="shared" si="30"/>
        <v>0</v>
      </c>
    </row>
    <row r="26" spans="1:48" x14ac:dyDescent="0.25">
      <c r="A26" t="str">
        <f t="shared" si="13"/>
        <v>46185M</v>
      </c>
      <c r="B26" s="51">
        <f t="shared" si="29"/>
        <v>46185</v>
      </c>
      <c r="C26" s="52" t="s">
        <v>87</v>
      </c>
      <c r="D26" s="79"/>
      <c r="E26" s="62"/>
      <c r="F26" s="62"/>
      <c r="G26" s="62">
        <f t="shared" si="14"/>
        <v>0</v>
      </c>
      <c r="H26" s="63">
        <f t="shared" si="15"/>
        <v>0</v>
      </c>
      <c r="I26" s="203"/>
      <c r="J26" s="203"/>
      <c r="K26" s="203"/>
      <c r="L26" s="203"/>
      <c r="M26" s="58"/>
      <c r="N26" s="58"/>
      <c r="O26" s="59"/>
      <c r="P26" s="56"/>
      <c r="Q26" s="60"/>
      <c r="R26" s="61">
        <f t="shared" si="16"/>
        <v>0</v>
      </c>
      <c r="S26" s="62">
        <f t="shared" si="17"/>
        <v>0</v>
      </c>
      <c r="T26" s="63">
        <f t="shared" si="18"/>
        <v>0</v>
      </c>
      <c r="U26" s="64"/>
      <c r="V26" s="65"/>
      <c r="W26" s="66"/>
      <c r="X26" s="67"/>
      <c r="Y26" s="68"/>
      <c r="Z26" s="68"/>
      <c r="AA26" s="62">
        <f t="shared" si="19"/>
        <v>0</v>
      </c>
      <c r="AB26" s="63">
        <f t="shared" si="20"/>
        <v>0</v>
      </c>
      <c r="AC26" s="69"/>
      <c r="AD26" s="70"/>
      <c r="AE26" s="70"/>
      <c r="AF26" s="62">
        <f t="shared" si="21"/>
        <v>0</v>
      </c>
      <c r="AG26" s="63">
        <f t="shared" si="22"/>
        <v>0</v>
      </c>
      <c r="AH26" s="97"/>
      <c r="AI26" s="66"/>
      <c r="AJ26" s="66"/>
      <c r="AK26" s="62">
        <f t="shared" si="31"/>
        <v>0</v>
      </c>
      <c r="AL26" s="72">
        <f t="shared" si="32"/>
        <v>0</v>
      </c>
      <c r="AM26" s="73">
        <f t="shared" si="23"/>
        <v>0</v>
      </c>
      <c r="AN26" s="74">
        <f t="shared" si="24"/>
        <v>0</v>
      </c>
      <c r="AO26" s="74">
        <f t="shared" si="25"/>
        <v>0</v>
      </c>
      <c r="AP26" s="75" t="e">
        <f t="shared" si="26"/>
        <v>#DIV/0!</v>
      </c>
      <c r="AQ26" s="76">
        <f t="shared" si="27"/>
        <v>0</v>
      </c>
      <c r="AR26" s="90">
        <f t="shared" si="30"/>
        <v>0</v>
      </c>
    </row>
    <row r="27" spans="1:48" x14ac:dyDescent="0.25">
      <c r="A27" t="str">
        <f t="shared" si="13"/>
        <v>46185E</v>
      </c>
      <c r="B27" s="51">
        <f t="shared" si="29"/>
        <v>46185</v>
      </c>
      <c r="C27" s="52" t="s">
        <v>88</v>
      </c>
      <c r="D27" s="79"/>
      <c r="E27" s="62"/>
      <c r="F27" s="62"/>
      <c r="G27" s="62">
        <f t="shared" si="14"/>
        <v>0</v>
      </c>
      <c r="H27" s="63">
        <f t="shared" si="15"/>
        <v>0</v>
      </c>
      <c r="I27" s="203"/>
      <c r="J27" s="203"/>
      <c r="K27" s="203"/>
      <c r="L27" s="203"/>
      <c r="M27" s="58"/>
      <c r="N27" s="58"/>
      <c r="O27" s="59"/>
      <c r="P27" s="56"/>
      <c r="Q27" s="60"/>
      <c r="R27" s="61">
        <f t="shared" si="16"/>
        <v>0</v>
      </c>
      <c r="S27" s="62">
        <f t="shared" si="17"/>
        <v>0</v>
      </c>
      <c r="T27" s="63">
        <f t="shared" si="18"/>
        <v>0</v>
      </c>
      <c r="U27" s="64"/>
      <c r="V27" s="65"/>
      <c r="W27" s="66"/>
      <c r="X27" s="67"/>
      <c r="Y27" s="68"/>
      <c r="Z27" s="68"/>
      <c r="AA27" s="62">
        <f t="shared" si="19"/>
        <v>0</v>
      </c>
      <c r="AB27" s="63">
        <f t="shared" si="20"/>
        <v>0</v>
      </c>
      <c r="AC27" s="69"/>
      <c r="AD27" s="70"/>
      <c r="AE27" s="70"/>
      <c r="AF27" s="62">
        <f t="shared" si="21"/>
        <v>0</v>
      </c>
      <c r="AG27" s="63">
        <f t="shared" si="22"/>
        <v>0</v>
      </c>
      <c r="AH27" s="97"/>
      <c r="AI27" s="66"/>
      <c r="AJ27" s="66"/>
      <c r="AK27" s="62">
        <f t="shared" si="31"/>
        <v>0</v>
      </c>
      <c r="AL27" s="72">
        <f t="shared" si="32"/>
        <v>0</v>
      </c>
      <c r="AM27" s="73">
        <f t="shared" si="23"/>
        <v>0</v>
      </c>
      <c r="AN27" s="74">
        <f t="shared" si="24"/>
        <v>0</v>
      </c>
      <c r="AO27" s="74">
        <f t="shared" si="25"/>
        <v>0</v>
      </c>
      <c r="AP27" s="75" t="e">
        <f t="shared" si="26"/>
        <v>#DIV/0!</v>
      </c>
      <c r="AQ27" s="76">
        <f t="shared" si="27"/>
        <v>0</v>
      </c>
      <c r="AR27" s="90">
        <f t="shared" si="30"/>
        <v>0</v>
      </c>
    </row>
    <row r="28" spans="1:48" x14ac:dyDescent="0.25">
      <c r="A28" t="str">
        <f t="shared" si="13"/>
        <v>46186M</v>
      </c>
      <c r="B28" s="51">
        <f t="shared" si="29"/>
        <v>46186</v>
      </c>
      <c r="C28" s="52" t="s">
        <v>87</v>
      </c>
      <c r="D28" s="79"/>
      <c r="E28" s="62"/>
      <c r="F28" s="62"/>
      <c r="G28" s="62">
        <f t="shared" si="14"/>
        <v>0</v>
      </c>
      <c r="H28" s="63">
        <f t="shared" si="15"/>
        <v>0</v>
      </c>
      <c r="I28" s="203"/>
      <c r="J28" s="203"/>
      <c r="K28" s="203"/>
      <c r="L28" s="203"/>
      <c r="M28" s="58"/>
      <c r="N28" s="58"/>
      <c r="O28" s="59"/>
      <c r="P28" s="56"/>
      <c r="Q28" s="60"/>
      <c r="R28" s="61">
        <f t="shared" si="16"/>
        <v>0</v>
      </c>
      <c r="S28" s="62">
        <f t="shared" si="17"/>
        <v>0</v>
      </c>
      <c r="T28" s="63">
        <f t="shared" si="18"/>
        <v>0</v>
      </c>
      <c r="U28" s="64"/>
      <c r="V28" s="65"/>
      <c r="W28" s="66"/>
      <c r="X28" s="67"/>
      <c r="Y28" s="68"/>
      <c r="Z28" s="68"/>
      <c r="AA28" s="62">
        <f t="shared" si="19"/>
        <v>0</v>
      </c>
      <c r="AB28" s="63">
        <f t="shared" si="20"/>
        <v>0</v>
      </c>
      <c r="AC28" s="69"/>
      <c r="AD28" s="70"/>
      <c r="AE28" s="70"/>
      <c r="AF28" s="62">
        <f t="shared" si="21"/>
        <v>0</v>
      </c>
      <c r="AG28" s="63">
        <f t="shared" si="22"/>
        <v>0</v>
      </c>
      <c r="AH28" s="97"/>
      <c r="AI28" s="66"/>
      <c r="AJ28" s="66"/>
      <c r="AK28" s="62">
        <f t="shared" si="31"/>
        <v>0</v>
      </c>
      <c r="AL28" s="72">
        <f t="shared" si="32"/>
        <v>0</v>
      </c>
      <c r="AM28" s="73">
        <f t="shared" si="23"/>
        <v>0</v>
      </c>
      <c r="AN28" s="74">
        <f t="shared" si="24"/>
        <v>0</v>
      </c>
      <c r="AO28" s="74">
        <f t="shared" si="25"/>
        <v>0</v>
      </c>
      <c r="AP28" s="75" t="e">
        <f t="shared" si="26"/>
        <v>#DIV/0!</v>
      </c>
      <c r="AQ28" s="76">
        <f t="shared" si="27"/>
        <v>0</v>
      </c>
      <c r="AR28" s="90">
        <f t="shared" si="30"/>
        <v>0</v>
      </c>
    </row>
    <row r="29" spans="1:48" x14ac:dyDescent="0.25">
      <c r="A29" t="str">
        <f t="shared" si="13"/>
        <v>46186E</v>
      </c>
      <c r="B29" s="51">
        <f t="shared" si="29"/>
        <v>46186</v>
      </c>
      <c r="C29" s="52" t="s">
        <v>88</v>
      </c>
      <c r="D29" s="79"/>
      <c r="E29" s="62"/>
      <c r="F29" s="62"/>
      <c r="G29" s="62">
        <f t="shared" si="14"/>
        <v>0</v>
      </c>
      <c r="H29" s="63">
        <f t="shared" si="15"/>
        <v>0</v>
      </c>
      <c r="I29" s="203"/>
      <c r="J29" s="203"/>
      <c r="K29" s="203"/>
      <c r="L29" s="203"/>
      <c r="M29" s="58"/>
      <c r="N29" s="58"/>
      <c r="O29" s="59"/>
      <c r="P29" s="56"/>
      <c r="Q29" s="60"/>
      <c r="R29" s="61">
        <f t="shared" si="16"/>
        <v>0</v>
      </c>
      <c r="S29" s="62">
        <f t="shared" si="17"/>
        <v>0</v>
      </c>
      <c r="T29" s="63">
        <f t="shared" si="18"/>
        <v>0</v>
      </c>
      <c r="U29" s="64"/>
      <c r="V29" s="65"/>
      <c r="W29" s="66"/>
      <c r="X29" s="67"/>
      <c r="Y29" s="68"/>
      <c r="Z29" s="68"/>
      <c r="AA29" s="62">
        <f t="shared" si="19"/>
        <v>0</v>
      </c>
      <c r="AB29" s="63">
        <f t="shared" si="20"/>
        <v>0</v>
      </c>
      <c r="AC29" s="69"/>
      <c r="AD29" s="70"/>
      <c r="AE29" s="70"/>
      <c r="AF29" s="62">
        <f t="shared" si="21"/>
        <v>0</v>
      </c>
      <c r="AG29" s="63">
        <f t="shared" si="22"/>
        <v>0</v>
      </c>
      <c r="AH29" s="97"/>
      <c r="AI29" s="66"/>
      <c r="AJ29" s="66"/>
      <c r="AK29" s="62">
        <f t="shared" si="31"/>
        <v>0</v>
      </c>
      <c r="AL29" s="72">
        <f t="shared" si="32"/>
        <v>0</v>
      </c>
      <c r="AM29" s="73">
        <f t="shared" si="23"/>
        <v>0</v>
      </c>
      <c r="AN29" s="74">
        <f t="shared" si="24"/>
        <v>0</v>
      </c>
      <c r="AO29" s="74">
        <f t="shared" si="25"/>
        <v>0</v>
      </c>
      <c r="AP29" s="75" t="e">
        <f t="shared" si="26"/>
        <v>#DIV/0!</v>
      </c>
      <c r="AQ29" s="76">
        <f t="shared" si="27"/>
        <v>0</v>
      </c>
      <c r="AR29" s="90">
        <f t="shared" si="30"/>
        <v>0</v>
      </c>
    </row>
    <row r="30" spans="1:48" x14ac:dyDescent="0.25">
      <c r="A30" t="str">
        <f t="shared" si="13"/>
        <v>46187M</v>
      </c>
      <c r="B30" s="51">
        <f t="shared" si="29"/>
        <v>46187</v>
      </c>
      <c r="C30" s="52" t="s">
        <v>87</v>
      </c>
      <c r="D30" s="79"/>
      <c r="E30" s="62"/>
      <c r="F30" s="62"/>
      <c r="G30" s="62">
        <f t="shared" si="14"/>
        <v>0</v>
      </c>
      <c r="H30" s="63">
        <f t="shared" si="15"/>
        <v>0</v>
      </c>
      <c r="I30" s="203"/>
      <c r="J30" s="203"/>
      <c r="K30" s="203"/>
      <c r="L30" s="203"/>
      <c r="M30" s="58"/>
      <c r="N30" s="58"/>
      <c r="O30" s="59"/>
      <c r="P30" s="56"/>
      <c r="Q30" s="60"/>
      <c r="R30" s="61">
        <f t="shared" si="16"/>
        <v>0</v>
      </c>
      <c r="S30" s="62">
        <f t="shared" si="17"/>
        <v>0</v>
      </c>
      <c r="T30" s="63">
        <f t="shared" si="18"/>
        <v>0</v>
      </c>
      <c r="U30" s="64"/>
      <c r="V30" s="65"/>
      <c r="W30" s="66"/>
      <c r="X30" s="67"/>
      <c r="Y30" s="68"/>
      <c r="Z30" s="68"/>
      <c r="AA30" s="62">
        <f t="shared" si="19"/>
        <v>0</v>
      </c>
      <c r="AB30" s="63">
        <f t="shared" si="20"/>
        <v>0</v>
      </c>
      <c r="AC30" s="69"/>
      <c r="AD30" s="70"/>
      <c r="AE30" s="70"/>
      <c r="AF30" s="62">
        <f t="shared" si="21"/>
        <v>0</v>
      </c>
      <c r="AG30" s="63">
        <f t="shared" si="22"/>
        <v>0</v>
      </c>
      <c r="AH30" s="97"/>
      <c r="AI30" s="66"/>
      <c r="AJ30" s="66"/>
      <c r="AK30" s="62">
        <f t="shared" si="31"/>
        <v>0</v>
      </c>
      <c r="AL30" s="72">
        <f t="shared" si="32"/>
        <v>0</v>
      </c>
      <c r="AM30" s="73">
        <f t="shared" si="23"/>
        <v>0</v>
      </c>
      <c r="AN30" s="74">
        <f t="shared" si="24"/>
        <v>0</v>
      </c>
      <c r="AO30" s="74">
        <f t="shared" si="25"/>
        <v>0</v>
      </c>
      <c r="AP30" s="75" t="e">
        <f t="shared" si="26"/>
        <v>#DIV/0!</v>
      </c>
      <c r="AQ30" s="76">
        <f t="shared" si="27"/>
        <v>0</v>
      </c>
      <c r="AR30" s="90">
        <f t="shared" si="30"/>
        <v>0</v>
      </c>
    </row>
    <row r="31" spans="1:48" x14ac:dyDescent="0.25">
      <c r="A31" t="str">
        <f t="shared" si="13"/>
        <v>46187E</v>
      </c>
      <c r="B31" s="51">
        <f t="shared" si="29"/>
        <v>46187</v>
      </c>
      <c r="C31" s="52" t="s">
        <v>88</v>
      </c>
      <c r="D31" s="79"/>
      <c r="E31" s="62"/>
      <c r="F31" s="62"/>
      <c r="G31" s="62">
        <f t="shared" si="14"/>
        <v>0</v>
      </c>
      <c r="H31" s="63">
        <f t="shared" si="15"/>
        <v>0</v>
      </c>
      <c r="I31" s="203"/>
      <c r="J31" s="203"/>
      <c r="K31" s="203"/>
      <c r="L31" s="203"/>
      <c r="M31" s="58"/>
      <c r="N31" s="58"/>
      <c r="O31" s="59"/>
      <c r="P31" s="56"/>
      <c r="Q31" s="60"/>
      <c r="R31" s="61">
        <f t="shared" si="16"/>
        <v>0</v>
      </c>
      <c r="S31" s="62">
        <f t="shared" si="17"/>
        <v>0</v>
      </c>
      <c r="T31" s="63">
        <f t="shared" si="18"/>
        <v>0</v>
      </c>
      <c r="U31" s="64"/>
      <c r="V31" s="85"/>
      <c r="W31" s="66"/>
      <c r="X31" s="67"/>
      <c r="Y31" s="68"/>
      <c r="Z31" s="68"/>
      <c r="AA31" s="62">
        <f t="shared" si="19"/>
        <v>0</v>
      </c>
      <c r="AB31" s="63">
        <f t="shared" si="20"/>
        <v>0</v>
      </c>
      <c r="AC31" s="69"/>
      <c r="AD31" s="70"/>
      <c r="AE31" s="70"/>
      <c r="AF31" s="62">
        <f t="shared" si="21"/>
        <v>0</v>
      </c>
      <c r="AG31" s="63">
        <f t="shared" si="22"/>
        <v>0</v>
      </c>
      <c r="AH31" s="97"/>
      <c r="AI31" s="66"/>
      <c r="AJ31" s="66"/>
      <c r="AK31" s="62">
        <f t="shared" si="31"/>
        <v>0</v>
      </c>
      <c r="AL31" s="72">
        <f t="shared" si="32"/>
        <v>0</v>
      </c>
      <c r="AM31" s="73">
        <f t="shared" si="23"/>
        <v>0</v>
      </c>
      <c r="AN31" s="74">
        <f t="shared" si="24"/>
        <v>0</v>
      </c>
      <c r="AO31" s="74">
        <f t="shared" si="25"/>
        <v>0</v>
      </c>
      <c r="AP31" s="75" t="e">
        <f t="shared" si="26"/>
        <v>#DIV/0!</v>
      </c>
      <c r="AQ31" s="76">
        <f t="shared" si="27"/>
        <v>0</v>
      </c>
      <c r="AR31" s="90">
        <f t="shared" si="30"/>
        <v>0</v>
      </c>
    </row>
    <row r="32" spans="1:48" x14ac:dyDescent="0.25">
      <c r="A32" t="str">
        <f t="shared" si="13"/>
        <v>46188M</v>
      </c>
      <c r="B32" s="51">
        <f t="shared" si="29"/>
        <v>46188</v>
      </c>
      <c r="C32" s="52" t="s">
        <v>87</v>
      </c>
      <c r="D32" s="79"/>
      <c r="E32" s="62"/>
      <c r="F32" s="62"/>
      <c r="G32" s="62">
        <f t="shared" si="14"/>
        <v>0</v>
      </c>
      <c r="H32" s="63">
        <f t="shared" si="15"/>
        <v>0</v>
      </c>
      <c r="I32" s="203"/>
      <c r="J32" s="203"/>
      <c r="K32" s="203"/>
      <c r="L32" s="203"/>
      <c r="M32" s="58"/>
      <c r="N32" s="58"/>
      <c r="O32" s="59"/>
      <c r="P32" s="56"/>
      <c r="Q32" s="60"/>
      <c r="R32" s="61">
        <f t="shared" si="16"/>
        <v>0</v>
      </c>
      <c r="S32" s="62">
        <f t="shared" si="17"/>
        <v>0</v>
      </c>
      <c r="T32" s="63">
        <f t="shared" si="18"/>
        <v>0</v>
      </c>
      <c r="U32" s="64"/>
      <c r="V32" s="85"/>
      <c r="W32" s="66"/>
      <c r="X32" s="67"/>
      <c r="Y32" s="68"/>
      <c r="Z32" s="68"/>
      <c r="AA32" s="62">
        <f t="shared" si="19"/>
        <v>0</v>
      </c>
      <c r="AB32" s="63">
        <f t="shared" si="20"/>
        <v>0</v>
      </c>
      <c r="AC32" s="69"/>
      <c r="AD32" s="70"/>
      <c r="AE32" s="70"/>
      <c r="AF32" s="62">
        <f t="shared" si="21"/>
        <v>0</v>
      </c>
      <c r="AG32" s="63">
        <f t="shared" si="22"/>
        <v>0</v>
      </c>
      <c r="AH32" s="97"/>
      <c r="AI32" s="66"/>
      <c r="AJ32" s="66"/>
      <c r="AK32" s="62">
        <f t="shared" si="31"/>
        <v>0</v>
      </c>
      <c r="AL32" s="72">
        <f t="shared" si="32"/>
        <v>0</v>
      </c>
      <c r="AM32" s="73">
        <f t="shared" si="23"/>
        <v>0</v>
      </c>
      <c r="AN32" s="74">
        <f t="shared" si="24"/>
        <v>0</v>
      </c>
      <c r="AO32" s="74">
        <f t="shared" si="25"/>
        <v>0</v>
      </c>
      <c r="AP32" s="75" t="e">
        <f t="shared" si="26"/>
        <v>#DIV/0!</v>
      </c>
      <c r="AQ32" s="76">
        <f t="shared" si="27"/>
        <v>0</v>
      </c>
      <c r="AR32" s="90">
        <f t="shared" si="30"/>
        <v>0</v>
      </c>
    </row>
    <row r="33" spans="1:44" x14ac:dyDescent="0.25">
      <c r="A33" t="str">
        <f t="shared" si="13"/>
        <v>46188E</v>
      </c>
      <c r="B33" s="51">
        <f t="shared" si="29"/>
        <v>46188</v>
      </c>
      <c r="C33" s="52" t="s">
        <v>88</v>
      </c>
      <c r="D33" s="79"/>
      <c r="E33" s="62"/>
      <c r="F33" s="62"/>
      <c r="G33" s="62">
        <f t="shared" si="14"/>
        <v>0</v>
      </c>
      <c r="H33" s="63">
        <f t="shared" si="15"/>
        <v>0</v>
      </c>
      <c r="I33" s="203"/>
      <c r="J33" s="203"/>
      <c r="K33" s="203"/>
      <c r="L33" s="203"/>
      <c r="M33" s="58"/>
      <c r="N33" s="58"/>
      <c r="O33" s="59"/>
      <c r="P33" s="56"/>
      <c r="Q33" s="60"/>
      <c r="R33" s="61">
        <f t="shared" si="16"/>
        <v>0</v>
      </c>
      <c r="S33" s="62">
        <f t="shared" si="17"/>
        <v>0</v>
      </c>
      <c r="T33" s="63">
        <f t="shared" si="18"/>
        <v>0</v>
      </c>
      <c r="U33" s="64"/>
      <c r="V33" s="85"/>
      <c r="W33" s="66"/>
      <c r="X33" s="67"/>
      <c r="Y33" s="68"/>
      <c r="Z33" s="68"/>
      <c r="AA33" s="62">
        <f t="shared" si="19"/>
        <v>0</v>
      </c>
      <c r="AB33" s="63">
        <f t="shared" si="20"/>
        <v>0</v>
      </c>
      <c r="AC33" s="69"/>
      <c r="AD33" s="70"/>
      <c r="AE33" s="70"/>
      <c r="AF33" s="62">
        <f t="shared" si="21"/>
        <v>0</v>
      </c>
      <c r="AG33" s="63">
        <f t="shared" si="22"/>
        <v>0</v>
      </c>
      <c r="AH33" s="97"/>
      <c r="AI33" s="66"/>
      <c r="AJ33" s="66"/>
      <c r="AK33" s="62">
        <f t="shared" si="31"/>
        <v>0</v>
      </c>
      <c r="AL33" s="72">
        <f t="shared" si="32"/>
        <v>0</v>
      </c>
      <c r="AM33" s="73">
        <f t="shared" si="23"/>
        <v>0</v>
      </c>
      <c r="AN33" s="74">
        <f t="shared" si="24"/>
        <v>0</v>
      </c>
      <c r="AO33" s="74">
        <f t="shared" si="25"/>
        <v>0</v>
      </c>
      <c r="AP33" s="75" t="e">
        <f t="shared" si="26"/>
        <v>#DIV/0!</v>
      </c>
      <c r="AQ33" s="76">
        <f t="shared" si="27"/>
        <v>0</v>
      </c>
      <c r="AR33" s="90">
        <f t="shared" si="30"/>
        <v>0</v>
      </c>
    </row>
    <row r="34" spans="1:44" x14ac:dyDescent="0.25">
      <c r="A34" t="str">
        <f t="shared" si="13"/>
        <v>46189M</v>
      </c>
      <c r="B34" s="51">
        <f t="shared" si="29"/>
        <v>46189</v>
      </c>
      <c r="C34" s="52" t="s">
        <v>87</v>
      </c>
      <c r="D34" s="79"/>
      <c r="E34" s="62"/>
      <c r="F34" s="62"/>
      <c r="G34" s="62">
        <f t="shared" si="14"/>
        <v>0</v>
      </c>
      <c r="H34" s="63">
        <f t="shared" si="15"/>
        <v>0</v>
      </c>
      <c r="I34" s="203"/>
      <c r="J34" s="203"/>
      <c r="K34" s="203"/>
      <c r="L34" s="203"/>
      <c r="M34" s="58"/>
      <c r="N34" s="58"/>
      <c r="O34" s="59"/>
      <c r="P34" s="56"/>
      <c r="Q34" s="60"/>
      <c r="R34" s="61">
        <f t="shared" si="16"/>
        <v>0</v>
      </c>
      <c r="S34" s="62">
        <f t="shared" si="17"/>
        <v>0</v>
      </c>
      <c r="T34" s="63">
        <f t="shared" si="18"/>
        <v>0</v>
      </c>
      <c r="U34" s="64"/>
      <c r="V34" s="65"/>
      <c r="W34" s="66"/>
      <c r="X34" s="67"/>
      <c r="Y34" s="68"/>
      <c r="Z34" s="68"/>
      <c r="AA34" s="62">
        <f t="shared" si="19"/>
        <v>0</v>
      </c>
      <c r="AB34" s="63">
        <f t="shared" si="20"/>
        <v>0</v>
      </c>
      <c r="AC34" s="69"/>
      <c r="AD34" s="70"/>
      <c r="AE34" s="70"/>
      <c r="AF34" s="62">
        <f t="shared" si="21"/>
        <v>0</v>
      </c>
      <c r="AG34" s="63">
        <f t="shared" si="22"/>
        <v>0</v>
      </c>
      <c r="AH34" s="97"/>
      <c r="AI34" s="66"/>
      <c r="AJ34" s="66"/>
      <c r="AK34" s="62">
        <f t="shared" si="31"/>
        <v>0</v>
      </c>
      <c r="AL34" s="72">
        <f t="shared" si="32"/>
        <v>0</v>
      </c>
      <c r="AM34" s="73">
        <f t="shared" si="23"/>
        <v>0</v>
      </c>
      <c r="AN34" s="74">
        <f t="shared" si="24"/>
        <v>0</v>
      </c>
      <c r="AO34" s="74">
        <f t="shared" si="25"/>
        <v>0</v>
      </c>
      <c r="AP34" s="75" t="e">
        <f t="shared" si="26"/>
        <v>#DIV/0!</v>
      </c>
      <c r="AQ34" s="76">
        <f t="shared" si="27"/>
        <v>0</v>
      </c>
      <c r="AR34" s="77">
        <f>(D34+J34+O34)-(X34+AH34)</f>
        <v>0</v>
      </c>
    </row>
    <row r="35" spans="1:44" x14ac:dyDescent="0.25">
      <c r="A35" t="str">
        <f t="shared" si="13"/>
        <v>46189E</v>
      </c>
      <c r="B35" s="51">
        <f t="shared" si="29"/>
        <v>46189</v>
      </c>
      <c r="C35" s="52" t="s">
        <v>88</v>
      </c>
      <c r="D35" s="79"/>
      <c r="E35" s="62"/>
      <c r="F35" s="62"/>
      <c r="G35" s="62">
        <f t="shared" si="14"/>
        <v>0</v>
      </c>
      <c r="H35" s="63">
        <f t="shared" si="15"/>
        <v>0</v>
      </c>
      <c r="I35" s="203"/>
      <c r="J35" s="203"/>
      <c r="K35" s="203"/>
      <c r="L35" s="203"/>
      <c r="M35" s="58"/>
      <c r="N35" s="58"/>
      <c r="O35" s="59"/>
      <c r="P35" s="56"/>
      <c r="Q35" s="60"/>
      <c r="R35" s="61">
        <f t="shared" si="16"/>
        <v>0</v>
      </c>
      <c r="S35" s="62">
        <f t="shared" si="17"/>
        <v>0</v>
      </c>
      <c r="T35" s="63">
        <f t="shared" si="18"/>
        <v>0</v>
      </c>
      <c r="U35" s="64"/>
      <c r="V35" s="65"/>
      <c r="W35" s="66"/>
      <c r="X35" s="67"/>
      <c r="Y35" s="68"/>
      <c r="Z35" s="68"/>
      <c r="AA35" s="62">
        <f t="shared" si="19"/>
        <v>0</v>
      </c>
      <c r="AB35" s="63">
        <f t="shared" si="20"/>
        <v>0</v>
      </c>
      <c r="AC35" s="69"/>
      <c r="AD35" s="70"/>
      <c r="AE35" s="70"/>
      <c r="AF35" s="62">
        <f t="shared" si="21"/>
        <v>0</v>
      </c>
      <c r="AG35" s="63">
        <f t="shared" si="22"/>
        <v>0</v>
      </c>
      <c r="AH35" s="97"/>
      <c r="AI35" s="66"/>
      <c r="AJ35" s="66"/>
      <c r="AK35" s="62">
        <f t="shared" si="31"/>
        <v>0</v>
      </c>
      <c r="AL35" s="72">
        <f t="shared" si="32"/>
        <v>0</v>
      </c>
      <c r="AM35" s="73">
        <f t="shared" si="23"/>
        <v>0</v>
      </c>
      <c r="AN35" s="74">
        <f t="shared" si="24"/>
        <v>0</v>
      </c>
      <c r="AO35" s="74">
        <f t="shared" si="25"/>
        <v>0</v>
      </c>
      <c r="AP35" s="75" t="e">
        <f t="shared" si="26"/>
        <v>#DIV/0!</v>
      </c>
      <c r="AQ35" s="76">
        <f t="shared" si="27"/>
        <v>0</v>
      </c>
      <c r="AR35" s="77">
        <f t="shared" si="12"/>
        <v>0</v>
      </c>
    </row>
    <row r="36" spans="1:44" x14ac:dyDescent="0.25">
      <c r="A36" t="str">
        <f t="shared" si="13"/>
        <v>46190M</v>
      </c>
      <c r="B36" s="51">
        <f t="shared" si="29"/>
        <v>46190</v>
      </c>
      <c r="C36" s="52" t="s">
        <v>87</v>
      </c>
      <c r="D36" s="79"/>
      <c r="E36" s="62"/>
      <c r="F36" s="62"/>
      <c r="G36" s="62">
        <f t="shared" si="14"/>
        <v>0</v>
      </c>
      <c r="H36" s="63">
        <f t="shared" si="15"/>
        <v>0</v>
      </c>
      <c r="I36" s="203"/>
      <c r="J36" s="203"/>
      <c r="K36" s="203"/>
      <c r="L36" s="203"/>
      <c r="M36" s="58"/>
      <c r="N36" s="58"/>
      <c r="O36" s="59"/>
      <c r="P36" s="56"/>
      <c r="Q36" s="60"/>
      <c r="R36" s="61">
        <f t="shared" si="16"/>
        <v>0</v>
      </c>
      <c r="S36" s="62">
        <f t="shared" si="17"/>
        <v>0</v>
      </c>
      <c r="T36" s="63">
        <f t="shared" si="18"/>
        <v>0</v>
      </c>
      <c r="U36" s="64"/>
      <c r="V36" s="65"/>
      <c r="W36" s="66"/>
      <c r="X36" s="67"/>
      <c r="Y36" s="68"/>
      <c r="Z36" s="68"/>
      <c r="AA36" s="62">
        <f t="shared" si="19"/>
        <v>0</v>
      </c>
      <c r="AB36" s="63">
        <f t="shared" si="20"/>
        <v>0</v>
      </c>
      <c r="AC36" s="69"/>
      <c r="AD36" s="70"/>
      <c r="AE36" s="70"/>
      <c r="AF36" s="62">
        <f t="shared" si="21"/>
        <v>0</v>
      </c>
      <c r="AG36" s="63">
        <f t="shared" si="22"/>
        <v>0</v>
      </c>
      <c r="AH36" s="97"/>
      <c r="AI36" s="66"/>
      <c r="AJ36" s="66"/>
      <c r="AK36" s="62">
        <f t="shared" si="31"/>
        <v>0</v>
      </c>
      <c r="AL36" s="72">
        <f t="shared" si="32"/>
        <v>0</v>
      </c>
      <c r="AM36" s="73">
        <f t="shared" si="23"/>
        <v>0</v>
      </c>
      <c r="AN36" s="74">
        <f t="shared" si="24"/>
        <v>0</v>
      </c>
      <c r="AO36" s="74">
        <f t="shared" si="25"/>
        <v>0</v>
      </c>
      <c r="AP36" s="75" t="e">
        <f t="shared" si="26"/>
        <v>#DIV/0!</v>
      </c>
      <c r="AQ36" s="76">
        <f t="shared" si="27"/>
        <v>0</v>
      </c>
      <c r="AR36" s="90">
        <f t="shared" ref="AR36:AR49" si="33">(D36+J36+O36)-(X36+AH36)</f>
        <v>0</v>
      </c>
    </row>
    <row r="37" spans="1:44" x14ac:dyDescent="0.25">
      <c r="A37" t="str">
        <f t="shared" si="13"/>
        <v>46190E</v>
      </c>
      <c r="B37" s="51">
        <f t="shared" si="29"/>
        <v>46190</v>
      </c>
      <c r="C37" s="52" t="s">
        <v>88</v>
      </c>
      <c r="D37" s="79"/>
      <c r="E37" s="62"/>
      <c r="F37" s="62"/>
      <c r="G37" s="62">
        <f t="shared" si="14"/>
        <v>0</v>
      </c>
      <c r="H37" s="63">
        <f t="shared" si="15"/>
        <v>0</v>
      </c>
      <c r="I37" s="203"/>
      <c r="J37" s="203"/>
      <c r="K37" s="203"/>
      <c r="L37" s="203"/>
      <c r="M37" s="58"/>
      <c r="N37" s="58"/>
      <c r="O37" s="59"/>
      <c r="P37" s="56"/>
      <c r="Q37" s="60"/>
      <c r="R37" s="61">
        <f t="shared" si="16"/>
        <v>0</v>
      </c>
      <c r="S37" s="62">
        <f t="shared" si="17"/>
        <v>0</v>
      </c>
      <c r="T37" s="63">
        <f t="shared" si="18"/>
        <v>0</v>
      </c>
      <c r="U37" s="64"/>
      <c r="V37" s="85"/>
      <c r="W37" s="66"/>
      <c r="X37" s="67"/>
      <c r="Y37" s="68"/>
      <c r="Z37" s="68"/>
      <c r="AA37" s="62">
        <f t="shared" si="19"/>
        <v>0</v>
      </c>
      <c r="AB37" s="63">
        <f t="shared" si="20"/>
        <v>0</v>
      </c>
      <c r="AC37" s="69"/>
      <c r="AD37" s="70"/>
      <c r="AE37" s="70"/>
      <c r="AF37" s="62">
        <f t="shared" si="21"/>
        <v>0</v>
      </c>
      <c r="AG37" s="63">
        <f t="shared" si="22"/>
        <v>0</v>
      </c>
      <c r="AH37" s="97"/>
      <c r="AI37" s="66"/>
      <c r="AJ37" s="66"/>
      <c r="AK37" s="62">
        <f t="shared" ref="AK37:AK49" si="34">AH37*AI37%</f>
        <v>0</v>
      </c>
      <c r="AL37" s="72">
        <f t="shared" ref="AL37:AL49" si="35">AH37*AJ37%</f>
        <v>0</v>
      </c>
      <c r="AM37" s="73">
        <f t="shared" si="23"/>
        <v>0</v>
      </c>
      <c r="AN37" s="74">
        <f t="shared" si="24"/>
        <v>0</v>
      </c>
      <c r="AO37" s="74">
        <f t="shared" si="25"/>
        <v>0</v>
      </c>
      <c r="AP37" s="75" t="e">
        <f t="shared" si="26"/>
        <v>#DIV/0!</v>
      </c>
      <c r="AQ37" s="76">
        <f t="shared" si="27"/>
        <v>0</v>
      </c>
      <c r="AR37" s="90">
        <f t="shared" si="33"/>
        <v>0</v>
      </c>
    </row>
    <row r="38" spans="1:44" x14ac:dyDescent="0.25">
      <c r="A38" t="str">
        <f t="shared" si="13"/>
        <v>46191M</v>
      </c>
      <c r="B38" s="51">
        <f t="shared" si="29"/>
        <v>46191</v>
      </c>
      <c r="C38" s="52" t="s">
        <v>87</v>
      </c>
      <c r="D38" s="79"/>
      <c r="E38" s="62"/>
      <c r="F38" s="62"/>
      <c r="G38" s="62">
        <f t="shared" si="14"/>
        <v>0</v>
      </c>
      <c r="H38" s="63">
        <f t="shared" si="15"/>
        <v>0</v>
      </c>
      <c r="I38" s="203"/>
      <c r="J38" s="203"/>
      <c r="K38" s="203"/>
      <c r="L38" s="203"/>
      <c r="M38" s="58"/>
      <c r="N38" s="58"/>
      <c r="O38" s="59"/>
      <c r="P38" s="56"/>
      <c r="Q38" s="60"/>
      <c r="R38" s="61">
        <f t="shared" si="16"/>
        <v>0</v>
      </c>
      <c r="S38" s="62">
        <f t="shared" si="17"/>
        <v>0</v>
      </c>
      <c r="T38" s="63">
        <f t="shared" si="18"/>
        <v>0</v>
      </c>
      <c r="U38" s="64"/>
      <c r="V38" s="65"/>
      <c r="W38" s="66"/>
      <c r="X38" s="67"/>
      <c r="Y38" s="68"/>
      <c r="Z38" s="68"/>
      <c r="AA38" s="62">
        <f t="shared" si="19"/>
        <v>0</v>
      </c>
      <c r="AB38" s="63">
        <f t="shared" si="20"/>
        <v>0</v>
      </c>
      <c r="AC38" s="69"/>
      <c r="AD38" s="70"/>
      <c r="AE38" s="70"/>
      <c r="AF38" s="62">
        <f t="shared" si="21"/>
        <v>0</v>
      </c>
      <c r="AG38" s="63">
        <f t="shared" si="22"/>
        <v>0</v>
      </c>
      <c r="AH38" s="97"/>
      <c r="AI38" s="66"/>
      <c r="AJ38" s="66"/>
      <c r="AK38" s="62">
        <f t="shared" si="34"/>
        <v>0</v>
      </c>
      <c r="AL38" s="72">
        <f t="shared" si="35"/>
        <v>0</v>
      </c>
      <c r="AM38" s="73">
        <f t="shared" si="23"/>
        <v>0</v>
      </c>
      <c r="AN38" s="74">
        <f t="shared" si="24"/>
        <v>0</v>
      </c>
      <c r="AO38" s="74">
        <f t="shared" si="25"/>
        <v>0</v>
      </c>
      <c r="AP38" s="75" t="e">
        <f t="shared" si="26"/>
        <v>#DIV/0!</v>
      </c>
      <c r="AQ38" s="76">
        <f t="shared" si="27"/>
        <v>0</v>
      </c>
      <c r="AR38" s="90">
        <f t="shared" si="33"/>
        <v>0</v>
      </c>
    </row>
    <row r="39" spans="1:44" x14ac:dyDescent="0.25">
      <c r="A39" t="str">
        <f t="shared" si="13"/>
        <v>46191E</v>
      </c>
      <c r="B39" s="51">
        <f t="shared" si="29"/>
        <v>46191</v>
      </c>
      <c r="C39" s="52" t="s">
        <v>88</v>
      </c>
      <c r="D39" s="79"/>
      <c r="E39" s="62"/>
      <c r="F39" s="62"/>
      <c r="G39" s="62">
        <f t="shared" si="14"/>
        <v>0</v>
      </c>
      <c r="H39" s="63">
        <f t="shared" si="15"/>
        <v>0</v>
      </c>
      <c r="I39" s="203"/>
      <c r="J39" s="203"/>
      <c r="K39" s="203"/>
      <c r="L39" s="203"/>
      <c r="M39" s="58"/>
      <c r="N39" s="58"/>
      <c r="O39" s="59"/>
      <c r="P39" s="56"/>
      <c r="Q39" s="60"/>
      <c r="R39" s="61">
        <f t="shared" si="16"/>
        <v>0</v>
      </c>
      <c r="S39" s="62">
        <f t="shared" si="17"/>
        <v>0</v>
      </c>
      <c r="T39" s="63">
        <f t="shared" si="18"/>
        <v>0</v>
      </c>
      <c r="U39" s="64"/>
      <c r="V39" s="65"/>
      <c r="W39" s="66"/>
      <c r="X39" s="67"/>
      <c r="Y39" s="68"/>
      <c r="Z39" s="68"/>
      <c r="AA39" s="62">
        <f t="shared" si="19"/>
        <v>0</v>
      </c>
      <c r="AB39" s="63">
        <f t="shared" si="20"/>
        <v>0</v>
      </c>
      <c r="AC39" s="69"/>
      <c r="AD39" s="70"/>
      <c r="AE39" s="70"/>
      <c r="AF39" s="62">
        <f t="shared" si="21"/>
        <v>0</v>
      </c>
      <c r="AG39" s="63">
        <f t="shared" si="22"/>
        <v>0</v>
      </c>
      <c r="AH39" s="97"/>
      <c r="AI39" s="66"/>
      <c r="AJ39" s="66"/>
      <c r="AK39" s="62">
        <f t="shared" si="34"/>
        <v>0</v>
      </c>
      <c r="AL39" s="72">
        <f t="shared" si="35"/>
        <v>0</v>
      </c>
      <c r="AM39" s="73">
        <f t="shared" si="23"/>
        <v>0</v>
      </c>
      <c r="AN39" s="74">
        <f t="shared" si="24"/>
        <v>0</v>
      </c>
      <c r="AO39" s="74">
        <f t="shared" si="25"/>
        <v>0</v>
      </c>
      <c r="AP39" s="75" t="e">
        <f t="shared" si="26"/>
        <v>#DIV/0!</v>
      </c>
      <c r="AQ39" s="76">
        <f t="shared" si="27"/>
        <v>0</v>
      </c>
      <c r="AR39" s="90">
        <f t="shared" si="33"/>
        <v>0</v>
      </c>
    </row>
    <row r="40" spans="1:44" x14ac:dyDescent="0.25">
      <c r="A40" t="str">
        <f t="shared" si="13"/>
        <v>46192M</v>
      </c>
      <c r="B40" s="51">
        <f t="shared" si="29"/>
        <v>46192</v>
      </c>
      <c r="C40" s="52" t="s">
        <v>87</v>
      </c>
      <c r="D40" s="79"/>
      <c r="E40" s="62"/>
      <c r="F40" s="62"/>
      <c r="G40" s="62">
        <f t="shared" si="14"/>
        <v>0</v>
      </c>
      <c r="H40" s="63">
        <f t="shared" si="15"/>
        <v>0</v>
      </c>
      <c r="I40" s="203"/>
      <c r="J40" s="203"/>
      <c r="K40" s="203"/>
      <c r="L40" s="203"/>
      <c r="M40" s="58"/>
      <c r="N40" s="58"/>
      <c r="O40" s="59"/>
      <c r="P40" s="56"/>
      <c r="Q40" s="60"/>
      <c r="R40" s="61">
        <f t="shared" si="16"/>
        <v>0</v>
      </c>
      <c r="S40" s="62">
        <f t="shared" si="17"/>
        <v>0</v>
      </c>
      <c r="T40" s="63">
        <f t="shared" si="18"/>
        <v>0</v>
      </c>
      <c r="U40" s="64"/>
      <c r="V40" s="65"/>
      <c r="W40" s="66"/>
      <c r="X40" s="67"/>
      <c r="Y40" s="68"/>
      <c r="Z40" s="68"/>
      <c r="AA40" s="62">
        <f t="shared" si="19"/>
        <v>0</v>
      </c>
      <c r="AB40" s="63">
        <f t="shared" si="20"/>
        <v>0</v>
      </c>
      <c r="AC40" s="69"/>
      <c r="AD40" s="70"/>
      <c r="AE40" s="70"/>
      <c r="AF40" s="62">
        <f t="shared" si="21"/>
        <v>0</v>
      </c>
      <c r="AG40" s="63">
        <f t="shared" si="22"/>
        <v>0</v>
      </c>
      <c r="AH40" s="97"/>
      <c r="AI40" s="66"/>
      <c r="AJ40" s="66"/>
      <c r="AK40" s="62">
        <f t="shared" si="34"/>
        <v>0</v>
      </c>
      <c r="AL40" s="72">
        <f t="shared" si="35"/>
        <v>0</v>
      </c>
      <c r="AM40" s="73">
        <f t="shared" si="23"/>
        <v>0</v>
      </c>
      <c r="AN40" s="74">
        <f t="shared" si="24"/>
        <v>0</v>
      </c>
      <c r="AO40" s="74">
        <f t="shared" si="25"/>
        <v>0</v>
      </c>
      <c r="AP40" s="75" t="e">
        <f t="shared" si="26"/>
        <v>#DIV/0!</v>
      </c>
      <c r="AQ40" s="76">
        <f t="shared" si="27"/>
        <v>0</v>
      </c>
      <c r="AR40" s="90">
        <f t="shared" si="33"/>
        <v>0</v>
      </c>
    </row>
    <row r="41" spans="1:44" x14ac:dyDescent="0.25">
      <c r="A41" t="str">
        <f t="shared" si="13"/>
        <v>46192E</v>
      </c>
      <c r="B41" s="51">
        <f t="shared" si="29"/>
        <v>46192</v>
      </c>
      <c r="C41" s="52" t="s">
        <v>88</v>
      </c>
      <c r="D41" s="79"/>
      <c r="E41" s="62"/>
      <c r="F41" s="62"/>
      <c r="G41" s="62">
        <f t="shared" si="14"/>
        <v>0</v>
      </c>
      <c r="H41" s="63">
        <f t="shared" si="15"/>
        <v>0</v>
      </c>
      <c r="I41" s="203"/>
      <c r="J41" s="203"/>
      <c r="K41" s="203"/>
      <c r="L41" s="203"/>
      <c r="M41" s="58"/>
      <c r="N41" s="58"/>
      <c r="O41" s="59"/>
      <c r="P41" s="56"/>
      <c r="Q41" s="60"/>
      <c r="R41" s="61">
        <f t="shared" si="16"/>
        <v>0</v>
      </c>
      <c r="S41" s="62">
        <f t="shared" si="17"/>
        <v>0</v>
      </c>
      <c r="T41" s="63">
        <f t="shared" si="18"/>
        <v>0</v>
      </c>
      <c r="U41" s="64"/>
      <c r="V41" s="65"/>
      <c r="W41" s="66"/>
      <c r="X41" s="67"/>
      <c r="Y41" s="68"/>
      <c r="Z41" s="68"/>
      <c r="AA41" s="62">
        <f t="shared" si="19"/>
        <v>0</v>
      </c>
      <c r="AB41" s="63">
        <f t="shared" si="20"/>
        <v>0</v>
      </c>
      <c r="AC41" s="69"/>
      <c r="AD41" s="70"/>
      <c r="AE41" s="70"/>
      <c r="AF41" s="62">
        <f t="shared" si="21"/>
        <v>0</v>
      </c>
      <c r="AG41" s="63">
        <f t="shared" si="22"/>
        <v>0</v>
      </c>
      <c r="AH41" s="97"/>
      <c r="AI41" s="66"/>
      <c r="AJ41" s="66"/>
      <c r="AK41" s="62">
        <f t="shared" si="34"/>
        <v>0</v>
      </c>
      <c r="AL41" s="72">
        <f t="shared" si="35"/>
        <v>0</v>
      </c>
      <c r="AM41" s="73">
        <f t="shared" si="23"/>
        <v>0</v>
      </c>
      <c r="AN41" s="74">
        <f t="shared" si="24"/>
        <v>0</v>
      </c>
      <c r="AO41" s="74">
        <f t="shared" si="25"/>
        <v>0</v>
      </c>
      <c r="AP41" s="75" t="e">
        <f t="shared" si="26"/>
        <v>#DIV/0!</v>
      </c>
      <c r="AQ41" s="76">
        <f t="shared" si="27"/>
        <v>0</v>
      </c>
      <c r="AR41" s="90">
        <f t="shared" si="33"/>
        <v>0</v>
      </c>
    </row>
    <row r="42" spans="1:44" x14ac:dyDescent="0.25">
      <c r="A42" t="str">
        <f t="shared" si="13"/>
        <v>46193M</v>
      </c>
      <c r="B42" s="51">
        <f t="shared" si="29"/>
        <v>46193</v>
      </c>
      <c r="C42" s="52" t="s">
        <v>87</v>
      </c>
      <c r="D42" s="79"/>
      <c r="E42" s="62"/>
      <c r="F42" s="62"/>
      <c r="G42" s="62">
        <f t="shared" si="14"/>
        <v>0</v>
      </c>
      <c r="H42" s="63">
        <f t="shared" si="15"/>
        <v>0</v>
      </c>
      <c r="I42" s="203"/>
      <c r="J42" s="203"/>
      <c r="K42" s="203"/>
      <c r="L42" s="203"/>
      <c r="M42" s="58"/>
      <c r="N42" s="58"/>
      <c r="O42" s="59"/>
      <c r="P42" s="56"/>
      <c r="Q42" s="60"/>
      <c r="R42" s="61">
        <f t="shared" si="16"/>
        <v>0</v>
      </c>
      <c r="S42" s="62">
        <f t="shared" si="17"/>
        <v>0</v>
      </c>
      <c r="T42" s="63">
        <f t="shared" si="18"/>
        <v>0</v>
      </c>
      <c r="U42" s="64"/>
      <c r="V42" s="65"/>
      <c r="W42" s="66"/>
      <c r="X42" s="67"/>
      <c r="Y42" s="68"/>
      <c r="Z42" s="68"/>
      <c r="AA42" s="62">
        <f t="shared" si="19"/>
        <v>0</v>
      </c>
      <c r="AB42" s="63">
        <f t="shared" si="20"/>
        <v>0</v>
      </c>
      <c r="AC42" s="69"/>
      <c r="AD42" s="70"/>
      <c r="AE42" s="70"/>
      <c r="AF42" s="62">
        <f t="shared" si="21"/>
        <v>0</v>
      </c>
      <c r="AG42" s="63">
        <f t="shared" si="22"/>
        <v>0</v>
      </c>
      <c r="AH42" s="97"/>
      <c r="AI42" s="66"/>
      <c r="AJ42" s="66"/>
      <c r="AK42" s="62">
        <f t="shared" si="34"/>
        <v>0</v>
      </c>
      <c r="AL42" s="72">
        <f t="shared" si="35"/>
        <v>0</v>
      </c>
      <c r="AM42" s="73">
        <f t="shared" si="23"/>
        <v>0</v>
      </c>
      <c r="AN42" s="74">
        <f t="shared" si="24"/>
        <v>0</v>
      </c>
      <c r="AO42" s="74">
        <f t="shared" si="25"/>
        <v>0</v>
      </c>
      <c r="AP42" s="75" t="e">
        <f t="shared" si="26"/>
        <v>#DIV/0!</v>
      </c>
      <c r="AQ42" s="76">
        <f t="shared" si="27"/>
        <v>0</v>
      </c>
      <c r="AR42" s="90">
        <f t="shared" si="33"/>
        <v>0</v>
      </c>
    </row>
    <row r="43" spans="1:44" x14ac:dyDescent="0.25">
      <c r="A43" t="str">
        <f t="shared" si="13"/>
        <v>46193E</v>
      </c>
      <c r="B43" s="51">
        <f t="shared" si="29"/>
        <v>46193</v>
      </c>
      <c r="C43" s="52" t="s">
        <v>88</v>
      </c>
      <c r="D43" s="79"/>
      <c r="E43" s="62"/>
      <c r="F43" s="62"/>
      <c r="G43" s="62">
        <f t="shared" si="14"/>
        <v>0</v>
      </c>
      <c r="H43" s="63">
        <f t="shared" si="15"/>
        <v>0</v>
      </c>
      <c r="I43" s="203"/>
      <c r="J43" s="203"/>
      <c r="K43" s="203"/>
      <c r="L43" s="203"/>
      <c r="M43" s="58"/>
      <c r="N43" s="58"/>
      <c r="O43" s="59"/>
      <c r="P43" s="56"/>
      <c r="Q43" s="60"/>
      <c r="R43" s="61">
        <f t="shared" si="16"/>
        <v>0</v>
      </c>
      <c r="S43" s="62">
        <f t="shared" si="17"/>
        <v>0</v>
      </c>
      <c r="T43" s="63">
        <f t="shared" si="18"/>
        <v>0</v>
      </c>
      <c r="U43" s="64"/>
      <c r="V43" s="65"/>
      <c r="W43" s="66"/>
      <c r="X43" s="67"/>
      <c r="Y43" s="68"/>
      <c r="Z43" s="68"/>
      <c r="AA43" s="62">
        <f t="shared" si="19"/>
        <v>0</v>
      </c>
      <c r="AB43" s="63">
        <f t="shared" si="20"/>
        <v>0</v>
      </c>
      <c r="AC43" s="69"/>
      <c r="AD43" s="70"/>
      <c r="AE43" s="70"/>
      <c r="AF43" s="62">
        <f t="shared" si="21"/>
        <v>0</v>
      </c>
      <c r="AG43" s="63">
        <f t="shared" si="22"/>
        <v>0</v>
      </c>
      <c r="AH43" s="97"/>
      <c r="AI43" s="66"/>
      <c r="AJ43" s="66"/>
      <c r="AK43" s="62">
        <f t="shared" si="34"/>
        <v>0</v>
      </c>
      <c r="AL43" s="72">
        <f t="shared" si="35"/>
        <v>0</v>
      </c>
      <c r="AM43" s="73">
        <f t="shared" si="23"/>
        <v>0</v>
      </c>
      <c r="AN43" s="74">
        <f t="shared" si="24"/>
        <v>0</v>
      </c>
      <c r="AO43" s="74">
        <f t="shared" si="25"/>
        <v>0</v>
      </c>
      <c r="AP43" s="75" t="e">
        <f t="shared" si="26"/>
        <v>#DIV/0!</v>
      </c>
      <c r="AQ43" s="76">
        <f t="shared" si="27"/>
        <v>0</v>
      </c>
      <c r="AR43" s="90">
        <f t="shared" si="33"/>
        <v>0</v>
      </c>
    </row>
    <row r="44" spans="1:44" x14ac:dyDescent="0.25">
      <c r="A44" t="str">
        <f t="shared" si="13"/>
        <v>46194M</v>
      </c>
      <c r="B44" s="51">
        <f t="shared" si="29"/>
        <v>46194</v>
      </c>
      <c r="C44" s="52" t="s">
        <v>87</v>
      </c>
      <c r="D44" s="79"/>
      <c r="E44" s="62"/>
      <c r="F44" s="62"/>
      <c r="G44" s="62">
        <f t="shared" si="14"/>
        <v>0</v>
      </c>
      <c r="H44" s="63">
        <f t="shared" si="15"/>
        <v>0</v>
      </c>
      <c r="I44" s="203"/>
      <c r="J44" s="203"/>
      <c r="K44" s="203"/>
      <c r="L44" s="203"/>
      <c r="M44" s="58"/>
      <c r="N44" s="58"/>
      <c r="O44" s="59"/>
      <c r="P44" s="56"/>
      <c r="Q44" s="60"/>
      <c r="R44" s="61">
        <f t="shared" si="16"/>
        <v>0</v>
      </c>
      <c r="S44" s="62">
        <f t="shared" si="17"/>
        <v>0</v>
      </c>
      <c r="T44" s="63">
        <f t="shared" si="18"/>
        <v>0</v>
      </c>
      <c r="U44" s="64"/>
      <c r="V44" s="65"/>
      <c r="W44" s="66"/>
      <c r="X44" s="67"/>
      <c r="Y44" s="68"/>
      <c r="Z44" s="68"/>
      <c r="AA44" s="62">
        <f t="shared" si="19"/>
        <v>0</v>
      </c>
      <c r="AB44" s="63">
        <f t="shared" si="20"/>
        <v>0</v>
      </c>
      <c r="AC44" s="69"/>
      <c r="AD44" s="70"/>
      <c r="AE44" s="70"/>
      <c r="AF44" s="62">
        <f t="shared" si="21"/>
        <v>0</v>
      </c>
      <c r="AG44" s="63">
        <f t="shared" si="22"/>
        <v>0</v>
      </c>
      <c r="AH44" s="89"/>
      <c r="AI44" s="66"/>
      <c r="AJ44" s="66"/>
      <c r="AK44" s="62">
        <f t="shared" si="34"/>
        <v>0</v>
      </c>
      <c r="AL44" s="72">
        <f t="shared" si="35"/>
        <v>0</v>
      </c>
      <c r="AM44" s="73">
        <f t="shared" si="23"/>
        <v>0</v>
      </c>
      <c r="AN44" s="74">
        <f t="shared" si="24"/>
        <v>0</v>
      </c>
      <c r="AO44" s="74">
        <f t="shared" si="25"/>
        <v>0</v>
      </c>
      <c r="AP44" s="75" t="e">
        <f t="shared" si="26"/>
        <v>#DIV/0!</v>
      </c>
      <c r="AQ44" s="76">
        <f t="shared" si="27"/>
        <v>0</v>
      </c>
      <c r="AR44" s="90">
        <f t="shared" si="33"/>
        <v>0</v>
      </c>
    </row>
    <row r="45" spans="1:44" x14ac:dyDescent="0.25">
      <c r="A45" t="str">
        <f t="shared" si="13"/>
        <v>46194E</v>
      </c>
      <c r="B45" s="51">
        <f t="shared" si="29"/>
        <v>46194</v>
      </c>
      <c r="C45" s="52" t="s">
        <v>88</v>
      </c>
      <c r="D45" s="79"/>
      <c r="E45" s="62"/>
      <c r="F45" s="62"/>
      <c r="G45" s="62">
        <f t="shared" si="14"/>
        <v>0</v>
      </c>
      <c r="H45" s="63">
        <f t="shared" si="15"/>
        <v>0</v>
      </c>
      <c r="I45" s="203"/>
      <c r="J45" s="203"/>
      <c r="K45" s="203"/>
      <c r="L45" s="203"/>
      <c r="M45" s="58"/>
      <c r="N45" s="58"/>
      <c r="O45" s="59"/>
      <c r="P45" s="56"/>
      <c r="Q45" s="60"/>
      <c r="R45" s="61">
        <f t="shared" si="16"/>
        <v>0</v>
      </c>
      <c r="S45" s="62">
        <f t="shared" si="17"/>
        <v>0</v>
      </c>
      <c r="T45" s="63">
        <f t="shared" si="18"/>
        <v>0</v>
      </c>
      <c r="U45" s="64"/>
      <c r="V45" s="65"/>
      <c r="W45" s="66"/>
      <c r="X45" s="67"/>
      <c r="Y45" s="68"/>
      <c r="Z45" s="68"/>
      <c r="AA45" s="62">
        <f t="shared" si="19"/>
        <v>0</v>
      </c>
      <c r="AB45" s="63">
        <f t="shared" si="20"/>
        <v>0</v>
      </c>
      <c r="AC45" s="69"/>
      <c r="AD45" s="70"/>
      <c r="AE45" s="70"/>
      <c r="AF45" s="62">
        <f t="shared" si="21"/>
        <v>0</v>
      </c>
      <c r="AG45" s="63">
        <f t="shared" si="22"/>
        <v>0</v>
      </c>
      <c r="AH45" s="89"/>
      <c r="AI45" s="66"/>
      <c r="AJ45" s="66"/>
      <c r="AK45" s="62">
        <f t="shared" si="34"/>
        <v>0</v>
      </c>
      <c r="AL45" s="72">
        <f t="shared" si="35"/>
        <v>0</v>
      </c>
      <c r="AM45" s="73">
        <f t="shared" si="23"/>
        <v>0</v>
      </c>
      <c r="AN45" s="74">
        <f t="shared" si="24"/>
        <v>0</v>
      </c>
      <c r="AO45" s="74">
        <f t="shared" si="25"/>
        <v>0</v>
      </c>
      <c r="AP45" s="75" t="e">
        <f t="shared" si="26"/>
        <v>#DIV/0!</v>
      </c>
      <c r="AQ45" s="76">
        <f t="shared" si="27"/>
        <v>0</v>
      </c>
      <c r="AR45" s="90">
        <f t="shared" si="33"/>
        <v>0</v>
      </c>
    </row>
    <row r="46" spans="1:44" x14ac:dyDescent="0.25">
      <c r="A46" t="str">
        <f t="shared" si="13"/>
        <v>46195M</v>
      </c>
      <c r="B46" s="51">
        <f t="shared" si="29"/>
        <v>46195</v>
      </c>
      <c r="C46" s="52" t="s">
        <v>87</v>
      </c>
      <c r="D46" s="79"/>
      <c r="E46" s="62"/>
      <c r="F46" s="62"/>
      <c r="G46" s="62">
        <f t="shared" si="14"/>
        <v>0</v>
      </c>
      <c r="H46" s="63">
        <f t="shared" si="15"/>
        <v>0</v>
      </c>
      <c r="I46" s="203"/>
      <c r="J46" s="203"/>
      <c r="K46" s="203"/>
      <c r="L46" s="203"/>
      <c r="M46" s="58"/>
      <c r="N46" s="58"/>
      <c r="O46" s="59"/>
      <c r="P46" s="56"/>
      <c r="Q46" s="60"/>
      <c r="R46" s="61">
        <f t="shared" si="16"/>
        <v>0</v>
      </c>
      <c r="S46" s="62">
        <f t="shared" si="17"/>
        <v>0</v>
      </c>
      <c r="T46" s="63">
        <f t="shared" si="18"/>
        <v>0</v>
      </c>
      <c r="U46" s="64"/>
      <c r="V46" s="65"/>
      <c r="W46" s="66"/>
      <c r="X46" s="67"/>
      <c r="Y46" s="68"/>
      <c r="Z46" s="68"/>
      <c r="AA46" s="62">
        <f t="shared" si="19"/>
        <v>0</v>
      </c>
      <c r="AB46" s="63">
        <f t="shared" si="20"/>
        <v>0</v>
      </c>
      <c r="AC46" s="69"/>
      <c r="AD46" s="70"/>
      <c r="AE46" s="70"/>
      <c r="AF46" s="62">
        <f t="shared" si="21"/>
        <v>0</v>
      </c>
      <c r="AG46" s="63">
        <f t="shared" si="22"/>
        <v>0</v>
      </c>
      <c r="AH46" s="89"/>
      <c r="AI46" s="66"/>
      <c r="AJ46" s="66"/>
      <c r="AK46" s="62">
        <f t="shared" si="34"/>
        <v>0</v>
      </c>
      <c r="AL46" s="72">
        <f t="shared" si="35"/>
        <v>0</v>
      </c>
      <c r="AM46" s="73">
        <f t="shared" si="23"/>
        <v>0</v>
      </c>
      <c r="AN46" s="74">
        <f t="shared" si="24"/>
        <v>0</v>
      </c>
      <c r="AO46" s="74">
        <f t="shared" si="25"/>
        <v>0</v>
      </c>
      <c r="AP46" s="75" t="e">
        <f t="shared" si="26"/>
        <v>#DIV/0!</v>
      </c>
      <c r="AQ46" s="76">
        <f t="shared" si="27"/>
        <v>0</v>
      </c>
      <c r="AR46" s="90">
        <f t="shared" si="33"/>
        <v>0</v>
      </c>
    </row>
    <row r="47" spans="1:44" x14ac:dyDescent="0.25">
      <c r="A47" t="str">
        <f t="shared" si="13"/>
        <v>46195E</v>
      </c>
      <c r="B47" s="51">
        <f t="shared" si="29"/>
        <v>46195</v>
      </c>
      <c r="C47" s="52" t="s">
        <v>88</v>
      </c>
      <c r="D47" s="79"/>
      <c r="E47" s="62"/>
      <c r="F47" s="62"/>
      <c r="G47" s="62">
        <f t="shared" si="14"/>
        <v>0</v>
      </c>
      <c r="H47" s="63">
        <f t="shared" si="15"/>
        <v>0</v>
      </c>
      <c r="I47" s="203"/>
      <c r="J47" s="203"/>
      <c r="K47" s="203"/>
      <c r="L47" s="203"/>
      <c r="M47" s="58"/>
      <c r="N47" s="58"/>
      <c r="O47" s="59"/>
      <c r="P47" s="56"/>
      <c r="Q47" s="60"/>
      <c r="R47" s="61">
        <f t="shared" si="16"/>
        <v>0</v>
      </c>
      <c r="S47" s="62">
        <f t="shared" si="17"/>
        <v>0</v>
      </c>
      <c r="T47" s="63">
        <f t="shared" si="18"/>
        <v>0</v>
      </c>
      <c r="U47" s="64"/>
      <c r="V47" s="65"/>
      <c r="W47" s="66"/>
      <c r="X47" s="67"/>
      <c r="Y47" s="68"/>
      <c r="Z47" s="68"/>
      <c r="AA47" s="62">
        <f t="shared" si="19"/>
        <v>0</v>
      </c>
      <c r="AB47" s="63">
        <f t="shared" si="20"/>
        <v>0</v>
      </c>
      <c r="AC47" s="69"/>
      <c r="AD47" s="70"/>
      <c r="AE47" s="70"/>
      <c r="AF47" s="62">
        <f t="shared" si="21"/>
        <v>0</v>
      </c>
      <c r="AG47" s="63">
        <f t="shared" si="22"/>
        <v>0</v>
      </c>
      <c r="AH47" s="89"/>
      <c r="AI47" s="66"/>
      <c r="AJ47" s="66"/>
      <c r="AK47" s="62">
        <f t="shared" si="34"/>
        <v>0</v>
      </c>
      <c r="AL47" s="72">
        <f t="shared" si="35"/>
        <v>0</v>
      </c>
      <c r="AM47" s="73">
        <f t="shared" si="23"/>
        <v>0</v>
      </c>
      <c r="AN47" s="74">
        <f t="shared" si="24"/>
        <v>0</v>
      </c>
      <c r="AO47" s="74">
        <f t="shared" si="25"/>
        <v>0</v>
      </c>
      <c r="AP47" s="75" t="e">
        <f t="shared" si="26"/>
        <v>#DIV/0!</v>
      </c>
      <c r="AQ47" s="76">
        <f t="shared" si="27"/>
        <v>0</v>
      </c>
      <c r="AR47" s="90">
        <f t="shared" si="33"/>
        <v>0</v>
      </c>
    </row>
    <row r="48" spans="1:44" x14ac:dyDescent="0.25">
      <c r="A48" t="str">
        <f t="shared" si="13"/>
        <v>46196M</v>
      </c>
      <c r="B48" s="51">
        <f t="shared" si="29"/>
        <v>46196</v>
      </c>
      <c r="C48" s="52" t="s">
        <v>87</v>
      </c>
      <c r="D48" s="79"/>
      <c r="E48" s="62"/>
      <c r="F48" s="62"/>
      <c r="G48" s="62">
        <f t="shared" si="14"/>
        <v>0</v>
      </c>
      <c r="H48" s="63">
        <f t="shared" si="15"/>
        <v>0</v>
      </c>
      <c r="I48" s="203"/>
      <c r="J48" s="203"/>
      <c r="K48" s="203"/>
      <c r="L48" s="203"/>
      <c r="M48" s="58"/>
      <c r="N48" s="58"/>
      <c r="O48" s="59"/>
      <c r="P48" s="56"/>
      <c r="Q48" s="60"/>
      <c r="R48" s="61">
        <f t="shared" si="16"/>
        <v>0</v>
      </c>
      <c r="S48" s="62">
        <f t="shared" si="17"/>
        <v>0</v>
      </c>
      <c r="T48" s="63">
        <f t="shared" si="18"/>
        <v>0</v>
      </c>
      <c r="U48" s="64"/>
      <c r="V48" s="65"/>
      <c r="W48" s="66"/>
      <c r="X48" s="67"/>
      <c r="Y48" s="68"/>
      <c r="Z48" s="68"/>
      <c r="AA48" s="62">
        <f t="shared" si="19"/>
        <v>0</v>
      </c>
      <c r="AB48" s="63">
        <f t="shared" si="20"/>
        <v>0</v>
      </c>
      <c r="AC48" s="69"/>
      <c r="AD48" s="70"/>
      <c r="AE48" s="70"/>
      <c r="AF48" s="62">
        <f t="shared" si="21"/>
        <v>0</v>
      </c>
      <c r="AG48" s="63">
        <f t="shared" si="22"/>
        <v>0</v>
      </c>
      <c r="AH48" s="89"/>
      <c r="AI48" s="66"/>
      <c r="AJ48" s="66"/>
      <c r="AK48" s="62">
        <f t="shared" si="34"/>
        <v>0</v>
      </c>
      <c r="AL48" s="72">
        <f t="shared" si="35"/>
        <v>0</v>
      </c>
      <c r="AM48" s="73">
        <f t="shared" si="23"/>
        <v>0</v>
      </c>
      <c r="AN48" s="74">
        <f t="shared" si="24"/>
        <v>0</v>
      </c>
      <c r="AO48" s="74">
        <f t="shared" si="25"/>
        <v>0</v>
      </c>
      <c r="AP48" s="75" t="e">
        <f t="shared" si="26"/>
        <v>#DIV/0!</v>
      </c>
      <c r="AQ48" s="76">
        <f t="shared" si="27"/>
        <v>0</v>
      </c>
      <c r="AR48" s="90">
        <f t="shared" si="33"/>
        <v>0</v>
      </c>
    </row>
    <row r="49" spans="1:44" x14ac:dyDescent="0.25">
      <c r="A49" t="str">
        <f t="shared" si="13"/>
        <v>46196E</v>
      </c>
      <c r="B49" s="51">
        <f t="shared" si="29"/>
        <v>46196</v>
      </c>
      <c r="C49" s="52" t="s">
        <v>88</v>
      </c>
      <c r="D49" s="79"/>
      <c r="E49" s="62"/>
      <c r="F49" s="62"/>
      <c r="G49" s="62">
        <f t="shared" si="14"/>
        <v>0</v>
      </c>
      <c r="H49" s="63">
        <f t="shared" si="15"/>
        <v>0</v>
      </c>
      <c r="I49" s="203"/>
      <c r="J49" s="203"/>
      <c r="K49" s="203"/>
      <c r="L49" s="203"/>
      <c r="M49" s="58"/>
      <c r="N49" s="58"/>
      <c r="O49" s="59"/>
      <c r="P49" s="56"/>
      <c r="Q49" s="60"/>
      <c r="R49" s="61">
        <f t="shared" si="16"/>
        <v>0</v>
      </c>
      <c r="S49" s="62">
        <f t="shared" si="17"/>
        <v>0</v>
      </c>
      <c r="T49" s="63">
        <f t="shared" si="18"/>
        <v>0</v>
      </c>
      <c r="U49" s="64"/>
      <c r="V49" s="65"/>
      <c r="W49" s="66"/>
      <c r="X49" s="67"/>
      <c r="Y49" s="68"/>
      <c r="Z49" s="68"/>
      <c r="AA49" s="62">
        <f t="shared" si="19"/>
        <v>0</v>
      </c>
      <c r="AB49" s="63">
        <f t="shared" si="20"/>
        <v>0</v>
      </c>
      <c r="AC49" s="69"/>
      <c r="AD49" s="70"/>
      <c r="AE49" s="70"/>
      <c r="AF49" s="62">
        <f t="shared" si="21"/>
        <v>0</v>
      </c>
      <c r="AG49" s="63">
        <f t="shared" si="22"/>
        <v>0</v>
      </c>
      <c r="AH49" s="89"/>
      <c r="AI49" s="66"/>
      <c r="AJ49" s="66"/>
      <c r="AK49" s="62">
        <f t="shared" si="34"/>
        <v>0</v>
      </c>
      <c r="AL49" s="72">
        <f t="shared" si="35"/>
        <v>0</v>
      </c>
      <c r="AM49" s="73">
        <f t="shared" si="23"/>
        <v>0</v>
      </c>
      <c r="AN49" s="74">
        <f t="shared" si="24"/>
        <v>0</v>
      </c>
      <c r="AO49" s="74">
        <f t="shared" si="25"/>
        <v>0</v>
      </c>
      <c r="AP49" s="75" t="e">
        <f t="shared" si="26"/>
        <v>#DIV/0!</v>
      </c>
      <c r="AQ49" s="76">
        <f t="shared" si="27"/>
        <v>0</v>
      </c>
      <c r="AR49" s="90">
        <f t="shared" si="33"/>
        <v>0</v>
      </c>
    </row>
    <row r="50" spans="1:44" x14ac:dyDescent="0.25">
      <c r="A50" t="str">
        <f t="shared" si="13"/>
        <v>46197M</v>
      </c>
      <c r="B50" s="51">
        <f t="shared" si="29"/>
        <v>46197</v>
      </c>
      <c r="C50" s="52" t="s">
        <v>87</v>
      </c>
      <c r="D50" s="79"/>
      <c r="E50" s="62"/>
      <c r="F50" s="62"/>
      <c r="G50" s="62">
        <f t="shared" si="14"/>
        <v>0</v>
      </c>
      <c r="H50" s="63">
        <f t="shared" si="15"/>
        <v>0</v>
      </c>
      <c r="I50" s="203"/>
      <c r="J50" s="203"/>
      <c r="K50" s="203"/>
      <c r="L50" s="203"/>
      <c r="M50" s="58"/>
      <c r="N50" s="58"/>
      <c r="O50" s="59"/>
      <c r="P50" s="56"/>
      <c r="Q50" s="60"/>
      <c r="R50" s="61">
        <f t="shared" si="16"/>
        <v>0</v>
      </c>
      <c r="S50" s="62">
        <f t="shared" si="17"/>
        <v>0</v>
      </c>
      <c r="T50" s="63">
        <f t="shared" si="18"/>
        <v>0</v>
      </c>
      <c r="U50" s="64"/>
      <c r="V50" s="65"/>
      <c r="W50" s="66"/>
      <c r="X50" s="67"/>
      <c r="Y50" s="68"/>
      <c r="Z50" s="68"/>
      <c r="AA50" s="62">
        <f t="shared" si="19"/>
        <v>0</v>
      </c>
      <c r="AB50" s="63">
        <f t="shared" si="20"/>
        <v>0</v>
      </c>
      <c r="AC50" s="69"/>
      <c r="AD50" s="70"/>
      <c r="AE50" s="70"/>
      <c r="AF50" s="62">
        <f t="shared" si="21"/>
        <v>0</v>
      </c>
      <c r="AG50" s="63">
        <f t="shared" si="22"/>
        <v>0</v>
      </c>
      <c r="AH50" s="89"/>
      <c r="AI50" s="66"/>
      <c r="AJ50" s="66"/>
      <c r="AK50" s="62">
        <f t="shared" ref="AK50" si="36">AH50*AI50%</f>
        <v>0</v>
      </c>
      <c r="AL50" s="72">
        <f t="shared" ref="AL50" si="37">AH50*AJ50%</f>
        <v>0</v>
      </c>
      <c r="AM50" s="73">
        <f t="shared" si="23"/>
        <v>0</v>
      </c>
      <c r="AN50" s="74">
        <f t="shared" si="24"/>
        <v>0</v>
      </c>
      <c r="AO50" s="74">
        <f t="shared" si="25"/>
        <v>0</v>
      </c>
      <c r="AP50" s="75" t="e">
        <f t="shared" si="26"/>
        <v>#DIV/0!</v>
      </c>
      <c r="AQ50" s="76">
        <f t="shared" si="27"/>
        <v>0</v>
      </c>
      <c r="AR50" s="90">
        <f t="shared" ref="AR50:AR57" si="38">(D50+J50+O50)-(X50+AH50)</f>
        <v>0</v>
      </c>
    </row>
    <row r="51" spans="1:44" x14ac:dyDescent="0.25">
      <c r="A51" t="str">
        <f t="shared" si="13"/>
        <v>46197E</v>
      </c>
      <c r="B51" s="51">
        <f t="shared" si="29"/>
        <v>46197</v>
      </c>
      <c r="C51" s="52" t="s">
        <v>88</v>
      </c>
      <c r="D51" s="79"/>
      <c r="E51" s="62"/>
      <c r="F51" s="62"/>
      <c r="G51" s="62">
        <f t="shared" si="14"/>
        <v>0</v>
      </c>
      <c r="H51" s="63">
        <f t="shared" si="15"/>
        <v>0</v>
      </c>
      <c r="I51" s="203"/>
      <c r="J51" s="203"/>
      <c r="K51" s="203"/>
      <c r="L51" s="203"/>
      <c r="M51" s="58"/>
      <c r="N51" s="58"/>
      <c r="O51" s="59"/>
      <c r="P51" s="56"/>
      <c r="Q51" s="60"/>
      <c r="R51" s="61">
        <f t="shared" si="16"/>
        <v>0</v>
      </c>
      <c r="S51" s="62">
        <f t="shared" si="17"/>
        <v>0</v>
      </c>
      <c r="T51" s="63">
        <f t="shared" si="18"/>
        <v>0</v>
      </c>
      <c r="U51" s="64"/>
      <c r="V51" s="85"/>
      <c r="W51" s="66"/>
      <c r="X51" s="67"/>
      <c r="Y51" s="68"/>
      <c r="Z51" s="68"/>
      <c r="AA51" s="62">
        <f t="shared" si="19"/>
        <v>0</v>
      </c>
      <c r="AB51" s="63">
        <f t="shared" si="20"/>
        <v>0</v>
      </c>
      <c r="AC51" s="69"/>
      <c r="AD51" s="70"/>
      <c r="AE51" s="70"/>
      <c r="AF51" s="62">
        <f t="shared" si="21"/>
        <v>0</v>
      </c>
      <c r="AG51" s="63">
        <f t="shared" si="22"/>
        <v>0</v>
      </c>
      <c r="AH51" s="89"/>
      <c r="AI51" s="66"/>
      <c r="AJ51" s="66"/>
      <c r="AK51" s="62">
        <f t="shared" ref="AK51:AK63" si="39">AH51*AI51%</f>
        <v>0</v>
      </c>
      <c r="AL51" s="72">
        <f t="shared" ref="AL51:AL63" si="40">AH51*AJ51%</f>
        <v>0</v>
      </c>
      <c r="AM51" s="73">
        <f t="shared" si="23"/>
        <v>0</v>
      </c>
      <c r="AN51" s="74">
        <f t="shared" si="24"/>
        <v>0</v>
      </c>
      <c r="AO51" s="74">
        <f t="shared" si="25"/>
        <v>0</v>
      </c>
      <c r="AP51" s="75" t="e">
        <f t="shared" si="26"/>
        <v>#DIV/0!</v>
      </c>
      <c r="AQ51" s="76">
        <f t="shared" si="27"/>
        <v>0</v>
      </c>
      <c r="AR51" s="90">
        <f t="shared" si="38"/>
        <v>0</v>
      </c>
    </row>
    <row r="52" spans="1:44" x14ac:dyDescent="0.25">
      <c r="A52" t="str">
        <f t="shared" si="13"/>
        <v>46198M</v>
      </c>
      <c r="B52" s="51">
        <f t="shared" si="29"/>
        <v>46198</v>
      </c>
      <c r="C52" s="52" t="s">
        <v>87</v>
      </c>
      <c r="D52" s="79"/>
      <c r="E52" s="62"/>
      <c r="F52" s="62"/>
      <c r="G52" s="62">
        <f t="shared" si="14"/>
        <v>0</v>
      </c>
      <c r="H52" s="63">
        <f t="shared" si="15"/>
        <v>0</v>
      </c>
      <c r="I52" s="203"/>
      <c r="J52" s="203"/>
      <c r="K52" s="203"/>
      <c r="L52" s="203"/>
      <c r="M52" s="58"/>
      <c r="N52" s="58"/>
      <c r="O52" s="59"/>
      <c r="P52" s="56"/>
      <c r="Q52" s="60"/>
      <c r="R52" s="61">
        <f t="shared" si="16"/>
        <v>0</v>
      </c>
      <c r="S52" s="62">
        <f t="shared" si="17"/>
        <v>0</v>
      </c>
      <c r="T52" s="63">
        <f t="shared" si="18"/>
        <v>0</v>
      </c>
      <c r="U52" s="64"/>
      <c r="V52" s="85"/>
      <c r="W52" s="66"/>
      <c r="X52" s="67"/>
      <c r="Y52" s="68"/>
      <c r="Z52" s="68"/>
      <c r="AA52" s="62">
        <f t="shared" si="19"/>
        <v>0</v>
      </c>
      <c r="AB52" s="63">
        <f t="shared" si="20"/>
        <v>0</v>
      </c>
      <c r="AC52" s="69"/>
      <c r="AD52" s="70"/>
      <c r="AE52" s="70"/>
      <c r="AF52" s="62">
        <f t="shared" si="21"/>
        <v>0</v>
      </c>
      <c r="AG52" s="63">
        <f t="shared" si="22"/>
        <v>0</v>
      </c>
      <c r="AH52" s="89"/>
      <c r="AI52" s="66"/>
      <c r="AJ52" s="66"/>
      <c r="AK52" s="62">
        <f t="shared" si="39"/>
        <v>0</v>
      </c>
      <c r="AL52" s="72">
        <f t="shared" si="40"/>
        <v>0</v>
      </c>
      <c r="AM52" s="73">
        <f t="shared" si="23"/>
        <v>0</v>
      </c>
      <c r="AN52" s="74">
        <f t="shared" si="24"/>
        <v>0</v>
      </c>
      <c r="AO52" s="74">
        <f t="shared" si="25"/>
        <v>0</v>
      </c>
      <c r="AP52" s="75" t="e">
        <f t="shared" si="26"/>
        <v>#DIV/0!</v>
      </c>
      <c r="AQ52" s="76">
        <f t="shared" si="27"/>
        <v>0</v>
      </c>
      <c r="AR52" s="90">
        <f t="shared" si="38"/>
        <v>0</v>
      </c>
    </row>
    <row r="53" spans="1:44" x14ac:dyDescent="0.25">
      <c r="A53" t="str">
        <f t="shared" si="13"/>
        <v>46198E</v>
      </c>
      <c r="B53" s="51">
        <f t="shared" si="29"/>
        <v>46198</v>
      </c>
      <c r="C53" s="52" t="s">
        <v>88</v>
      </c>
      <c r="D53" s="79"/>
      <c r="E53" s="62"/>
      <c r="F53" s="62"/>
      <c r="G53" s="62">
        <f t="shared" si="14"/>
        <v>0</v>
      </c>
      <c r="H53" s="63">
        <f t="shared" si="15"/>
        <v>0</v>
      </c>
      <c r="I53" s="203"/>
      <c r="J53" s="203"/>
      <c r="K53" s="203"/>
      <c r="L53" s="203"/>
      <c r="M53" s="58"/>
      <c r="N53" s="58"/>
      <c r="O53" s="59"/>
      <c r="P53" s="56"/>
      <c r="Q53" s="60"/>
      <c r="R53" s="61">
        <f t="shared" si="16"/>
        <v>0</v>
      </c>
      <c r="S53" s="62">
        <f t="shared" si="17"/>
        <v>0</v>
      </c>
      <c r="T53" s="63">
        <f t="shared" si="18"/>
        <v>0</v>
      </c>
      <c r="U53" s="64"/>
      <c r="V53" s="65"/>
      <c r="W53" s="66"/>
      <c r="X53" s="67"/>
      <c r="Y53" s="68"/>
      <c r="Z53" s="68"/>
      <c r="AA53" s="62">
        <f t="shared" si="19"/>
        <v>0</v>
      </c>
      <c r="AB53" s="63">
        <f t="shared" si="20"/>
        <v>0</v>
      </c>
      <c r="AC53" s="69"/>
      <c r="AD53" s="70"/>
      <c r="AE53" s="70"/>
      <c r="AF53" s="62">
        <f t="shared" si="21"/>
        <v>0</v>
      </c>
      <c r="AG53" s="63">
        <f t="shared" si="22"/>
        <v>0</v>
      </c>
      <c r="AH53" s="89"/>
      <c r="AI53" s="66"/>
      <c r="AJ53" s="66"/>
      <c r="AK53" s="62">
        <f t="shared" si="39"/>
        <v>0</v>
      </c>
      <c r="AL53" s="72">
        <f t="shared" si="40"/>
        <v>0</v>
      </c>
      <c r="AM53" s="73">
        <f t="shared" si="23"/>
        <v>0</v>
      </c>
      <c r="AN53" s="74">
        <f t="shared" si="24"/>
        <v>0</v>
      </c>
      <c r="AO53" s="74">
        <f t="shared" si="25"/>
        <v>0</v>
      </c>
      <c r="AP53" s="75" t="e">
        <f t="shared" si="26"/>
        <v>#DIV/0!</v>
      </c>
      <c r="AQ53" s="76">
        <f t="shared" si="27"/>
        <v>0</v>
      </c>
      <c r="AR53" s="90">
        <f t="shared" si="38"/>
        <v>0</v>
      </c>
    </row>
    <row r="54" spans="1:44" x14ac:dyDescent="0.25">
      <c r="A54" t="str">
        <f t="shared" si="13"/>
        <v>46199M</v>
      </c>
      <c r="B54" s="51">
        <f t="shared" si="29"/>
        <v>46199</v>
      </c>
      <c r="C54" s="52" t="s">
        <v>87</v>
      </c>
      <c r="D54" s="79"/>
      <c r="E54" s="62"/>
      <c r="F54" s="62"/>
      <c r="G54" s="62">
        <f t="shared" si="14"/>
        <v>0</v>
      </c>
      <c r="H54" s="63">
        <f t="shared" si="15"/>
        <v>0</v>
      </c>
      <c r="I54" s="203"/>
      <c r="J54" s="203"/>
      <c r="K54" s="203"/>
      <c r="L54" s="203"/>
      <c r="M54" s="58"/>
      <c r="N54" s="58"/>
      <c r="O54" s="59"/>
      <c r="P54" s="56"/>
      <c r="Q54" s="60"/>
      <c r="R54" s="61">
        <f t="shared" si="16"/>
        <v>0</v>
      </c>
      <c r="S54" s="62">
        <f t="shared" si="17"/>
        <v>0</v>
      </c>
      <c r="T54" s="63">
        <f t="shared" si="18"/>
        <v>0</v>
      </c>
      <c r="U54" s="64"/>
      <c r="V54" s="65"/>
      <c r="W54" s="66"/>
      <c r="X54" s="67"/>
      <c r="Y54" s="68"/>
      <c r="Z54" s="68"/>
      <c r="AA54" s="62">
        <f t="shared" si="19"/>
        <v>0</v>
      </c>
      <c r="AB54" s="63">
        <f t="shared" si="20"/>
        <v>0</v>
      </c>
      <c r="AC54" s="69"/>
      <c r="AD54" s="70"/>
      <c r="AE54" s="70"/>
      <c r="AF54" s="62">
        <f t="shared" si="21"/>
        <v>0</v>
      </c>
      <c r="AG54" s="63">
        <f t="shared" si="22"/>
        <v>0</v>
      </c>
      <c r="AH54" s="89"/>
      <c r="AI54" s="66"/>
      <c r="AJ54" s="66"/>
      <c r="AK54" s="62">
        <f t="shared" si="39"/>
        <v>0</v>
      </c>
      <c r="AL54" s="72">
        <f t="shared" si="40"/>
        <v>0</v>
      </c>
      <c r="AM54" s="73">
        <f t="shared" si="23"/>
        <v>0</v>
      </c>
      <c r="AN54" s="74">
        <f t="shared" si="24"/>
        <v>0</v>
      </c>
      <c r="AO54" s="74">
        <f t="shared" si="25"/>
        <v>0</v>
      </c>
      <c r="AP54" s="75" t="e">
        <f t="shared" si="26"/>
        <v>#DIV/0!</v>
      </c>
      <c r="AQ54" s="76">
        <f t="shared" si="27"/>
        <v>0</v>
      </c>
      <c r="AR54" s="90">
        <f t="shared" si="38"/>
        <v>0</v>
      </c>
    </row>
    <row r="55" spans="1:44" x14ac:dyDescent="0.25">
      <c r="A55" t="str">
        <f t="shared" si="13"/>
        <v>46199E</v>
      </c>
      <c r="B55" s="51">
        <f t="shared" si="29"/>
        <v>46199</v>
      </c>
      <c r="C55" s="52" t="s">
        <v>88</v>
      </c>
      <c r="D55" s="79"/>
      <c r="E55" s="62"/>
      <c r="F55" s="62"/>
      <c r="G55" s="62">
        <f t="shared" si="14"/>
        <v>0</v>
      </c>
      <c r="H55" s="63">
        <f t="shared" si="15"/>
        <v>0</v>
      </c>
      <c r="I55" s="203"/>
      <c r="J55" s="203"/>
      <c r="K55" s="203"/>
      <c r="L55" s="203"/>
      <c r="M55" s="58"/>
      <c r="N55" s="58"/>
      <c r="O55" s="59"/>
      <c r="P55" s="56"/>
      <c r="Q55" s="60"/>
      <c r="R55" s="61">
        <f t="shared" si="16"/>
        <v>0</v>
      </c>
      <c r="S55" s="62">
        <f t="shared" si="17"/>
        <v>0</v>
      </c>
      <c r="T55" s="63">
        <f t="shared" si="18"/>
        <v>0</v>
      </c>
      <c r="U55" s="64"/>
      <c r="V55" s="65"/>
      <c r="W55" s="66"/>
      <c r="X55" s="67"/>
      <c r="Y55" s="68"/>
      <c r="Z55" s="68"/>
      <c r="AA55" s="62">
        <f t="shared" si="19"/>
        <v>0</v>
      </c>
      <c r="AB55" s="63">
        <f t="shared" si="20"/>
        <v>0</v>
      </c>
      <c r="AC55" s="69"/>
      <c r="AD55" s="70"/>
      <c r="AE55" s="70"/>
      <c r="AF55" s="62">
        <f t="shared" si="21"/>
        <v>0</v>
      </c>
      <c r="AG55" s="63">
        <f t="shared" si="22"/>
        <v>0</v>
      </c>
      <c r="AH55" s="89"/>
      <c r="AI55" s="66"/>
      <c r="AJ55" s="66"/>
      <c r="AK55" s="62">
        <f t="shared" si="39"/>
        <v>0</v>
      </c>
      <c r="AL55" s="72">
        <f t="shared" si="40"/>
        <v>0</v>
      </c>
      <c r="AM55" s="73">
        <f t="shared" si="23"/>
        <v>0</v>
      </c>
      <c r="AN55" s="74">
        <f t="shared" si="24"/>
        <v>0</v>
      </c>
      <c r="AO55" s="74">
        <f t="shared" si="25"/>
        <v>0</v>
      </c>
      <c r="AP55" s="75" t="e">
        <f t="shared" si="26"/>
        <v>#DIV/0!</v>
      </c>
      <c r="AQ55" s="76">
        <f t="shared" si="27"/>
        <v>0</v>
      </c>
      <c r="AR55" s="90">
        <f t="shared" si="38"/>
        <v>0</v>
      </c>
    </row>
    <row r="56" spans="1:44" x14ac:dyDescent="0.25">
      <c r="A56" t="str">
        <f t="shared" si="13"/>
        <v>46200M</v>
      </c>
      <c r="B56" s="51">
        <f t="shared" si="29"/>
        <v>46200</v>
      </c>
      <c r="C56" s="52" t="s">
        <v>87</v>
      </c>
      <c r="D56" s="79"/>
      <c r="E56" s="62"/>
      <c r="F56" s="62"/>
      <c r="G56" s="62">
        <f t="shared" si="14"/>
        <v>0</v>
      </c>
      <c r="H56" s="63">
        <f t="shared" si="15"/>
        <v>0</v>
      </c>
      <c r="I56" s="203"/>
      <c r="J56" s="203"/>
      <c r="K56" s="203"/>
      <c r="L56" s="203"/>
      <c r="M56" s="58"/>
      <c r="N56" s="58"/>
      <c r="O56" s="59"/>
      <c r="P56" s="56"/>
      <c r="Q56" s="60"/>
      <c r="R56" s="61">
        <f t="shared" si="16"/>
        <v>0</v>
      </c>
      <c r="S56" s="62">
        <f t="shared" si="17"/>
        <v>0</v>
      </c>
      <c r="T56" s="63">
        <f t="shared" si="18"/>
        <v>0</v>
      </c>
      <c r="U56" s="64"/>
      <c r="V56" s="65"/>
      <c r="W56" s="66"/>
      <c r="X56" s="67"/>
      <c r="Y56" s="68"/>
      <c r="Z56" s="68"/>
      <c r="AA56" s="62">
        <f t="shared" si="19"/>
        <v>0</v>
      </c>
      <c r="AB56" s="63">
        <f t="shared" si="20"/>
        <v>0</v>
      </c>
      <c r="AC56" s="69"/>
      <c r="AD56" s="70"/>
      <c r="AE56" s="70"/>
      <c r="AF56" s="62">
        <f t="shared" si="21"/>
        <v>0</v>
      </c>
      <c r="AG56" s="63">
        <f t="shared" si="22"/>
        <v>0</v>
      </c>
      <c r="AH56" s="89"/>
      <c r="AI56" s="66"/>
      <c r="AJ56" s="66"/>
      <c r="AK56" s="62">
        <f t="shared" si="39"/>
        <v>0</v>
      </c>
      <c r="AL56" s="72">
        <f t="shared" si="40"/>
        <v>0</v>
      </c>
      <c r="AM56" s="73">
        <f t="shared" si="23"/>
        <v>0</v>
      </c>
      <c r="AN56" s="74">
        <f t="shared" si="24"/>
        <v>0</v>
      </c>
      <c r="AO56" s="74">
        <f t="shared" si="25"/>
        <v>0</v>
      </c>
      <c r="AP56" s="75" t="e">
        <f t="shared" si="26"/>
        <v>#DIV/0!</v>
      </c>
      <c r="AQ56" s="76">
        <f t="shared" si="27"/>
        <v>0</v>
      </c>
      <c r="AR56" s="90">
        <f t="shared" si="38"/>
        <v>0</v>
      </c>
    </row>
    <row r="57" spans="1:44" x14ac:dyDescent="0.25">
      <c r="A57" t="str">
        <f t="shared" si="13"/>
        <v>46200E</v>
      </c>
      <c r="B57" s="51">
        <f t="shared" si="29"/>
        <v>46200</v>
      </c>
      <c r="C57" s="52" t="s">
        <v>88</v>
      </c>
      <c r="D57" s="79"/>
      <c r="E57" s="62"/>
      <c r="F57" s="62"/>
      <c r="G57" s="62">
        <f t="shared" si="14"/>
        <v>0</v>
      </c>
      <c r="H57" s="63">
        <f t="shared" si="15"/>
        <v>0</v>
      </c>
      <c r="I57" s="203"/>
      <c r="J57" s="203"/>
      <c r="K57" s="203"/>
      <c r="L57" s="203"/>
      <c r="M57" s="58"/>
      <c r="N57" s="58"/>
      <c r="O57" s="59"/>
      <c r="P57" s="56"/>
      <c r="Q57" s="60"/>
      <c r="R57" s="61">
        <f t="shared" si="16"/>
        <v>0</v>
      </c>
      <c r="S57" s="62">
        <f t="shared" si="17"/>
        <v>0</v>
      </c>
      <c r="T57" s="63">
        <f t="shared" si="18"/>
        <v>0</v>
      </c>
      <c r="U57" s="64"/>
      <c r="V57" s="65"/>
      <c r="W57" s="66"/>
      <c r="X57" s="67"/>
      <c r="Y57" s="68"/>
      <c r="Z57" s="68"/>
      <c r="AA57" s="62">
        <f t="shared" si="19"/>
        <v>0</v>
      </c>
      <c r="AB57" s="63">
        <f t="shared" si="20"/>
        <v>0</v>
      </c>
      <c r="AC57" s="69"/>
      <c r="AD57" s="70"/>
      <c r="AE57" s="70"/>
      <c r="AF57" s="62">
        <f t="shared" si="21"/>
        <v>0</v>
      </c>
      <c r="AG57" s="63">
        <f t="shared" si="22"/>
        <v>0</v>
      </c>
      <c r="AH57" s="89"/>
      <c r="AI57" s="66"/>
      <c r="AJ57" s="66"/>
      <c r="AK57" s="62">
        <f t="shared" si="39"/>
        <v>0</v>
      </c>
      <c r="AL57" s="72">
        <f t="shared" si="40"/>
        <v>0</v>
      </c>
      <c r="AM57" s="73">
        <f t="shared" si="23"/>
        <v>0</v>
      </c>
      <c r="AN57" s="74">
        <f t="shared" si="24"/>
        <v>0</v>
      </c>
      <c r="AO57" s="74">
        <f t="shared" si="25"/>
        <v>0</v>
      </c>
      <c r="AP57" s="75" t="e">
        <f t="shared" si="26"/>
        <v>#DIV/0!</v>
      </c>
      <c r="AQ57" s="76">
        <f t="shared" si="27"/>
        <v>0</v>
      </c>
      <c r="AR57" s="90">
        <f t="shared" si="38"/>
        <v>0</v>
      </c>
    </row>
    <row r="58" spans="1:44" x14ac:dyDescent="0.25">
      <c r="A58" t="str">
        <f t="shared" si="13"/>
        <v>46201M</v>
      </c>
      <c r="B58" s="51">
        <f t="shared" si="29"/>
        <v>46201</v>
      </c>
      <c r="C58" s="52" t="s">
        <v>87</v>
      </c>
      <c r="D58" s="79"/>
      <c r="E58" s="62"/>
      <c r="F58" s="62"/>
      <c r="G58" s="62">
        <f t="shared" si="14"/>
        <v>0</v>
      </c>
      <c r="H58" s="63">
        <f t="shared" si="15"/>
        <v>0</v>
      </c>
      <c r="I58" s="203"/>
      <c r="J58" s="203"/>
      <c r="K58" s="203"/>
      <c r="L58" s="203"/>
      <c r="M58" s="58"/>
      <c r="N58" s="58"/>
      <c r="O58" s="59"/>
      <c r="P58" s="56"/>
      <c r="Q58" s="60"/>
      <c r="R58" s="61">
        <f t="shared" si="16"/>
        <v>0</v>
      </c>
      <c r="S58" s="62">
        <f t="shared" si="17"/>
        <v>0</v>
      </c>
      <c r="T58" s="63">
        <f t="shared" si="18"/>
        <v>0</v>
      </c>
      <c r="U58" s="64"/>
      <c r="V58" s="65"/>
      <c r="W58" s="66"/>
      <c r="X58" s="67"/>
      <c r="Y58" s="68"/>
      <c r="Z58" s="68"/>
      <c r="AA58" s="62">
        <f t="shared" si="19"/>
        <v>0</v>
      </c>
      <c r="AB58" s="63">
        <f t="shared" si="20"/>
        <v>0</v>
      </c>
      <c r="AC58" s="69"/>
      <c r="AD58" s="70"/>
      <c r="AE58" s="70"/>
      <c r="AF58" s="62">
        <f t="shared" si="21"/>
        <v>0</v>
      </c>
      <c r="AG58" s="63">
        <f t="shared" si="22"/>
        <v>0</v>
      </c>
      <c r="AH58" s="89"/>
      <c r="AI58" s="66"/>
      <c r="AJ58" s="66"/>
      <c r="AK58" s="62">
        <f t="shared" si="39"/>
        <v>0</v>
      </c>
      <c r="AL58" s="72">
        <f t="shared" si="40"/>
        <v>0</v>
      </c>
      <c r="AM58" s="73">
        <f t="shared" si="23"/>
        <v>0</v>
      </c>
      <c r="AN58" s="74">
        <f t="shared" si="24"/>
        <v>0</v>
      </c>
      <c r="AO58" s="74">
        <f t="shared" si="25"/>
        <v>0</v>
      </c>
      <c r="AP58" s="75" t="e">
        <f t="shared" si="26"/>
        <v>#DIV/0!</v>
      </c>
      <c r="AQ58" s="76">
        <f t="shared" si="27"/>
        <v>0</v>
      </c>
      <c r="AR58" s="77">
        <f t="shared" si="12"/>
        <v>0</v>
      </c>
    </row>
    <row r="59" spans="1:44" x14ac:dyDescent="0.25">
      <c r="A59" t="str">
        <f t="shared" si="13"/>
        <v>46201E</v>
      </c>
      <c r="B59" s="51">
        <f t="shared" si="29"/>
        <v>46201</v>
      </c>
      <c r="C59" s="52" t="s">
        <v>88</v>
      </c>
      <c r="D59" s="79"/>
      <c r="E59" s="62"/>
      <c r="F59" s="62"/>
      <c r="G59" s="62">
        <f t="shared" si="14"/>
        <v>0</v>
      </c>
      <c r="H59" s="63">
        <f t="shared" si="15"/>
        <v>0</v>
      </c>
      <c r="I59" s="203"/>
      <c r="J59" s="203"/>
      <c r="K59" s="203"/>
      <c r="L59" s="203"/>
      <c r="M59" s="58"/>
      <c r="N59" s="58"/>
      <c r="O59" s="59"/>
      <c r="P59" s="56"/>
      <c r="Q59" s="60"/>
      <c r="R59" s="61">
        <f t="shared" si="16"/>
        <v>0</v>
      </c>
      <c r="S59" s="62">
        <f t="shared" si="17"/>
        <v>0</v>
      </c>
      <c r="T59" s="63">
        <f t="shared" si="18"/>
        <v>0</v>
      </c>
      <c r="U59" s="64"/>
      <c r="V59" s="65"/>
      <c r="W59" s="66"/>
      <c r="X59" s="67"/>
      <c r="Y59" s="68"/>
      <c r="Z59" s="68"/>
      <c r="AA59" s="62">
        <f t="shared" si="19"/>
        <v>0</v>
      </c>
      <c r="AB59" s="63">
        <f t="shared" si="20"/>
        <v>0</v>
      </c>
      <c r="AC59" s="69"/>
      <c r="AD59" s="70"/>
      <c r="AE59" s="70"/>
      <c r="AF59" s="62">
        <f t="shared" si="21"/>
        <v>0</v>
      </c>
      <c r="AG59" s="63">
        <f t="shared" si="22"/>
        <v>0</v>
      </c>
      <c r="AH59" s="89"/>
      <c r="AI59" s="66"/>
      <c r="AJ59" s="66"/>
      <c r="AK59" s="62">
        <f t="shared" si="39"/>
        <v>0</v>
      </c>
      <c r="AL59" s="72">
        <f t="shared" si="40"/>
        <v>0</v>
      </c>
      <c r="AM59" s="73">
        <f t="shared" si="23"/>
        <v>0</v>
      </c>
      <c r="AN59" s="74">
        <f t="shared" si="24"/>
        <v>0</v>
      </c>
      <c r="AO59" s="74">
        <f t="shared" si="25"/>
        <v>0</v>
      </c>
      <c r="AP59" s="75" t="e">
        <f t="shared" si="26"/>
        <v>#DIV/0!</v>
      </c>
      <c r="AQ59" s="76">
        <f t="shared" si="27"/>
        <v>0</v>
      </c>
      <c r="AR59" s="77">
        <f t="shared" si="12"/>
        <v>0</v>
      </c>
    </row>
    <row r="60" spans="1:44" x14ac:dyDescent="0.25">
      <c r="A60" t="str">
        <f t="shared" si="13"/>
        <v>46202M</v>
      </c>
      <c r="B60" s="51">
        <f t="shared" si="29"/>
        <v>46202</v>
      </c>
      <c r="C60" s="52" t="s">
        <v>87</v>
      </c>
      <c r="D60" s="79"/>
      <c r="E60" s="62"/>
      <c r="F60" s="62"/>
      <c r="G60" s="62">
        <f t="shared" si="14"/>
        <v>0</v>
      </c>
      <c r="H60" s="63">
        <f t="shared" si="15"/>
        <v>0</v>
      </c>
      <c r="I60" s="203"/>
      <c r="J60" s="203"/>
      <c r="K60" s="203"/>
      <c r="L60" s="203"/>
      <c r="M60" s="58"/>
      <c r="N60" s="58"/>
      <c r="O60" s="59"/>
      <c r="P60" s="56"/>
      <c r="Q60" s="60"/>
      <c r="R60" s="61">
        <f t="shared" si="16"/>
        <v>0</v>
      </c>
      <c r="S60" s="62">
        <f t="shared" si="17"/>
        <v>0</v>
      </c>
      <c r="T60" s="63">
        <f t="shared" si="18"/>
        <v>0</v>
      </c>
      <c r="U60" s="64"/>
      <c r="V60" s="65"/>
      <c r="W60" s="66"/>
      <c r="X60" s="67"/>
      <c r="Y60" s="68"/>
      <c r="Z60" s="68"/>
      <c r="AA60" s="62">
        <f t="shared" si="19"/>
        <v>0</v>
      </c>
      <c r="AB60" s="63">
        <f t="shared" si="20"/>
        <v>0</v>
      </c>
      <c r="AC60" s="69"/>
      <c r="AD60" s="70"/>
      <c r="AE60" s="70"/>
      <c r="AF60" s="62">
        <f t="shared" si="21"/>
        <v>0</v>
      </c>
      <c r="AG60" s="63">
        <f t="shared" si="22"/>
        <v>0</v>
      </c>
      <c r="AH60" s="89"/>
      <c r="AI60" s="66"/>
      <c r="AJ60" s="66"/>
      <c r="AK60" s="62">
        <f t="shared" si="39"/>
        <v>0</v>
      </c>
      <c r="AL60" s="72">
        <f t="shared" si="40"/>
        <v>0</v>
      </c>
      <c r="AM60" s="73">
        <f t="shared" si="23"/>
        <v>0</v>
      </c>
      <c r="AN60" s="74">
        <f t="shared" si="24"/>
        <v>0</v>
      </c>
      <c r="AO60" s="74">
        <f t="shared" si="25"/>
        <v>0</v>
      </c>
      <c r="AP60" s="75" t="e">
        <f t="shared" si="26"/>
        <v>#DIV/0!</v>
      </c>
      <c r="AQ60" s="76">
        <f t="shared" si="27"/>
        <v>0</v>
      </c>
      <c r="AR60" s="77">
        <f t="shared" si="12"/>
        <v>0</v>
      </c>
    </row>
    <row r="61" spans="1:44" x14ac:dyDescent="0.25">
      <c r="A61" t="str">
        <f t="shared" si="13"/>
        <v>46202E</v>
      </c>
      <c r="B61" s="51">
        <f t="shared" si="29"/>
        <v>46202</v>
      </c>
      <c r="C61" s="52" t="s">
        <v>88</v>
      </c>
      <c r="D61" s="79"/>
      <c r="E61" s="62"/>
      <c r="F61" s="62"/>
      <c r="G61" s="62">
        <f t="shared" si="14"/>
        <v>0</v>
      </c>
      <c r="H61" s="63">
        <f t="shared" si="15"/>
        <v>0</v>
      </c>
      <c r="I61" s="203"/>
      <c r="J61" s="203"/>
      <c r="K61" s="203"/>
      <c r="L61" s="203"/>
      <c r="M61" s="58"/>
      <c r="N61" s="58"/>
      <c r="O61" s="59"/>
      <c r="P61" s="56"/>
      <c r="Q61" s="60"/>
      <c r="R61" s="61">
        <f t="shared" si="16"/>
        <v>0</v>
      </c>
      <c r="S61" s="62">
        <f t="shared" si="17"/>
        <v>0</v>
      </c>
      <c r="T61" s="63">
        <f t="shared" si="18"/>
        <v>0</v>
      </c>
      <c r="U61" s="64"/>
      <c r="V61" s="65"/>
      <c r="W61" s="66"/>
      <c r="X61" s="67"/>
      <c r="Y61" s="68"/>
      <c r="Z61" s="68"/>
      <c r="AA61" s="62">
        <f t="shared" si="19"/>
        <v>0</v>
      </c>
      <c r="AB61" s="63">
        <f t="shared" si="20"/>
        <v>0</v>
      </c>
      <c r="AC61" s="69"/>
      <c r="AD61" s="70"/>
      <c r="AE61" s="70"/>
      <c r="AF61" s="62">
        <f t="shared" si="21"/>
        <v>0</v>
      </c>
      <c r="AG61" s="63">
        <f t="shared" si="22"/>
        <v>0</v>
      </c>
      <c r="AH61" s="89"/>
      <c r="AI61" s="66"/>
      <c r="AJ61" s="66"/>
      <c r="AK61" s="62">
        <f t="shared" si="39"/>
        <v>0</v>
      </c>
      <c r="AL61" s="72">
        <f t="shared" si="40"/>
        <v>0</v>
      </c>
      <c r="AM61" s="73">
        <f t="shared" si="23"/>
        <v>0</v>
      </c>
      <c r="AN61" s="74">
        <f t="shared" si="24"/>
        <v>0</v>
      </c>
      <c r="AO61" s="74">
        <f t="shared" si="25"/>
        <v>0</v>
      </c>
      <c r="AP61" s="75" t="e">
        <f t="shared" si="26"/>
        <v>#DIV/0!</v>
      </c>
      <c r="AQ61" s="76">
        <f t="shared" si="27"/>
        <v>0</v>
      </c>
      <c r="AR61" s="77">
        <f t="shared" si="12"/>
        <v>0</v>
      </c>
    </row>
    <row r="62" spans="1:44" x14ac:dyDescent="0.25">
      <c r="A62" t="str">
        <f t="shared" si="13"/>
        <v>46203M</v>
      </c>
      <c r="B62" s="51">
        <f t="shared" si="29"/>
        <v>46203</v>
      </c>
      <c r="C62" s="52" t="s">
        <v>87</v>
      </c>
      <c r="D62" s="79"/>
      <c r="E62" s="62"/>
      <c r="F62" s="62"/>
      <c r="G62" s="62">
        <f t="shared" si="14"/>
        <v>0</v>
      </c>
      <c r="H62" s="63">
        <f t="shared" si="15"/>
        <v>0</v>
      </c>
      <c r="I62" s="203"/>
      <c r="J62" s="203"/>
      <c r="K62" s="203"/>
      <c r="L62" s="203"/>
      <c r="M62" s="58"/>
      <c r="N62" s="58"/>
      <c r="O62" s="59"/>
      <c r="P62" s="56"/>
      <c r="Q62" s="60"/>
      <c r="R62" s="61">
        <f t="shared" si="16"/>
        <v>0</v>
      </c>
      <c r="S62" s="62">
        <f t="shared" si="17"/>
        <v>0</v>
      </c>
      <c r="T62" s="63">
        <f t="shared" si="18"/>
        <v>0</v>
      </c>
      <c r="U62" s="64"/>
      <c r="V62" s="65"/>
      <c r="W62" s="66"/>
      <c r="X62" s="67"/>
      <c r="Y62" s="68"/>
      <c r="Z62" s="68"/>
      <c r="AA62" s="62">
        <f t="shared" si="19"/>
        <v>0</v>
      </c>
      <c r="AB62" s="63">
        <f t="shared" si="20"/>
        <v>0</v>
      </c>
      <c r="AC62" s="69"/>
      <c r="AD62" s="70"/>
      <c r="AE62" s="70"/>
      <c r="AF62" s="62">
        <f t="shared" si="21"/>
        <v>0</v>
      </c>
      <c r="AG62" s="63">
        <f t="shared" si="22"/>
        <v>0</v>
      </c>
      <c r="AH62" s="89"/>
      <c r="AI62" s="66"/>
      <c r="AJ62" s="66"/>
      <c r="AK62" s="62">
        <f t="shared" si="39"/>
        <v>0</v>
      </c>
      <c r="AL62" s="72">
        <f t="shared" si="40"/>
        <v>0</v>
      </c>
      <c r="AM62" s="73">
        <f t="shared" si="23"/>
        <v>0</v>
      </c>
      <c r="AN62" s="74">
        <f t="shared" si="24"/>
        <v>0</v>
      </c>
      <c r="AO62" s="74">
        <f t="shared" si="25"/>
        <v>0</v>
      </c>
      <c r="AP62" s="75" t="e">
        <f t="shared" si="26"/>
        <v>#DIV/0!</v>
      </c>
      <c r="AQ62" s="76">
        <f t="shared" si="27"/>
        <v>0</v>
      </c>
      <c r="AR62" s="77">
        <f t="shared" si="12"/>
        <v>0</v>
      </c>
    </row>
    <row r="63" spans="1:44" x14ac:dyDescent="0.25">
      <c r="A63" t="str">
        <f t="shared" si="13"/>
        <v>46203E</v>
      </c>
      <c r="B63" s="51">
        <f t="shared" si="29"/>
        <v>46203</v>
      </c>
      <c r="C63" s="52" t="s">
        <v>88</v>
      </c>
      <c r="D63" s="79"/>
      <c r="E63" s="62"/>
      <c r="F63" s="62"/>
      <c r="G63" s="62">
        <f t="shared" si="14"/>
        <v>0</v>
      </c>
      <c r="H63" s="63">
        <f t="shared" si="15"/>
        <v>0</v>
      </c>
      <c r="I63" s="203"/>
      <c r="J63" s="203"/>
      <c r="K63" s="203"/>
      <c r="L63" s="203"/>
      <c r="M63" s="58"/>
      <c r="N63" s="58"/>
      <c r="O63" s="59"/>
      <c r="P63" s="56"/>
      <c r="Q63" s="60"/>
      <c r="R63" s="61">
        <f t="shared" si="16"/>
        <v>0</v>
      </c>
      <c r="S63" s="62">
        <f t="shared" si="17"/>
        <v>0</v>
      </c>
      <c r="T63" s="63">
        <f t="shared" si="18"/>
        <v>0</v>
      </c>
      <c r="U63" s="64"/>
      <c r="V63" s="65"/>
      <c r="W63" s="66"/>
      <c r="X63" s="67"/>
      <c r="Y63" s="68"/>
      <c r="Z63" s="68"/>
      <c r="AA63" s="62">
        <f t="shared" si="19"/>
        <v>0</v>
      </c>
      <c r="AB63" s="63">
        <f t="shared" si="20"/>
        <v>0</v>
      </c>
      <c r="AC63" s="69"/>
      <c r="AD63" s="70"/>
      <c r="AE63" s="70"/>
      <c r="AF63" s="62">
        <f t="shared" si="21"/>
        <v>0</v>
      </c>
      <c r="AG63" s="63">
        <f t="shared" si="22"/>
        <v>0</v>
      </c>
      <c r="AH63" s="89"/>
      <c r="AI63" s="66"/>
      <c r="AJ63" s="66"/>
      <c r="AK63" s="62">
        <f t="shared" si="39"/>
        <v>0</v>
      </c>
      <c r="AL63" s="72">
        <f t="shared" si="40"/>
        <v>0</v>
      </c>
      <c r="AM63" s="73">
        <f t="shared" si="23"/>
        <v>0</v>
      </c>
      <c r="AN63" s="74">
        <f t="shared" si="24"/>
        <v>0</v>
      </c>
      <c r="AO63" s="74">
        <f t="shared" si="25"/>
        <v>0</v>
      </c>
      <c r="AP63" s="75" t="e">
        <f t="shared" si="26"/>
        <v>#DIV/0!</v>
      </c>
      <c r="AQ63" s="76">
        <f t="shared" si="27"/>
        <v>0</v>
      </c>
      <c r="AR63" s="77">
        <f t="shared" si="12"/>
        <v>0</v>
      </c>
    </row>
    <row r="64" spans="1:44" x14ac:dyDescent="0.25">
      <c r="A64" t="str">
        <f t="shared" si="13"/>
        <v>46204M</v>
      </c>
      <c r="B64" s="51">
        <f t="shared" si="29"/>
        <v>46204</v>
      </c>
      <c r="C64" s="52" t="s">
        <v>87</v>
      </c>
      <c r="D64" s="79"/>
      <c r="E64" s="62"/>
      <c r="F64" s="62"/>
      <c r="G64" s="62">
        <f t="shared" si="14"/>
        <v>0</v>
      </c>
      <c r="H64" s="63">
        <f t="shared" si="15"/>
        <v>0</v>
      </c>
      <c r="I64" s="203"/>
      <c r="J64" s="203"/>
      <c r="K64" s="203"/>
      <c r="L64" s="203"/>
      <c r="M64" s="58"/>
      <c r="N64" s="58"/>
      <c r="O64" s="59"/>
      <c r="P64" s="56"/>
      <c r="Q64" s="60"/>
      <c r="R64" s="61">
        <f t="shared" si="16"/>
        <v>0</v>
      </c>
      <c r="S64" s="62">
        <f t="shared" si="17"/>
        <v>0</v>
      </c>
      <c r="T64" s="63">
        <f t="shared" si="18"/>
        <v>0</v>
      </c>
      <c r="U64" s="64"/>
      <c r="V64" s="65"/>
      <c r="W64" s="66"/>
      <c r="X64" s="68"/>
      <c r="Y64" s="68"/>
      <c r="Z64" s="68"/>
      <c r="AA64" s="62">
        <f t="shared" si="19"/>
        <v>0</v>
      </c>
      <c r="AB64" s="63">
        <f t="shared" si="20"/>
        <v>0</v>
      </c>
      <c r="AC64" s="69"/>
      <c r="AD64" s="70"/>
      <c r="AE64" s="70"/>
      <c r="AF64" s="62">
        <f t="shared" si="21"/>
        <v>0</v>
      </c>
      <c r="AG64" s="63">
        <f t="shared" si="22"/>
        <v>0</v>
      </c>
      <c r="AH64" s="71"/>
      <c r="AI64" s="71"/>
      <c r="AJ64" s="71"/>
      <c r="AK64" s="62">
        <f t="shared" ref="AK64:AK65" si="41">AH64*AI64%</f>
        <v>0</v>
      </c>
      <c r="AL64" s="72">
        <f t="shared" ref="AL64:AL65" si="42">AH64*AJ64%</f>
        <v>0</v>
      </c>
      <c r="AM64" s="73">
        <f t="shared" si="23"/>
        <v>0</v>
      </c>
      <c r="AN64" s="74">
        <f t="shared" si="24"/>
        <v>0</v>
      </c>
      <c r="AO64" s="74">
        <f t="shared" si="25"/>
        <v>0</v>
      </c>
      <c r="AP64" s="75" t="e">
        <f t="shared" si="26"/>
        <v>#DIV/0!</v>
      </c>
      <c r="AQ64" s="76">
        <f t="shared" si="27"/>
        <v>0</v>
      </c>
      <c r="AR64" s="77">
        <f t="shared" si="12"/>
        <v>0</v>
      </c>
    </row>
    <row r="65" spans="1:44" x14ac:dyDescent="0.25">
      <c r="A65" t="str">
        <f t="shared" si="13"/>
        <v>46204E</v>
      </c>
      <c r="B65" s="51">
        <f t="shared" si="29"/>
        <v>46204</v>
      </c>
      <c r="C65" s="52" t="s">
        <v>88</v>
      </c>
      <c r="D65" s="79"/>
      <c r="E65" s="62"/>
      <c r="F65" s="62"/>
      <c r="G65" s="62">
        <f t="shared" si="14"/>
        <v>0</v>
      </c>
      <c r="H65" s="63">
        <f t="shared" si="15"/>
        <v>0</v>
      </c>
      <c r="I65" s="203"/>
      <c r="J65" s="203"/>
      <c r="K65" s="203"/>
      <c r="L65" s="203"/>
      <c r="M65" s="58"/>
      <c r="N65" s="58"/>
      <c r="O65" s="59"/>
      <c r="P65" s="56"/>
      <c r="Q65" s="60"/>
      <c r="R65" s="61">
        <f t="shared" si="16"/>
        <v>0</v>
      </c>
      <c r="S65" s="62">
        <f t="shared" si="17"/>
        <v>0</v>
      </c>
      <c r="T65" s="63">
        <f t="shared" si="18"/>
        <v>0</v>
      </c>
      <c r="U65" s="64"/>
      <c r="V65" s="65"/>
      <c r="W65" s="66"/>
      <c r="X65" s="68"/>
      <c r="Y65" s="68"/>
      <c r="Z65" s="68"/>
      <c r="AA65" s="62">
        <f t="shared" si="19"/>
        <v>0</v>
      </c>
      <c r="AB65" s="63">
        <f t="shared" si="20"/>
        <v>0</v>
      </c>
      <c r="AC65" s="69"/>
      <c r="AD65" s="70"/>
      <c r="AE65" s="70"/>
      <c r="AF65" s="62">
        <f t="shared" si="21"/>
        <v>0</v>
      </c>
      <c r="AG65" s="63">
        <f t="shared" si="22"/>
        <v>0</v>
      </c>
      <c r="AH65" s="71"/>
      <c r="AI65" s="71"/>
      <c r="AJ65" s="71"/>
      <c r="AK65" s="62">
        <f t="shared" si="41"/>
        <v>0</v>
      </c>
      <c r="AL65" s="72">
        <f t="shared" si="42"/>
        <v>0</v>
      </c>
      <c r="AM65" s="73">
        <f t="shared" si="23"/>
        <v>0</v>
      </c>
      <c r="AN65" s="74">
        <f t="shared" si="24"/>
        <v>0</v>
      </c>
      <c r="AO65" s="74">
        <f t="shared" si="25"/>
        <v>0</v>
      </c>
      <c r="AP65" s="75" t="e">
        <f t="shared" si="26"/>
        <v>#DIV/0!</v>
      </c>
      <c r="AQ65" s="76">
        <f t="shared" si="27"/>
        <v>0</v>
      </c>
      <c r="AR65" s="77">
        <f t="shared" si="12"/>
        <v>0</v>
      </c>
    </row>
    <row r="66" spans="1:44" x14ac:dyDescent="0.25">
      <c r="J66">
        <f>SUM(J4:J65)</f>
        <v>37533.715000000004</v>
      </c>
      <c r="X66" s="77"/>
      <c r="AH66" s="77"/>
      <c r="AI66" s="77"/>
      <c r="AJ66" s="77"/>
      <c r="AM66" s="83">
        <f>-SUM(AM4:AM65)</f>
        <v>-170.71500000000106</v>
      </c>
      <c r="AN66" s="83">
        <f t="shared" ref="AN66:AO66" si="43">-SUM(AN4:AN65)</f>
        <v>15.577818099999842</v>
      </c>
      <c r="AO66" s="83">
        <f t="shared" si="43"/>
        <v>-24.482540400000399</v>
      </c>
      <c r="AP66" s="83" t="e">
        <f>-SUM(AP4:AP65)</f>
        <v>#DIV/0!</v>
      </c>
      <c r="AQ66" s="127">
        <f>-SUM(AQ4:AQ65)</f>
        <v>-333.933150705191</v>
      </c>
    </row>
    <row r="67" spans="1:44" x14ac:dyDescent="0.25">
      <c r="Q67">
        <f>2126*27</f>
        <v>57402</v>
      </c>
      <c r="X67" s="77"/>
      <c r="AH67" s="86"/>
      <c r="AI67" s="86"/>
      <c r="AJ67" s="86"/>
    </row>
    <row r="68" spans="1:44" x14ac:dyDescent="0.25">
      <c r="Q68">
        <f>2600*37</f>
        <v>96200</v>
      </c>
      <c r="AH68" s="77"/>
      <c r="AI68" s="77"/>
      <c r="AJ68" s="77"/>
    </row>
    <row r="69" spans="1:44" x14ac:dyDescent="0.25">
      <c r="X69" s="77"/>
    </row>
  </sheetData>
  <autoFilter ref="D3:AQ66" xr:uid="{00000000-0009-0000-0000-000001000000}"/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21" priority="1" operator="lessThan">
      <formula>0.1</formula>
    </cfRule>
    <cfRule type="cellIs" dxfId="120" priority="2" operator="greaterThan">
      <formula>0.1</formula>
    </cfRule>
  </conditionalFormatting>
  <conditionalFormatting sqref="AP1:AQ1">
    <cfRule type="cellIs" dxfId="119" priority="13" operator="lessThan">
      <formula>1</formula>
    </cfRule>
  </conditionalFormatting>
  <conditionalFormatting sqref="AQ4:AQ65">
    <cfRule type="cellIs" dxfId="118" priority="11" operator="lessThan">
      <formula>0</formula>
    </cfRule>
    <cfRule type="cellIs" dxfId="117" priority="12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69"/>
  <sheetViews>
    <sheetView zoomScale="80" zoomScaleNormal="80" workbookViewId="0">
      <selection activeCell="AC16" sqref="AC16:AE16"/>
    </sheetView>
  </sheetViews>
  <sheetFormatPr defaultRowHeight="15" x14ac:dyDescent="0.25"/>
  <cols>
    <col min="1" max="1" width="3" customWidth="1"/>
    <col min="2" max="2" width="11.5703125" customWidth="1"/>
    <col min="3" max="3" width="4.7109375" bestFit="1" customWidth="1"/>
    <col min="4" max="4" width="7.85546875" customWidth="1"/>
    <col min="5" max="6" width="5" bestFit="1" customWidth="1"/>
    <col min="7" max="7" width="7.7109375" customWidth="1"/>
    <col min="8" max="8" width="8.28515625" customWidth="1"/>
    <col min="9" max="9" width="7.85546875" customWidth="1"/>
    <col min="10" max="10" width="8.5703125" bestFit="1" customWidth="1"/>
    <col min="11" max="11" width="7.28515625" bestFit="1" customWidth="1"/>
    <col min="12" max="12" width="5" bestFit="1" customWidth="1"/>
    <col min="13" max="13" width="6" customWidth="1"/>
    <col min="14" max="14" width="9.42578125" bestFit="1" customWidth="1"/>
    <col min="15" max="15" width="6.28515625" bestFit="1" customWidth="1"/>
    <col min="16" max="17" width="5" bestFit="1" customWidth="1"/>
    <col min="18" max="18" width="7.85546875" customWidth="1"/>
    <col min="19" max="19" width="7.42578125" customWidth="1"/>
    <col min="20" max="20" width="7.7109375" customWidth="1"/>
    <col min="21" max="21" width="6.5703125" bestFit="1" customWidth="1"/>
    <col min="22" max="22" width="7" bestFit="1" customWidth="1"/>
    <col min="23" max="23" width="11.7109375" bestFit="1" customWidth="1"/>
    <col min="24" max="24" width="7.5703125" bestFit="1" customWidth="1"/>
    <col min="25" max="26" width="5" style="77" bestFit="1" customWidth="1"/>
    <col min="27" max="27" width="7.28515625" customWidth="1"/>
    <col min="28" max="28" width="7.42578125" customWidth="1"/>
    <col min="29" max="29" width="8.5703125" bestFit="1" customWidth="1"/>
    <col min="30" max="31" width="5" bestFit="1" customWidth="1"/>
    <col min="32" max="32" width="7.28515625" customWidth="1"/>
    <col min="33" max="33" width="7.42578125" customWidth="1"/>
    <col min="34" max="34" width="9.5703125" bestFit="1" customWidth="1"/>
    <col min="35" max="36" width="5" bestFit="1" customWidth="1"/>
    <col min="37" max="37" width="7.7109375" customWidth="1"/>
    <col min="38" max="38" width="8.7109375" customWidth="1"/>
    <col min="39" max="39" width="8.28515625" bestFit="1" customWidth="1"/>
    <col min="40" max="41" width="7.28515625" bestFit="1" customWidth="1"/>
    <col min="42" max="42" width="8.28515625" bestFit="1" customWidth="1"/>
    <col min="43" max="43" width="10.28515625" bestFit="1" customWidth="1"/>
    <col min="44" max="44" width="7.28515625" bestFit="1" customWidth="1"/>
    <col min="45" max="49" width="8.7109375" bestFit="1" customWidth="1"/>
  </cols>
  <sheetData>
    <row r="1" spans="1:46" ht="15.75" thickBot="1" x14ac:dyDescent="0.3">
      <c r="B1" s="43" t="s">
        <v>154</v>
      </c>
      <c r="C1" s="44"/>
      <c r="Y1"/>
      <c r="Z1"/>
      <c r="AG1">
        <v>392</v>
      </c>
      <c r="AP1" s="126">
        <f>Sumarry!$K$4</f>
        <v>448.91</v>
      </c>
      <c r="AQ1" s="126">
        <f>Sumarry!$L$4</f>
        <v>299.27333333333337</v>
      </c>
    </row>
    <row r="2" spans="1:46" x14ac:dyDescent="0.25">
      <c r="B2" s="245" t="s">
        <v>64</v>
      </c>
      <c r="C2" s="247" t="s">
        <v>65</v>
      </c>
      <c r="D2" s="249" t="s">
        <v>66</v>
      </c>
      <c r="E2" s="250"/>
      <c r="F2" s="250"/>
      <c r="G2" s="250"/>
      <c r="H2" s="251"/>
      <c r="I2" s="242" t="s">
        <v>67</v>
      </c>
      <c r="J2" s="243"/>
      <c r="K2" s="243"/>
      <c r="L2" s="244"/>
      <c r="M2" s="242" t="s">
        <v>68</v>
      </c>
      <c r="N2" s="243"/>
      <c r="O2" s="243"/>
      <c r="P2" s="243"/>
      <c r="Q2" s="244"/>
      <c r="R2" s="242" t="s">
        <v>69</v>
      </c>
      <c r="S2" s="243"/>
      <c r="T2" s="244"/>
      <c r="U2" s="239" t="s">
        <v>70</v>
      </c>
      <c r="V2" s="240"/>
      <c r="W2" s="240"/>
      <c r="X2" s="240"/>
      <c r="Y2" s="240"/>
      <c r="Z2" s="240"/>
      <c r="AA2" s="240"/>
      <c r="AB2" s="241"/>
      <c r="AC2" s="242" t="s">
        <v>71</v>
      </c>
      <c r="AD2" s="243"/>
      <c r="AE2" s="243"/>
      <c r="AF2" s="243"/>
      <c r="AG2" s="244"/>
      <c r="AH2" s="242" t="s">
        <v>72</v>
      </c>
      <c r="AI2" s="243"/>
      <c r="AJ2" s="243"/>
      <c r="AK2" s="243"/>
      <c r="AL2" s="244"/>
      <c r="AM2" s="239" t="s">
        <v>73</v>
      </c>
      <c r="AN2" s="240"/>
      <c r="AO2" s="240"/>
      <c r="AP2" s="240"/>
      <c r="AQ2" s="241"/>
    </row>
    <row r="3" spans="1:46" x14ac:dyDescent="0.25">
      <c r="B3" s="246"/>
      <c r="C3" s="248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6" x14ac:dyDescent="0.25">
      <c r="A4" t="str">
        <f>CONCATENATE(B4,C4)</f>
        <v>46174M</v>
      </c>
      <c r="B4" s="51">
        <v>46174</v>
      </c>
      <c r="C4" s="52" t="s">
        <v>87</v>
      </c>
      <c r="D4" s="53">
        <v>2645.2</v>
      </c>
      <c r="E4" s="54">
        <v>4.25</v>
      </c>
      <c r="F4" s="55">
        <v>8.1999999999999993</v>
      </c>
      <c r="G4" s="62">
        <f t="shared" ref="G4:G65" si="0">+D4*E4%</f>
        <v>112.42100000000001</v>
      </c>
      <c r="H4" s="63">
        <f t="shared" ref="H4:H65" si="1">+D4*F4%</f>
        <v>216.90639999999996</v>
      </c>
      <c r="I4" s="203">
        <v>754.8</v>
      </c>
      <c r="J4" s="203">
        <v>777.44399999999996</v>
      </c>
      <c r="K4" s="203">
        <v>4.404795972443031</v>
      </c>
      <c r="L4" s="203">
        <v>8.1855855855855886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777.44399999999996</v>
      </c>
      <c r="S4" s="62">
        <f t="shared" ref="S4:S65" si="2">+J4*K4%+O4*P4%</f>
        <v>34.244821999999999</v>
      </c>
      <c r="T4" s="63">
        <f t="shared" ref="T4:T65" si="3">+J4*L4%+O4*Q4%</f>
        <v>63.638344000000025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:AA65" si="4">X4*Y4%</f>
        <v>0</v>
      </c>
      <c r="AB4" s="63">
        <f t="shared" ref="AB4:AB65" si="5">X4*Z4%</f>
        <v>0</v>
      </c>
      <c r="AC4" s="69"/>
      <c r="AD4" s="70"/>
      <c r="AE4" s="70"/>
      <c r="AF4" s="62">
        <f t="shared" ref="AF4:AF65" si="6">AC4*AD4%</f>
        <v>0</v>
      </c>
      <c r="AG4" s="63">
        <f t="shared" ref="AG4:AG65" si="7">AC4*AE4%</f>
        <v>0</v>
      </c>
      <c r="AH4" s="71">
        <v>3422</v>
      </c>
      <c r="AI4" s="66">
        <v>4.3</v>
      </c>
      <c r="AJ4" s="66">
        <v>8.1999999999999993</v>
      </c>
      <c r="AK4" s="62">
        <f t="shared" ref="AK4:AK65" si="8">AH4*AI4%</f>
        <v>147.14599999999999</v>
      </c>
      <c r="AL4" s="72">
        <f t="shared" ref="AL4:AL65" si="9">AH4*AJ4%</f>
        <v>280.60399999999998</v>
      </c>
      <c r="AM4" s="73">
        <f>+D4+R4-AC4-AH4</f>
        <v>0.64399999999977808</v>
      </c>
      <c r="AN4" s="74">
        <f t="shared" ref="AN4:AO19" si="10">+G4+S4-AF4-AK4</f>
        <v>-0.48017799999999511</v>
      </c>
      <c r="AO4" s="74">
        <f t="shared" si="10"/>
        <v>-5.925600000000486E-2</v>
      </c>
      <c r="AP4" s="75">
        <f>(AN4+AO4)/(S4+T4)</f>
        <v>-5.5109986940961829E-3</v>
      </c>
      <c r="AQ4" s="76">
        <f t="shared" ref="AQ4:AQ65" si="11">($AP$1*AN4+$AQ$1*AO4)</f>
        <v>-233.29044661999927</v>
      </c>
      <c r="AR4" s="77">
        <f t="shared" ref="AR4:AR65" si="12">(D4+J4+O4)-(X4+AH4)</f>
        <v>0.64399999999977808</v>
      </c>
      <c r="AT4" s="78"/>
    </row>
    <row r="5" spans="1:46" x14ac:dyDescent="0.25">
      <c r="A5" t="str">
        <f t="shared" ref="A5:A65" si="13">CONCATENATE(B5,C5)</f>
        <v>46174E</v>
      </c>
      <c r="B5" s="51">
        <f>+B4</f>
        <v>46174</v>
      </c>
      <c r="C5" s="52" t="s">
        <v>88</v>
      </c>
      <c r="D5" s="79">
        <v>3422</v>
      </c>
      <c r="E5" s="62">
        <v>4.3</v>
      </c>
      <c r="F5" s="62">
        <v>8.1999999999999993</v>
      </c>
      <c r="G5" s="62">
        <f t="shared" si="0"/>
        <v>147.14599999999999</v>
      </c>
      <c r="H5" s="63">
        <f t="shared" si="1"/>
        <v>280.60399999999998</v>
      </c>
      <c r="I5" s="203">
        <v>1164.2</v>
      </c>
      <c r="J5" s="203">
        <v>1199.126</v>
      </c>
      <c r="K5" s="203">
        <v>3.7507215255110813</v>
      </c>
      <c r="L5" s="203">
        <v>7.9814121285002582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4">+J5+O5</f>
        <v>1199.126</v>
      </c>
      <c r="S5" s="62">
        <f t="shared" si="2"/>
        <v>44.975877000000004</v>
      </c>
      <c r="T5" s="63">
        <f t="shared" si="3"/>
        <v>95.707188000000002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si="4"/>
        <v>0</v>
      </c>
      <c r="AB5" s="63">
        <f t="shared" si="5"/>
        <v>0</v>
      </c>
      <c r="AC5" s="69"/>
      <c r="AD5" s="70"/>
      <c r="AE5" s="70"/>
      <c r="AF5" s="62">
        <f t="shared" si="6"/>
        <v>0</v>
      </c>
      <c r="AG5" s="63">
        <f t="shared" si="7"/>
        <v>0</v>
      </c>
      <c r="AH5" s="71">
        <v>4622</v>
      </c>
      <c r="AI5" s="66">
        <v>4.17</v>
      </c>
      <c r="AJ5" s="66">
        <v>8.15</v>
      </c>
      <c r="AK5" s="62">
        <f t="shared" si="8"/>
        <v>192.73740000000001</v>
      </c>
      <c r="AL5" s="72">
        <f t="shared" si="9"/>
        <v>376.69300000000004</v>
      </c>
      <c r="AM5" s="73">
        <f t="shared" ref="AM5:AM65" si="15">+D5+R5-AC5-AH5</f>
        <v>-0.87399999999979627</v>
      </c>
      <c r="AN5" s="74">
        <f t="shared" si="10"/>
        <v>-0.61552300000002447</v>
      </c>
      <c r="AO5" s="74">
        <f t="shared" si="10"/>
        <v>-0.38181200000002491</v>
      </c>
      <c r="AP5" s="75">
        <f t="shared" ref="AP5:AP65" si="16">(AN5+AO5)/(S5+T5)</f>
        <v>-7.0892328085121643E-3</v>
      </c>
      <c r="AQ5" s="76">
        <f t="shared" si="11"/>
        <v>-390.58057987668514</v>
      </c>
      <c r="AR5" s="77">
        <f t="shared" si="12"/>
        <v>-0.87399999999979627</v>
      </c>
    </row>
    <row r="6" spans="1:46" x14ac:dyDescent="0.25">
      <c r="A6" t="str">
        <f t="shared" si="13"/>
        <v>46175M</v>
      </c>
      <c r="B6" s="51">
        <f>+B4+1</f>
        <v>46175</v>
      </c>
      <c r="C6" s="52" t="s">
        <v>87</v>
      </c>
      <c r="D6" s="79">
        <v>4622</v>
      </c>
      <c r="E6" s="62">
        <v>4.17</v>
      </c>
      <c r="F6" s="62">
        <v>8.15</v>
      </c>
      <c r="G6" s="62">
        <f t="shared" si="0"/>
        <v>192.73740000000001</v>
      </c>
      <c r="H6" s="63">
        <f t="shared" si="1"/>
        <v>376.69300000000004</v>
      </c>
      <c r="I6" s="203">
        <v>759.49999999999977</v>
      </c>
      <c r="J6" s="203">
        <v>782.28499999999974</v>
      </c>
      <c r="K6" s="203">
        <v>4.4207504937458859</v>
      </c>
      <c r="L6" s="203">
        <v>8.1474522712310744</v>
      </c>
      <c r="M6" s="58" t="s">
        <v>213</v>
      </c>
      <c r="N6" s="58">
        <v>87610</v>
      </c>
      <c r="O6" s="59">
        <v>1790</v>
      </c>
      <c r="P6" s="56">
        <v>4.3</v>
      </c>
      <c r="Q6" s="60">
        <v>7.77</v>
      </c>
      <c r="R6" s="61">
        <f t="shared" si="14"/>
        <v>2572.2849999999999</v>
      </c>
      <c r="S6" s="62">
        <f t="shared" si="2"/>
        <v>111.55286799999999</v>
      </c>
      <c r="T6" s="63">
        <f t="shared" si="3"/>
        <v>202.81929700000001</v>
      </c>
      <c r="U6" s="64" t="s">
        <v>171</v>
      </c>
      <c r="V6" s="65" t="s">
        <v>216</v>
      </c>
      <c r="W6" s="66" t="s">
        <v>217</v>
      </c>
      <c r="X6" s="67">
        <v>6200</v>
      </c>
      <c r="Y6" s="68">
        <v>4.3</v>
      </c>
      <c r="Z6" s="68">
        <v>8.2700000000000014</v>
      </c>
      <c r="AA6" s="62">
        <f t="shared" si="4"/>
        <v>266.59999999999997</v>
      </c>
      <c r="AB6" s="63">
        <f t="shared" si="5"/>
        <v>512.74</v>
      </c>
      <c r="AC6" s="69">
        <v>6170</v>
      </c>
      <c r="AD6" s="70">
        <v>4.25</v>
      </c>
      <c r="AE6" s="70">
        <v>8.1999999999999993</v>
      </c>
      <c r="AF6" s="62">
        <f t="shared" si="6"/>
        <v>262.22500000000002</v>
      </c>
      <c r="AG6" s="63">
        <f t="shared" si="7"/>
        <v>505.93999999999994</v>
      </c>
      <c r="AH6" s="71">
        <v>994</v>
      </c>
      <c r="AI6" s="66">
        <v>4.22</v>
      </c>
      <c r="AJ6" s="66">
        <v>8.0500000000000007</v>
      </c>
      <c r="AK6" s="62">
        <f t="shared" si="8"/>
        <v>41.946799999999996</v>
      </c>
      <c r="AL6" s="72">
        <f t="shared" si="9"/>
        <v>80.016999999999996</v>
      </c>
      <c r="AM6" s="73">
        <f t="shared" si="15"/>
        <v>30.284999999999854</v>
      </c>
      <c r="AN6" s="74">
        <f t="shared" si="10"/>
        <v>0.11846799999995028</v>
      </c>
      <c r="AO6" s="74">
        <f t="shared" si="10"/>
        <v>-6.4447029999999472</v>
      </c>
      <c r="AP6" s="75">
        <f t="shared" si="16"/>
        <v>-2.0123394194266522E-2</v>
      </c>
      <c r="AQ6" s="76">
        <f t="shared" si="11"/>
        <v>-1875.5462792733401</v>
      </c>
      <c r="AR6" s="77">
        <f t="shared" si="12"/>
        <v>0.28499999999985448</v>
      </c>
    </row>
    <row r="7" spans="1:46" x14ac:dyDescent="0.25">
      <c r="A7" t="str">
        <f t="shared" si="13"/>
        <v>46175E</v>
      </c>
      <c r="B7" s="51">
        <f>+B5+1</f>
        <v>46175</v>
      </c>
      <c r="C7" s="52" t="s">
        <v>88</v>
      </c>
      <c r="D7" s="79">
        <v>994</v>
      </c>
      <c r="E7" s="62">
        <v>4.22</v>
      </c>
      <c r="F7" s="62">
        <v>8.0500000000000007</v>
      </c>
      <c r="G7" s="62">
        <f t="shared" si="0"/>
        <v>41.946799999999996</v>
      </c>
      <c r="H7" s="63">
        <f t="shared" si="1"/>
        <v>80.016999999999996</v>
      </c>
      <c r="I7" s="203">
        <v>1083.5000000000002</v>
      </c>
      <c r="J7" s="203">
        <v>1116.0050000000003</v>
      </c>
      <c r="K7" s="203">
        <v>3.746202122750347</v>
      </c>
      <c r="L7" s="203">
        <v>8.037480387632673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4"/>
        <v>1116.0050000000003</v>
      </c>
      <c r="S7" s="62">
        <f t="shared" si="2"/>
        <v>41.807803000000028</v>
      </c>
      <c r="T7" s="63">
        <f t="shared" si="3"/>
        <v>89.698683000000031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4"/>
        <v>0</v>
      </c>
      <c r="AB7" s="63">
        <f t="shared" si="5"/>
        <v>0</v>
      </c>
      <c r="AC7" s="69"/>
      <c r="AD7" s="70"/>
      <c r="AE7" s="70"/>
      <c r="AF7" s="62">
        <f t="shared" si="6"/>
        <v>0</v>
      </c>
      <c r="AG7" s="63">
        <f t="shared" si="7"/>
        <v>0</v>
      </c>
      <c r="AH7" s="71">
        <v>2110</v>
      </c>
      <c r="AI7" s="71">
        <v>3.94</v>
      </c>
      <c r="AJ7" s="71">
        <v>8.02</v>
      </c>
      <c r="AK7" s="62">
        <f t="shared" si="8"/>
        <v>83.134</v>
      </c>
      <c r="AL7" s="72">
        <f t="shared" si="9"/>
        <v>169.22199999999998</v>
      </c>
      <c r="AM7" s="73">
        <f t="shared" si="15"/>
        <v>5.0000000001091394E-3</v>
      </c>
      <c r="AN7" s="74">
        <f t="shared" si="10"/>
        <v>0.6206030000000311</v>
      </c>
      <c r="AO7" s="74">
        <f t="shared" si="10"/>
        <v>0.49368300000003273</v>
      </c>
      <c r="AP7" s="75">
        <f t="shared" si="16"/>
        <v>8.4732398674242076E-3</v>
      </c>
      <c r="AQ7" s="76">
        <f t="shared" si="11"/>
        <v>426.34104975002379</v>
      </c>
      <c r="AR7" s="77">
        <f t="shared" si="12"/>
        <v>5.0000000001091394E-3</v>
      </c>
    </row>
    <row r="8" spans="1:46" x14ac:dyDescent="0.25">
      <c r="A8" t="str">
        <f t="shared" si="13"/>
        <v>46176M</v>
      </c>
      <c r="B8" s="51">
        <f>+B6+1</f>
        <v>46176</v>
      </c>
      <c r="C8" s="52" t="s">
        <v>87</v>
      </c>
      <c r="D8" s="91">
        <v>2110</v>
      </c>
      <c r="E8" s="62">
        <v>3.94</v>
      </c>
      <c r="F8" s="62">
        <v>8.02</v>
      </c>
      <c r="G8" s="62">
        <f t="shared" si="0"/>
        <v>83.134</v>
      </c>
      <c r="H8" s="63">
        <f t="shared" si="1"/>
        <v>169.22199999999998</v>
      </c>
      <c r="I8" s="203">
        <v>705.69999999999993</v>
      </c>
      <c r="J8" s="203">
        <v>726.87099999999998</v>
      </c>
      <c r="K8" s="203">
        <v>4.5484058381748618</v>
      </c>
      <c r="L8" s="203">
        <v>8.1759104435312473</v>
      </c>
      <c r="M8" s="58" t="s">
        <v>213</v>
      </c>
      <c r="N8" s="58" t="s">
        <v>214</v>
      </c>
      <c r="O8" s="59">
        <v>1478</v>
      </c>
      <c r="P8" s="56">
        <v>4.5</v>
      </c>
      <c r="Q8" s="60">
        <v>8.06</v>
      </c>
      <c r="R8" s="61">
        <f t="shared" si="14"/>
        <v>2204.8710000000001</v>
      </c>
      <c r="S8" s="62">
        <f t="shared" si="2"/>
        <v>99.571042999999989</v>
      </c>
      <c r="T8" s="63">
        <f t="shared" si="3"/>
        <v>178.55512200000001</v>
      </c>
      <c r="U8" s="64" t="s">
        <v>187</v>
      </c>
      <c r="V8" s="65" t="s">
        <v>167</v>
      </c>
      <c r="W8" s="66">
        <v>0</v>
      </c>
      <c r="X8" s="67">
        <v>0</v>
      </c>
      <c r="Y8" s="68">
        <v>0</v>
      </c>
      <c r="Z8" s="68">
        <v>0</v>
      </c>
      <c r="AA8" s="62">
        <f t="shared" si="4"/>
        <v>0</v>
      </c>
      <c r="AB8" s="63">
        <f t="shared" si="5"/>
        <v>0</v>
      </c>
      <c r="AC8" s="69"/>
      <c r="AD8" s="70"/>
      <c r="AE8" s="70"/>
      <c r="AF8" s="62">
        <f t="shared" si="6"/>
        <v>0</v>
      </c>
      <c r="AG8" s="63">
        <f t="shared" si="7"/>
        <v>0</v>
      </c>
      <c r="AH8" s="71">
        <v>4315</v>
      </c>
      <c r="AI8" s="71">
        <v>4.2300000000000004</v>
      </c>
      <c r="AJ8" s="71">
        <v>8.06</v>
      </c>
      <c r="AK8" s="62">
        <f t="shared" si="8"/>
        <v>182.52450000000002</v>
      </c>
      <c r="AL8" s="72">
        <f t="shared" si="9"/>
        <v>347.78900000000004</v>
      </c>
      <c r="AM8" s="73">
        <f t="shared" si="15"/>
        <v>-0.12899999999990541</v>
      </c>
      <c r="AN8" s="74">
        <f t="shared" si="10"/>
        <v>0.1805429999999717</v>
      </c>
      <c r="AO8" s="74">
        <f t="shared" si="10"/>
        <v>-1.1878000000081101E-2</v>
      </c>
      <c r="AP8" s="75">
        <f t="shared" si="16"/>
        <v>6.0643341484930256E-4</v>
      </c>
      <c r="AQ8" s="76">
        <f t="shared" si="11"/>
        <v>77.492789476629696</v>
      </c>
      <c r="AR8" s="90">
        <f t="shared" si="12"/>
        <v>-0.12899999999990541</v>
      </c>
    </row>
    <row r="9" spans="1:46" x14ac:dyDescent="0.25">
      <c r="A9" t="str">
        <f t="shared" si="13"/>
        <v>46176E</v>
      </c>
      <c r="B9" s="51">
        <f t="shared" ref="B9:B65" si="17">+B7+1</f>
        <v>46176</v>
      </c>
      <c r="C9" s="52" t="s">
        <v>88</v>
      </c>
      <c r="D9" s="91">
        <v>4315</v>
      </c>
      <c r="E9" s="62">
        <v>4.2300000000000004</v>
      </c>
      <c r="F9" s="62">
        <v>8.06</v>
      </c>
      <c r="G9" s="62">
        <f t="shared" si="0"/>
        <v>182.52450000000002</v>
      </c>
      <c r="H9" s="63">
        <f t="shared" si="1"/>
        <v>347.78900000000004</v>
      </c>
      <c r="I9" s="203">
        <v>830.1</v>
      </c>
      <c r="J9" s="203">
        <v>855.00300000000004</v>
      </c>
      <c r="K9" s="203">
        <v>3.7429827731598615</v>
      </c>
      <c r="L9" s="203">
        <v>8.0582339477171452</v>
      </c>
      <c r="M9" s="58">
        <v>0</v>
      </c>
      <c r="N9" s="58" t="s">
        <v>167</v>
      </c>
      <c r="O9" s="59">
        <v>0</v>
      </c>
      <c r="P9" s="56">
        <v>0</v>
      </c>
      <c r="Q9" s="60">
        <v>0</v>
      </c>
      <c r="R9" s="61">
        <f t="shared" si="14"/>
        <v>855.00300000000004</v>
      </c>
      <c r="S9" s="62">
        <f t="shared" si="2"/>
        <v>32.002615000000013</v>
      </c>
      <c r="T9" s="63">
        <f t="shared" si="3"/>
        <v>68.898142000000036</v>
      </c>
      <c r="U9" s="64" t="s">
        <v>171</v>
      </c>
      <c r="V9" s="65" t="s">
        <v>218</v>
      </c>
      <c r="W9" s="66" t="s">
        <v>219</v>
      </c>
      <c r="X9" s="67">
        <v>3100</v>
      </c>
      <c r="Y9" s="68">
        <v>4.3</v>
      </c>
      <c r="Z9" s="68">
        <v>8.14</v>
      </c>
      <c r="AA9" s="62">
        <f t="shared" si="4"/>
        <v>133.29999999999998</v>
      </c>
      <c r="AB9" s="63">
        <f t="shared" si="5"/>
        <v>252.34</v>
      </c>
      <c r="AC9" s="69">
        <v>3090</v>
      </c>
      <c r="AD9" s="70">
        <v>4.25</v>
      </c>
      <c r="AE9" s="70">
        <v>8.07</v>
      </c>
      <c r="AF9" s="62">
        <f t="shared" si="6"/>
        <v>131.32500000000002</v>
      </c>
      <c r="AG9" s="63">
        <f t="shared" si="7"/>
        <v>249.36300000000003</v>
      </c>
      <c r="AH9" s="82">
        <v>2070</v>
      </c>
      <c r="AI9" s="82">
        <v>4.1399999999999997</v>
      </c>
      <c r="AJ9" s="82">
        <v>8.06</v>
      </c>
      <c r="AK9" s="62">
        <f t="shared" si="8"/>
        <v>85.697999999999993</v>
      </c>
      <c r="AL9" s="72">
        <f t="shared" si="9"/>
        <v>166.84200000000001</v>
      </c>
      <c r="AM9" s="73">
        <f t="shared" si="15"/>
        <v>10.002999999999702</v>
      </c>
      <c r="AN9" s="74">
        <f t="shared" si="10"/>
        <v>-2.4958849999999728</v>
      </c>
      <c r="AO9" s="74">
        <f t="shared" si="10"/>
        <v>0.48214200000006713</v>
      </c>
      <c r="AP9" s="75">
        <f t="shared" si="16"/>
        <v>-1.9957659980686812E-2</v>
      </c>
      <c r="AQ9" s="76">
        <f t="shared" si="11"/>
        <v>-976.13549186996772</v>
      </c>
      <c r="AR9" s="90">
        <f t="shared" si="12"/>
        <v>2.9999999997016857E-3</v>
      </c>
    </row>
    <row r="10" spans="1:46" x14ac:dyDescent="0.25">
      <c r="A10" t="str">
        <f t="shared" si="13"/>
        <v>46177M</v>
      </c>
      <c r="B10" s="51">
        <f t="shared" si="17"/>
        <v>46177</v>
      </c>
      <c r="C10" s="52" t="s">
        <v>87</v>
      </c>
      <c r="D10" s="91">
        <v>2070</v>
      </c>
      <c r="E10" s="62">
        <v>4.1399999999999997</v>
      </c>
      <c r="F10" s="62">
        <v>8.06</v>
      </c>
      <c r="G10" s="62">
        <f t="shared" si="0"/>
        <v>85.697999999999993</v>
      </c>
      <c r="H10" s="63">
        <f t="shared" si="1"/>
        <v>166.84200000000001</v>
      </c>
      <c r="I10" s="203">
        <v>756.49999999999989</v>
      </c>
      <c r="J10" s="203">
        <v>779.19499999999994</v>
      </c>
      <c r="K10" s="203">
        <v>4.6381097157964302</v>
      </c>
      <c r="L10" s="203">
        <v>8.20421678783873</v>
      </c>
      <c r="M10" s="58">
        <v>0</v>
      </c>
      <c r="N10" s="58" t="s">
        <v>167</v>
      </c>
      <c r="O10" s="59">
        <v>0</v>
      </c>
      <c r="P10" s="56">
        <v>0</v>
      </c>
      <c r="Q10" s="60">
        <v>0</v>
      </c>
      <c r="R10" s="61">
        <f t="shared" si="14"/>
        <v>779.19499999999994</v>
      </c>
      <c r="S10" s="62">
        <f t="shared" si="2"/>
        <v>36.139918999999992</v>
      </c>
      <c r="T10" s="63">
        <f t="shared" si="3"/>
        <v>63.926846999999995</v>
      </c>
      <c r="U10" s="64" t="s">
        <v>167</v>
      </c>
      <c r="V10" s="136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f t="shared" si="4"/>
        <v>0</v>
      </c>
      <c r="AB10" s="63">
        <f t="shared" si="5"/>
        <v>0</v>
      </c>
      <c r="AC10" s="69"/>
      <c r="AD10" s="70"/>
      <c r="AE10" s="70"/>
      <c r="AF10" s="62">
        <f t="shared" si="6"/>
        <v>0</v>
      </c>
      <c r="AG10" s="63">
        <f t="shared" si="7"/>
        <v>0</v>
      </c>
      <c r="AH10" s="71">
        <v>2850</v>
      </c>
      <c r="AI10" s="71">
        <v>4.26</v>
      </c>
      <c r="AJ10" s="71">
        <v>8.09</v>
      </c>
      <c r="AK10" s="62">
        <f t="shared" si="8"/>
        <v>121.41</v>
      </c>
      <c r="AL10" s="72">
        <f t="shared" si="9"/>
        <v>230.565</v>
      </c>
      <c r="AM10" s="73">
        <f t="shared" si="15"/>
        <v>-0.80500000000029104</v>
      </c>
      <c r="AN10" s="74">
        <f t="shared" si="10"/>
        <v>0.42791899999998861</v>
      </c>
      <c r="AO10" s="74">
        <f t="shared" si="10"/>
        <v>0.20384699999999611</v>
      </c>
      <c r="AP10" s="75">
        <f t="shared" si="16"/>
        <v>6.3134447654677357E-3</v>
      </c>
      <c r="AQ10" s="76">
        <f t="shared" si="11"/>
        <v>253.10308946999376</v>
      </c>
      <c r="AR10" s="90">
        <f t="shared" si="12"/>
        <v>-0.80500000000029104</v>
      </c>
    </row>
    <row r="11" spans="1:46" x14ac:dyDescent="0.25">
      <c r="A11" t="str">
        <f t="shared" si="13"/>
        <v>46177E</v>
      </c>
      <c r="B11" s="51">
        <f t="shared" si="17"/>
        <v>46177</v>
      </c>
      <c r="C11" s="52" t="s">
        <v>88</v>
      </c>
      <c r="D11" s="91">
        <v>2850</v>
      </c>
      <c r="E11" s="62">
        <v>4.26</v>
      </c>
      <c r="F11" s="62">
        <v>8.09</v>
      </c>
      <c r="G11" s="62">
        <f t="shared" si="0"/>
        <v>121.41</v>
      </c>
      <c r="H11" s="63">
        <f t="shared" si="1"/>
        <v>230.565</v>
      </c>
      <c r="I11" s="203">
        <v>1269.5</v>
      </c>
      <c r="J11" s="203">
        <v>1307.585</v>
      </c>
      <c r="K11" s="203">
        <v>3.9375344623867665</v>
      </c>
      <c r="L11" s="203">
        <v>8.0934619929105924</v>
      </c>
      <c r="M11" s="58" t="s">
        <v>213</v>
      </c>
      <c r="N11" s="58" t="s">
        <v>215</v>
      </c>
      <c r="O11" s="59">
        <v>2150</v>
      </c>
      <c r="P11" s="56">
        <v>4.45</v>
      </c>
      <c r="Q11" s="60">
        <v>7.93</v>
      </c>
      <c r="R11" s="61">
        <f t="shared" si="14"/>
        <v>3457.585</v>
      </c>
      <c r="S11" s="62">
        <f t="shared" si="2"/>
        <v>147.16161000000002</v>
      </c>
      <c r="T11" s="63">
        <f t="shared" si="3"/>
        <v>276.32389499999994</v>
      </c>
      <c r="U11" s="64" t="s">
        <v>175</v>
      </c>
      <c r="V11" s="136" t="s">
        <v>220</v>
      </c>
      <c r="W11" s="66" t="s">
        <v>217</v>
      </c>
      <c r="X11" s="67">
        <v>3400</v>
      </c>
      <c r="Y11" s="68">
        <v>4.5999999999999996</v>
      </c>
      <c r="Z11" s="68">
        <v>8.14</v>
      </c>
      <c r="AA11" s="62">
        <f t="shared" si="4"/>
        <v>156.4</v>
      </c>
      <c r="AB11" s="63">
        <f t="shared" si="5"/>
        <v>276.76</v>
      </c>
      <c r="AC11" s="69">
        <v>3450</v>
      </c>
      <c r="AD11" s="70">
        <v>4.55</v>
      </c>
      <c r="AE11" s="70">
        <v>8.07</v>
      </c>
      <c r="AF11" s="62">
        <f t="shared" si="6"/>
        <v>156.97499999999999</v>
      </c>
      <c r="AG11" s="63">
        <f t="shared" si="7"/>
        <v>278.41500000000002</v>
      </c>
      <c r="AH11" s="71">
        <v>2907</v>
      </c>
      <c r="AI11" s="71">
        <v>4.25</v>
      </c>
      <c r="AJ11" s="71">
        <v>8.0399999999999991</v>
      </c>
      <c r="AK11" s="62">
        <f t="shared" si="8"/>
        <v>123.54750000000001</v>
      </c>
      <c r="AL11" s="72">
        <f t="shared" si="9"/>
        <v>233.72279999999995</v>
      </c>
      <c r="AM11" s="73">
        <f t="shared" si="15"/>
        <v>-49.414999999999964</v>
      </c>
      <c r="AN11" s="74">
        <f t="shared" si="10"/>
        <v>-11.950889999999987</v>
      </c>
      <c r="AO11" s="74">
        <f t="shared" si="10"/>
        <v>-5.2489050000000361</v>
      </c>
      <c r="AP11" s="75">
        <f t="shared" si="16"/>
        <v>-4.0614837572776008E-2</v>
      </c>
      <c r="AQ11" s="76">
        <f t="shared" si="11"/>
        <v>-6935.7313256000052</v>
      </c>
      <c r="AR11" s="90">
        <f t="shared" si="12"/>
        <v>0.58500000000003638</v>
      </c>
    </row>
    <row r="12" spans="1:46" x14ac:dyDescent="0.25">
      <c r="A12" t="str">
        <f t="shared" si="13"/>
        <v>46178M</v>
      </c>
      <c r="B12" s="51">
        <f t="shared" si="17"/>
        <v>46178</v>
      </c>
      <c r="C12" s="52" t="s">
        <v>87</v>
      </c>
      <c r="D12" s="91">
        <v>2907</v>
      </c>
      <c r="E12" s="62">
        <v>4.25</v>
      </c>
      <c r="F12" s="62">
        <v>8.0399999999999991</v>
      </c>
      <c r="G12" s="62">
        <f t="shared" si="0"/>
        <v>123.54750000000001</v>
      </c>
      <c r="H12" s="63">
        <f t="shared" si="1"/>
        <v>233.72279999999995</v>
      </c>
      <c r="I12" s="203">
        <v>685.6</v>
      </c>
      <c r="J12" s="203">
        <v>706.16800000000001</v>
      </c>
      <c r="K12" s="203">
        <v>4.7</v>
      </c>
      <c r="L12" s="203">
        <v>8.1999999999999993</v>
      </c>
      <c r="M12" s="58">
        <v>0</v>
      </c>
      <c r="N12" s="58" t="s">
        <v>167</v>
      </c>
      <c r="O12" s="59">
        <v>0</v>
      </c>
      <c r="P12" s="56">
        <v>0</v>
      </c>
      <c r="Q12" s="60">
        <v>0</v>
      </c>
      <c r="R12" s="61">
        <f t="shared" si="14"/>
        <v>706.16800000000001</v>
      </c>
      <c r="S12" s="62">
        <f t="shared" si="2"/>
        <v>33.189895999999997</v>
      </c>
      <c r="T12" s="63">
        <f t="shared" si="3"/>
        <v>57.905775999999996</v>
      </c>
      <c r="U12" s="64"/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4"/>
        <v>0</v>
      </c>
      <c r="AB12" s="63">
        <f t="shared" si="5"/>
        <v>0</v>
      </c>
      <c r="AC12" s="69"/>
      <c r="AD12" s="70"/>
      <c r="AE12" s="70"/>
      <c r="AF12" s="62">
        <f t="shared" si="6"/>
        <v>0</v>
      </c>
      <c r="AG12" s="63">
        <f t="shared" si="7"/>
        <v>0</v>
      </c>
      <c r="AH12" s="71">
        <v>3613</v>
      </c>
      <c r="AI12" s="71">
        <v>4.34</v>
      </c>
      <c r="AJ12" s="71">
        <v>8.07</v>
      </c>
      <c r="AK12" s="62">
        <f t="shared" si="8"/>
        <v>156.80420000000001</v>
      </c>
      <c r="AL12" s="72">
        <f t="shared" si="9"/>
        <v>291.56910000000005</v>
      </c>
      <c r="AM12" s="73">
        <f t="shared" si="15"/>
        <v>0.16800000000012005</v>
      </c>
      <c r="AN12" s="74">
        <f t="shared" si="10"/>
        <v>-6.6803999999990538E-2</v>
      </c>
      <c r="AO12" s="74">
        <f t="shared" si="10"/>
        <v>5.9475999999904161E-2</v>
      </c>
      <c r="AP12" s="75">
        <f t="shared" si="16"/>
        <v>-8.04428996372778E-5</v>
      </c>
      <c r="AQ12" s="76">
        <f t="shared" si="11"/>
        <v>-12.189402866691101</v>
      </c>
      <c r="AR12" s="90">
        <f t="shared" si="12"/>
        <v>0.16800000000012005</v>
      </c>
    </row>
    <row r="13" spans="1:46" x14ac:dyDescent="0.25">
      <c r="A13" t="str">
        <f t="shared" si="13"/>
        <v>46178E</v>
      </c>
      <c r="B13" s="51">
        <f t="shared" si="17"/>
        <v>46178</v>
      </c>
      <c r="C13" s="52" t="s">
        <v>88</v>
      </c>
      <c r="D13" s="91">
        <v>3613</v>
      </c>
      <c r="E13" s="62">
        <v>4.34</v>
      </c>
      <c r="F13" s="62">
        <v>8.07</v>
      </c>
      <c r="G13" s="62">
        <f t="shared" si="0"/>
        <v>156.80420000000001</v>
      </c>
      <c r="H13" s="63">
        <f t="shared" si="1"/>
        <v>291.56910000000005</v>
      </c>
      <c r="I13" s="203">
        <v>1096.5999999999999</v>
      </c>
      <c r="J13" s="203">
        <v>1129.498</v>
      </c>
      <c r="K13" s="203">
        <v>3.9</v>
      </c>
      <c r="L13" s="203">
        <v>8.1</v>
      </c>
      <c r="M13" s="58" t="s">
        <v>213</v>
      </c>
      <c r="N13" s="58" t="s">
        <v>339</v>
      </c>
      <c r="O13" s="59">
        <v>1740</v>
      </c>
      <c r="P13" s="56">
        <v>4.2</v>
      </c>
      <c r="Q13" s="60">
        <v>7.6</v>
      </c>
      <c r="R13" s="61">
        <f t="shared" si="14"/>
        <v>2869.498</v>
      </c>
      <c r="S13" s="62">
        <f t="shared" si="2"/>
        <v>117.13042200000001</v>
      </c>
      <c r="T13" s="63">
        <f t="shared" si="3"/>
        <v>223.72933800000001</v>
      </c>
      <c r="U13" s="64" t="s">
        <v>172</v>
      </c>
      <c r="V13" s="136" t="s">
        <v>340</v>
      </c>
      <c r="W13" s="66" t="s">
        <v>217</v>
      </c>
      <c r="X13" s="67">
        <v>6280</v>
      </c>
      <c r="Y13" s="68">
        <v>4.45</v>
      </c>
      <c r="Z13" s="68">
        <v>8.24</v>
      </c>
      <c r="AA13" s="62">
        <f t="shared" si="4"/>
        <v>279.46000000000004</v>
      </c>
      <c r="AB13" s="63">
        <f t="shared" si="5"/>
        <v>517.47199999999998</v>
      </c>
      <c r="AC13" s="69">
        <v>6250</v>
      </c>
      <c r="AD13" s="70">
        <v>4.34992</v>
      </c>
      <c r="AE13" s="70">
        <v>7.9399360000000003</v>
      </c>
      <c r="AF13" s="62">
        <f t="shared" si="6"/>
        <v>271.87</v>
      </c>
      <c r="AG13" s="63">
        <f t="shared" si="7"/>
        <v>496.24600000000004</v>
      </c>
      <c r="AH13" s="71">
        <v>183</v>
      </c>
      <c r="AI13" s="71">
        <v>4.22</v>
      </c>
      <c r="AJ13" s="71">
        <v>7.95</v>
      </c>
      <c r="AK13" s="62">
        <f t="shared" si="8"/>
        <v>7.722599999999999</v>
      </c>
      <c r="AL13" s="72">
        <f t="shared" si="9"/>
        <v>14.548500000000001</v>
      </c>
      <c r="AM13" s="73">
        <f t="shared" si="15"/>
        <v>49.497999999999593</v>
      </c>
      <c r="AN13" s="74">
        <f t="shared" si="10"/>
        <v>-5.6579780000000133</v>
      </c>
      <c r="AO13" s="74">
        <f t="shared" si="10"/>
        <v>4.5039379999999944</v>
      </c>
      <c r="AP13" s="75">
        <f t="shared" si="16"/>
        <v>-3.3856739205590553E-3</v>
      </c>
      <c r="AQ13" s="76">
        <f t="shared" si="11"/>
        <v>-1192.0143655933409</v>
      </c>
      <c r="AR13" s="90">
        <f t="shared" si="12"/>
        <v>19.497999999999593</v>
      </c>
    </row>
    <row r="14" spans="1:46" x14ac:dyDescent="0.25">
      <c r="A14" t="str">
        <f t="shared" si="13"/>
        <v>46179M</v>
      </c>
      <c r="B14" s="51">
        <f t="shared" si="17"/>
        <v>46179</v>
      </c>
      <c r="C14" s="52" t="s">
        <v>87</v>
      </c>
      <c r="D14" s="91">
        <v>183</v>
      </c>
      <c r="E14" s="62">
        <v>4.22</v>
      </c>
      <c r="F14" s="62">
        <v>7.95</v>
      </c>
      <c r="G14" s="62">
        <f t="shared" si="0"/>
        <v>7.722599999999999</v>
      </c>
      <c r="H14" s="63">
        <f t="shared" si="1"/>
        <v>14.548500000000001</v>
      </c>
      <c r="I14" s="203">
        <v>693.4</v>
      </c>
      <c r="J14" s="203">
        <v>714.202</v>
      </c>
      <c r="K14" s="203">
        <v>4.5999999999999996</v>
      </c>
      <c r="L14" s="203">
        <v>8.3000000000000007</v>
      </c>
      <c r="M14" s="58">
        <v>0</v>
      </c>
      <c r="N14" s="58" t="s">
        <v>187</v>
      </c>
      <c r="O14" s="59">
        <v>0</v>
      </c>
      <c r="P14" s="56">
        <v>0</v>
      </c>
      <c r="Q14" s="60">
        <v>0</v>
      </c>
      <c r="R14" s="61">
        <f t="shared" si="14"/>
        <v>714.202</v>
      </c>
      <c r="S14" s="62">
        <f t="shared" si="2"/>
        <v>32.853291999999996</v>
      </c>
      <c r="T14" s="63">
        <f t="shared" si="3"/>
        <v>59.278766000000005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4"/>
        <v>0</v>
      </c>
      <c r="AB14" s="63">
        <f t="shared" si="5"/>
        <v>0</v>
      </c>
      <c r="AC14" s="69"/>
      <c r="AD14" s="70"/>
      <c r="AE14" s="70"/>
      <c r="AF14" s="62">
        <f t="shared" si="6"/>
        <v>0</v>
      </c>
      <c r="AG14" s="63">
        <f t="shared" si="7"/>
        <v>0</v>
      </c>
      <c r="AH14" s="89">
        <v>897.2</v>
      </c>
      <c r="AI14" s="71">
        <v>4.5199999999999996</v>
      </c>
      <c r="AJ14" s="71">
        <v>8.23</v>
      </c>
      <c r="AK14" s="62">
        <f t="shared" si="8"/>
        <v>40.553440000000002</v>
      </c>
      <c r="AL14" s="72">
        <f t="shared" si="9"/>
        <v>73.839560000000006</v>
      </c>
      <c r="AM14" s="73">
        <f t="shared" si="15"/>
        <v>1.9999999999527063E-3</v>
      </c>
      <c r="AN14" s="74">
        <f t="shared" si="10"/>
        <v>2.2451999999994143E-2</v>
      </c>
      <c r="AO14" s="74">
        <f t="shared" si="10"/>
        <v>-1.2293999999997141E-2</v>
      </c>
      <c r="AP14" s="75">
        <f t="shared" si="16"/>
        <v>1.102547823255723E-4</v>
      </c>
      <c r="AQ14" s="76">
        <f t="shared" si="11"/>
        <v>6.3996609599982257</v>
      </c>
      <c r="AR14" s="90">
        <f t="shared" si="12"/>
        <v>1.9999999999527063E-3</v>
      </c>
    </row>
    <row r="15" spans="1:46" x14ac:dyDescent="0.25">
      <c r="A15" t="str">
        <f t="shared" si="13"/>
        <v>46179E</v>
      </c>
      <c r="B15" s="51">
        <f t="shared" si="17"/>
        <v>46179</v>
      </c>
      <c r="C15" s="52" t="s">
        <v>88</v>
      </c>
      <c r="D15" s="91">
        <v>897.2</v>
      </c>
      <c r="E15" s="62">
        <v>4.5199999999999996</v>
      </c>
      <c r="F15" s="62">
        <v>8.23</v>
      </c>
      <c r="G15" s="62">
        <f t="shared" si="0"/>
        <v>40.553440000000002</v>
      </c>
      <c r="H15" s="63">
        <f t="shared" si="1"/>
        <v>73.839560000000006</v>
      </c>
      <c r="I15" s="203">
        <v>1095.3</v>
      </c>
      <c r="J15" s="203">
        <v>1128.1589999999999</v>
      </c>
      <c r="K15" s="203">
        <v>3.9</v>
      </c>
      <c r="L15" s="203">
        <v>8</v>
      </c>
      <c r="M15" s="58">
        <v>0</v>
      </c>
      <c r="N15" s="58" t="s">
        <v>167</v>
      </c>
      <c r="O15" s="59">
        <v>0</v>
      </c>
      <c r="P15" s="56">
        <v>0</v>
      </c>
      <c r="Q15" s="60">
        <v>0</v>
      </c>
      <c r="R15" s="61">
        <f t="shared" si="14"/>
        <v>1128.1589999999999</v>
      </c>
      <c r="S15" s="62">
        <f t="shared" si="2"/>
        <v>43.998200999999995</v>
      </c>
      <c r="T15" s="63">
        <f t="shared" si="3"/>
        <v>90.252719999999997</v>
      </c>
      <c r="U15" s="64" t="s">
        <v>167</v>
      </c>
      <c r="V15" s="136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4"/>
        <v>0</v>
      </c>
      <c r="AB15" s="63">
        <f t="shared" si="5"/>
        <v>0</v>
      </c>
      <c r="AC15" s="69"/>
      <c r="AD15" s="70"/>
      <c r="AE15" s="70"/>
      <c r="AF15" s="62">
        <f t="shared" si="6"/>
        <v>0</v>
      </c>
      <c r="AG15" s="63">
        <f t="shared" si="7"/>
        <v>0</v>
      </c>
      <c r="AH15" s="89">
        <v>2025.4</v>
      </c>
      <c r="AI15" s="66">
        <v>4.18</v>
      </c>
      <c r="AJ15" s="66">
        <v>8.1</v>
      </c>
      <c r="AK15" s="62">
        <f t="shared" si="8"/>
        <v>84.661720000000003</v>
      </c>
      <c r="AL15" s="72">
        <f t="shared" si="9"/>
        <v>164.0574</v>
      </c>
      <c r="AM15" s="73">
        <f t="shared" si="15"/>
        <v>-4.1000000000167347E-2</v>
      </c>
      <c r="AN15" s="74">
        <f t="shared" si="10"/>
        <v>-0.11007900000001314</v>
      </c>
      <c r="AO15" s="74">
        <f t="shared" si="10"/>
        <v>3.4880000000015343E-2</v>
      </c>
      <c r="AP15" s="75">
        <f t="shared" si="16"/>
        <v>-5.6013768426957605E-4</v>
      </c>
      <c r="AQ15" s="76">
        <f t="shared" si="11"/>
        <v>-38.976910023334639</v>
      </c>
      <c r="AR15" s="90">
        <f t="shared" si="12"/>
        <v>-4.1000000000167347E-2</v>
      </c>
    </row>
    <row r="16" spans="1:46" x14ac:dyDescent="0.25">
      <c r="A16" t="str">
        <f t="shared" si="13"/>
        <v>46180M</v>
      </c>
      <c r="B16" s="51">
        <f t="shared" si="17"/>
        <v>46180</v>
      </c>
      <c r="C16" s="52" t="s">
        <v>87</v>
      </c>
      <c r="D16" s="79">
        <v>2025.4</v>
      </c>
      <c r="E16" s="62">
        <v>4.18</v>
      </c>
      <c r="F16" s="62">
        <v>8.1</v>
      </c>
      <c r="G16" s="62">
        <f t="shared" si="0"/>
        <v>84.661720000000003</v>
      </c>
      <c r="H16" s="63">
        <f t="shared" si="1"/>
        <v>164.0574</v>
      </c>
      <c r="I16" s="203">
        <v>658.4</v>
      </c>
      <c r="J16" s="203">
        <v>678.15200000000004</v>
      </c>
      <c r="K16" s="203">
        <v>4.5</v>
      </c>
      <c r="L16" s="203">
        <v>8.3000000000000007</v>
      </c>
      <c r="M16" s="58" t="s">
        <v>213</v>
      </c>
      <c r="N16" s="58" t="s">
        <v>341</v>
      </c>
      <c r="O16" s="59">
        <v>2270</v>
      </c>
      <c r="P16" s="56">
        <v>4.2</v>
      </c>
      <c r="Q16" s="60">
        <v>8</v>
      </c>
      <c r="R16" s="61">
        <f t="shared" si="14"/>
        <v>2948.152</v>
      </c>
      <c r="S16" s="62">
        <f t="shared" si="2"/>
        <v>125.85684000000001</v>
      </c>
      <c r="T16" s="63">
        <f t="shared" si="3"/>
        <v>237.886616</v>
      </c>
      <c r="U16" s="64" t="s">
        <v>172</v>
      </c>
      <c r="V16" s="65" t="s">
        <v>421</v>
      </c>
      <c r="W16" s="66" t="s">
        <v>219</v>
      </c>
      <c r="X16" s="67">
        <v>5530</v>
      </c>
      <c r="Y16" s="68">
        <v>4.4264014466546122</v>
      </c>
      <c r="Z16" s="68">
        <v>8.1132007233273047</v>
      </c>
      <c r="AA16" s="62">
        <f t="shared" si="4"/>
        <v>244.78000000000009</v>
      </c>
      <c r="AB16" s="63">
        <f t="shared" si="5"/>
        <v>448.65999999999997</v>
      </c>
      <c r="AC16" s="69">
        <v>5520</v>
      </c>
      <c r="AD16" s="70">
        <v>4.2217391304347824</v>
      </c>
      <c r="AE16" s="70">
        <v>8.0095652173913034</v>
      </c>
      <c r="AF16" s="62">
        <f t="shared" si="6"/>
        <v>233.04</v>
      </c>
      <c r="AG16" s="63">
        <f t="shared" si="7"/>
        <v>442.12799999999999</v>
      </c>
      <c r="AH16" s="97">
        <v>0</v>
      </c>
      <c r="AI16" s="71">
        <v>0</v>
      </c>
      <c r="AJ16" s="71">
        <v>0</v>
      </c>
      <c r="AK16" s="62">
        <f t="shared" si="8"/>
        <v>0</v>
      </c>
      <c r="AL16" s="72">
        <f t="shared" si="9"/>
        <v>0</v>
      </c>
      <c r="AM16" s="73">
        <f t="shared" si="15"/>
        <v>-546.44800000000032</v>
      </c>
      <c r="AN16" s="74">
        <f t="shared" si="10"/>
        <v>-22.521439999999984</v>
      </c>
      <c r="AO16" s="74">
        <f t="shared" si="10"/>
        <v>-40.183983999999953</v>
      </c>
      <c r="AP16" s="75">
        <f t="shared" si="16"/>
        <v>-0.17238914670673808</v>
      </c>
      <c r="AQ16" s="76">
        <f t="shared" si="11"/>
        <v>-22136.094468693314</v>
      </c>
      <c r="AR16" s="90">
        <f t="shared" si="12"/>
        <v>-556.44800000000032</v>
      </c>
    </row>
    <row r="17" spans="1:48" x14ac:dyDescent="0.25">
      <c r="A17" t="str">
        <f t="shared" si="13"/>
        <v>46180E</v>
      </c>
      <c r="B17" s="51">
        <f t="shared" si="17"/>
        <v>46180</v>
      </c>
      <c r="C17" s="52" t="s">
        <v>88</v>
      </c>
      <c r="D17" s="79">
        <v>0</v>
      </c>
      <c r="E17" s="62">
        <v>0</v>
      </c>
      <c r="F17" s="62">
        <v>0</v>
      </c>
      <c r="G17" s="62">
        <f t="shared" si="0"/>
        <v>0</v>
      </c>
      <c r="H17" s="63">
        <f t="shared" si="1"/>
        <v>0</v>
      </c>
      <c r="I17" s="203">
        <v>1146.5999999999999</v>
      </c>
      <c r="J17" s="203">
        <v>1180.998</v>
      </c>
      <c r="K17" s="203">
        <v>3.9</v>
      </c>
      <c r="L17" s="203">
        <v>8.1</v>
      </c>
      <c r="M17" s="58">
        <v>0</v>
      </c>
      <c r="N17" s="58" t="s">
        <v>167</v>
      </c>
      <c r="O17" s="59">
        <v>0</v>
      </c>
      <c r="P17" s="56">
        <v>0</v>
      </c>
      <c r="Q17" s="60">
        <v>0</v>
      </c>
      <c r="R17" s="61">
        <f t="shared" si="14"/>
        <v>1180.998</v>
      </c>
      <c r="S17" s="62">
        <f t="shared" si="2"/>
        <v>46.058922000000003</v>
      </c>
      <c r="T17" s="63">
        <f t="shared" si="3"/>
        <v>95.660838000000012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4"/>
        <v>0</v>
      </c>
      <c r="AB17" s="63">
        <f t="shared" si="5"/>
        <v>0</v>
      </c>
      <c r="AC17" s="69"/>
      <c r="AD17" s="70"/>
      <c r="AE17" s="70"/>
      <c r="AF17" s="62">
        <f t="shared" si="6"/>
        <v>0</v>
      </c>
      <c r="AG17" s="63">
        <f t="shared" si="7"/>
        <v>0</v>
      </c>
      <c r="AH17" s="97">
        <v>1180.9000000000001</v>
      </c>
      <c r="AI17" s="66">
        <v>3.9</v>
      </c>
      <c r="AJ17" s="66">
        <v>8.1</v>
      </c>
      <c r="AK17" s="62">
        <f t="shared" si="8"/>
        <v>46.055100000000003</v>
      </c>
      <c r="AL17" s="72">
        <f>AH17*AJ17%</f>
        <v>95.652900000000017</v>
      </c>
      <c r="AM17" s="73">
        <f t="shared" si="15"/>
        <v>9.7999999999956344E-2</v>
      </c>
      <c r="AN17" s="74">
        <f t="shared" si="10"/>
        <v>3.821999999999548E-3</v>
      </c>
      <c r="AO17" s="74">
        <f t="shared" si="10"/>
        <v>7.9379999999957818E-3</v>
      </c>
      <c r="AP17" s="75">
        <f t="shared" si="16"/>
        <v>8.2980665504904394E-5</v>
      </c>
      <c r="AQ17" s="76">
        <f t="shared" si="11"/>
        <v>4.091365739998535</v>
      </c>
      <c r="AR17" s="90">
        <f t="shared" si="12"/>
        <v>9.7999999999956344E-2</v>
      </c>
    </row>
    <row r="18" spans="1:48" x14ac:dyDescent="0.25">
      <c r="A18" t="str">
        <f t="shared" si="13"/>
        <v>46181M</v>
      </c>
      <c r="B18" s="51">
        <f t="shared" si="17"/>
        <v>46181</v>
      </c>
      <c r="C18" s="52" t="s">
        <v>87</v>
      </c>
      <c r="D18" s="79">
        <v>1180.9000000000001</v>
      </c>
      <c r="E18" s="62">
        <v>3.9</v>
      </c>
      <c r="F18" s="62">
        <v>8.1</v>
      </c>
      <c r="G18" s="62">
        <f t="shared" si="0"/>
        <v>46.055100000000003</v>
      </c>
      <c r="H18" s="63">
        <f t="shared" si="1"/>
        <v>95.652900000000017</v>
      </c>
      <c r="I18" s="203">
        <v>748.3</v>
      </c>
      <c r="J18" s="203">
        <v>770.74900000000002</v>
      </c>
      <c r="K18" s="203">
        <v>4.5</v>
      </c>
      <c r="L18" s="203">
        <v>8.1999999999999993</v>
      </c>
      <c r="M18" s="58" t="s">
        <v>213</v>
      </c>
      <c r="N18" s="58" t="s">
        <v>342</v>
      </c>
      <c r="O18" s="59">
        <v>1370</v>
      </c>
      <c r="P18" s="56">
        <v>4.0999999999999996</v>
      </c>
      <c r="Q18" s="60">
        <v>8</v>
      </c>
      <c r="R18" s="61">
        <f t="shared" si="14"/>
        <v>2140.7489999999998</v>
      </c>
      <c r="S18" s="62">
        <f t="shared" si="2"/>
        <v>90.853704999999991</v>
      </c>
      <c r="T18" s="63">
        <f t="shared" si="3"/>
        <v>172.80141800000001</v>
      </c>
      <c r="U18" s="64" t="s">
        <v>167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4"/>
        <v>0</v>
      </c>
      <c r="AB18" s="63">
        <f t="shared" si="5"/>
        <v>0</v>
      </c>
      <c r="AC18" s="69"/>
      <c r="AD18" s="70"/>
      <c r="AE18" s="70"/>
      <c r="AF18" s="62">
        <f t="shared" si="6"/>
        <v>0</v>
      </c>
      <c r="AG18" s="63">
        <f t="shared" si="7"/>
        <v>0</v>
      </c>
      <c r="AH18" s="97">
        <v>3321.6</v>
      </c>
      <c r="AI18" s="71">
        <v>4.12</v>
      </c>
      <c r="AJ18" s="71">
        <v>8.08</v>
      </c>
      <c r="AK18" s="62">
        <f t="shared" si="8"/>
        <v>136.84992</v>
      </c>
      <c r="AL18" s="72">
        <f t="shared" si="9"/>
        <v>268.38527999999997</v>
      </c>
      <c r="AM18" s="73">
        <f t="shared" si="15"/>
        <v>4.8999999999978172E-2</v>
      </c>
      <c r="AN18" s="74">
        <f t="shared" si="10"/>
        <v>5.8885000000003629E-2</v>
      </c>
      <c r="AO18" s="74">
        <f t="shared" si="10"/>
        <v>6.9038000000091415E-2</v>
      </c>
      <c r="AP18" s="75">
        <f t="shared" si="16"/>
        <v>4.8519064808801401E-4</v>
      </c>
      <c r="AQ18" s="76">
        <f t="shared" si="11"/>
        <v>47.095297736695656</v>
      </c>
      <c r="AR18" s="90">
        <f t="shared" si="12"/>
        <v>4.9000000000432919E-2</v>
      </c>
    </row>
    <row r="19" spans="1:48" x14ac:dyDescent="0.25">
      <c r="A19" t="str">
        <f t="shared" si="13"/>
        <v>46181E</v>
      </c>
      <c r="B19" s="51">
        <f t="shared" si="17"/>
        <v>46181</v>
      </c>
      <c r="C19" s="52" t="s">
        <v>88</v>
      </c>
      <c r="D19" s="79">
        <v>3321.6</v>
      </c>
      <c r="E19" s="62">
        <v>4.12</v>
      </c>
      <c r="F19" s="62">
        <v>8.08</v>
      </c>
      <c r="G19" s="62">
        <f t="shared" si="0"/>
        <v>136.84992</v>
      </c>
      <c r="H19" s="63">
        <f t="shared" si="1"/>
        <v>268.38527999999997</v>
      </c>
      <c r="I19" s="203">
        <v>1136.9000000000001</v>
      </c>
      <c r="J19" s="203">
        <v>1171.0070000000001</v>
      </c>
      <c r="K19" s="203">
        <v>3.8</v>
      </c>
      <c r="L19" s="203">
        <v>8</v>
      </c>
      <c r="M19" s="58">
        <v>0</v>
      </c>
      <c r="N19" s="58" t="s">
        <v>167</v>
      </c>
      <c r="O19" s="59">
        <v>0</v>
      </c>
      <c r="P19" s="56">
        <v>0</v>
      </c>
      <c r="Q19" s="60">
        <v>0</v>
      </c>
      <c r="R19" s="61">
        <f t="shared" si="14"/>
        <v>1171.0070000000001</v>
      </c>
      <c r="S19" s="62">
        <f t="shared" si="2"/>
        <v>44.498266000000001</v>
      </c>
      <c r="T19" s="63">
        <f t="shared" si="3"/>
        <v>93.68056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4"/>
        <v>0</v>
      </c>
      <c r="AB19" s="63">
        <f t="shared" si="5"/>
        <v>0</v>
      </c>
      <c r="AC19" s="69"/>
      <c r="AD19" s="70"/>
      <c r="AE19" s="70"/>
      <c r="AF19" s="62">
        <f t="shared" si="6"/>
        <v>0</v>
      </c>
      <c r="AG19" s="63">
        <f t="shared" si="7"/>
        <v>0</v>
      </c>
      <c r="AH19" s="97">
        <v>4493</v>
      </c>
      <c r="AI19" s="71">
        <v>4.03</v>
      </c>
      <c r="AJ19" s="71">
        <v>8.0500000000000007</v>
      </c>
      <c r="AK19" s="62">
        <f t="shared" si="8"/>
        <v>181.06790000000001</v>
      </c>
      <c r="AL19" s="72">
        <f t="shared" si="9"/>
        <v>361.68650000000002</v>
      </c>
      <c r="AM19" s="73">
        <f t="shared" si="15"/>
        <v>-0.3930000000000291</v>
      </c>
      <c r="AN19" s="74">
        <f t="shared" si="10"/>
        <v>0.2802859999999896</v>
      </c>
      <c r="AO19" s="74">
        <f t="shared" si="10"/>
        <v>0.37933999999995649</v>
      </c>
      <c r="AP19" s="75">
        <f t="shared" si="16"/>
        <v>4.7737125802468899E-3</v>
      </c>
      <c r="AQ19" s="76">
        <f t="shared" si="11"/>
        <v>239.34953452664899</v>
      </c>
      <c r="AR19" s="90">
        <f t="shared" si="12"/>
        <v>-0.3930000000000291</v>
      </c>
    </row>
    <row r="20" spans="1:48" x14ac:dyDescent="0.25">
      <c r="A20" t="str">
        <f t="shared" si="13"/>
        <v>46182M</v>
      </c>
      <c r="B20" s="51">
        <f t="shared" si="17"/>
        <v>46182</v>
      </c>
      <c r="C20" s="52" t="s">
        <v>87</v>
      </c>
      <c r="D20" s="79">
        <v>4493</v>
      </c>
      <c r="E20" s="62">
        <v>4.03</v>
      </c>
      <c r="F20" s="62">
        <v>8.0500000000000007</v>
      </c>
      <c r="G20" s="62">
        <f t="shared" si="0"/>
        <v>181.06790000000001</v>
      </c>
      <c r="H20" s="63">
        <f t="shared" si="1"/>
        <v>361.68650000000002</v>
      </c>
      <c r="I20" s="203">
        <v>665.5</v>
      </c>
      <c r="J20" s="203">
        <v>685.46500000000003</v>
      </c>
      <c r="K20" s="203">
        <v>4.5</v>
      </c>
      <c r="L20" s="203">
        <v>8.1</v>
      </c>
      <c r="M20" s="58">
        <v>0</v>
      </c>
      <c r="N20" s="58" t="s">
        <v>167</v>
      </c>
      <c r="O20" s="59">
        <v>0</v>
      </c>
      <c r="P20" s="56">
        <v>0</v>
      </c>
      <c r="Q20" s="60">
        <v>0</v>
      </c>
      <c r="R20" s="61">
        <f t="shared" si="14"/>
        <v>685.46500000000003</v>
      </c>
      <c r="S20" s="62">
        <f t="shared" si="2"/>
        <v>30.845925000000001</v>
      </c>
      <c r="T20" s="63">
        <f t="shared" si="3"/>
        <v>55.522665000000003</v>
      </c>
      <c r="U20" s="64" t="s">
        <v>171</v>
      </c>
      <c r="V20" s="65" t="s">
        <v>422</v>
      </c>
      <c r="W20" s="66" t="s">
        <v>208</v>
      </c>
      <c r="X20" s="67">
        <v>5300</v>
      </c>
      <c r="Y20" s="68">
        <v>4.16</v>
      </c>
      <c r="Z20" s="68">
        <v>8.07</v>
      </c>
      <c r="AA20" s="62">
        <f t="shared" si="4"/>
        <v>220.48</v>
      </c>
      <c r="AB20" s="63">
        <f t="shared" si="5"/>
        <v>427.71000000000004</v>
      </c>
      <c r="AC20" s="69">
        <v>5180</v>
      </c>
      <c r="AD20" s="70">
        <v>4.1081081081081088</v>
      </c>
      <c r="AE20" s="70">
        <v>8.0513513513513502</v>
      </c>
      <c r="AF20" s="62">
        <f t="shared" si="6"/>
        <v>212.8</v>
      </c>
      <c r="AG20" s="63">
        <f t="shared" si="7"/>
        <v>417.05999999999995</v>
      </c>
      <c r="AH20" s="97">
        <v>0</v>
      </c>
      <c r="AI20" s="66">
        <v>0</v>
      </c>
      <c r="AJ20" s="66">
        <v>0</v>
      </c>
      <c r="AK20" s="62">
        <f t="shared" si="8"/>
        <v>0</v>
      </c>
      <c r="AL20" s="72">
        <f t="shared" si="9"/>
        <v>0</v>
      </c>
      <c r="AM20" s="73">
        <f t="shared" si="15"/>
        <v>-1.5349999999998545</v>
      </c>
      <c r="AN20" s="74">
        <f t="shared" ref="AN20:AO65" si="18">+G20+S20-AF20-AK20</f>
        <v>-0.88617500000000859</v>
      </c>
      <c r="AO20" s="74">
        <f t="shared" si="18"/>
        <v>0.14916500000009592</v>
      </c>
      <c r="AP20" s="75">
        <f t="shared" si="16"/>
        <v>-8.5333105472708611E-3</v>
      </c>
      <c r="AQ20" s="76">
        <f t="shared" si="11"/>
        <v>-353.17171248330851</v>
      </c>
      <c r="AR20" s="90">
        <f t="shared" si="12"/>
        <v>-121.53499999999985</v>
      </c>
    </row>
    <row r="21" spans="1:48" x14ac:dyDescent="0.25">
      <c r="A21" t="str">
        <f t="shared" si="13"/>
        <v>46182E</v>
      </c>
      <c r="B21" s="51">
        <f t="shared" si="17"/>
        <v>46182</v>
      </c>
      <c r="C21" s="52" t="s">
        <v>88</v>
      </c>
      <c r="D21" s="79">
        <v>0</v>
      </c>
      <c r="E21" s="62">
        <v>0</v>
      </c>
      <c r="F21" s="62">
        <v>0</v>
      </c>
      <c r="G21" s="62">
        <f t="shared" si="0"/>
        <v>0</v>
      </c>
      <c r="H21" s="63">
        <f t="shared" si="1"/>
        <v>0</v>
      </c>
      <c r="I21" s="203">
        <v>1069.2</v>
      </c>
      <c r="J21" s="203">
        <v>1101.2760000000001</v>
      </c>
      <c r="K21" s="203">
        <v>4</v>
      </c>
      <c r="L21" s="203">
        <v>8.1</v>
      </c>
      <c r="M21" s="58" t="s">
        <v>213</v>
      </c>
      <c r="N21" s="58" t="s">
        <v>419</v>
      </c>
      <c r="O21" s="59">
        <v>1486</v>
      </c>
      <c r="P21" s="56">
        <v>4</v>
      </c>
      <c r="Q21" s="60">
        <v>7.96</v>
      </c>
      <c r="R21" s="61">
        <f t="shared" si="14"/>
        <v>2587.2759999999998</v>
      </c>
      <c r="S21" s="62">
        <f t="shared" si="2"/>
        <v>103.49104</v>
      </c>
      <c r="T21" s="63">
        <f t="shared" si="3"/>
        <v>207.48895600000003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4"/>
        <v>0</v>
      </c>
      <c r="AB21" s="63">
        <f t="shared" si="5"/>
        <v>0</v>
      </c>
      <c r="AC21" s="69"/>
      <c r="AD21" s="70"/>
      <c r="AE21" s="70"/>
      <c r="AF21" s="62">
        <f t="shared" si="6"/>
        <v>0</v>
      </c>
      <c r="AG21" s="63">
        <f t="shared" si="7"/>
        <v>0</v>
      </c>
      <c r="AH21" s="97">
        <v>2587.3000000000002</v>
      </c>
      <c r="AI21" s="66">
        <v>4</v>
      </c>
      <c r="AJ21" s="66">
        <v>8.1</v>
      </c>
      <c r="AK21" s="62">
        <f t="shared" si="8"/>
        <v>103.492</v>
      </c>
      <c r="AL21" s="72">
        <f t="shared" si="9"/>
        <v>209.57130000000001</v>
      </c>
      <c r="AM21" s="73">
        <f t="shared" si="15"/>
        <v>-2.400000000034197E-2</v>
      </c>
      <c r="AN21" s="74">
        <f t="shared" si="18"/>
        <v>-9.6000000000628916E-4</v>
      </c>
      <c r="AO21" s="74">
        <f t="shared" si="18"/>
        <v>-2.0823439999999778</v>
      </c>
      <c r="AP21" s="75">
        <f t="shared" si="16"/>
        <v>-6.6991575882584548E-3</v>
      </c>
      <c r="AQ21" s="76">
        <f t="shared" si="11"/>
        <v>-623.62098362666291</v>
      </c>
      <c r="AR21" s="90">
        <f t="shared" si="12"/>
        <v>-2.400000000034197E-2</v>
      </c>
    </row>
    <row r="22" spans="1:48" x14ac:dyDescent="0.25">
      <c r="A22" t="str">
        <f t="shared" si="13"/>
        <v>46183M</v>
      </c>
      <c r="B22" s="51">
        <f t="shared" si="17"/>
        <v>46183</v>
      </c>
      <c r="C22" s="52" t="s">
        <v>87</v>
      </c>
      <c r="D22" s="79">
        <v>2587.3000000000002</v>
      </c>
      <c r="E22" s="62">
        <v>4</v>
      </c>
      <c r="F22" s="62">
        <v>8.1</v>
      </c>
      <c r="G22" s="62">
        <f t="shared" si="0"/>
        <v>103.492</v>
      </c>
      <c r="H22" s="63">
        <f t="shared" si="1"/>
        <v>209.57130000000001</v>
      </c>
      <c r="I22" s="203">
        <v>645.20000000000005</v>
      </c>
      <c r="J22" s="203">
        <v>664.55600000000004</v>
      </c>
      <c r="K22" s="203">
        <v>4.4000000000000004</v>
      </c>
      <c r="L22" s="203">
        <v>8.2100000000000009</v>
      </c>
      <c r="M22" s="58">
        <v>0</v>
      </c>
      <c r="N22" s="58" t="s">
        <v>167</v>
      </c>
      <c r="O22" s="59">
        <v>0</v>
      </c>
      <c r="P22" s="56">
        <v>0</v>
      </c>
      <c r="Q22" s="60">
        <v>0</v>
      </c>
      <c r="R22" s="61">
        <f t="shared" si="14"/>
        <v>664.55600000000004</v>
      </c>
      <c r="S22" s="62">
        <f t="shared" si="2"/>
        <v>29.240464000000006</v>
      </c>
      <c r="T22" s="63">
        <f t="shared" si="3"/>
        <v>54.560047600000004</v>
      </c>
      <c r="U22" s="64" t="s">
        <v>167</v>
      </c>
      <c r="V22" s="65" t="s">
        <v>167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4"/>
        <v>0</v>
      </c>
      <c r="AB22" s="63">
        <f t="shared" si="5"/>
        <v>0</v>
      </c>
      <c r="AC22" s="69"/>
      <c r="AD22" s="70"/>
      <c r="AE22" s="70"/>
      <c r="AF22" s="62">
        <f t="shared" si="6"/>
        <v>0</v>
      </c>
      <c r="AG22" s="63">
        <f t="shared" si="7"/>
        <v>0</v>
      </c>
      <c r="AH22" s="97">
        <v>3252</v>
      </c>
      <c r="AI22" s="66">
        <v>4.08</v>
      </c>
      <c r="AJ22" s="66">
        <v>8.1199999999999992</v>
      </c>
      <c r="AK22" s="62">
        <f t="shared" si="8"/>
        <v>132.6816</v>
      </c>
      <c r="AL22" s="72">
        <f t="shared" si="9"/>
        <v>264.06239999999997</v>
      </c>
      <c r="AM22" s="73">
        <f t="shared" si="15"/>
        <v>-0.14399999999977808</v>
      </c>
      <c r="AN22" s="74">
        <f t="shared" si="18"/>
        <v>5.086400000001845E-2</v>
      </c>
      <c r="AO22" s="74">
        <f t="shared" si="18"/>
        <v>6.8947600000058173E-2</v>
      </c>
      <c r="AP22" s="75">
        <f t="shared" si="16"/>
        <v>1.4297239684164006E-3</v>
      </c>
      <c r="AQ22" s="76">
        <f t="shared" si="11"/>
        <v>43.467536317359034</v>
      </c>
      <c r="AR22" s="90">
        <f t="shared" si="12"/>
        <v>-0.14399999999977808</v>
      </c>
      <c r="AT22" s="83"/>
      <c r="AU22" s="83"/>
    </row>
    <row r="23" spans="1:48" x14ac:dyDescent="0.25">
      <c r="A23" t="str">
        <f t="shared" si="13"/>
        <v>46183E</v>
      </c>
      <c r="B23" s="51">
        <f t="shared" si="17"/>
        <v>46183</v>
      </c>
      <c r="C23" s="52" t="s">
        <v>88</v>
      </c>
      <c r="D23" s="79">
        <v>3252</v>
      </c>
      <c r="E23" s="62">
        <v>4.08</v>
      </c>
      <c r="F23" s="62">
        <v>8.1199999999999992</v>
      </c>
      <c r="G23" s="62">
        <f t="shared" si="0"/>
        <v>132.6816</v>
      </c>
      <c r="H23" s="63">
        <f t="shared" si="1"/>
        <v>264.06239999999997</v>
      </c>
      <c r="I23" s="203">
        <v>1089.8</v>
      </c>
      <c r="J23" s="203">
        <v>1122.4939999999999</v>
      </c>
      <c r="K23" s="203">
        <v>4</v>
      </c>
      <c r="L23" s="203">
        <v>8.1</v>
      </c>
      <c r="M23" s="58">
        <v>0</v>
      </c>
      <c r="N23" s="58" t="s">
        <v>167</v>
      </c>
      <c r="O23" s="59">
        <v>0</v>
      </c>
      <c r="P23" s="56">
        <v>0</v>
      </c>
      <c r="Q23" s="60">
        <v>0</v>
      </c>
      <c r="R23" s="61">
        <f t="shared" si="14"/>
        <v>1122.4939999999999</v>
      </c>
      <c r="S23" s="62">
        <f t="shared" si="2"/>
        <v>44.899760000000001</v>
      </c>
      <c r="T23" s="63">
        <f t="shared" si="3"/>
        <v>90.92201399999999</v>
      </c>
      <c r="U23" s="64" t="s">
        <v>167</v>
      </c>
      <c r="V23" s="65" t="s">
        <v>167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4"/>
        <v>0</v>
      </c>
      <c r="AB23" s="63">
        <f t="shared" si="5"/>
        <v>0</v>
      </c>
      <c r="AC23" s="69"/>
      <c r="AD23" s="70"/>
      <c r="AE23" s="70"/>
      <c r="AF23" s="62">
        <f t="shared" si="6"/>
        <v>0</v>
      </c>
      <c r="AG23" s="63">
        <f t="shared" si="7"/>
        <v>0</v>
      </c>
      <c r="AH23" s="97">
        <v>4375</v>
      </c>
      <c r="AI23" s="66">
        <v>4.0599999999999996</v>
      </c>
      <c r="AJ23" s="84">
        <v>8.11</v>
      </c>
      <c r="AK23" s="62">
        <f t="shared" si="8"/>
        <v>177.625</v>
      </c>
      <c r="AL23" s="72">
        <f t="shared" si="9"/>
        <v>354.81249999999994</v>
      </c>
      <c r="AM23" s="73">
        <f t="shared" si="15"/>
        <v>-0.50600000000031287</v>
      </c>
      <c r="AN23" s="74">
        <f t="shared" si="18"/>
        <v>-4.3639999999982138E-2</v>
      </c>
      <c r="AO23" s="74">
        <f t="shared" si="18"/>
        <v>0.17191400000001522</v>
      </c>
      <c r="AP23" s="75">
        <f t="shared" si="16"/>
        <v>9.4442883657250038E-4</v>
      </c>
      <c r="AQ23" s="76">
        <f t="shared" si="11"/>
        <v>31.858843426679243</v>
      </c>
      <c r="AR23" s="90">
        <f t="shared" si="12"/>
        <v>-0.50600000000031287</v>
      </c>
      <c r="AU23" s="83"/>
    </row>
    <row r="24" spans="1:48" x14ac:dyDescent="0.25">
      <c r="A24" t="str">
        <f t="shared" si="13"/>
        <v>46184M</v>
      </c>
      <c r="B24" s="51">
        <f t="shared" si="17"/>
        <v>46184</v>
      </c>
      <c r="C24" s="52" t="s">
        <v>87</v>
      </c>
      <c r="D24" s="79">
        <v>4375</v>
      </c>
      <c r="E24" s="62">
        <v>4.0599999999999996</v>
      </c>
      <c r="F24" s="62">
        <v>8.11</v>
      </c>
      <c r="G24" s="62">
        <f t="shared" si="0"/>
        <v>177.625</v>
      </c>
      <c r="H24" s="63">
        <f t="shared" si="1"/>
        <v>354.81249999999994</v>
      </c>
      <c r="I24" s="203">
        <v>706</v>
      </c>
      <c r="J24" s="203">
        <v>727.18000000000006</v>
      </c>
      <c r="K24" s="203">
        <v>4.4000000000000004</v>
      </c>
      <c r="L24" s="203">
        <v>8.1999999999999993</v>
      </c>
      <c r="M24" s="58" t="s">
        <v>213</v>
      </c>
      <c r="N24" s="58" t="s">
        <v>420</v>
      </c>
      <c r="O24" s="59">
        <v>1545</v>
      </c>
      <c r="P24" s="56">
        <v>4.2</v>
      </c>
      <c r="Q24" s="60">
        <v>7.85</v>
      </c>
      <c r="R24" s="61">
        <f t="shared" si="14"/>
        <v>2272.1800000000003</v>
      </c>
      <c r="S24" s="62">
        <f t="shared" si="2"/>
        <v>96.885919999999999</v>
      </c>
      <c r="T24" s="63">
        <f t="shared" si="3"/>
        <v>180.91126</v>
      </c>
      <c r="U24" s="64" t="s">
        <v>171</v>
      </c>
      <c r="V24" s="65" t="s">
        <v>423</v>
      </c>
      <c r="W24" s="66" t="s">
        <v>217</v>
      </c>
      <c r="X24" s="67">
        <v>6200</v>
      </c>
      <c r="Y24" s="68">
        <v>4.25</v>
      </c>
      <c r="Z24" s="68">
        <v>8.2600000000000016</v>
      </c>
      <c r="AA24" s="62">
        <f t="shared" si="4"/>
        <v>263.5</v>
      </c>
      <c r="AB24" s="63">
        <f t="shared" si="5"/>
        <v>512.12000000000012</v>
      </c>
      <c r="AC24" s="226">
        <v>6200</v>
      </c>
      <c r="AD24" s="227">
        <v>4.25</v>
      </c>
      <c r="AE24" s="227">
        <v>8.2600000000000016</v>
      </c>
      <c r="AF24" s="62">
        <f t="shared" si="6"/>
        <v>263.5</v>
      </c>
      <c r="AG24" s="63">
        <f t="shared" si="7"/>
        <v>512.12000000000012</v>
      </c>
      <c r="AH24" s="97">
        <v>448</v>
      </c>
      <c r="AI24" s="66">
        <v>4.13</v>
      </c>
      <c r="AJ24" s="66">
        <v>8.0500000000000007</v>
      </c>
      <c r="AK24" s="62">
        <f t="shared" si="8"/>
        <v>18.502399999999998</v>
      </c>
      <c r="AL24" s="72">
        <f t="shared" si="9"/>
        <v>36.064</v>
      </c>
      <c r="AM24" s="73">
        <f t="shared" si="15"/>
        <v>-0.81999999999970896</v>
      </c>
      <c r="AN24" s="74">
        <f t="shared" si="18"/>
        <v>-7.4914799999999993</v>
      </c>
      <c r="AO24" s="74">
        <f t="shared" si="18"/>
        <v>-12.460240000000148</v>
      </c>
      <c r="AP24" s="75">
        <f t="shared" si="16"/>
        <v>-7.1821175434538767E-2</v>
      </c>
      <c r="AQ24" s="76">
        <f t="shared" si="11"/>
        <v>-7092.0178457333777</v>
      </c>
      <c r="AR24" s="90">
        <f t="shared" si="12"/>
        <v>-0.81999999999970896</v>
      </c>
      <c r="AT24" s="77"/>
      <c r="AU24" s="77"/>
      <c r="AV24" s="77"/>
    </row>
    <row r="25" spans="1:48" x14ac:dyDescent="0.25">
      <c r="A25" t="str">
        <f t="shared" si="13"/>
        <v>46184E</v>
      </c>
      <c r="B25" s="51">
        <f t="shared" si="17"/>
        <v>46184</v>
      </c>
      <c r="C25" s="52" t="s">
        <v>88</v>
      </c>
      <c r="D25" s="79">
        <v>448</v>
      </c>
      <c r="E25" s="62">
        <v>4.13</v>
      </c>
      <c r="F25" s="62">
        <v>8.0500000000000007</v>
      </c>
      <c r="G25" s="62">
        <f t="shared" si="0"/>
        <v>18.502399999999998</v>
      </c>
      <c r="H25" s="63">
        <f t="shared" si="1"/>
        <v>36.064</v>
      </c>
      <c r="I25" s="203">
        <v>1071</v>
      </c>
      <c r="J25" s="203">
        <v>1103.1300000000001</v>
      </c>
      <c r="K25" s="203">
        <v>4</v>
      </c>
      <c r="L25" s="203">
        <v>8.1999999999999993</v>
      </c>
      <c r="M25" s="58">
        <v>0</v>
      </c>
      <c r="N25" s="58" t="s">
        <v>167</v>
      </c>
      <c r="O25" s="59">
        <v>0</v>
      </c>
      <c r="P25" s="56">
        <v>0</v>
      </c>
      <c r="Q25" s="60">
        <v>0</v>
      </c>
      <c r="R25" s="61">
        <f t="shared" si="14"/>
        <v>1103.1300000000001</v>
      </c>
      <c r="S25" s="62">
        <f t="shared" si="2"/>
        <v>44.125200000000007</v>
      </c>
      <c r="T25" s="63">
        <f t="shared" si="3"/>
        <v>90.456659999999999</v>
      </c>
      <c r="U25" s="64" t="s">
        <v>167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4"/>
        <v>0</v>
      </c>
      <c r="AB25" s="63">
        <f t="shared" si="5"/>
        <v>0</v>
      </c>
      <c r="AC25" s="69"/>
      <c r="AD25" s="70"/>
      <c r="AE25" s="70"/>
      <c r="AF25" s="62">
        <f t="shared" si="6"/>
        <v>0</v>
      </c>
      <c r="AG25" s="63">
        <f t="shared" si="7"/>
        <v>0</v>
      </c>
      <c r="AH25" s="97">
        <v>1551</v>
      </c>
      <c r="AI25" s="66">
        <v>4.04</v>
      </c>
      <c r="AJ25" s="66">
        <v>8.15</v>
      </c>
      <c r="AK25" s="62">
        <f t="shared" si="8"/>
        <v>62.660399999999996</v>
      </c>
      <c r="AL25" s="72">
        <f t="shared" si="9"/>
        <v>126.40650000000001</v>
      </c>
      <c r="AM25" s="73">
        <f t="shared" si="15"/>
        <v>0.13000000000010914</v>
      </c>
      <c r="AN25" s="74">
        <f t="shared" si="18"/>
        <v>-3.2799999999994611E-2</v>
      </c>
      <c r="AO25" s="74">
        <f t="shared" si="18"/>
        <v>0.11415999999998405</v>
      </c>
      <c r="AP25" s="75">
        <f t="shared" si="16"/>
        <v>6.045391258523952E-4</v>
      </c>
      <c r="AQ25" s="76">
        <f t="shared" si="11"/>
        <v>19.440795733330987</v>
      </c>
      <c r="AR25" s="90">
        <f t="shared" si="12"/>
        <v>0.13000000000010914</v>
      </c>
    </row>
    <row r="26" spans="1:48" x14ac:dyDescent="0.25">
      <c r="A26" t="str">
        <f t="shared" si="13"/>
        <v>46185M</v>
      </c>
      <c r="B26" s="51">
        <f t="shared" si="17"/>
        <v>46185</v>
      </c>
      <c r="C26" s="52" t="s">
        <v>87</v>
      </c>
      <c r="D26" s="79"/>
      <c r="E26" s="62"/>
      <c r="F26" s="62"/>
      <c r="G26" s="62">
        <f t="shared" si="0"/>
        <v>0</v>
      </c>
      <c r="H26" s="63">
        <f t="shared" si="1"/>
        <v>0</v>
      </c>
      <c r="I26" s="203"/>
      <c r="J26" s="203"/>
      <c r="K26" s="203"/>
      <c r="L26" s="203"/>
      <c r="M26" s="58"/>
      <c r="N26" s="58"/>
      <c r="O26" s="59"/>
      <c r="P26" s="56"/>
      <c r="Q26" s="60"/>
      <c r="R26" s="61">
        <f t="shared" si="14"/>
        <v>0</v>
      </c>
      <c r="S26" s="62">
        <f t="shared" si="2"/>
        <v>0</v>
      </c>
      <c r="T26" s="63">
        <f t="shared" si="3"/>
        <v>0</v>
      </c>
      <c r="U26" s="64"/>
      <c r="V26" s="65"/>
      <c r="W26" s="66"/>
      <c r="X26" s="67"/>
      <c r="Y26" s="68"/>
      <c r="Z26" s="68"/>
      <c r="AA26" s="62">
        <f t="shared" si="4"/>
        <v>0</v>
      </c>
      <c r="AB26" s="63">
        <f t="shared" si="5"/>
        <v>0</v>
      </c>
      <c r="AC26" s="69"/>
      <c r="AD26" s="70"/>
      <c r="AE26" s="70"/>
      <c r="AF26" s="62">
        <f t="shared" si="6"/>
        <v>0</v>
      </c>
      <c r="AG26" s="63">
        <f t="shared" si="7"/>
        <v>0</v>
      </c>
      <c r="AH26" s="97"/>
      <c r="AI26" s="66"/>
      <c r="AJ26" s="66"/>
      <c r="AK26" s="62">
        <f t="shared" si="8"/>
        <v>0</v>
      </c>
      <c r="AL26" s="72">
        <f t="shared" si="9"/>
        <v>0</v>
      </c>
      <c r="AM26" s="73">
        <f t="shared" si="15"/>
        <v>0</v>
      </c>
      <c r="AN26" s="74">
        <f t="shared" si="18"/>
        <v>0</v>
      </c>
      <c r="AO26" s="74">
        <f t="shared" si="18"/>
        <v>0</v>
      </c>
      <c r="AP26" s="75" t="e">
        <f t="shared" si="16"/>
        <v>#DIV/0!</v>
      </c>
      <c r="AQ26" s="76">
        <f t="shared" si="11"/>
        <v>0</v>
      </c>
      <c r="AR26" s="90">
        <f t="shared" si="12"/>
        <v>0</v>
      </c>
    </row>
    <row r="27" spans="1:48" x14ac:dyDescent="0.25">
      <c r="A27" t="str">
        <f t="shared" si="13"/>
        <v>46185E</v>
      </c>
      <c r="B27" s="51">
        <f t="shared" si="17"/>
        <v>46185</v>
      </c>
      <c r="C27" s="52" t="s">
        <v>88</v>
      </c>
      <c r="D27" s="79"/>
      <c r="E27" s="62"/>
      <c r="F27" s="62"/>
      <c r="G27" s="62">
        <f t="shared" si="0"/>
        <v>0</v>
      </c>
      <c r="H27" s="63">
        <f t="shared" si="1"/>
        <v>0</v>
      </c>
      <c r="I27" s="203"/>
      <c r="J27" s="203"/>
      <c r="K27" s="203"/>
      <c r="L27" s="203"/>
      <c r="M27" s="58"/>
      <c r="N27" s="58"/>
      <c r="O27" s="59"/>
      <c r="P27" s="56"/>
      <c r="Q27" s="60"/>
      <c r="R27" s="61">
        <f t="shared" si="14"/>
        <v>0</v>
      </c>
      <c r="S27" s="62">
        <f t="shared" si="2"/>
        <v>0</v>
      </c>
      <c r="T27" s="63">
        <f t="shared" si="3"/>
        <v>0</v>
      </c>
      <c r="U27" s="64"/>
      <c r="V27" s="65"/>
      <c r="W27" s="66"/>
      <c r="X27" s="67"/>
      <c r="Y27" s="68"/>
      <c r="Z27" s="68"/>
      <c r="AA27" s="62">
        <f t="shared" si="4"/>
        <v>0</v>
      </c>
      <c r="AB27" s="63">
        <f t="shared" si="5"/>
        <v>0</v>
      </c>
      <c r="AC27" s="69"/>
      <c r="AD27" s="70"/>
      <c r="AE27" s="70"/>
      <c r="AF27" s="62">
        <f t="shared" si="6"/>
        <v>0</v>
      </c>
      <c r="AG27" s="63">
        <f t="shared" si="7"/>
        <v>0</v>
      </c>
      <c r="AH27" s="97"/>
      <c r="AI27" s="66"/>
      <c r="AJ27" s="66"/>
      <c r="AK27" s="62">
        <f t="shared" si="8"/>
        <v>0</v>
      </c>
      <c r="AL27" s="72">
        <f t="shared" si="9"/>
        <v>0</v>
      </c>
      <c r="AM27" s="73">
        <f t="shared" si="15"/>
        <v>0</v>
      </c>
      <c r="AN27" s="74">
        <f t="shared" si="18"/>
        <v>0</v>
      </c>
      <c r="AO27" s="74">
        <f t="shared" si="18"/>
        <v>0</v>
      </c>
      <c r="AP27" s="75" t="e">
        <f t="shared" si="16"/>
        <v>#DIV/0!</v>
      </c>
      <c r="AQ27" s="76">
        <f t="shared" si="11"/>
        <v>0</v>
      </c>
      <c r="AR27" s="90">
        <f t="shared" si="12"/>
        <v>0</v>
      </c>
    </row>
    <row r="28" spans="1:48" x14ac:dyDescent="0.25">
      <c r="A28" t="str">
        <f t="shared" si="13"/>
        <v>46186M</v>
      </c>
      <c r="B28" s="51">
        <f t="shared" si="17"/>
        <v>46186</v>
      </c>
      <c r="C28" s="52" t="s">
        <v>87</v>
      </c>
      <c r="D28" s="79"/>
      <c r="E28" s="62"/>
      <c r="F28" s="62"/>
      <c r="G28" s="62">
        <f t="shared" si="0"/>
        <v>0</v>
      </c>
      <c r="H28" s="63">
        <f t="shared" si="1"/>
        <v>0</v>
      </c>
      <c r="I28" s="203"/>
      <c r="J28" s="203"/>
      <c r="K28" s="203"/>
      <c r="L28" s="203"/>
      <c r="M28" s="58"/>
      <c r="N28" s="58"/>
      <c r="O28" s="59"/>
      <c r="P28" s="56"/>
      <c r="Q28" s="60"/>
      <c r="R28" s="61">
        <f t="shared" si="14"/>
        <v>0</v>
      </c>
      <c r="S28" s="62">
        <f t="shared" si="2"/>
        <v>0</v>
      </c>
      <c r="T28" s="63">
        <f t="shared" si="3"/>
        <v>0</v>
      </c>
      <c r="U28" s="64"/>
      <c r="V28" s="65"/>
      <c r="W28" s="66"/>
      <c r="X28" s="67"/>
      <c r="Y28" s="68"/>
      <c r="Z28" s="68"/>
      <c r="AA28" s="62">
        <f t="shared" si="4"/>
        <v>0</v>
      </c>
      <c r="AB28" s="63">
        <f t="shared" si="5"/>
        <v>0</v>
      </c>
      <c r="AC28" s="69"/>
      <c r="AD28" s="70"/>
      <c r="AE28" s="70"/>
      <c r="AF28" s="62">
        <f t="shared" si="6"/>
        <v>0</v>
      </c>
      <c r="AG28" s="63">
        <f t="shared" si="7"/>
        <v>0</v>
      </c>
      <c r="AH28" s="97"/>
      <c r="AI28" s="66"/>
      <c r="AJ28" s="66"/>
      <c r="AK28" s="62">
        <f t="shared" si="8"/>
        <v>0</v>
      </c>
      <c r="AL28" s="72">
        <f t="shared" si="9"/>
        <v>0</v>
      </c>
      <c r="AM28" s="73">
        <f t="shared" si="15"/>
        <v>0</v>
      </c>
      <c r="AN28" s="74">
        <f t="shared" si="18"/>
        <v>0</v>
      </c>
      <c r="AO28" s="74">
        <f t="shared" si="18"/>
        <v>0</v>
      </c>
      <c r="AP28" s="75" t="e">
        <f t="shared" si="16"/>
        <v>#DIV/0!</v>
      </c>
      <c r="AQ28" s="76">
        <f t="shared" si="11"/>
        <v>0</v>
      </c>
      <c r="AR28" s="90">
        <f t="shared" si="12"/>
        <v>0</v>
      </c>
    </row>
    <row r="29" spans="1:48" x14ac:dyDescent="0.25">
      <c r="A29" t="str">
        <f t="shared" si="13"/>
        <v>46186E</v>
      </c>
      <c r="B29" s="51">
        <f t="shared" si="17"/>
        <v>46186</v>
      </c>
      <c r="C29" s="52" t="s">
        <v>88</v>
      </c>
      <c r="D29" s="79"/>
      <c r="E29" s="62"/>
      <c r="F29" s="62"/>
      <c r="G29" s="62">
        <f t="shared" si="0"/>
        <v>0</v>
      </c>
      <c r="H29" s="63">
        <f t="shared" si="1"/>
        <v>0</v>
      </c>
      <c r="I29" s="203"/>
      <c r="J29" s="203"/>
      <c r="K29" s="203"/>
      <c r="L29" s="203"/>
      <c r="M29" s="58"/>
      <c r="N29" s="58"/>
      <c r="O29" s="59"/>
      <c r="P29" s="56"/>
      <c r="Q29" s="60"/>
      <c r="R29" s="61">
        <f t="shared" si="14"/>
        <v>0</v>
      </c>
      <c r="S29" s="62">
        <f t="shared" si="2"/>
        <v>0</v>
      </c>
      <c r="T29" s="63">
        <f t="shared" si="3"/>
        <v>0</v>
      </c>
      <c r="U29" s="64"/>
      <c r="V29" s="65"/>
      <c r="W29" s="66"/>
      <c r="X29" s="67"/>
      <c r="Y29" s="68"/>
      <c r="Z29" s="68"/>
      <c r="AA29" s="62">
        <f t="shared" si="4"/>
        <v>0</v>
      </c>
      <c r="AB29" s="63">
        <f t="shared" si="5"/>
        <v>0</v>
      </c>
      <c r="AC29" s="69"/>
      <c r="AD29" s="70"/>
      <c r="AE29" s="70"/>
      <c r="AF29" s="62">
        <f t="shared" si="6"/>
        <v>0</v>
      </c>
      <c r="AG29" s="63">
        <f t="shared" si="7"/>
        <v>0</v>
      </c>
      <c r="AH29" s="97"/>
      <c r="AI29" s="66"/>
      <c r="AJ29" s="66"/>
      <c r="AK29" s="62">
        <f t="shared" si="8"/>
        <v>0</v>
      </c>
      <c r="AL29" s="72">
        <f t="shared" si="9"/>
        <v>0</v>
      </c>
      <c r="AM29" s="73">
        <f t="shared" si="15"/>
        <v>0</v>
      </c>
      <c r="AN29" s="74">
        <f t="shared" si="18"/>
        <v>0</v>
      </c>
      <c r="AO29" s="74">
        <f t="shared" si="18"/>
        <v>0</v>
      </c>
      <c r="AP29" s="75" t="e">
        <f t="shared" si="16"/>
        <v>#DIV/0!</v>
      </c>
      <c r="AQ29" s="76">
        <f t="shared" si="11"/>
        <v>0</v>
      </c>
      <c r="AR29" s="90">
        <f t="shared" si="12"/>
        <v>0</v>
      </c>
    </row>
    <row r="30" spans="1:48" x14ac:dyDescent="0.25">
      <c r="A30" t="str">
        <f t="shared" si="13"/>
        <v>46187M</v>
      </c>
      <c r="B30" s="51">
        <f t="shared" si="17"/>
        <v>46187</v>
      </c>
      <c r="C30" s="52" t="s">
        <v>87</v>
      </c>
      <c r="D30" s="79"/>
      <c r="E30" s="62"/>
      <c r="F30" s="62"/>
      <c r="G30" s="62">
        <f t="shared" si="0"/>
        <v>0</v>
      </c>
      <c r="H30" s="63">
        <f t="shared" si="1"/>
        <v>0</v>
      </c>
      <c r="I30" s="203"/>
      <c r="J30" s="203"/>
      <c r="K30" s="203"/>
      <c r="L30" s="203"/>
      <c r="M30" s="58"/>
      <c r="N30" s="58"/>
      <c r="O30" s="59"/>
      <c r="P30" s="56"/>
      <c r="Q30" s="60"/>
      <c r="R30" s="61">
        <f t="shared" si="14"/>
        <v>0</v>
      </c>
      <c r="S30" s="62">
        <f t="shared" si="2"/>
        <v>0</v>
      </c>
      <c r="T30" s="63">
        <f t="shared" si="3"/>
        <v>0</v>
      </c>
      <c r="U30" s="64"/>
      <c r="V30" s="65"/>
      <c r="W30" s="66"/>
      <c r="X30" s="67"/>
      <c r="Y30" s="68"/>
      <c r="Z30" s="68"/>
      <c r="AA30" s="62">
        <f t="shared" si="4"/>
        <v>0</v>
      </c>
      <c r="AB30" s="63">
        <f t="shared" si="5"/>
        <v>0</v>
      </c>
      <c r="AC30" s="69"/>
      <c r="AD30" s="70"/>
      <c r="AE30" s="70"/>
      <c r="AF30" s="62">
        <f t="shared" si="6"/>
        <v>0</v>
      </c>
      <c r="AG30" s="63">
        <f t="shared" si="7"/>
        <v>0</v>
      </c>
      <c r="AH30" s="97"/>
      <c r="AI30" s="66"/>
      <c r="AJ30" s="66"/>
      <c r="AK30" s="62">
        <f t="shared" si="8"/>
        <v>0</v>
      </c>
      <c r="AL30" s="72">
        <f t="shared" si="9"/>
        <v>0</v>
      </c>
      <c r="AM30" s="73">
        <f t="shared" si="15"/>
        <v>0</v>
      </c>
      <c r="AN30" s="74">
        <f t="shared" si="18"/>
        <v>0</v>
      </c>
      <c r="AO30" s="74">
        <f t="shared" si="18"/>
        <v>0</v>
      </c>
      <c r="AP30" s="75" t="e">
        <f t="shared" si="16"/>
        <v>#DIV/0!</v>
      </c>
      <c r="AQ30" s="76">
        <f t="shared" si="11"/>
        <v>0</v>
      </c>
      <c r="AR30" s="90">
        <f t="shared" si="12"/>
        <v>0</v>
      </c>
    </row>
    <row r="31" spans="1:48" x14ac:dyDescent="0.25">
      <c r="A31" t="str">
        <f t="shared" si="13"/>
        <v>46187E</v>
      </c>
      <c r="B31" s="51">
        <f t="shared" si="17"/>
        <v>46187</v>
      </c>
      <c r="C31" s="52" t="s">
        <v>88</v>
      </c>
      <c r="D31" s="79"/>
      <c r="E31" s="62"/>
      <c r="F31" s="62"/>
      <c r="G31" s="62">
        <f t="shared" si="0"/>
        <v>0</v>
      </c>
      <c r="H31" s="63">
        <f t="shared" si="1"/>
        <v>0</v>
      </c>
      <c r="I31" s="203"/>
      <c r="J31" s="203"/>
      <c r="K31" s="203"/>
      <c r="L31" s="203"/>
      <c r="M31" s="58"/>
      <c r="N31" s="58"/>
      <c r="O31" s="59"/>
      <c r="P31" s="56"/>
      <c r="Q31" s="60"/>
      <c r="R31" s="61">
        <f t="shared" si="14"/>
        <v>0</v>
      </c>
      <c r="S31" s="62">
        <f t="shared" si="2"/>
        <v>0</v>
      </c>
      <c r="T31" s="63">
        <f t="shared" si="3"/>
        <v>0</v>
      </c>
      <c r="U31" s="64"/>
      <c r="V31" s="85"/>
      <c r="W31" s="66"/>
      <c r="X31" s="67"/>
      <c r="Y31" s="68"/>
      <c r="Z31" s="68"/>
      <c r="AA31" s="62">
        <f t="shared" si="4"/>
        <v>0</v>
      </c>
      <c r="AB31" s="63">
        <f t="shared" si="5"/>
        <v>0</v>
      </c>
      <c r="AC31" s="69"/>
      <c r="AD31" s="70"/>
      <c r="AE31" s="70"/>
      <c r="AF31" s="62">
        <f t="shared" si="6"/>
        <v>0</v>
      </c>
      <c r="AG31" s="63">
        <f t="shared" si="7"/>
        <v>0</v>
      </c>
      <c r="AH31" s="97"/>
      <c r="AI31" s="66"/>
      <c r="AJ31" s="66"/>
      <c r="AK31" s="62">
        <f t="shared" si="8"/>
        <v>0</v>
      </c>
      <c r="AL31" s="72">
        <f t="shared" si="9"/>
        <v>0</v>
      </c>
      <c r="AM31" s="73">
        <f t="shared" si="15"/>
        <v>0</v>
      </c>
      <c r="AN31" s="74">
        <f t="shared" si="18"/>
        <v>0</v>
      </c>
      <c r="AO31" s="74">
        <f t="shared" si="18"/>
        <v>0</v>
      </c>
      <c r="AP31" s="75" t="e">
        <f t="shared" si="16"/>
        <v>#DIV/0!</v>
      </c>
      <c r="AQ31" s="76">
        <f t="shared" si="11"/>
        <v>0</v>
      </c>
      <c r="AR31" s="90">
        <f t="shared" si="12"/>
        <v>0</v>
      </c>
    </row>
    <row r="32" spans="1:48" x14ac:dyDescent="0.25">
      <c r="A32" t="str">
        <f t="shared" si="13"/>
        <v>46188M</v>
      </c>
      <c r="B32" s="51">
        <f t="shared" si="17"/>
        <v>46188</v>
      </c>
      <c r="C32" s="52" t="s">
        <v>87</v>
      </c>
      <c r="D32" s="79"/>
      <c r="E32" s="62"/>
      <c r="F32" s="62"/>
      <c r="G32" s="62">
        <f t="shared" si="0"/>
        <v>0</v>
      </c>
      <c r="H32" s="63">
        <f t="shared" si="1"/>
        <v>0</v>
      </c>
      <c r="I32" s="203"/>
      <c r="J32" s="203"/>
      <c r="K32" s="203"/>
      <c r="L32" s="203"/>
      <c r="M32" s="58"/>
      <c r="N32" s="58"/>
      <c r="O32" s="59"/>
      <c r="P32" s="56"/>
      <c r="Q32" s="60"/>
      <c r="R32" s="61">
        <f t="shared" si="14"/>
        <v>0</v>
      </c>
      <c r="S32" s="62">
        <f t="shared" si="2"/>
        <v>0</v>
      </c>
      <c r="T32" s="63">
        <f t="shared" si="3"/>
        <v>0</v>
      </c>
      <c r="U32" s="64"/>
      <c r="V32" s="85"/>
      <c r="W32" s="66"/>
      <c r="X32" s="67"/>
      <c r="Y32" s="68"/>
      <c r="Z32" s="68"/>
      <c r="AA32" s="62">
        <f t="shared" si="4"/>
        <v>0</v>
      </c>
      <c r="AB32" s="63">
        <f t="shared" si="5"/>
        <v>0</v>
      </c>
      <c r="AC32" s="69"/>
      <c r="AD32" s="70"/>
      <c r="AE32" s="70"/>
      <c r="AF32" s="62">
        <f t="shared" si="6"/>
        <v>0</v>
      </c>
      <c r="AG32" s="63">
        <f t="shared" si="7"/>
        <v>0</v>
      </c>
      <c r="AH32" s="97"/>
      <c r="AI32" s="66"/>
      <c r="AJ32" s="66"/>
      <c r="AK32" s="62">
        <f t="shared" si="8"/>
        <v>0</v>
      </c>
      <c r="AL32" s="72">
        <f t="shared" si="9"/>
        <v>0</v>
      </c>
      <c r="AM32" s="73">
        <f t="shared" si="15"/>
        <v>0</v>
      </c>
      <c r="AN32" s="74">
        <f t="shared" si="18"/>
        <v>0</v>
      </c>
      <c r="AO32" s="74">
        <f t="shared" si="18"/>
        <v>0</v>
      </c>
      <c r="AP32" s="75" t="e">
        <f t="shared" si="16"/>
        <v>#DIV/0!</v>
      </c>
      <c r="AQ32" s="76">
        <f t="shared" si="11"/>
        <v>0</v>
      </c>
      <c r="AR32" s="90">
        <f t="shared" si="12"/>
        <v>0</v>
      </c>
    </row>
    <row r="33" spans="1:44" x14ac:dyDescent="0.25">
      <c r="A33" t="str">
        <f t="shared" si="13"/>
        <v>46188E</v>
      </c>
      <c r="B33" s="51">
        <f t="shared" si="17"/>
        <v>46188</v>
      </c>
      <c r="C33" s="52" t="s">
        <v>88</v>
      </c>
      <c r="D33" s="79"/>
      <c r="E33" s="62"/>
      <c r="F33" s="62"/>
      <c r="G33" s="62">
        <f t="shared" si="0"/>
        <v>0</v>
      </c>
      <c r="H33" s="63">
        <f t="shared" si="1"/>
        <v>0</v>
      </c>
      <c r="I33" s="203"/>
      <c r="J33" s="203"/>
      <c r="K33" s="203"/>
      <c r="L33" s="203"/>
      <c r="M33" s="58"/>
      <c r="N33" s="58"/>
      <c r="O33" s="59"/>
      <c r="P33" s="56"/>
      <c r="Q33" s="60"/>
      <c r="R33" s="61">
        <f t="shared" si="14"/>
        <v>0</v>
      </c>
      <c r="S33" s="62">
        <f t="shared" si="2"/>
        <v>0</v>
      </c>
      <c r="T33" s="63">
        <f t="shared" si="3"/>
        <v>0</v>
      </c>
      <c r="U33" s="64"/>
      <c r="V33" s="85"/>
      <c r="W33" s="66"/>
      <c r="X33" s="67"/>
      <c r="Y33" s="68"/>
      <c r="Z33" s="68"/>
      <c r="AA33" s="62">
        <f t="shared" si="4"/>
        <v>0</v>
      </c>
      <c r="AB33" s="63">
        <f t="shared" si="5"/>
        <v>0</v>
      </c>
      <c r="AC33" s="69"/>
      <c r="AD33" s="70"/>
      <c r="AE33" s="70"/>
      <c r="AF33" s="62">
        <f t="shared" si="6"/>
        <v>0</v>
      </c>
      <c r="AG33" s="63">
        <f t="shared" si="7"/>
        <v>0</v>
      </c>
      <c r="AH33" s="97"/>
      <c r="AI33" s="66"/>
      <c r="AJ33" s="66"/>
      <c r="AK33" s="62">
        <f t="shared" si="8"/>
        <v>0</v>
      </c>
      <c r="AL33" s="72">
        <f t="shared" si="9"/>
        <v>0</v>
      </c>
      <c r="AM33" s="73">
        <f t="shared" si="15"/>
        <v>0</v>
      </c>
      <c r="AN33" s="74">
        <f t="shared" si="18"/>
        <v>0</v>
      </c>
      <c r="AO33" s="74">
        <f t="shared" si="18"/>
        <v>0</v>
      </c>
      <c r="AP33" s="75" t="e">
        <f t="shared" si="16"/>
        <v>#DIV/0!</v>
      </c>
      <c r="AQ33" s="76">
        <f t="shared" si="11"/>
        <v>0</v>
      </c>
      <c r="AR33" s="90">
        <f t="shared" si="12"/>
        <v>0</v>
      </c>
    </row>
    <row r="34" spans="1:44" x14ac:dyDescent="0.25">
      <c r="A34" t="str">
        <f t="shared" si="13"/>
        <v>46189M</v>
      </c>
      <c r="B34" s="51">
        <f t="shared" si="17"/>
        <v>46189</v>
      </c>
      <c r="C34" s="52" t="s">
        <v>87</v>
      </c>
      <c r="D34" s="79"/>
      <c r="E34" s="62"/>
      <c r="F34" s="62"/>
      <c r="G34" s="62">
        <f t="shared" si="0"/>
        <v>0</v>
      </c>
      <c r="H34" s="63">
        <f t="shared" si="1"/>
        <v>0</v>
      </c>
      <c r="I34" s="203"/>
      <c r="J34" s="203"/>
      <c r="K34" s="203"/>
      <c r="L34" s="203"/>
      <c r="M34" s="58"/>
      <c r="N34" s="58"/>
      <c r="O34" s="59"/>
      <c r="P34" s="56"/>
      <c r="Q34" s="60"/>
      <c r="R34" s="61">
        <f t="shared" si="14"/>
        <v>0</v>
      </c>
      <c r="S34" s="62">
        <f t="shared" si="2"/>
        <v>0</v>
      </c>
      <c r="T34" s="63">
        <f t="shared" si="3"/>
        <v>0</v>
      </c>
      <c r="U34" s="64"/>
      <c r="V34" s="65"/>
      <c r="W34" s="66"/>
      <c r="X34" s="67"/>
      <c r="Y34" s="68"/>
      <c r="Z34" s="68"/>
      <c r="AA34" s="62">
        <f t="shared" si="4"/>
        <v>0</v>
      </c>
      <c r="AB34" s="63">
        <f t="shared" si="5"/>
        <v>0</v>
      </c>
      <c r="AC34" s="69"/>
      <c r="AD34" s="70"/>
      <c r="AE34" s="70"/>
      <c r="AF34" s="62">
        <f t="shared" si="6"/>
        <v>0</v>
      </c>
      <c r="AG34" s="63">
        <f t="shared" si="7"/>
        <v>0</v>
      </c>
      <c r="AH34" s="97"/>
      <c r="AI34" s="66"/>
      <c r="AJ34" s="66"/>
      <c r="AK34" s="62">
        <f t="shared" si="8"/>
        <v>0</v>
      </c>
      <c r="AL34" s="72">
        <f t="shared" si="9"/>
        <v>0</v>
      </c>
      <c r="AM34" s="73">
        <f t="shared" si="15"/>
        <v>0</v>
      </c>
      <c r="AN34" s="74">
        <f t="shared" si="18"/>
        <v>0</v>
      </c>
      <c r="AO34" s="74">
        <f t="shared" si="18"/>
        <v>0</v>
      </c>
      <c r="AP34" s="75" t="e">
        <f t="shared" si="16"/>
        <v>#DIV/0!</v>
      </c>
      <c r="AQ34" s="76">
        <f t="shared" si="11"/>
        <v>0</v>
      </c>
      <c r="AR34" s="77">
        <f>(D34+J34+O34)-(X34+AH34)</f>
        <v>0</v>
      </c>
    </row>
    <row r="35" spans="1:44" x14ac:dyDescent="0.25">
      <c r="A35" t="str">
        <f t="shared" si="13"/>
        <v>46189E</v>
      </c>
      <c r="B35" s="51">
        <f t="shared" si="17"/>
        <v>46189</v>
      </c>
      <c r="C35" s="52" t="s">
        <v>88</v>
      </c>
      <c r="D35" s="79"/>
      <c r="E35" s="62"/>
      <c r="F35" s="62"/>
      <c r="G35" s="62">
        <f t="shared" si="0"/>
        <v>0</v>
      </c>
      <c r="H35" s="63">
        <f t="shared" si="1"/>
        <v>0</v>
      </c>
      <c r="I35" s="203"/>
      <c r="J35" s="203"/>
      <c r="K35" s="203"/>
      <c r="L35" s="203"/>
      <c r="M35" s="58"/>
      <c r="N35" s="58"/>
      <c r="O35" s="59"/>
      <c r="P35" s="56"/>
      <c r="Q35" s="60"/>
      <c r="R35" s="61">
        <f t="shared" si="14"/>
        <v>0</v>
      </c>
      <c r="S35" s="62">
        <f t="shared" si="2"/>
        <v>0</v>
      </c>
      <c r="T35" s="63">
        <f t="shared" si="3"/>
        <v>0</v>
      </c>
      <c r="U35" s="64"/>
      <c r="V35" s="65"/>
      <c r="W35" s="66"/>
      <c r="X35" s="67"/>
      <c r="Y35" s="68"/>
      <c r="Z35" s="68"/>
      <c r="AA35" s="62">
        <f t="shared" si="4"/>
        <v>0</v>
      </c>
      <c r="AB35" s="63">
        <f t="shared" si="5"/>
        <v>0</v>
      </c>
      <c r="AC35" s="69"/>
      <c r="AD35" s="70"/>
      <c r="AE35" s="70"/>
      <c r="AF35" s="62">
        <f t="shared" si="6"/>
        <v>0</v>
      </c>
      <c r="AG35" s="63">
        <f t="shared" si="7"/>
        <v>0</v>
      </c>
      <c r="AH35" s="97"/>
      <c r="AI35" s="66"/>
      <c r="AJ35" s="66"/>
      <c r="AK35" s="62">
        <f t="shared" si="8"/>
        <v>0</v>
      </c>
      <c r="AL35" s="72">
        <f t="shared" si="9"/>
        <v>0</v>
      </c>
      <c r="AM35" s="73">
        <f t="shared" si="15"/>
        <v>0</v>
      </c>
      <c r="AN35" s="74">
        <f t="shared" si="18"/>
        <v>0</v>
      </c>
      <c r="AO35" s="74">
        <f t="shared" si="18"/>
        <v>0</v>
      </c>
      <c r="AP35" s="75" t="e">
        <f t="shared" si="16"/>
        <v>#DIV/0!</v>
      </c>
      <c r="AQ35" s="76">
        <f t="shared" si="11"/>
        <v>0</v>
      </c>
      <c r="AR35" s="77">
        <f t="shared" si="12"/>
        <v>0</v>
      </c>
    </row>
    <row r="36" spans="1:44" x14ac:dyDescent="0.25">
      <c r="A36" t="str">
        <f t="shared" si="13"/>
        <v>46190M</v>
      </c>
      <c r="B36" s="51">
        <f t="shared" si="17"/>
        <v>46190</v>
      </c>
      <c r="C36" s="52" t="s">
        <v>87</v>
      </c>
      <c r="D36" s="79"/>
      <c r="E36" s="62"/>
      <c r="F36" s="62"/>
      <c r="G36" s="62">
        <f t="shared" si="0"/>
        <v>0</v>
      </c>
      <c r="H36" s="63">
        <f t="shared" si="1"/>
        <v>0</v>
      </c>
      <c r="I36" s="203"/>
      <c r="J36" s="203"/>
      <c r="K36" s="203"/>
      <c r="L36" s="203"/>
      <c r="M36" s="58"/>
      <c r="N36" s="58"/>
      <c r="O36" s="59"/>
      <c r="P36" s="56"/>
      <c r="Q36" s="60"/>
      <c r="R36" s="61">
        <f t="shared" si="14"/>
        <v>0</v>
      </c>
      <c r="S36" s="62">
        <f t="shared" si="2"/>
        <v>0</v>
      </c>
      <c r="T36" s="63">
        <f t="shared" si="3"/>
        <v>0</v>
      </c>
      <c r="U36" s="64"/>
      <c r="V36" s="65"/>
      <c r="W36" s="66"/>
      <c r="X36" s="67"/>
      <c r="Y36" s="68"/>
      <c r="Z36" s="68"/>
      <c r="AA36" s="62">
        <f t="shared" si="4"/>
        <v>0</v>
      </c>
      <c r="AB36" s="63">
        <f t="shared" si="5"/>
        <v>0</v>
      </c>
      <c r="AC36" s="69"/>
      <c r="AD36" s="70"/>
      <c r="AE36" s="70"/>
      <c r="AF36" s="62">
        <f t="shared" si="6"/>
        <v>0</v>
      </c>
      <c r="AG36" s="63">
        <f t="shared" si="7"/>
        <v>0</v>
      </c>
      <c r="AH36" s="97"/>
      <c r="AI36" s="66"/>
      <c r="AJ36" s="66"/>
      <c r="AK36" s="62">
        <f t="shared" si="8"/>
        <v>0</v>
      </c>
      <c r="AL36" s="72">
        <f t="shared" si="9"/>
        <v>0</v>
      </c>
      <c r="AM36" s="73">
        <f t="shared" si="15"/>
        <v>0</v>
      </c>
      <c r="AN36" s="74">
        <f t="shared" si="18"/>
        <v>0</v>
      </c>
      <c r="AO36" s="74">
        <f t="shared" si="18"/>
        <v>0</v>
      </c>
      <c r="AP36" s="75" t="e">
        <f t="shared" si="16"/>
        <v>#DIV/0!</v>
      </c>
      <c r="AQ36" s="76">
        <f t="shared" si="11"/>
        <v>0</v>
      </c>
      <c r="AR36" s="90">
        <f t="shared" si="12"/>
        <v>0</v>
      </c>
    </row>
    <row r="37" spans="1:44" x14ac:dyDescent="0.25">
      <c r="A37" t="str">
        <f t="shared" si="13"/>
        <v>46190E</v>
      </c>
      <c r="B37" s="51">
        <f t="shared" si="17"/>
        <v>46190</v>
      </c>
      <c r="C37" s="52" t="s">
        <v>88</v>
      </c>
      <c r="D37" s="79"/>
      <c r="E37" s="62"/>
      <c r="F37" s="62"/>
      <c r="G37" s="62">
        <f t="shared" si="0"/>
        <v>0</v>
      </c>
      <c r="H37" s="63">
        <f t="shared" si="1"/>
        <v>0</v>
      </c>
      <c r="I37" s="203"/>
      <c r="J37" s="203"/>
      <c r="K37" s="203"/>
      <c r="L37" s="203"/>
      <c r="M37" s="58"/>
      <c r="N37" s="58"/>
      <c r="O37" s="59"/>
      <c r="P37" s="56"/>
      <c r="Q37" s="60"/>
      <c r="R37" s="61">
        <f t="shared" si="14"/>
        <v>0</v>
      </c>
      <c r="S37" s="62">
        <f t="shared" si="2"/>
        <v>0</v>
      </c>
      <c r="T37" s="63">
        <f t="shared" si="3"/>
        <v>0</v>
      </c>
      <c r="U37" s="64"/>
      <c r="V37" s="85"/>
      <c r="W37" s="66"/>
      <c r="X37" s="67"/>
      <c r="Y37" s="68"/>
      <c r="Z37" s="68"/>
      <c r="AA37" s="62">
        <f t="shared" si="4"/>
        <v>0</v>
      </c>
      <c r="AB37" s="63">
        <f t="shared" si="5"/>
        <v>0</v>
      </c>
      <c r="AC37" s="69"/>
      <c r="AD37" s="70"/>
      <c r="AE37" s="70"/>
      <c r="AF37" s="62">
        <f t="shared" si="6"/>
        <v>0</v>
      </c>
      <c r="AG37" s="63">
        <f t="shared" si="7"/>
        <v>0</v>
      </c>
      <c r="AH37" s="97"/>
      <c r="AI37" s="66"/>
      <c r="AJ37" s="66"/>
      <c r="AK37" s="62">
        <f t="shared" si="8"/>
        <v>0</v>
      </c>
      <c r="AL37" s="72">
        <f t="shared" si="9"/>
        <v>0</v>
      </c>
      <c r="AM37" s="73">
        <f t="shared" si="15"/>
        <v>0</v>
      </c>
      <c r="AN37" s="74">
        <f t="shared" si="18"/>
        <v>0</v>
      </c>
      <c r="AO37" s="74">
        <f t="shared" si="18"/>
        <v>0</v>
      </c>
      <c r="AP37" s="75" t="e">
        <f t="shared" si="16"/>
        <v>#DIV/0!</v>
      </c>
      <c r="AQ37" s="76">
        <f t="shared" si="11"/>
        <v>0</v>
      </c>
      <c r="AR37" s="90">
        <f t="shared" si="12"/>
        <v>0</v>
      </c>
    </row>
    <row r="38" spans="1:44" x14ac:dyDescent="0.25">
      <c r="A38" t="str">
        <f t="shared" si="13"/>
        <v>46191M</v>
      </c>
      <c r="B38" s="51">
        <f t="shared" si="17"/>
        <v>46191</v>
      </c>
      <c r="C38" s="52" t="s">
        <v>87</v>
      </c>
      <c r="D38" s="79"/>
      <c r="E38" s="62"/>
      <c r="F38" s="62"/>
      <c r="G38" s="62">
        <f t="shared" si="0"/>
        <v>0</v>
      </c>
      <c r="H38" s="63">
        <f t="shared" si="1"/>
        <v>0</v>
      </c>
      <c r="I38" s="203"/>
      <c r="J38" s="203"/>
      <c r="K38" s="203"/>
      <c r="L38" s="203"/>
      <c r="M38" s="58"/>
      <c r="N38" s="58"/>
      <c r="O38" s="59"/>
      <c r="P38" s="56"/>
      <c r="Q38" s="60"/>
      <c r="R38" s="61">
        <f t="shared" si="14"/>
        <v>0</v>
      </c>
      <c r="S38" s="62">
        <f t="shared" si="2"/>
        <v>0</v>
      </c>
      <c r="T38" s="63">
        <f t="shared" si="3"/>
        <v>0</v>
      </c>
      <c r="U38" s="64"/>
      <c r="V38" s="65"/>
      <c r="W38" s="66"/>
      <c r="X38" s="67"/>
      <c r="Y38" s="68"/>
      <c r="Z38" s="68"/>
      <c r="AA38" s="62">
        <f t="shared" si="4"/>
        <v>0</v>
      </c>
      <c r="AB38" s="63">
        <f t="shared" si="5"/>
        <v>0</v>
      </c>
      <c r="AC38" s="69"/>
      <c r="AD38" s="70"/>
      <c r="AE38" s="70"/>
      <c r="AF38" s="62">
        <f t="shared" si="6"/>
        <v>0</v>
      </c>
      <c r="AG38" s="63">
        <f t="shared" si="7"/>
        <v>0</v>
      </c>
      <c r="AH38" s="97"/>
      <c r="AI38" s="66"/>
      <c r="AJ38" s="66"/>
      <c r="AK38" s="62">
        <f t="shared" si="8"/>
        <v>0</v>
      </c>
      <c r="AL38" s="72">
        <f t="shared" si="9"/>
        <v>0</v>
      </c>
      <c r="AM38" s="73">
        <f t="shared" si="15"/>
        <v>0</v>
      </c>
      <c r="AN38" s="74">
        <f t="shared" si="18"/>
        <v>0</v>
      </c>
      <c r="AO38" s="74">
        <f t="shared" si="18"/>
        <v>0</v>
      </c>
      <c r="AP38" s="75" t="e">
        <f t="shared" si="16"/>
        <v>#DIV/0!</v>
      </c>
      <c r="AQ38" s="76">
        <f t="shared" si="11"/>
        <v>0</v>
      </c>
      <c r="AR38" s="90">
        <f t="shared" si="12"/>
        <v>0</v>
      </c>
    </row>
    <row r="39" spans="1:44" x14ac:dyDescent="0.25">
      <c r="A39" t="str">
        <f t="shared" si="13"/>
        <v>46191E</v>
      </c>
      <c r="B39" s="51">
        <f t="shared" si="17"/>
        <v>46191</v>
      </c>
      <c r="C39" s="52" t="s">
        <v>88</v>
      </c>
      <c r="D39" s="79"/>
      <c r="E39" s="62"/>
      <c r="F39" s="62"/>
      <c r="G39" s="62">
        <f t="shared" si="0"/>
        <v>0</v>
      </c>
      <c r="H39" s="63">
        <f t="shared" si="1"/>
        <v>0</v>
      </c>
      <c r="I39" s="203"/>
      <c r="J39" s="203"/>
      <c r="K39" s="203"/>
      <c r="L39" s="203"/>
      <c r="M39" s="58"/>
      <c r="N39" s="58"/>
      <c r="O39" s="59"/>
      <c r="P39" s="56"/>
      <c r="Q39" s="60"/>
      <c r="R39" s="61">
        <f t="shared" si="14"/>
        <v>0</v>
      </c>
      <c r="S39" s="62">
        <f t="shared" si="2"/>
        <v>0</v>
      </c>
      <c r="T39" s="63">
        <f t="shared" si="3"/>
        <v>0</v>
      </c>
      <c r="U39" s="64"/>
      <c r="V39" s="65"/>
      <c r="W39" s="66"/>
      <c r="X39" s="67"/>
      <c r="Y39" s="68"/>
      <c r="Z39" s="68"/>
      <c r="AA39" s="62">
        <f t="shared" si="4"/>
        <v>0</v>
      </c>
      <c r="AB39" s="63">
        <f t="shared" si="5"/>
        <v>0</v>
      </c>
      <c r="AC39" s="69"/>
      <c r="AD39" s="70"/>
      <c r="AE39" s="70"/>
      <c r="AF39" s="62">
        <f t="shared" si="6"/>
        <v>0</v>
      </c>
      <c r="AG39" s="63">
        <f t="shared" si="7"/>
        <v>0</v>
      </c>
      <c r="AH39" s="97"/>
      <c r="AI39" s="66"/>
      <c r="AJ39" s="66"/>
      <c r="AK39" s="62">
        <f t="shared" si="8"/>
        <v>0</v>
      </c>
      <c r="AL39" s="72">
        <f t="shared" si="9"/>
        <v>0</v>
      </c>
      <c r="AM39" s="73">
        <f t="shared" si="15"/>
        <v>0</v>
      </c>
      <c r="AN39" s="74">
        <f t="shared" si="18"/>
        <v>0</v>
      </c>
      <c r="AO39" s="74">
        <f t="shared" si="18"/>
        <v>0</v>
      </c>
      <c r="AP39" s="75" t="e">
        <f t="shared" si="16"/>
        <v>#DIV/0!</v>
      </c>
      <c r="AQ39" s="76">
        <f t="shared" si="11"/>
        <v>0</v>
      </c>
      <c r="AR39" s="90">
        <f t="shared" si="12"/>
        <v>0</v>
      </c>
    </row>
    <row r="40" spans="1:44" x14ac:dyDescent="0.25">
      <c r="A40" t="str">
        <f t="shared" si="13"/>
        <v>46192M</v>
      </c>
      <c r="B40" s="51">
        <f t="shared" si="17"/>
        <v>46192</v>
      </c>
      <c r="C40" s="52" t="s">
        <v>87</v>
      </c>
      <c r="D40" s="79"/>
      <c r="E40" s="62"/>
      <c r="F40" s="62"/>
      <c r="G40" s="62">
        <f t="shared" si="0"/>
        <v>0</v>
      </c>
      <c r="H40" s="63">
        <f t="shared" si="1"/>
        <v>0</v>
      </c>
      <c r="I40" s="203"/>
      <c r="J40" s="203"/>
      <c r="K40" s="203"/>
      <c r="L40" s="203"/>
      <c r="M40" s="58"/>
      <c r="N40" s="58"/>
      <c r="O40" s="59"/>
      <c r="P40" s="56"/>
      <c r="Q40" s="60"/>
      <c r="R40" s="61">
        <f t="shared" si="14"/>
        <v>0</v>
      </c>
      <c r="S40" s="62">
        <f t="shared" si="2"/>
        <v>0</v>
      </c>
      <c r="T40" s="63">
        <f t="shared" si="3"/>
        <v>0</v>
      </c>
      <c r="U40" s="64"/>
      <c r="V40" s="65"/>
      <c r="W40" s="66"/>
      <c r="X40" s="67"/>
      <c r="Y40" s="68"/>
      <c r="Z40" s="68"/>
      <c r="AA40" s="62">
        <f t="shared" si="4"/>
        <v>0</v>
      </c>
      <c r="AB40" s="63">
        <f t="shared" si="5"/>
        <v>0</v>
      </c>
      <c r="AC40" s="69"/>
      <c r="AD40" s="70"/>
      <c r="AE40" s="70"/>
      <c r="AF40" s="62">
        <f t="shared" si="6"/>
        <v>0</v>
      </c>
      <c r="AG40" s="63">
        <f t="shared" si="7"/>
        <v>0</v>
      </c>
      <c r="AH40" s="97"/>
      <c r="AI40" s="66"/>
      <c r="AJ40" s="66"/>
      <c r="AK40" s="62">
        <f t="shared" si="8"/>
        <v>0</v>
      </c>
      <c r="AL40" s="72">
        <f>AH40*AJ40%</f>
        <v>0</v>
      </c>
      <c r="AM40" s="73">
        <f t="shared" si="15"/>
        <v>0</v>
      </c>
      <c r="AN40" s="74">
        <f t="shared" si="18"/>
        <v>0</v>
      </c>
      <c r="AO40" s="74">
        <f t="shared" si="18"/>
        <v>0</v>
      </c>
      <c r="AP40" s="75" t="e">
        <f t="shared" si="16"/>
        <v>#DIV/0!</v>
      </c>
      <c r="AQ40" s="76">
        <f t="shared" si="11"/>
        <v>0</v>
      </c>
      <c r="AR40" s="90">
        <f t="shared" si="12"/>
        <v>0</v>
      </c>
    </row>
    <row r="41" spans="1:44" x14ac:dyDescent="0.25">
      <c r="A41" t="str">
        <f t="shared" si="13"/>
        <v>46192E</v>
      </c>
      <c r="B41" s="51">
        <f t="shared" si="17"/>
        <v>46192</v>
      </c>
      <c r="C41" s="52" t="s">
        <v>88</v>
      </c>
      <c r="D41" s="79"/>
      <c r="E41" s="62"/>
      <c r="F41" s="62"/>
      <c r="G41" s="62">
        <f t="shared" si="0"/>
        <v>0</v>
      </c>
      <c r="H41" s="63">
        <f t="shared" si="1"/>
        <v>0</v>
      </c>
      <c r="I41" s="203"/>
      <c r="J41" s="203"/>
      <c r="K41" s="203"/>
      <c r="L41" s="203"/>
      <c r="M41" s="58"/>
      <c r="N41" s="58"/>
      <c r="O41" s="59"/>
      <c r="P41" s="56"/>
      <c r="Q41" s="60"/>
      <c r="R41" s="61">
        <f t="shared" si="14"/>
        <v>0</v>
      </c>
      <c r="S41" s="62">
        <f t="shared" si="2"/>
        <v>0</v>
      </c>
      <c r="T41" s="63">
        <f t="shared" si="3"/>
        <v>0</v>
      </c>
      <c r="U41" s="64"/>
      <c r="V41" s="65"/>
      <c r="W41" s="66"/>
      <c r="X41" s="67"/>
      <c r="Y41" s="68"/>
      <c r="Z41" s="68"/>
      <c r="AA41" s="62">
        <f t="shared" si="4"/>
        <v>0</v>
      </c>
      <c r="AB41" s="63">
        <f t="shared" si="5"/>
        <v>0</v>
      </c>
      <c r="AC41" s="69"/>
      <c r="AD41" s="70"/>
      <c r="AE41" s="70"/>
      <c r="AF41" s="62">
        <f t="shared" si="6"/>
        <v>0</v>
      </c>
      <c r="AG41" s="63">
        <f t="shared" si="7"/>
        <v>0</v>
      </c>
      <c r="AH41" s="97"/>
      <c r="AI41" s="66"/>
      <c r="AJ41" s="66"/>
      <c r="AK41" s="62">
        <f t="shared" si="8"/>
        <v>0</v>
      </c>
      <c r="AL41" s="72">
        <f t="shared" si="9"/>
        <v>0</v>
      </c>
      <c r="AM41" s="73">
        <f t="shared" si="15"/>
        <v>0</v>
      </c>
      <c r="AN41" s="74">
        <f t="shared" si="18"/>
        <v>0</v>
      </c>
      <c r="AO41" s="74">
        <f t="shared" si="18"/>
        <v>0</v>
      </c>
      <c r="AP41" s="75" t="e">
        <f t="shared" si="16"/>
        <v>#DIV/0!</v>
      </c>
      <c r="AQ41" s="76">
        <f t="shared" si="11"/>
        <v>0</v>
      </c>
      <c r="AR41" s="90">
        <f t="shared" si="12"/>
        <v>0</v>
      </c>
    </row>
    <row r="42" spans="1:44" x14ac:dyDescent="0.25">
      <c r="A42" t="str">
        <f t="shared" si="13"/>
        <v>46193M</v>
      </c>
      <c r="B42" s="51">
        <f t="shared" si="17"/>
        <v>46193</v>
      </c>
      <c r="C42" s="52" t="s">
        <v>87</v>
      </c>
      <c r="D42" s="79"/>
      <c r="E42" s="62"/>
      <c r="F42" s="62"/>
      <c r="G42" s="62">
        <f t="shared" si="0"/>
        <v>0</v>
      </c>
      <c r="H42" s="63">
        <f t="shared" si="1"/>
        <v>0</v>
      </c>
      <c r="I42" s="203"/>
      <c r="J42" s="203"/>
      <c r="K42" s="203"/>
      <c r="L42" s="203"/>
      <c r="M42" s="58"/>
      <c r="N42" s="58"/>
      <c r="O42" s="59"/>
      <c r="P42" s="56"/>
      <c r="Q42" s="60"/>
      <c r="R42" s="61">
        <f t="shared" si="14"/>
        <v>0</v>
      </c>
      <c r="S42" s="62">
        <f t="shared" si="2"/>
        <v>0</v>
      </c>
      <c r="T42" s="63">
        <f t="shared" si="3"/>
        <v>0</v>
      </c>
      <c r="U42" s="64"/>
      <c r="V42" s="65"/>
      <c r="W42" s="66"/>
      <c r="X42" s="67"/>
      <c r="Y42" s="68"/>
      <c r="Z42" s="68"/>
      <c r="AA42" s="62">
        <f t="shared" si="4"/>
        <v>0</v>
      </c>
      <c r="AB42" s="63">
        <f t="shared" si="5"/>
        <v>0</v>
      </c>
      <c r="AC42" s="69"/>
      <c r="AD42" s="70"/>
      <c r="AE42" s="70"/>
      <c r="AF42" s="62">
        <f t="shared" si="6"/>
        <v>0</v>
      </c>
      <c r="AG42" s="63">
        <f t="shared" si="7"/>
        <v>0</v>
      </c>
      <c r="AH42" s="97"/>
      <c r="AI42" s="66"/>
      <c r="AJ42" s="66"/>
      <c r="AK42" s="62">
        <f t="shared" si="8"/>
        <v>0</v>
      </c>
      <c r="AL42" s="72">
        <f t="shared" si="9"/>
        <v>0</v>
      </c>
      <c r="AM42" s="73">
        <f t="shared" si="15"/>
        <v>0</v>
      </c>
      <c r="AN42" s="74">
        <f t="shared" si="18"/>
        <v>0</v>
      </c>
      <c r="AO42" s="74">
        <f t="shared" si="18"/>
        <v>0</v>
      </c>
      <c r="AP42" s="75" t="e">
        <f t="shared" si="16"/>
        <v>#DIV/0!</v>
      </c>
      <c r="AQ42" s="76">
        <f t="shared" si="11"/>
        <v>0</v>
      </c>
      <c r="AR42" s="90">
        <f t="shared" si="12"/>
        <v>0</v>
      </c>
    </row>
    <row r="43" spans="1:44" x14ac:dyDescent="0.25">
      <c r="A43" t="str">
        <f t="shared" si="13"/>
        <v>46193E</v>
      </c>
      <c r="B43" s="51">
        <f t="shared" si="17"/>
        <v>46193</v>
      </c>
      <c r="C43" s="52" t="s">
        <v>88</v>
      </c>
      <c r="D43" s="79"/>
      <c r="E43" s="62"/>
      <c r="F43" s="62"/>
      <c r="G43" s="62">
        <f t="shared" si="0"/>
        <v>0</v>
      </c>
      <c r="H43" s="63">
        <f t="shared" si="1"/>
        <v>0</v>
      </c>
      <c r="I43" s="203"/>
      <c r="J43" s="203"/>
      <c r="K43" s="203"/>
      <c r="L43" s="203"/>
      <c r="M43" s="58"/>
      <c r="N43" s="58"/>
      <c r="O43" s="59"/>
      <c r="P43" s="56"/>
      <c r="Q43" s="60"/>
      <c r="R43" s="61">
        <f t="shared" si="14"/>
        <v>0</v>
      </c>
      <c r="S43" s="62">
        <f t="shared" si="2"/>
        <v>0</v>
      </c>
      <c r="T43" s="63">
        <f t="shared" si="3"/>
        <v>0</v>
      </c>
      <c r="U43" s="64"/>
      <c r="V43" s="65"/>
      <c r="W43" s="66"/>
      <c r="X43" s="67"/>
      <c r="Y43" s="68"/>
      <c r="Z43" s="68"/>
      <c r="AA43" s="62">
        <f t="shared" si="4"/>
        <v>0</v>
      </c>
      <c r="AB43" s="63">
        <f t="shared" si="5"/>
        <v>0</v>
      </c>
      <c r="AC43" s="69"/>
      <c r="AD43" s="70"/>
      <c r="AE43" s="70"/>
      <c r="AF43" s="62">
        <f t="shared" si="6"/>
        <v>0</v>
      </c>
      <c r="AG43" s="63">
        <f t="shared" si="7"/>
        <v>0</v>
      </c>
      <c r="AH43" s="97"/>
      <c r="AI43" s="66"/>
      <c r="AJ43" s="66"/>
      <c r="AK43" s="62">
        <f t="shared" si="8"/>
        <v>0</v>
      </c>
      <c r="AL43" s="72">
        <f t="shared" si="9"/>
        <v>0</v>
      </c>
      <c r="AM43" s="73">
        <f t="shared" si="15"/>
        <v>0</v>
      </c>
      <c r="AN43" s="74">
        <f t="shared" si="18"/>
        <v>0</v>
      </c>
      <c r="AO43" s="74">
        <f t="shared" si="18"/>
        <v>0</v>
      </c>
      <c r="AP43" s="75" t="e">
        <f t="shared" si="16"/>
        <v>#DIV/0!</v>
      </c>
      <c r="AQ43" s="76">
        <f t="shared" si="11"/>
        <v>0</v>
      </c>
      <c r="AR43" s="90">
        <f t="shared" si="12"/>
        <v>0</v>
      </c>
    </row>
    <row r="44" spans="1:44" x14ac:dyDescent="0.25">
      <c r="A44" t="str">
        <f t="shared" si="13"/>
        <v>46194M</v>
      </c>
      <c r="B44" s="51">
        <f t="shared" si="17"/>
        <v>46194</v>
      </c>
      <c r="C44" s="52" t="s">
        <v>87</v>
      </c>
      <c r="D44" s="79"/>
      <c r="E44" s="62"/>
      <c r="F44" s="62"/>
      <c r="G44" s="62">
        <f t="shared" si="0"/>
        <v>0</v>
      </c>
      <c r="H44" s="63">
        <f t="shared" si="1"/>
        <v>0</v>
      </c>
      <c r="I44" s="203"/>
      <c r="J44" s="203"/>
      <c r="K44" s="203"/>
      <c r="L44" s="203"/>
      <c r="M44" s="58"/>
      <c r="N44" s="58"/>
      <c r="O44" s="59"/>
      <c r="P44" s="56"/>
      <c r="Q44" s="60"/>
      <c r="R44" s="61">
        <f t="shared" si="14"/>
        <v>0</v>
      </c>
      <c r="S44" s="62">
        <f t="shared" si="2"/>
        <v>0</v>
      </c>
      <c r="T44" s="63">
        <f t="shared" si="3"/>
        <v>0</v>
      </c>
      <c r="U44" s="64"/>
      <c r="V44" s="65"/>
      <c r="W44" s="66"/>
      <c r="X44" s="67"/>
      <c r="Y44" s="68"/>
      <c r="Z44" s="68"/>
      <c r="AA44" s="62">
        <f t="shared" si="4"/>
        <v>0</v>
      </c>
      <c r="AB44" s="63">
        <f t="shared" si="5"/>
        <v>0</v>
      </c>
      <c r="AC44" s="69"/>
      <c r="AD44" s="70"/>
      <c r="AE44" s="70"/>
      <c r="AF44" s="62">
        <f t="shared" si="6"/>
        <v>0</v>
      </c>
      <c r="AG44" s="63">
        <f t="shared" si="7"/>
        <v>0</v>
      </c>
      <c r="AH44" s="89"/>
      <c r="AI44" s="66"/>
      <c r="AJ44" s="66"/>
      <c r="AK44" s="62">
        <f t="shared" si="8"/>
        <v>0</v>
      </c>
      <c r="AL44" s="72">
        <f t="shared" si="9"/>
        <v>0</v>
      </c>
      <c r="AM44" s="73">
        <f t="shared" si="15"/>
        <v>0</v>
      </c>
      <c r="AN44" s="74">
        <f t="shared" si="18"/>
        <v>0</v>
      </c>
      <c r="AO44" s="74">
        <f t="shared" si="18"/>
        <v>0</v>
      </c>
      <c r="AP44" s="75" t="e">
        <f t="shared" si="16"/>
        <v>#DIV/0!</v>
      </c>
      <c r="AQ44" s="76">
        <f t="shared" si="11"/>
        <v>0</v>
      </c>
      <c r="AR44" s="90">
        <f t="shared" si="12"/>
        <v>0</v>
      </c>
    </row>
    <row r="45" spans="1:44" x14ac:dyDescent="0.25">
      <c r="A45" t="str">
        <f t="shared" si="13"/>
        <v>46194E</v>
      </c>
      <c r="B45" s="51">
        <f t="shared" si="17"/>
        <v>46194</v>
      </c>
      <c r="C45" s="52" t="s">
        <v>88</v>
      </c>
      <c r="D45" s="79"/>
      <c r="E45" s="62"/>
      <c r="F45" s="62"/>
      <c r="G45" s="62">
        <f t="shared" si="0"/>
        <v>0</v>
      </c>
      <c r="H45" s="63">
        <f t="shared" si="1"/>
        <v>0</v>
      </c>
      <c r="I45" s="203"/>
      <c r="J45" s="203"/>
      <c r="K45" s="203"/>
      <c r="L45" s="203"/>
      <c r="M45" s="58"/>
      <c r="N45" s="58"/>
      <c r="O45" s="59"/>
      <c r="P45" s="56"/>
      <c r="Q45" s="60"/>
      <c r="R45" s="61">
        <f t="shared" si="14"/>
        <v>0</v>
      </c>
      <c r="S45" s="62">
        <f t="shared" si="2"/>
        <v>0</v>
      </c>
      <c r="T45" s="63">
        <f t="shared" si="3"/>
        <v>0</v>
      </c>
      <c r="U45" s="64"/>
      <c r="V45" s="65"/>
      <c r="W45" s="66"/>
      <c r="X45" s="67"/>
      <c r="Y45" s="68"/>
      <c r="Z45" s="68"/>
      <c r="AA45" s="62">
        <f t="shared" si="4"/>
        <v>0</v>
      </c>
      <c r="AB45" s="63">
        <f t="shared" si="5"/>
        <v>0</v>
      </c>
      <c r="AC45" s="69"/>
      <c r="AD45" s="70"/>
      <c r="AE45" s="70"/>
      <c r="AF45" s="62">
        <f t="shared" si="6"/>
        <v>0</v>
      </c>
      <c r="AG45" s="63">
        <f t="shared" si="7"/>
        <v>0</v>
      </c>
      <c r="AH45" s="89"/>
      <c r="AI45" s="66"/>
      <c r="AJ45" s="66"/>
      <c r="AK45" s="62">
        <f t="shared" si="8"/>
        <v>0</v>
      </c>
      <c r="AL45" s="72">
        <f t="shared" si="9"/>
        <v>0</v>
      </c>
      <c r="AM45" s="73">
        <f t="shared" si="15"/>
        <v>0</v>
      </c>
      <c r="AN45" s="74">
        <f t="shared" si="18"/>
        <v>0</v>
      </c>
      <c r="AO45" s="74">
        <f t="shared" si="18"/>
        <v>0</v>
      </c>
      <c r="AP45" s="75" t="e">
        <f t="shared" si="16"/>
        <v>#DIV/0!</v>
      </c>
      <c r="AQ45" s="76">
        <f t="shared" si="11"/>
        <v>0</v>
      </c>
      <c r="AR45" s="90">
        <f t="shared" si="12"/>
        <v>0</v>
      </c>
    </row>
    <row r="46" spans="1:44" x14ac:dyDescent="0.25">
      <c r="A46" t="str">
        <f t="shared" si="13"/>
        <v>46195M</v>
      </c>
      <c r="B46" s="51">
        <f t="shared" si="17"/>
        <v>46195</v>
      </c>
      <c r="C46" s="52" t="s">
        <v>87</v>
      </c>
      <c r="D46" s="79"/>
      <c r="E46" s="62"/>
      <c r="F46" s="62"/>
      <c r="G46" s="62">
        <f t="shared" si="0"/>
        <v>0</v>
      </c>
      <c r="H46" s="63">
        <f t="shared" si="1"/>
        <v>0</v>
      </c>
      <c r="I46" s="203"/>
      <c r="J46" s="203"/>
      <c r="K46" s="203"/>
      <c r="L46" s="203"/>
      <c r="M46" s="58"/>
      <c r="N46" s="58"/>
      <c r="O46" s="59"/>
      <c r="P46" s="56"/>
      <c r="Q46" s="60"/>
      <c r="R46" s="61">
        <f t="shared" si="14"/>
        <v>0</v>
      </c>
      <c r="S46" s="62">
        <f t="shared" si="2"/>
        <v>0</v>
      </c>
      <c r="T46" s="63">
        <f t="shared" si="3"/>
        <v>0</v>
      </c>
      <c r="U46" s="64"/>
      <c r="V46" s="65"/>
      <c r="W46" s="66"/>
      <c r="X46" s="67"/>
      <c r="Y46" s="68"/>
      <c r="Z46" s="68"/>
      <c r="AA46" s="62">
        <f t="shared" si="4"/>
        <v>0</v>
      </c>
      <c r="AB46" s="63">
        <f t="shared" si="5"/>
        <v>0</v>
      </c>
      <c r="AC46" s="69"/>
      <c r="AD46" s="70"/>
      <c r="AE46" s="70"/>
      <c r="AF46" s="62">
        <f t="shared" si="6"/>
        <v>0</v>
      </c>
      <c r="AG46" s="63">
        <f t="shared" si="7"/>
        <v>0</v>
      </c>
      <c r="AH46" s="89"/>
      <c r="AI46" s="66"/>
      <c r="AJ46" s="66"/>
      <c r="AK46" s="62">
        <f t="shared" si="8"/>
        <v>0</v>
      </c>
      <c r="AL46" s="72">
        <f t="shared" si="9"/>
        <v>0</v>
      </c>
      <c r="AM46" s="73">
        <f t="shared" si="15"/>
        <v>0</v>
      </c>
      <c r="AN46" s="74">
        <f t="shared" si="18"/>
        <v>0</v>
      </c>
      <c r="AO46" s="74">
        <f t="shared" si="18"/>
        <v>0</v>
      </c>
      <c r="AP46" s="75" t="e">
        <f t="shared" si="16"/>
        <v>#DIV/0!</v>
      </c>
      <c r="AQ46" s="76">
        <f t="shared" si="11"/>
        <v>0</v>
      </c>
      <c r="AR46" s="90">
        <f t="shared" si="12"/>
        <v>0</v>
      </c>
    </row>
    <row r="47" spans="1:44" x14ac:dyDescent="0.25">
      <c r="A47" t="str">
        <f t="shared" si="13"/>
        <v>46195E</v>
      </c>
      <c r="B47" s="51">
        <f t="shared" si="17"/>
        <v>46195</v>
      </c>
      <c r="C47" s="52" t="s">
        <v>88</v>
      </c>
      <c r="D47" s="79"/>
      <c r="E47" s="62"/>
      <c r="F47" s="62"/>
      <c r="G47" s="62">
        <f t="shared" si="0"/>
        <v>0</v>
      </c>
      <c r="H47" s="63">
        <f t="shared" si="1"/>
        <v>0</v>
      </c>
      <c r="I47" s="203"/>
      <c r="J47" s="203"/>
      <c r="K47" s="203"/>
      <c r="L47" s="203"/>
      <c r="M47" s="58"/>
      <c r="N47" s="58"/>
      <c r="O47" s="59"/>
      <c r="P47" s="56"/>
      <c r="Q47" s="60"/>
      <c r="R47" s="61">
        <f t="shared" si="14"/>
        <v>0</v>
      </c>
      <c r="S47" s="62">
        <f t="shared" si="2"/>
        <v>0</v>
      </c>
      <c r="T47" s="63">
        <f t="shared" si="3"/>
        <v>0</v>
      </c>
      <c r="U47" s="64"/>
      <c r="V47" s="65"/>
      <c r="W47" s="66"/>
      <c r="X47" s="67"/>
      <c r="Y47" s="68"/>
      <c r="Z47" s="68"/>
      <c r="AA47" s="62">
        <f t="shared" si="4"/>
        <v>0</v>
      </c>
      <c r="AB47" s="63">
        <f t="shared" si="5"/>
        <v>0</v>
      </c>
      <c r="AC47" s="69"/>
      <c r="AD47" s="70"/>
      <c r="AE47" s="70"/>
      <c r="AF47" s="62">
        <f t="shared" si="6"/>
        <v>0</v>
      </c>
      <c r="AG47" s="63">
        <f t="shared" si="7"/>
        <v>0</v>
      </c>
      <c r="AH47" s="89"/>
      <c r="AI47" s="66"/>
      <c r="AJ47" s="66"/>
      <c r="AK47" s="62">
        <f t="shared" si="8"/>
        <v>0</v>
      </c>
      <c r="AL47" s="72">
        <f t="shared" si="9"/>
        <v>0</v>
      </c>
      <c r="AM47" s="73">
        <f t="shared" si="15"/>
        <v>0</v>
      </c>
      <c r="AN47" s="74">
        <f t="shared" si="18"/>
        <v>0</v>
      </c>
      <c r="AO47" s="74">
        <f t="shared" si="18"/>
        <v>0</v>
      </c>
      <c r="AP47" s="75" t="e">
        <f t="shared" si="16"/>
        <v>#DIV/0!</v>
      </c>
      <c r="AQ47" s="76">
        <f t="shared" si="11"/>
        <v>0</v>
      </c>
      <c r="AR47" s="90">
        <f t="shared" si="12"/>
        <v>0</v>
      </c>
    </row>
    <row r="48" spans="1:44" x14ac:dyDescent="0.25">
      <c r="A48" t="str">
        <f t="shared" si="13"/>
        <v>46196M</v>
      </c>
      <c r="B48" s="51">
        <f t="shared" si="17"/>
        <v>46196</v>
      </c>
      <c r="C48" s="52" t="s">
        <v>87</v>
      </c>
      <c r="D48" s="79"/>
      <c r="E48" s="62"/>
      <c r="F48" s="62"/>
      <c r="G48" s="62">
        <f t="shared" si="0"/>
        <v>0</v>
      </c>
      <c r="H48" s="63">
        <f t="shared" si="1"/>
        <v>0</v>
      </c>
      <c r="I48" s="203"/>
      <c r="J48" s="203"/>
      <c r="K48" s="203"/>
      <c r="L48" s="203"/>
      <c r="M48" s="58"/>
      <c r="N48" s="58"/>
      <c r="O48" s="59"/>
      <c r="P48" s="56"/>
      <c r="Q48" s="60"/>
      <c r="R48" s="61">
        <f t="shared" si="14"/>
        <v>0</v>
      </c>
      <c r="S48" s="62">
        <f t="shared" si="2"/>
        <v>0</v>
      </c>
      <c r="T48" s="63">
        <f t="shared" si="3"/>
        <v>0</v>
      </c>
      <c r="U48" s="64"/>
      <c r="V48" s="65"/>
      <c r="W48" s="66"/>
      <c r="X48" s="67"/>
      <c r="Y48" s="68"/>
      <c r="Z48" s="68"/>
      <c r="AA48" s="62">
        <f t="shared" si="4"/>
        <v>0</v>
      </c>
      <c r="AB48" s="63">
        <f t="shared" si="5"/>
        <v>0</v>
      </c>
      <c r="AC48" s="69"/>
      <c r="AD48" s="70"/>
      <c r="AE48" s="70"/>
      <c r="AF48" s="62">
        <f t="shared" si="6"/>
        <v>0</v>
      </c>
      <c r="AG48" s="63">
        <f t="shared" si="7"/>
        <v>0</v>
      </c>
      <c r="AH48" s="89"/>
      <c r="AI48" s="66"/>
      <c r="AJ48" s="66"/>
      <c r="AK48" s="62">
        <f t="shared" si="8"/>
        <v>0</v>
      </c>
      <c r="AL48" s="72">
        <f t="shared" si="9"/>
        <v>0</v>
      </c>
      <c r="AM48" s="73">
        <f t="shared" si="15"/>
        <v>0</v>
      </c>
      <c r="AN48" s="74">
        <f t="shared" si="18"/>
        <v>0</v>
      </c>
      <c r="AO48" s="74">
        <f t="shared" si="18"/>
        <v>0</v>
      </c>
      <c r="AP48" s="75" t="e">
        <f t="shared" si="16"/>
        <v>#DIV/0!</v>
      </c>
      <c r="AQ48" s="76">
        <f t="shared" si="11"/>
        <v>0</v>
      </c>
      <c r="AR48" s="90">
        <f t="shared" si="12"/>
        <v>0</v>
      </c>
    </row>
    <row r="49" spans="1:44" x14ac:dyDescent="0.25">
      <c r="A49" t="str">
        <f t="shared" si="13"/>
        <v>46196E</v>
      </c>
      <c r="B49" s="51">
        <f t="shared" si="17"/>
        <v>46196</v>
      </c>
      <c r="C49" s="52" t="s">
        <v>88</v>
      </c>
      <c r="D49" s="79"/>
      <c r="E49" s="62"/>
      <c r="F49" s="62"/>
      <c r="G49" s="62">
        <f t="shared" si="0"/>
        <v>0</v>
      </c>
      <c r="H49" s="63">
        <f t="shared" si="1"/>
        <v>0</v>
      </c>
      <c r="I49" s="203"/>
      <c r="J49" s="203"/>
      <c r="K49" s="203"/>
      <c r="L49" s="203"/>
      <c r="M49" s="58"/>
      <c r="N49" s="58"/>
      <c r="O49" s="59"/>
      <c r="P49" s="56"/>
      <c r="Q49" s="60"/>
      <c r="R49" s="61">
        <f t="shared" si="14"/>
        <v>0</v>
      </c>
      <c r="S49" s="62">
        <f t="shared" si="2"/>
        <v>0</v>
      </c>
      <c r="T49" s="63">
        <f t="shared" si="3"/>
        <v>0</v>
      </c>
      <c r="U49" s="64"/>
      <c r="V49" s="65"/>
      <c r="W49" s="66"/>
      <c r="X49" s="67"/>
      <c r="Y49" s="68"/>
      <c r="Z49" s="68"/>
      <c r="AA49" s="62">
        <f t="shared" si="4"/>
        <v>0</v>
      </c>
      <c r="AB49" s="63">
        <f t="shared" si="5"/>
        <v>0</v>
      </c>
      <c r="AC49" s="69"/>
      <c r="AD49" s="70"/>
      <c r="AE49" s="70"/>
      <c r="AF49" s="62">
        <f t="shared" si="6"/>
        <v>0</v>
      </c>
      <c r="AG49" s="63">
        <f t="shared" si="7"/>
        <v>0</v>
      </c>
      <c r="AH49" s="89"/>
      <c r="AI49" s="66"/>
      <c r="AJ49" s="66"/>
      <c r="AK49" s="62">
        <f t="shared" si="8"/>
        <v>0</v>
      </c>
      <c r="AL49" s="72">
        <f t="shared" si="9"/>
        <v>0</v>
      </c>
      <c r="AM49" s="73">
        <f t="shared" si="15"/>
        <v>0</v>
      </c>
      <c r="AN49" s="74">
        <f t="shared" si="18"/>
        <v>0</v>
      </c>
      <c r="AO49" s="74">
        <f t="shared" si="18"/>
        <v>0</v>
      </c>
      <c r="AP49" s="75" t="e">
        <f t="shared" si="16"/>
        <v>#DIV/0!</v>
      </c>
      <c r="AQ49" s="76">
        <f t="shared" si="11"/>
        <v>0</v>
      </c>
      <c r="AR49" s="90">
        <f t="shared" si="12"/>
        <v>0</v>
      </c>
    </row>
    <row r="50" spans="1:44" x14ac:dyDescent="0.25">
      <c r="A50" t="str">
        <f t="shared" si="13"/>
        <v>46197M</v>
      </c>
      <c r="B50" s="51">
        <f t="shared" si="17"/>
        <v>46197</v>
      </c>
      <c r="C50" s="52" t="s">
        <v>87</v>
      </c>
      <c r="D50" s="79"/>
      <c r="E50" s="62"/>
      <c r="F50" s="62"/>
      <c r="G50" s="62">
        <f t="shared" si="0"/>
        <v>0</v>
      </c>
      <c r="H50" s="63">
        <f t="shared" si="1"/>
        <v>0</v>
      </c>
      <c r="I50" s="203"/>
      <c r="J50" s="203"/>
      <c r="K50" s="203"/>
      <c r="L50" s="203"/>
      <c r="M50" s="58"/>
      <c r="N50" s="58"/>
      <c r="O50" s="59"/>
      <c r="P50" s="56"/>
      <c r="Q50" s="60"/>
      <c r="R50" s="61">
        <f t="shared" si="14"/>
        <v>0</v>
      </c>
      <c r="S50" s="62">
        <f t="shared" si="2"/>
        <v>0</v>
      </c>
      <c r="T50" s="63">
        <f t="shared" si="3"/>
        <v>0</v>
      </c>
      <c r="U50" s="64"/>
      <c r="V50" s="65"/>
      <c r="W50" s="66"/>
      <c r="X50" s="67"/>
      <c r="Y50" s="68"/>
      <c r="Z50" s="68"/>
      <c r="AA50" s="62">
        <f t="shared" si="4"/>
        <v>0</v>
      </c>
      <c r="AB50" s="63">
        <f t="shared" si="5"/>
        <v>0</v>
      </c>
      <c r="AC50" s="69"/>
      <c r="AD50" s="70"/>
      <c r="AE50" s="70"/>
      <c r="AF50" s="62">
        <f t="shared" si="6"/>
        <v>0</v>
      </c>
      <c r="AG50" s="63">
        <f t="shared" si="7"/>
        <v>0</v>
      </c>
      <c r="AH50" s="89"/>
      <c r="AI50" s="66"/>
      <c r="AJ50" s="66"/>
      <c r="AK50" s="62">
        <f t="shared" si="8"/>
        <v>0</v>
      </c>
      <c r="AL50" s="72">
        <f t="shared" si="9"/>
        <v>0</v>
      </c>
      <c r="AM50" s="73">
        <f t="shared" si="15"/>
        <v>0</v>
      </c>
      <c r="AN50" s="74">
        <f t="shared" si="18"/>
        <v>0</v>
      </c>
      <c r="AO50" s="74">
        <f t="shared" si="18"/>
        <v>0</v>
      </c>
      <c r="AP50" s="75" t="e">
        <f t="shared" si="16"/>
        <v>#DIV/0!</v>
      </c>
      <c r="AQ50" s="76">
        <f t="shared" si="11"/>
        <v>0</v>
      </c>
      <c r="AR50" s="90">
        <f t="shared" si="12"/>
        <v>0</v>
      </c>
    </row>
    <row r="51" spans="1:44" x14ac:dyDescent="0.25">
      <c r="A51" t="str">
        <f t="shared" si="13"/>
        <v>46197E</v>
      </c>
      <c r="B51" s="51">
        <f t="shared" si="17"/>
        <v>46197</v>
      </c>
      <c r="C51" s="52" t="s">
        <v>88</v>
      </c>
      <c r="D51" s="79"/>
      <c r="E51" s="62"/>
      <c r="F51" s="62"/>
      <c r="G51" s="62">
        <f t="shared" si="0"/>
        <v>0</v>
      </c>
      <c r="H51" s="63">
        <f t="shared" si="1"/>
        <v>0</v>
      </c>
      <c r="I51" s="203"/>
      <c r="J51" s="203"/>
      <c r="K51" s="203"/>
      <c r="L51" s="203"/>
      <c r="M51" s="58"/>
      <c r="N51" s="58"/>
      <c r="O51" s="59"/>
      <c r="P51" s="56"/>
      <c r="Q51" s="60"/>
      <c r="R51" s="61">
        <f t="shared" si="14"/>
        <v>0</v>
      </c>
      <c r="S51" s="62">
        <f t="shared" si="2"/>
        <v>0</v>
      </c>
      <c r="T51" s="63">
        <f t="shared" si="3"/>
        <v>0</v>
      </c>
      <c r="U51" s="64"/>
      <c r="V51" s="85"/>
      <c r="W51" s="66"/>
      <c r="X51" s="67"/>
      <c r="Y51" s="68"/>
      <c r="Z51" s="68"/>
      <c r="AA51" s="62">
        <f t="shared" si="4"/>
        <v>0</v>
      </c>
      <c r="AB51" s="63">
        <f t="shared" si="5"/>
        <v>0</v>
      </c>
      <c r="AC51" s="69"/>
      <c r="AD51" s="70"/>
      <c r="AE51" s="70"/>
      <c r="AF51" s="62">
        <f t="shared" si="6"/>
        <v>0</v>
      </c>
      <c r="AG51" s="63">
        <f t="shared" si="7"/>
        <v>0</v>
      </c>
      <c r="AH51" s="89"/>
      <c r="AI51" s="66"/>
      <c r="AJ51" s="66"/>
      <c r="AK51" s="62">
        <f t="shared" si="8"/>
        <v>0</v>
      </c>
      <c r="AL51" s="72">
        <f t="shared" si="9"/>
        <v>0</v>
      </c>
      <c r="AM51" s="73">
        <f t="shared" si="15"/>
        <v>0</v>
      </c>
      <c r="AN51" s="74">
        <f t="shared" si="18"/>
        <v>0</v>
      </c>
      <c r="AO51" s="74">
        <f t="shared" si="18"/>
        <v>0</v>
      </c>
      <c r="AP51" s="75" t="e">
        <f t="shared" si="16"/>
        <v>#DIV/0!</v>
      </c>
      <c r="AQ51" s="76">
        <f t="shared" si="11"/>
        <v>0</v>
      </c>
      <c r="AR51" s="90">
        <f t="shared" si="12"/>
        <v>0</v>
      </c>
    </row>
    <row r="52" spans="1:44" x14ac:dyDescent="0.25">
      <c r="A52" t="str">
        <f t="shared" si="13"/>
        <v>46198M</v>
      </c>
      <c r="B52" s="51">
        <f t="shared" si="17"/>
        <v>46198</v>
      </c>
      <c r="C52" s="52" t="s">
        <v>87</v>
      </c>
      <c r="D52" s="79"/>
      <c r="E52" s="62"/>
      <c r="F52" s="62"/>
      <c r="G52" s="62">
        <f t="shared" si="0"/>
        <v>0</v>
      </c>
      <c r="H52" s="63">
        <f t="shared" si="1"/>
        <v>0</v>
      </c>
      <c r="I52" s="203"/>
      <c r="J52" s="203"/>
      <c r="K52" s="203"/>
      <c r="L52" s="203"/>
      <c r="M52" s="58"/>
      <c r="N52" s="58"/>
      <c r="O52" s="59"/>
      <c r="P52" s="56"/>
      <c r="Q52" s="60"/>
      <c r="R52" s="61">
        <f t="shared" si="14"/>
        <v>0</v>
      </c>
      <c r="S52" s="62">
        <f t="shared" si="2"/>
        <v>0</v>
      </c>
      <c r="T52" s="63">
        <f t="shared" si="3"/>
        <v>0</v>
      </c>
      <c r="U52" s="64"/>
      <c r="V52" s="85"/>
      <c r="W52" s="66"/>
      <c r="X52" s="67"/>
      <c r="Y52" s="68"/>
      <c r="Z52" s="68"/>
      <c r="AA52" s="62">
        <f t="shared" si="4"/>
        <v>0</v>
      </c>
      <c r="AB52" s="63">
        <f t="shared" si="5"/>
        <v>0</v>
      </c>
      <c r="AC52" s="69"/>
      <c r="AD52" s="70"/>
      <c r="AE52" s="70"/>
      <c r="AF52" s="62">
        <f t="shared" si="6"/>
        <v>0</v>
      </c>
      <c r="AG52" s="63">
        <f t="shared" si="7"/>
        <v>0</v>
      </c>
      <c r="AH52" s="89"/>
      <c r="AI52" s="66"/>
      <c r="AJ52" s="66"/>
      <c r="AK52" s="62">
        <f t="shared" si="8"/>
        <v>0</v>
      </c>
      <c r="AL52" s="72">
        <f t="shared" si="9"/>
        <v>0</v>
      </c>
      <c r="AM52" s="73">
        <f t="shared" si="15"/>
        <v>0</v>
      </c>
      <c r="AN52" s="74">
        <f t="shared" si="18"/>
        <v>0</v>
      </c>
      <c r="AO52" s="74">
        <f t="shared" si="18"/>
        <v>0</v>
      </c>
      <c r="AP52" s="75" t="e">
        <f t="shared" si="16"/>
        <v>#DIV/0!</v>
      </c>
      <c r="AQ52" s="76">
        <f t="shared" si="11"/>
        <v>0</v>
      </c>
      <c r="AR52" s="90">
        <f t="shared" si="12"/>
        <v>0</v>
      </c>
    </row>
    <row r="53" spans="1:44" x14ac:dyDescent="0.25">
      <c r="A53" t="str">
        <f t="shared" si="13"/>
        <v>46198E</v>
      </c>
      <c r="B53" s="51">
        <f t="shared" si="17"/>
        <v>46198</v>
      </c>
      <c r="C53" s="52" t="s">
        <v>88</v>
      </c>
      <c r="D53" s="79"/>
      <c r="E53" s="62"/>
      <c r="F53" s="62"/>
      <c r="G53" s="62">
        <f t="shared" si="0"/>
        <v>0</v>
      </c>
      <c r="H53" s="63">
        <f t="shared" si="1"/>
        <v>0</v>
      </c>
      <c r="I53" s="203"/>
      <c r="J53" s="203"/>
      <c r="K53" s="203"/>
      <c r="L53" s="203"/>
      <c r="M53" s="58"/>
      <c r="N53" s="58"/>
      <c r="O53" s="59"/>
      <c r="P53" s="56"/>
      <c r="Q53" s="60"/>
      <c r="R53" s="61">
        <f t="shared" si="14"/>
        <v>0</v>
      </c>
      <c r="S53" s="62">
        <f t="shared" si="2"/>
        <v>0</v>
      </c>
      <c r="T53" s="63">
        <f t="shared" si="3"/>
        <v>0</v>
      </c>
      <c r="U53" s="64"/>
      <c r="V53" s="65"/>
      <c r="W53" s="66"/>
      <c r="X53" s="67"/>
      <c r="Y53" s="68"/>
      <c r="Z53" s="68"/>
      <c r="AA53" s="62">
        <f t="shared" si="4"/>
        <v>0</v>
      </c>
      <c r="AB53" s="63">
        <f t="shared" si="5"/>
        <v>0</v>
      </c>
      <c r="AC53" s="69"/>
      <c r="AD53" s="70"/>
      <c r="AE53" s="70"/>
      <c r="AF53" s="62">
        <f t="shared" si="6"/>
        <v>0</v>
      </c>
      <c r="AG53" s="63">
        <f t="shared" si="7"/>
        <v>0</v>
      </c>
      <c r="AH53" s="89"/>
      <c r="AI53" s="66"/>
      <c r="AJ53" s="66"/>
      <c r="AK53" s="62">
        <f t="shared" si="8"/>
        <v>0</v>
      </c>
      <c r="AL53" s="72">
        <f t="shared" si="9"/>
        <v>0</v>
      </c>
      <c r="AM53" s="73">
        <f t="shared" si="15"/>
        <v>0</v>
      </c>
      <c r="AN53" s="74">
        <f t="shared" si="18"/>
        <v>0</v>
      </c>
      <c r="AO53" s="74">
        <f t="shared" si="18"/>
        <v>0</v>
      </c>
      <c r="AP53" s="75" t="e">
        <f t="shared" si="16"/>
        <v>#DIV/0!</v>
      </c>
      <c r="AQ53" s="76">
        <f t="shared" si="11"/>
        <v>0</v>
      </c>
      <c r="AR53" s="90">
        <f t="shared" si="12"/>
        <v>0</v>
      </c>
    </row>
    <row r="54" spans="1:44" x14ac:dyDescent="0.25">
      <c r="A54" t="str">
        <f t="shared" si="13"/>
        <v>46199M</v>
      </c>
      <c r="B54" s="51">
        <f t="shared" si="17"/>
        <v>46199</v>
      </c>
      <c r="C54" s="52" t="s">
        <v>87</v>
      </c>
      <c r="D54" s="79"/>
      <c r="E54" s="62"/>
      <c r="F54" s="62"/>
      <c r="G54" s="62">
        <f t="shared" si="0"/>
        <v>0</v>
      </c>
      <c r="H54" s="63">
        <f t="shared" si="1"/>
        <v>0</v>
      </c>
      <c r="I54" s="203"/>
      <c r="J54" s="203"/>
      <c r="K54" s="203"/>
      <c r="L54" s="203"/>
      <c r="M54" s="58"/>
      <c r="N54" s="58"/>
      <c r="O54" s="59"/>
      <c r="P54" s="56"/>
      <c r="Q54" s="60"/>
      <c r="R54" s="61">
        <f t="shared" si="14"/>
        <v>0</v>
      </c>
      <c r="S54" s="62">
        <f t="shared" si="2"/>
        <v>0</v>
      </c>
      <c r="T54" s="63">
        <f t="shared" si="3"/>
        <v>0</v>
      </c>
      <c r="U54" s="64"/>
      <c r="V54" s="65"/>
      <c r="W54" s="66"/>
      <c r="X54" s="67"/>
      <c r="Y54" s="68"/>
      <c r="Z54" s="68"/>
      <c r="AA54" s="62">
        <f t="shared" si="4"/>
        <v>0</v>
      </c>
      <c r="AB54" s="63">
        <f t="shared" si="5"/>
        <v>0</v>
      </c>
      <c r="AC54" s="69"/>
      <c r="AD54" s="70"/>
      <c r="AE54" s="70"/>
      <c r="AF54" s="62">
        <f t="shared" si="6"/>
        <v>0</v>
      </c>
      <c r="AG54" s="63">
        <f t="shared" si="7"/>
        <v>0</v>
      </c>
      <c r="AH54" s="89"/>
      <c r="AI54" s="66"/>
      <c r="AJ54" s="66"/>
      <c r="AK54" s="62">
        <f t="shared" si="8"/>
        <v>0</v>
      </c>
      <c r="AL54" s="72">
        <f t="shared" si="9"/>
        <v>0</v>
      </c>
      <c r="AM54" s="73">
        <f t="shared" si="15"/>
        <v>0</v>
      </c>
      <c r="AN54" s="74">
        <f t="shared" si="18"/>
        <v>0</v>
      </c>
      <c r="AO54" s="74">
        <f t="shared" si="18"/>
        <v>0</v>
      </c>
      <c r="AP54" s="75" t="e">
        <f t="shared" si="16"/>
        <v>#DIV/0!</v>
      </c>
      <c r="AQ54" s="76">
        <f t="shared" si="11"/>
        <v>0</v>
      </c>
      <c r="AR54" s="90">
        <f t="shared" si="12"/>
        <v>0</v>
      </c>
    </row>
    <row r="55" spans="1:44" x14ac:dyDescent="0.25">
      <c r="A55" t="str">
        <f t="shared" si="13"/>
        <v>46199E</v>
      </c>
      <c r="B55" s="51">
        <f t="shared" si="17"/>
        <v>46199</v>
      </c>
      <c r="C55" s="52" t="s">
        <v>88</v>
      </c>
      <c r="D55" s="79"/>
      <c r="E55" s="62"/>
      <c r="F55" s="62"/>
      <c r="G55" s="62">
        <f t="shared" si="0"/>
        <v>0</v>
      </c>
      <c r="H55" s="63">
        <f t="shared" si="1"/>
        <v>0</v>
      </c>
      <c r="I55" s="203"/>
      <c r="J55" s="203"/>
      <c r="K55" s="203"/>
      <c r="L55" s="203"/>
      <c r="M55" s="58"/>
      <c r="N55" s="58"/>
      <c r="O55" s="59"/>
      <c r="P55" s="56"/>
      <c r="Q55" s="60"/>
      <c r="R55" s="61">
        <f t="shared" si="14"/>
        <v>0</v>
      </c>
      <c r="S55" s="62">
        <f t="shared" si="2"/>
        <v>0</v>
      </c>
      <c r="T55" s="63">
        <f t="shared" si="3"/>
        <v>0</v>
      </c>
      <c r="U55" s="64"/>
      <c r="V55" s="65"/>
      <c r="W55" s="66"/>
      <c r="X55" s="67"/>
      <c r="Y55" s="68"/>
      <c r="Z55" s="68"/>
      <c r="AA55" s="62">
        <f t="shared" si="4"/>
        <v>0</v>
      </c>
      <c r="AB55" s="63">
        <f t="shared" si="5"/>
        <v>0</v>
      </c>
      <c r="AC55" s="69"/>
      <c r="AD55" s="70"/>
      <c r="AE55" s="70"/>
      <c r="AF55" s="62">
        <f t="shared" si="6"/>
        <v>0</v>
      </c>
      <c r="AG55" s="63">
        <f t="shared" si="7"/>
        <v>0</v>
      </c>
      <c r="AH55" s="89"/>
      <c r="AI55" s="66"/>
      <c r="AJ55" s="66"/>
      <c r="AK55" s="62">
        <f t="shared" si="8"/>
        <v>0</v>
      </c>
      <c r="AL55" s="72">
        <f t="shared" si="9"/>
        <v>0</v>
      </c>
      <c r="AM55" s="73">
        <f t="shared" si="15"/>
        <v>0</v>
      </c>
      <c r="AN55" s="74">
        <f t="shared" si="18"/>
        <v>0</v>
      </c>
      <c r="AO55" s="74">
        <f t="shared" si="18"/>
        <v>0</v>
      </c>
      <c r="AP55" s="75" t="e">
        <f t="shared" si="16"/>
        <v>#DIV/0!</v>
      </c>
      <c r="AQ55" s="76">
        <f t="shared" si="11"/>
        <v>0</v>
      </c>
      <c r="AR55" s="90">
        <f t="shared" si="12"/>
        <v>0</v>
      </c>
    </row>
    <row r="56" spans="1:44" x14ac:dyDescent="0.25">
      <c r="A56" t="str">
        <f t="shared" si="13"/>
        <v>46200M</v>
      </c>
      <c r="B56" s="51">
        <f t="shared" si="17"/>
        <v>46200</v>
      </c>
      <c r="C56" s="52" t="s">
        <v>87</v>
      </c>
      <c r="D56" s="79"/>
      <c r="E56" s="62"/>
      <c r="F56" s="62"/>
      <c r="G56" s="62">
        <f t="shared" si="0"/>
        <v>0</v>
      </c>
      <c r="H56" s="63">
        <f t="shared" si="1"/>
        <v>0</v>
      </c>
      <c r="I56" s="203"/>
      <c r="J56" s="203"/>
      <c r="K56" s="203"/>
      <c r="L56" s="203"/>
      <c r="M56" s="58"/>
      <c r="N56" s="58"/>
      <c r="O56" s="59"/>
      <c r="P56" s="56"/>
      <c r="Q56" s="60"/>
      <c r="R56" s="61">
        <f t="shared" si="14"/>
        <v>0</v>
      </c>
      <c r="S56" s="62">
        <f t="shared" si="2"/>
        <v>0</v>
      </c>
      <c r="T56" s="63">
        <f t="shared" si="3"/>
        <v>0</v>
      </c>
      <c r="U56" s="64"/>
      <c r="V56" s="65"/>
      <c r="W56" s="66"/>
      <c r="X56" s="67"/>
      <c r="Y56" s="68"/>
      <c r="Z56" s="68"/>
      <c r="AA56" s="62">
        <f t="shared" si="4"/>
        <v>0</v>
      </c>
      <c r="AB56" s="63">
        <f t="shared" si="5"/>
        <v>0</v>
      </c>
      <c r="AC56" s="69"/>
      <c r="AD56" s="70"/>
      <c r="AE56" s="70"/>
      <c r="AF56" s="62">
        <f t="shared" si="6"/>
        <v>0</v>
      </c>
      <c r="AG56" s="63">
        <f t="shared" si="7"/>
        <v>0</v>
      </c>
      <c r="AH56" s="89"/>
      <c r="AI56" s="66"/>
      <c r="AJ56" s="66"/>
      <c r="AK56" s="62">
        <f t="shared" si="8"/>
        <v>0</v>
      </c>
      <c r="AL56" s="72">
        <f t="shared" si="9"/>
        <v>0</v>
      </c>
      <c r="AM56" s="73">
        <f t="shared" si="15"/>
        <v>0</v>
      </c>
      <c r="AN56" s="74">
        <f t="shared" si="18"/>
        <v>0</v>
      </c>
      <c r="AO56" s="74">
        <f t="shared" si="18"/>
        <v>0</v>
      </c>
      <c r="AP56" s="75" t="e">
        <f t="shared" si="16"/>
        <v>#DIV/0!</v>
      </c>
      <c r="AQ56" s="76">
        <f t="shared" si="11"/>
        <v>0</v>
      </c>
      <c r="AR56" s="90">
        <f t="shared" si="12"/>
        <v>0</v>
      </c>
    </row>
    <row r="57" spans="1:44" x14ac:dyDescent="0.25">
      <c r="A57" t="str">
        <f t="shared" si="13"/>
        <v>46200E</v>
      </c>
      <c r="B57" s="51">
        <f t="shared" si="17"/>
        <v>46200</v>
      </c>
      <c r="C57" s="52" t="s">
        <v>88</v>
      </c>
      <c r="D57" s="79"/>
      <c r="E57" s="62"/>
      <c r="F57" s="62"/>
      <c r="G57" s="62">
        <f t="shared" si="0"/>
        <v>0</v>
      </c>
      <c r="H57" s="63">
        <f t="shared" si="1"/>
        <v>0</v>
      </c>
      <c r="I57" s="203"/>
      <c r="J57" s="203"/>
      <c r="K57" s="203"/>
      <c r="L57" s="203"/>
      <c r="M57" s="58"/>
      <c r="N57" s="58"/>
      <c r="O57" s="59"/>
      <c r="P57" s="56"/>
      <c r="Q57" s="60"/>
      <c r="R57" s="61">
        <f t="shared" si="14"/>
        <v>0</v>
      </c>
      <c r="S57" s="62">
        <f t="shared" si="2"/>
        <v>0</v>
      </c>
      <c r="T57" s="63">
        <f t="shared" si="3"/>
        <v>0</v>
      </c>
      <c r="U57" s="64"/>
      <c r="V57" s="65"/>
      <c r="W57" s="66"/>
      <c r="X57" s="67"/>
      <c r="Y57" s="68"/>
      <c r="Z57" s="68"/>
      <c r="AA57" s="62">
        <f t="shared" si="4"/>
        <v>0</v>
      </c>
      <c r="AB57" s="63">
        <f t="shared" si="5"/>
        <v>0</v>
      </c>
      <c r="AC57" s="69"/>
      <c r="AD57" s="70"/>
      <c r="AE57" s="70"/>
      <c r="AF57" s="62">
        <f t="shared" si="6"/>
        <v>0</v>
      </c>
      <c r="AG57" s="63">
        <f t="shared" si="7"/>
        <v>0</v>
      </c>
      <c r="AH57" s="89"/>
      <c r="AI57" s="66"/>
      <c r="AJ57" s="66"/>
      <c r="AK57" s="62">
        <f t="shared" si="8"/>
        <v>0</v>
      </c>
      <c r="AL57" s="72">
        <f t="shared" si="9"/>
        <v>0</v>
      </c>
      <c r="AM57" s="73">
        <f t="shared" si="15"/>
        <v>0</v>
      </c>
      <c r="AN57" s="74">
        <f t="shared" si="18"/>
        <v>0</v>
      </c>
      <c r="AO57" s="74">
        <f t="shared" si="18"/>
        <v>0</v>
      </c>
      <c r="AP57" s="75" t="e">
        <f t="shared" si="16"/>
        <v>#DIV/0!</v>
      </c>
      <c r="AQ57" s="76">
        <f t="shared" si="11"/>
        <v>0</v>
      </c>
      <c r="AR57" s="90">
        <f t="shared" si="12"/>
        <v>0</v>
      </c>
    </row>
    <row r="58" spans="1:44" x14ac:dyDescent="0.25">
      <c r="A58" t="str">
        <f t="shared" si="13"/>
        <v>46201M</v>
      </c>
      <c r="B58" s="51">
        <f t="shared" si="17"/>
        <v>46201</v>
      </c>
      <c r="C58" s="52" t="s">
        <v>87</v>
      </c>
      <c r="D58" s="79"/>
      <c r="E58" s="62"/>
      <c r="F58" s="62"/>
      <c r="G58" s="62">
        <f t="shared" si="0"/>
        <v>0</v>
      </c>
      <c r="H58" s="63">
        <f t="shared" si="1"/>
        <v>0</v>
      </c>
      <c r="I58" s="203"/>
      <c r="J58" s="203"/>
      <c r="K58" s="203"/>
      <c r="L58" s="203"/>
      <c r="M58" s="58"/>
      <c r="N58" s="58"/>
      <c r="O58" s="59"/>
      <c r="P58" s="56"/>
      <c r="Q58" s="60"/>
      <c r="R58" s="61">
        <f t="shared" si="14"/>
        <v>0</v>
      </c>
      <c r="S58" s="62">
        <f t="shared" si="2"/>
        <v>0</v>
      </c>
      <c r="T58" s="63">
        <f t="shared" si="3"/>
        <v>0</v>
      </c>
      <c r="U58" s="64"/>
      <c r="V58" s="65"/>
      <c r="W58" s="66"/>
      <c r="X58" s="67"/>
      <c r="Y58" s="68"/>
      <c r="Z58" s="68"/>
      <c r="AA58" s="62">
        <f t="shared" si="4"/>
        <v>0</v>
      </c>
      <c r="AB58" s="63">
        <f t="shared" si="5"/>
        <v>0</v>
      </c>
      <c r="AC58" s="69"/>
      <c r="AD58" s="70"/>
      <c r="AE58" s="70"/>
      <c r="AF58" s="62">
        <f t="shared" si="6"/>
        <v>0</v>
      </c>
      <c r="AG58" s="63">
        <f t="shared" si="7"/>
        <v>0</v>
      </c>
      <c r="AH58" s="89"/>
      <c r="AI58" s="66"/>
      <c r="AJ58" s="66"/>
      <c r="AK58" s="62">
        <f t="shared" si="8"/>
        <v>0</v>
      </c>
      <c r="AL58" s="72">
        <f t="shared" si="9"/>
        <v>0</v>
      </c>
      <c r="AM58" s="73">
        <f t="shared" si="15"/>
        <v>0</v>
      </c>
      <c r="AN58" s="74">
        <f t="shared" si="18"/>
        <v>0</v>
      </c>
      <c r="AO58" s="74">
        <f t="shared" si="18"/>
        <v>0</v>
      </c>
      <c r="AP58" s="75" t="e">
        <f t="shared" si="16"/>
        <v>#DIV/0!</v>
      </c>
      <c r="AQ58" s="76">
        <f t="shared" si="11"/>
        <v>0</v>
      </c>
      <c r="AR58" s="77">
        <f t="shared" si="12"/>
        <v>0</v>
      </c>
    </row>
    <row r="59" spans="1:44" x14ac:dyDescent="0.25">
      <c r="A59" t="str">
        <f t="shared" si="13"/>
        <v>46201E</v>
      </c>
      <c r="B59" s="51">
        <f t="shared" si="17"/>
        <v>46201</v>
      </c>
      <c r="C59" s="52" t="s">
        <v>88</v>
      </c>
      <c r="D59" s="79"/>
      <c r="E59" s="62"/>
      <c r="F59" s="62"/>
      <c r="G59" s="62">
        <f t="shared" si="0"/>
        <v>0</v>
      </c>
      <c r="H59" s="63">
        <f t="shared" si="1"/>
        <v>0</v>
      </c>
      <c r="I59" s="203"/>
      <c r="J59" s="203"/>
      <c r="K59" s="203"/>
      <c r="L59" s="203"/>
      <c r="M59" s="58"/>
      <c r="N59" s="58"/>
      <c r="O59" s="59"/>
      <c r="P59" s="56"/>
      <c r="Q59" s="60"/>
      <c r="R59" s="61">
        <f t="shared" si="14"/>
        <v>0</v>
      </c>
      <c r="S59" s="62">
        <f t="shared" si="2"/>
        <v>0</v>
      </c>
      <c r="T59" s="63">
        <f t="shared" si="3"/>
        <v>0</v>
      </c>
      <c r="U59" s="64"/>
      <c r="V59" s="65"/>
      <c r="W59" s="66"/>
      <c r="X59" s="67"/>
      <c r="Y59" s="68"/>
      <c r="Z59" s="68"/>
      <c r="AA59" s="62">
        <f t="shared" si="4"/>
        <v>0</v>
      </c>
      <c r="AB59" s="63">
        <f t="shared" si="5"/>
        <v>0</v>
      </c>
      <c r="AC59" s="69"/>
      <c r="AD59" s="70"/>
      <c r="AE59" s="70"/>
      <c r="AF59" s="62">
        <f t="shared" si="6"/>
        <v>0</v>
      </c>
      <c r="AG59" s="63">
        <f t="shared" si="7"/>
        <v>0</v>
      </c>
      <c r="AH59" s="89"/>
      <c r="AI59" s="66"/>
      <c r="AJ59" s="66"/>
      <c r="AK59" s="62">
        <f t="shared" si="8"/>
        <v>0</v>
      </c>
      <c r="AL59" s="72">
        <f t="shared" si="9"/>
        <v>0</v>
      </c>
      <c r="AM59" s="73">
        <f t="shared" si="15"/>
        <v>0</v>
      </c>
      <c r="AN59" s="74">
        <f t="shared" si="18"/>
        <v>0</v>
      </c>
      <c r="AO59" s="74">
        <f t="shared" si="18"/>
        <v>0</v>
      </c>
      <c r="AP59" s="75" t="e">
        <f t="shared" si="16"/>
        <v>#DIV/0!</v>
      </c>
      <c r="AQ59" s="76">
        <f t="shared" si="11"/>
        <v>0</v>
      </c>
      <c r="AR59" s="77">
        <f t="shared" si="12"/>
        <v>0</v>
      </c>
    </row>
    <row r="60" spans="1:44" x14ac:dyDescent="0.25">
      <c r="A60" t="str">
        <f t="shared" si="13"/>
        <v>46202M</v>
      </c>
      <c r="B60" s="51">
        <f t="shared" si="17"/>
        <v>46202</v>
      </c>
      <c r="C60" s="52" t="s">
        <v>87</v>
      </c>
      <c r="D60" s="79"/>
      <c r="E60" s="62"/>
      <c r="F60" s="62"/>
      <c r="G60" s="62">
        <f t="shared" si="0"/>
        <v>0</v>
      </c>
      <c r="H60" s="63">
        <f t="shared" si="1"/>
        <v>0</v>
      </c>
      <c r="I60" s="203"/>
      <c r="J60" s="203"/>
      <c r="K60" s="203"/>
      <c r="L60" s="203"/>
      <c r="M60" s="58"/>
      <c r="N60" s="58"/>
      <c r="O60" s="59"/>
      <c r="P60" s="56"/>
      <c r="Q60" s="60"/>
      <c r="R60" s="61">
        <f t="shared" si="14"/>
        <v>0</v>
      </c>
      <c r="S60" s="62">
        <f t="shared" si="2"/>
        <v>0</v>
      </c>
      <c r="T60" s="63">
        <f t="shared" si="3"/>
        <v>0</v>
      </c>
      <c r="U60" s="64"/>
      <c r="V60" s="65"/>
      <c r="W60" s="66"/>
      <c r="X60" s="67"/>
      <c r="Y60" s="68"/>
      <c r="Z60" s="68"/>
      <c r="AA60" s="62">
        <f t="shared" si="4"/>
        <v>0</v>
      </c>
      <c r="AB60" s="63">
        <f t="shared" si="5"/>
        <v>0</v>
      </c>
      <c r="AC60" s="69"/>
      <c r="AD60" s="70"/>
      <c r="AE60" s="70"/>
      <c r="AF60" s="62">
        <f t="shared" si="6"/>
        <v>0</v>
      </c>
      <c r="AG60" s="63">
        <f t="shared" si="7"/>
        <v>0</v>
      </c>
      <c r="AH60" s="89"/>
      <c r="AI60" s="66"/>
      <c r="AJ60" s="66"/>
      <c r="AK60" s="62">
        <f t="shared" si="8"/>
        <v>0</v>
      </c>
      <c r="AL60" s="72">
        <f t="shared" si="9"/>
        <v>0</v>
      </c>
      <c r="AM60" s="73">
        <f t="shared" si="15"/>
        <v>0</v>
      </c>
      <c r="AN60" s="74">
        <f t="shared" si="18"/>
        <v>0</v>
      </c>
      <c r="AO60" s="74">
        <f t="shared" si="18"/>
        <v>0</v>
      </c>
      <c r="AP60" s="75" t="e">
        <f t="shared" si="16"/>
        <v>#DIV/0!</v>
      </c>
      <c r="AQ60" s="76">
        <f t="shared" si="11"/>
        <v>0</v>
      </c>
      <c r="AR60" s="77">
        <f t="shared" si="12"/>
        <v>0</v>
      </c>
    </row>
    <row r="61" spans="1:44" x14ac:dyDescent="0.25">
      <c r="A61" t="str">
        <f t="shared" si="13"/>
        <v>46202E</v>
      </c>
      <c r="B61" s="51">
        <f t="shared" si="17"/>
        <v>46202</v>
      </c>
      <c r="C61" s="52" t="s">
        <v>88</v>
      </c>
      <c r="D61" s="79"/>
      <c r="E61" s="62"/>
      <c r="F61" s="62"/>
      <c r="G61" s="62">
        <f t="shared" si="0"/>
        <v>0</v>
      </c>
      <c r="H61" s="63">
        <f t="shared" si="1"/>
        <v>0</v>
      </c>
      <c r="I61" s="203"/>
      <c r="J61" s="203"/>
      <c r="K61" s="203"/>
      <c r="L61" s="203"/>
      <c r="M61" s="58"/>
      <c r="N61" s="58"/>
      <c r="O61" s="59"/>
      <c r="P61" s="56"/>
      <c r="Q61" s="60"/>
      <c r="R61" s="61">
        <f t="shared" si="14"/>
        <v>0</v>
      </c>
      <c r="S61" s="62">
        <f t="shared" si="2"/>
        <v>0</v>
      </c>
      <c r="T61" s="63">
        <f t="shared" si="3"/>
        <v>0</v>
      </c>
      <c r="U61" s="64"/>
      <c r="V61" s="65"/>
      <c r="W61" s="66"/>
      <c r="X61" s="67"/>
      <c r="Y61" s="68"/>
      <c r="Z61" s="68"/>
      <c r="AA61" s="62">
        <f t="shared" si="4"/>
        <v>0</v>
      </c>
      <c r="AB61" s="63">
        <f t="shared" si="5"/>
        <v>0</v>
      </c>
      <c r="AC61" s="69"/>
      <c r="AD61" s="70"/>
      <c r="AE61" s="70"/>
      <c r="AF61" s="62">
        <f t="shared" si="6"/>
        <v>0</v>
      </c>
      <c r="AG61" s="63">
        <f t="shared" si="7"/>
        <v>0</v>
      </c>
      <c r="AH61" s="89"/>
      <c r="AI61" s="66"/>
      <c r="AJ61" s="66"/>
      <c r="AK61" s="62">
        <f t="shared" si="8"/>
        <v>0</v>
      </c>
      <c r="AL61" s="72">
        <f t="shared" si="9"/>
        <v>0</v>
      </c>
      <c r="AM61" s="73">
        <f t="shared" si="15"/>
        <v>0</v>
      </c>
      <c r="AN61" s="74">
        <f t="shared" si="18"/>
        <v>0</v>
      </c>
      <c r="AO61" s="74">
        <f t="shared" si="18"/>
        <v>0</v>
      </c>
      <c r="AP61" s="75" t="e">
        <f t="shared" si="16"/>
        <v>#DIV/0!</v>
      </c>
      <c r="AQ61" s="76">
        <f t="shared" si="11"/>
        <v>0</v>
      </c>
      <c r="AR61" s="77">
        <f t="shared" si="12"/>
        <v>0</v>
      </c>
    </row>
    <row r="62" spans="1:44" x14ac:dyDescent="0.25">
      <c r="A62" t="str">
        <f t="shared" si="13"/>
        <v>46203M</v>
      </c>
      <c r="B62" s="51">
        <f t="shared" si="17"/>
        <v>46203</v>
      </c>
      <c r="C62" s="52" t="s">
        <v>87</v>
      </c>
      <c r="D62" s="79"/>
      <c r="E62" s="62"/>
      <c r="F62" s="62"/>
      <c r="G62" s="62">
        <f t="shared" si="0"/>
        <v>0</v>
      </c>
      <c r="H62" s="63">
        <f t="shared" si="1"/>
        <v>0</v>
      </c>
      <c r="I62" s="203"/>
      <c r="J62" s="203"/>
      <c r="K62" s="203"/>
      <c r="L62" s="203"/>
      <c r="M62" s="58"/>
      <c r="N62" s="58"/>
      <c r="O62" s="59"/>
      <c r="P62" s="56"/>
      <c r="Q62" s="60"/>
      <c r="R62" s="61">
        <f t="shared" si="14"/>
        <v>0</v>
      </c>
      <c r="S62" s="62">
        <f t="shared" si="2"/>
        <v>0</v>
      </c>
      <c r="T62" s="63">
        <f t="shared" si="3"/>
        <v>0</v>
      </c>
      <c r="U62" s="64"/>
      <c r="V62" s="65"/>
      <c r="W62" s="66"/>
      <c r="X62" s="67"/>
      <c r="Y62" s="68"/>
      <c r="Z62" s="68"/>
      <c r="AA62" s="62">
        <f t="shared" si="4"/>
        <v>0</v>
      </c>
      <c r="AB62" s="63">
        <f t="shared" si="5"/>
        <v>0</v>
      </c>
      <c r="AC62" s="69"/>
      <c r="AD62" s="70"/>
      <c r="AE62" s="70"/>
      <c r="AF62" s="62">
        <f t="shared" si="6"/>
        <v>0</v>
      </c>
      <c r="AG62" s="63">
        <f t="shared" si="7"/>
        <v>0</v>
      </c>
      <c r="AH62" s="89"/>
      <c r="AI62" s="66"/>
      <c r="AJ62" s="66"/>
      <c r="AK62" s="62">
        <f t="shared" si="8"/>
        <v>0</v>
      </c>
      <c r="AL62" s="72">
        <f t="shared" si="9"/>
        <v>0</v>
      </c>
      <c r="AM62" s="73">
        <f t="shared" si="15"/>
        <v>0</v>
      </c>
      <c r="AN62" s="74">
        <f t="shared" si="18"/>
        <v>0</v>
      </c>
      <c r="AO62" s="74">
        <f t="shared" si="18"/>
        <v>0</v>
      </c>
      <c r="AP62" s="75" t="e">
        <f t="shared" si="16"/>
        <v>#DIV/0!</v>
      </c>
      <c r="AQ62" s="76">
        <f t="shared" si="11"/>
        <v>0</v>
      </c>
      <c r="AR62" s="77">
        <f t="shared" si="12"/>
        <v>0</v>
      </c>
    </row>
    <row r="63" spans="1:44" x14ac:dyDescent="0.25">
      <c r="A63" t="str">
        <f t="shared" si="13"/>
        <v>46203E</v>
      </c>
      <c r="B63" s="51">
        <f t="shared" si="17"/>
        <v>46203</v>
      </c>
      <c r="C63" s="52" t="s">
        <v>88</v>
      </c>
      <c r="D63" s="79"/>
      <c r="E63" s="62"/>
      <c r="F63" s="62"/>
      <c r="G63" s="62">
        <f t="shared" si="0"/>
        <v>0</v>
      </c>
      <c r="H63" s="63">
        <f t="shared" si="1"/>
        <v>0</v>
      </c>
      <c r="I63" s="203"/>
      <c r="J63" s="203"/>
      <c r="K63" s="203"/>
      <c r="L63" s="203"/>
      <c r="M63" s="58"/>
      <c r="N63" s="58"/>
      <c r="O63" s="59"/>
      <c r="P63" s="56"/>
      <c r="Q63" s="60"/>
      <c r="R63" s="61">
        <f t="shared" si="14"/>
        <v>0</v>
      </c>
      <c r="S63" s="62">
        <f t="shared" si="2"/>
        <v>0</v>
      </c>
      <c r="T63" s="63">
        <f t="shared" si="3"/>
        <v>0</v>
      </c>
      <c r="U63" s="64"/>
      <c r="V63" s="65"/>
      <c r="W63" s="66"/>
      <c r="X63" s="67"/>
      <c r="Y63" s="68"/>
      <c r="Z63" s="68"/>
      <c r="AA63" s="62">
        <f t="shared" si="4"/>
        <v>0</v>
      </c>
      <c r="AB63" s="63">
        <f t="shared" si="5"/>
        <v>0</v>
      </c>
      <c r="AC63" s="69"/>
      <c r="AD63" s="70"/>
      <c r="AE63" s="70"/>
      <c r="AF63" s="62">
        <f t="shared" si="6"/>
        <v>0</v>
      </c>
      <c r="AG63" s="63">
        <f t="shared" si="7"/>
        <v>0</v>
      </c>
      <c r="AH63" s="89"/>
      <c r="AI63" s="66"/>
      <c r="AJ63" s="66"/>
      <c r="AK63" s="62">
        <f t="shared" si="8"/>
        <v>0</v>
      </c>
      <c r="AL63" s="72">
        <f t="shared" si="9"/>
        <v>0</v>
      </c>
      <c r="AM63" s="73">
        <f t="shared" si="15"/>
        <v>0</v>
      </c>
      <c r="AN63" s="74">
        <f t="shared" si="18"/>
        <v>0</v>
      </c>
      <c r="AO63" s="74">
        <f t="shared" si="18"/>
        <v>0</v>
      </c>
      <c r="AP63" s="75" t="e">
        <f t="shared" si="16"/>
        <v>#DIV/0!</v>
      </c>
      <c r="AQ63" s="76">
        <f t="shared" si="11"/>
        <v>0</v>
      </c>
      <c r="AR63" s="77">
        <f t="shared" si="12"/>
        <v>0</v>
      </c>
    </row>
    <row r="64" spans="1:44" x14ac:dyDescent="0.25">
      <c r="A64" t="str">
        <f t="shared" si="13"/>
        <v>46204M</v>
      </c>
      <c r="B64" s="51">
        <f t="shared" si="17"/>
        <v>46204</v>
      </c>
      <c r="C64" s="52" t="s">
        <v>87</v>
      </c>
      <c r="D64" s="79"/>
      <c r="E64" s="62"/>
      <c r="F64" s="62"/>
      <c r="G64" s="62">
        <f t="shared" si="0"/>
        <v>0</v>
      </c>
      <c r="H64" s="63">
        <f t="shared" si="1"/>
        <v>0</v>
      </c>
      <c r="I64" s="203"/>
      <c r="J64" s="203"/>
      <c r="K64" s="203"/>
      <c r="L64" s="203"/>
      <c r="M64" s="58"/>
      <c r="N64" s="58"/>
      <c r="O64" s="59"/>
      <c r="P64" s="56"/>
      <c r="Q64" s="60"/>
      <c r="R64" s="61">
        <f t="shared" si="14"/>
        <v>0</v>
      </c>
      <c r="S64" s="62">
        <f t="shared" si="2"/>
        <v>0</v>
      </c>
      <c r="T64" s="63">
        <f t="shared" si="3"/>
        <v>0</v>
      </c>
      <c r="U64" s="64"/>
      <c r="V64" s="65"/>
      <c r="W64" s="66"/>
      <c r="X64" s="68"/>
      <c r="Y64" s="68"/>
      <c r="Z64" s="68"/>
      <c r="AA64" s="62">
        <f t="shared" si="4"/>
        <v>0</v>
      </c>
      <c r="AB64" s="63">
        <f t="shared" si="5"/>
        <v>0</v>
      </c>
      <c r="AC64" s="69"/>
      <c r="AD64" s="70"/>
      <c r="AE64" s="70"/>
      <c r="AF64" s="62">
        <f t="shared" si="6"/>
        <v>0</v>
      </c>
      <c r="AG64" s="63">
        <f t="shared" si="7"/>
        <v>0</v>
      </c>
      <c r="AH64" s="71"/>
      <c r="AI64" s="71"/>
      <c r="AJ64" s="71"/>
      <c r="AK64" s="62">
        <f t="shared" si="8"/>
        <v>0</v>
      </c>
      <c r="AL64" s="72">
        <f t="shared" si="9"/>
        <v>0</v>
      </c>
      <c r="AM64" s="73">
        <f t="shared" si="15"/>
        <v>0</v>
      </c>
      <c r="AN64" s="74">
        <f t="shared" si="18"/>
        <v>0</v>
      </c>
      <c r="AO64" s="74">
        <f t="shared" si="18"/>
        <v>0</v>
      </c>
      <c r="AP64" s="75" t="e">
        <f t="shared" si="16"/>
        <v>#DIV/0!</v>
      </c>
      <c r="AQ64" s="76">
        <f t="shared" si="11"/>
        <v>0</v>
      </c>
      <c r="AR64" s="77">
        <f t="shared" si="12"/>
        <v>0</v>
      </c>
    </row>
    <row r="65" spans="1:44" x14ac:dyDescent="0.25">
      <c r="A65" t="str">
        <f t="shared" si="13"/>
        <v>46204E</v>
      </c>
      <c r="B65" s="51">
        <f t="shared" si="17"/>
        <v>46204</v>
      </c>
      <c r="C65" s="52" t="s">
        <v>88</v>
      </c>
      <c r="D65" s="79"/>
      <c r="E65" s="62"/>
      <c r="F65" s="62"/>
      <c r="G65" s="62">
        <f t="shared" si="0"/>
        <v>0</v>
      </c>
      <c r="H65" s="63">
        <f t="shared" si="1"/>
        <v>0</v>
      </c>
      <c r="I65" s="203"/>
      <c r="J65" s="203"/>
      <c r="K65" s="203"/>
      <c r="L65" s="203"/>
      <c r="M65" s="58"/>
      <c r="N65" s="58"/>
      <c r="O65" s="59"/>
      <c r="P65" s="56"/>
      <c r="Q65" s="60"/>
      <c r="R65" s="61">
        <f t="shared" si="14"/>
        <v>0</v>
      </c>
      <c r="S65" s="62">
        <f t="shared" si="2"/>
        <v>0</v>
      </c>
      <c r="T65" s="63">
        <f t="shared" si="3"/>
        <v>0</v>
      </c>
      <c r="U65" s="64"/>
      <c r="V65" s="65"/>
      <c r="W65" s="66"/>
      <c r="X65" s="68"/>
      <c r="Y65" s="68"/>
      <c r="Z65" s="68"/>
      <c r="AA65" s="62">
        <f t="shared" si="4"/>
        <v>0</v>
      </c>
      <c r="AB65" s="63">
        <f t="shared" si="5"/>
        <v>0</v>
      </c>
      <c r="AC65" s="69"/>
      <c r="AD65" s="70"/>
      <c r="AE65" s="70"/>
      <c r="AF65" s="62">
        <f t="shared" si="6"/>
        <v>0</v>
      </c>
      <c r="AG65" s="63">
        <f t="shared" si="7"/>
        <v>0</v>
      </c>
      <c r="AH65" s="71"/>
      <c r="AI65" s="71"/>
      <c r="AJ65" s="71"/>
      <c r="AK65" s="62">
        <f t="shared" si="8"/>
        <v>0</v>
      </c>
      <c r="AL65" s="72">
        <f t="shared" si="9"/>
        <v>0</v>
      </c>
      <c r="AM65" s="73">
        <f t="shared" si="15"/>
        <v>0</v>
      </c>
      <c r="AN65" s="74">
        <f t="shared" si="18"/>
        <v>0</v>
      </c>
      <c r="AO65" s="74">
        <f t="shared" si="18"/>
        <v>0</v>
      </c>
      <c r="AP65" s="75" t="e">
        <f t="shared" si="16"/>
        <v>#DIV/0!</v>
      </c>
      <c r="AQ65" s="76">
        <f t="shared" si="11"/>
        <v>0</v>
      </c>
      <c r="AR65" s="77">
        <f t="shared" si="12"/>
        <v>0</v>
      </c>
    </row>
    <row r="66" spans="1:44" x14ac:dyDescent="0.25">
      <c r="J66">
        <f>SUM(J4:J65)</f>
        <v>20426.547999999999</v>
      </c>
      <c r="X66" s="77"/>
      <c r="AH66" s="77"/>
      <c r="AI66" s="77"/>
      <c r="AJ66" s="77"/>
      <c r="AM66" s="83">
        <f>-SUM(AM4:AM65)</f>
        <v>510.25200000000132</v>
      </c>
      <c r="AN66" s="83">
        <f t="shared" ref="AN66:AO66" si="19">-SUM(AN4:AN65)</f>
        <v>50.589990000000029</v>
      </c>
      <c r="AO66" s="83">
        <f t="shared" si="19"/>
        <v>60.146947399999966</v>
      </c>
      <c r="AP66" s="83" t="e">
        <f>-SUM(AP4:AP65)</f>
        <v>#DIV/0!</v>
      </c>
      <c r="AQ66" s="127">
        <f>-SUM(AQ4:AQ65)</f>
        <v>40710.729849122661</v>
      </c>
    </row>
    <row r="67" spans="1:44" x14ac:dyDescent="0.25">
      <c r="X67" s="77"/>
      <c r="AH67" s="86"/>
      <c r="AI67" s="86"/>
      <c r="AJ67" s="86"/>
    </row>
    <row r="68" spans="1:44" x14ac:dyDescent="0.25">
      <c r="AH68" s="77"/>
      <c r="AI68" s="77"/>
      <c r="AJ68" s="77"/>
    </row>
    <row r="69" spans="1:44" x14ac:dyDescent="0.25">
      <c r="X69" s="77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16" priority="1" operator="lessThan">
      <formula>0.1</formula>
    </cfRule>
    <cfRule type="cellIs" dxfId="115" priority="2" operator="greaterThan">
      <formula>0.1</formula>
    </cfRule>
  </conditionalFormatting>
  <conditionalFormatting sqref="AP1:AQ1">
    <cfRule type="cellIs" dxfId="114" priority="5" operator="lessThan">
      <formula>1</formula>
    </cfRule>
  </conditionalFormatting>
  <conditionalFormatting sqref="AQ4:AQ65">
    <cfRule type="cellIs" dxfId="113" priority="3" operator="lessThan">
      <formula>0</formula>
    </cfRule>
    <cfRule type="cellIs" dxfId="112" priority="4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69"/>
  <sheetViews>
    <sheetView zoomScale="80" zoomScaleNormal="80" workbookViewId="0">
      <selection activeCell="AC23" sqref="AC23:AE23"/>
    </sheetView>
  </sheetViews>
  <sheetFormatPr defaultRowHeight="15" x14ac:dyDescent="0.25"/>
  <cols>
    <col min="1" max="1" width="3" customWidth="1"/>
    <col min="2" max="2" width="11.5703125" customWidth="1"/>
    <col min="3" max="3" width="4.7109375" bestFit="1" customWidth="1"/>
    <col min="4" max="4" width="7.85546875" customWidth="1"/>
    <col min="5" max="6" width="5" bestFit="1" customWidth="1"/>
    <col min="7" max="7" width="7.7109375" customWidth="1"/>
    <col min="8" max="8" width="8.28515625" customWidth="1"/>
    <col min="9" max="9" width="7.85546875" customWidth="1"/>
    <col min="10" max="10" width="8.5703125" bestFit="1" customWidth="1"/>
    <col min="11" max="11" width="7.28515625" bestFit="1" customWidth="1"/>
    <col min="12" max="12" width="5" bestFit="1" customWidth="1"/>
    <col min="13" max="13" width="6" customWidth="1"/>
    <col min="14" max="14" width="9.42578125" bestFit="1" customWidth="1"/>
    <col min="15" max="15" width="6.28515625" bestFit="1" customWidth="1"/>
    <col min="16" max="17" width="5" bestFit="1" customWidth="1"/>
    <col min="18" max="18" width="7.85546875" customWidth="1"/>
    <col min="19" max="19" width="7.42578125" customWidth="1"/>
    <col min="20" max="20" width="7.7109375" customWidth="1"/>
    <col min="21" max="21" width="6.5703125" bestFit="1" customWidth="1"/>
    <col min="22" max="22" width="7" bestFit="1" customWidth="1"/>
    <col min="23" max="23" width="11.7109375" bestFit="1" customWidth="1"/>
    <col min="24" max="24" width="7.5703125" bestFit="1" customWidth="1"/>
    <col min="25" max="26" width="5" style="77" bestFit="1" customWidth="1"/>
    <col min="27" max="27" width="7.28515625" customWidth="1"/>
    <col min="28" max="28" width="7.42578125" customWidth="1"/>
    <col min="29" max="29" width="8.5703125" bestFit="1" customWidth="1"/>
    <col min="30" max="31" width="5" bestFit="1" customWidth="1"/>
    <col min="32" max="32" width="7.28515625" customWidth="1"/>
    <col min="33" max="33" width="7.42578125" customWidth="1"/>
    <col min="34" max="34" width="9.5703125" bestFit="1" customWidth="1"/>
    <col min="35" max="36" width="5" bestFit="1" customWidth="1"/>
    <col min="37" max="37" width="7.7109375" customWidth="1"/>
    <col min="38" max="38" width="8.7109375" customWidth="1"/>
    <col min="39" max="39" width="8.28515625" bestFit="1" customWidth="1"/>
    <col min="40" max="41" width="7.28515625" bestFit="1" customWidth="1"/>
    <col min="42" max="42" width="8.28515625" bestFit="1" customWidth="1"/>
    <col min="43" max="43" width="10.28515625" bestFit="1" customWidth="1"/>
    <col min="44" max="44" width="7.28515625" bestFit="1" customWidth="1"/>
    <col min="45" max="49" width="8.7109375" bestFit="1" customWidth="1"/>
  </cols>
  <sheetData>
    <row r="1" spans="1:46" ht="15.75" thickBot="1" x14ac:dyDescent="0.3">
      <c r="B1" s="43" t="s">
        <v>161</v>
      </c>
      <c r="C1" s="44"/>
      <c r="Y1"/>
      <c r="Z1"/>
      <c r="AG1">
        <v>392</v>
      </c>
      <c r="AP1" s="126">
        <f>Sumarry!$K$4</f>
        <v>448.91</v>
      </c>
      <c r="AQ1" s="126">
        <f>Sumarry!$L$4</f>
        <v>299.27333333333337</v>
      </c>
    </row>
    <row r="2" spans="1:46" x14ac:dyDescent="0.25">
      <c r="B2" s="245" t="s">
        <v>64</v>
      </c>
      <c r="C2" s="247" t="s">
        <v>65</v>
      </c>
      <c r="D2" s="249" t="s">
        <v>66</v>
      </c>
      <c r="E2" s="250"/>
      <c r="F2" s="250"/>
      <c r="G2" s="250"/>
      <c r="H2" s="251"/>
      <c r="I2" s="242" t="s">
        <v>67</v>
      </c>
      <c r="J2" s="243"/>
      <c r="K2" s="243"/>
      <c r="L2" s="244"/>
      <c r="M2" s="242" t="s">
        <v>68</v>
      </c>
      <c r="N2" s="243"/>
      <c r="O2" s="243"/>
      <c r="P2" s="243"/>
      <c r="Q2" s="244"/>
      <c r="R2" s="242" t="s">
        <v>69</v>
      </c>
      <c r="S2" s="243"/>
      <c r="T2" s="244"/>
      <c r="U2" s="239" t="s">
        <v>70</v>
      </c>
      <c r="V2" s="240"/>
      <c r="W2" s="240"/>
      <c r="X2" s="240"/>
      <c r="Y2" s="240"/>
      <c r="Z2" s="240"/>
      <c r="AA2" s="240"/>
      <c r="AB2" s="241"/>
      <c r="AC2" s="242" t="s">
        <v>71</v>
      </c>
      <c r="AD2" s="243"/>
      <c r="AE2" s="243"/>
      <c r="AF2" s="243"/>
      <c r="AG2" s="244"/>
      <c r="AH2" s="242" t="s">
        <v>72</v>
      </c>
      <c r="AI2" s="243"/>
      <c r="AJ2" s="243"/>
      <c r="AK2" s="243"/>
      <c r="AL2" s="244"/>
      <c r="AM2" s="239" t="s">
        <v>73</v>
      </c>
      <c r="AN2" s="240"/>
      <c r="AO2" s="240"/>
      <c r="AP2" s="240"/>
      <c r="AQ2" s="241"/>
    </row>
    <row r="3" spans="1:46" x14ac:dyDescent="0.25">
      <c r="B3" s="246"/>
      <c r="C3" s="248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6" x14ac:dyDescent="0.25">
      <c r="A4" t="str">
        <f>CONCATENATE(B4,C4)</f>
        <v>46174M</v>
      </c>
      <c r="B4" s="51">
        <v>46174</v>
      </c>
      <c r="C4" s="52" t="s">
        <v>87</v>
      </c>
      <c r="D4" s="53">
        <v>465.1</v>
      </c>
      <c r="E4" s="54">
        <v>4.17</v>
      </c>
      <c r="F4" s="55">
        <v>8.07</v>
      </c>
      <c r="G4" s="62">
        <f t="shared" ref="G4:G65" si="0">+D4*E4%</f>
        <v>19.394670000000001</v>
      </c>
      <c r="H4" s="63">
        <f t="shared" ref="H4:H65" si="1">+D4*F4%</f>
        <v>37.533570000000005</v>
      </c>
      <c r="I4" s="203">
        <v>78.36</v>
      </c>
      <c r="J4" s="203">
        <v>80.710800000000006</v>
      </c>
      <c r="K4" s="203">
        <v>5.1332312404287901</v>
      </c>
      <c r="L4" s="203">
        <v>8.3776927003573238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80.710800000000006</v>
      </c>
      <c r="S4" s="62">
        <f t="shared" ref="S4:S65" si="2">+J4*K4%+O4*P4%</f>
        <v>4.1430720000000001</v>
      </c>
      <c r="T4" s="63">
        <f t="shared" ref="T4:T65" si="3">+J4*L4%+O4*Q4%</f>
        <v>6.7617027999999992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:AA65" si="4">X4*Y4%</f>
        <v>0</v>
      </c>
      <c r="AB4" s="63">
        <f t="shared" ref="AB4:AB65" si="5">X4*Z4%</f>
        <v>0</v>
      </c>
      <c r="AC4" s="69"/>
      <c r="AD4" s="70"/>
      <c r="AE4" s="70"/>
      <c r="AF4" s="62">
        <f t="shared" ref="AF4:AF65" si="6">AC4*AD4%</f>
        <v>0</v>
      </c>
      <c r="AG4" s="63">
        <f t="shared" ref="AG4:AG65" si="7">AC4*AE4%</f>
        <v>0</v>
      </c>
      <c r="AH4" s="71">
        <v>546</v>
      </c>
      <c r="AI4" s="66">
        <v>4.32</v>
      </c>
      <c r="AJ4" s="66">
        <v>8.11</v>
      </c>
      <c r="AK4" s="62">
        <f t="shared" ref="AK4:AK65" si="8">AH4*AI4%</f>
        <v>23.587200000000003</v>
      </c>
      <c r="AL4" s="72">
        <f t="shared" ref="AL4:AL65" si="9">AH4*AJ4%</f>
        <v>44.280599999999993</v>
      </c>
      <c r="AM4" s="73">
        <f>+D4+R4-AC4-AH4</f>
        <v>-0.18920000000002801</v>
      </c>
      <c r="AN4" s="74">
        <f t="shared" ref="AN4:AO19" si="10">+G4+S4-AF4-AK4</f>
        <v>-4.9458000000001334E-2</v>
      </c>
      <c r="AO4" s="74">
        <f t="shared" si="10"/>
        <v>1.4672800000013808E-2</v>
      </c>
      <c r="AP4" s="75">
        <f>(AN4+AO4)/(S4+T4)</f>
        <v>-3.1899053981369273E-3</v>
      </c>
      <c r="AQ4" s="76">
        <f t="shared" ref="AQ4:AQ65" si="11">($AP$1*AN4+$AQ$1*AO4)</f>
        <v>-17.811013014663132</v>
      </c>
      <c r="AR4" s="77">
        <f t="shared" ref="AR4:AR65" si="12">(D4+J4+O4)-(X4+AH4)</f>
        <v>-0.18920000000002801</v>
      </c>
      <c r="AT4" s="78"/>
    </row>
    <row r="5" spans="1:46" x14ac:dyDescent="0.25">
      <c r="A5" t="str">
        <f t="shared" ref="A5:A65" si="13">CONCATENATE(B5,C5)</f>
        <v>46174E</v>
      </c>
      <c r="B5" s="51">
        <f>+B4</f>
        <v>46174</v>
      </c>
      <c r="C5" s="52" t="s">
        <v>88</v>
      </c>
      <c r="D5" s="79">
        <v>546</v>
      </c>
      <c r="E5" s="62">
        <v>4.32</v>
      </c>
      <c r="F5" s="62">
        <v>8.11</v>
      </c>
      <c r="G5" s="62">
        <f t="shared" si="0"/>
        <v>23.587200000000003</v>
      </c>
      <c r="H5" s="63">
        <f t="shared" si="1"/>
        <v>44.280599999999993</v>
      </c>
      <c r="I5" s="203">
        <v>1564.2699999999995</v>
      </c>
      <c r="J5" s="203">
        <v>1611.1980999999996</v>
      </c>
      <c r="K5" s="203">
        <v>4.5188298695238007</v>
      </c>
      <c r="L5" s="203">
        <v>8.1907758890728548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4">+J5+O5</f>
        <v>1611.1980999999996</v>
      </c>
      <c r="S5" s="62">
        <f t="shared" si="2"/>
        <v>72.807300999999939</v>
      </c>
      <c r="T5" s="63">
        <f t="shared" si="3"/>
        <v>131.96962549999989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si="4"/>
        <v>0</v>
      </c>
      <c r="AB5" s="63">
        <f t="shared" si="5"/>
        <v>0</v>
      </c>
      <c r="AC5" s="69"/>
      <c r="AD5" s="70"/>
      <c r="AE5" s="70"/>
      <c r="AF5" s="62">
        <f t="shared" si="6"/>
        <v>0</v>
      </c>
      <c r="AG5" s="63">
        <f t="shared" si="7"/>
        <v>0</v>
      </c>
      <c r="AH5" s="71">
        <v>2157</v>
      </c>
      <c r="AI5" s="66">
        <v>3.92</v>
      </c>
      <c r="AJ5" s="66">
        <v>8.17</v>
      </c>
      <c r="AK5" s="62">
        <f t="shared" si="8"/>
        <v>84.554400000000001</v>
      </c>
      <c r="AL5" s="72">
        <f t="shared" si="9"/>
        <v>176.2269</v>
      </c>
      <c r="AM5" s="73">
        <f t="shared" ref="AM5:AM65" si="15">+D5+R5-AC5-AH5</f>
        <v>0.19809999999961292</v>
      </c>
      <c r="AN5" s="74">
        <f t="shared" si="10"/>
        <v>11.840100999999933</v>
      </c>
      <c r="AO5" s="74">
        <f t="shared" si="10"/>
        <v>2.3325499999884869E-2</v>
      </c>
      <c r="AP5" s="75">
        <f t="shared" ref="AP5:AP65" si="16">(AN5+AO5)/(S5+T5)</f>
        <v>5.7933414192540035E-2</v>
      </c>
      <c r="AQ5" s="76">
        <f t="shared" si="11"/>
        <v>5322.1204400466031</v>
      </c>
      <c r="AR5" s="77">
        <f t="shared" si="12"/>
        <v>0.19809999999961292</v>
      </c>
    </row>
    <row r="6" spans="1:46" x14ac:dyDescent="0.25">
      <c r="A6" t="str">
        <f t="shared" si="13"/>
        <v>46175M</v>
      </c>
      <c r="B6" s="51">
        <f>+B4+1</f>
        <v>46175</v>
      </c>
      <c r="C6" s="52" t="s">
        <v>87</v>
      </c>
      <c r="D6" s="79">
        <v>2157</v>
      </c>
      <c r="E6" s="62">
        <v>3.92</v>
      </c>
      <c r="F6" s="62">
        <v>8.17</v>
      </c>
      <c r="G6" s="62">
        <f t="shared" si="0"/>
        <v>84.554400000000001</v>
      </c>
      <c r="H6" s="63">
        <f t="shared" si="1"/>
        <v>176.2269</v>
      </c>
      <c r="I6" s="203">
        <v>281.99</v>
      </c>
      <c r="J6" s="203">
        <v>290.44970000000001</v>
      </c>
      <c r="K6" s="203">
        <v>5.0657257349551399</v>
      </c>
      <c r="L6" s="203">
        <v>8.0440015603390194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4"/>
        <v>290.44970000000001</v>
      </c>
      <c r="S6" s="62">
        <f t="shared" si="2"/>
        <v>14.713385199999999</v>
      </c>
      <c r="T6" s="63">
        <f t="shared" si="3"/>
        <v>23.363778400000001</v>
      </c>
      <c r="U6" s="64" t="s">
        <v>221</v>
      </c>
      <c r="V6" s="65" t="s">
        <v>222</v>
      </c>
      <c r="W6" s="66" t="s">
        <v>149</v>
      </c>
      <c r="X6" s="67">
        <v>1790</v>
      </c>
      <c r="Y6" s="68">
        <v>4.3</v>
      </c>
      <c r="Z6" s="68">
        <v>7.77</v>
      </c>
      <c r="AA6" s="62">
        <f t="shared" si="4"/>
        <v>76.97</v>
      </c>
      <c r="AB6" s="63">
        <f t="shared" si="5"/>
        <v>139.083</v>
      </c>
      <c r="AC6" s="69">
        <v>1790</v>
      </c>
      <c r="AD6" s="70">
        <v>4.3</v>
      </c>
      <c r="AE6" s="70">
        <v>7.77</v>
      </c>
      <c r="AF6" s="62">
        <f t="shared" si="6"/>
        <v>76.97</v>
      </c>
      <c r="AG6" s="63">
        <f t="shared" si="7"/>
        <v>139.083</v>
      </c>
      <c r="AH6" s="71">
        <v>657</v>
      </c>
      <c r="AI6" s="66">
        <v>4.0599999999999996</v>
      </c>
      <c r="AJ6" s="66">
        <v>8.15</v>
      </c>
      <c r="AK6" s="62">
        <f t="shared" si="8"/>
        <v>26.674199999999999</v>
      </c>
      <c r="AL6" s="72">
        <f t="shared" si="9"/>
        <v>53.545500000000004</v>
      </c>
      <c r="AM6" s="73">
        <f t="shared" si="15"/>
        <v>0.44970000000012078</v>
      </c>
      <c r="AN6" s="74">
        <f t="shared" si="10"/>
        <v>-4.3764147999999921</v>
      </c>
      <c r="AO6" s="74">
        <f t="shared" si="10"/>
        <v>6.9621783999999991</v>
      </c>
      <c r="AP6" s="75">
        <f t="shared" si="16"/>
        <v>6.790851406799657E-2</v>
      </c>
      <c r="AQ6" s="76">
        <f t="shared" si="11"/>
        <v>118.97796916133689</v>
      </c>
      <c r="AR6" s="77">
        <f t="shared" si="12"/>
        <v>0.44970000000012078</v>
      </c>
    </row>
    <row r="7" spans="1:46" x14ac:dyDescent="0.25">
      <c r="A7" t="str">
        <f t="shared" si="13"/>
        <v>46175E</v>
      </c>
      <c r="B7" s="51">
        <f>+B5+1</f>
        <v>46175</v>
      </c>
      <c r="C7" s="52" t="s">
        <v>88</v>
      </c>
      <c r="D7" s="79">
        <v>657</v>
      </c>
      <c r="E7" s="62">
        <v>4.0599999999999996</v>
      </c>
      <c r="F7" s="62">
        <v>8.15</v>
      </c>
      <c r="G7" s="62">
        <f t="shared" si="0"/>
        <v>26.674199999999999</v>
      </c>
      <c r="H7" s="63">
        <f t="shared" si="1"/>
        <v>53.545500000000004</v>
      </c>
      <c r="I7" s="203">
        <v>632.36</v>
      </c>
      <c r="J7" s="203">
        <v>651.33080000000007</v>
      </c>
      <c r="K7" s="203">
        <v>4.5293329748877218</v>
      </c>
      <c r="L7" s="203">
        <v>8.1579306091466872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4"/>
        <v>651.33080000000007</v>
      </c>
      <c r="S7" s="62">
        <f t="shared" si="2"/>
        <v>29.500940700000001</v>
      </c>
      <c r="T7" s="63">
        <f t="shared" si="3"/>
        <v>53.135114699999995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4"/>
        <v>0</v>
      </c>
      <c r="AB7" s="63">
        <f t="shared" si="5"/>
        <v>0</v>
      </c>
      <c r="AC7" s="69"/>
      <c r="AD7" s="70"/>
      <c r="AE7" s="70"/>
      <c r="AF7" s="62">
        <f t="shared" si="6"/>
        <v>0</v>
      </c>
      <c r="AG7" s="63">
        <f t="shared" si="7"/>
        <v>0</v>
      </c>
      <c r="AH7" s="71">
        <v>1308</v>
      </c>
      <c r="AI7" s="71">
        <v>4.28</v>
      </c>
      <c r="AJ7" s="71">
        <v>8.17</v>
      </c>
      <c r="AK7" s="62">
        <f t="shared" si="8"/>
        <v>55.982400000000005</v>
      </c>
      <c r="AL7" s="72">
        <f t="shared" si="9"/>
        <v>106.86359999999999</v>
      </c>
      <c r="AM7" s="73">
        <f t="shared" si="15"/>
        <v>0.33080000000018117</v>
      </c>
      <c r="AN7" s="74">
        <f t="shared" si="10"/>
        <v>0.19274069999999455</v>
      </c>
      <c r="AO7" s="74">
        <f t="shared" si="10"/>
        <v>-0.18298529999998436</v>
      </c>
      <c r="AP7" s="75">
        <f t="shared" si="16"/>
        <v>1.1805258555468493E-4</v>
      </c>
      <c r="AQ7" s="76">
        <f t="shared" si="11"/>
        <v>31.760606955002231</v>
      </c>
      <c r="AR7" s="77">
        <f t="shared" si="12"/>
        <v>0.33080000000018117</v>
      </c>
    </row>
    <row r="8" spans="1:46" x14ac:dyDescent="0.25">
      <c r="A8" t="str">
        <f t="shared" si="13"/>
        <v>46176M</v>
      </c>
      <c r="B8" s="51">
        <f>+B6+1</f>
        <v>46176</v>
      </c>
      <c r="C8" s="52" t="s">
        <v>87</v>
      </c>
      <c r="D8" s="91">
        <v>1308</v>
      </c>
      <c r="E8" s="62">
        <v>4.28</v>
      </c>
      <c r="F8" s="62">
        <v>8.17</v>
      </c>
      <c r="G8" s="62">
        <f t="shared" si="0"/>
        <v>55.982400000000005</v>
      </c>
      <c r="H8" s="63">
        <f t="shared" si="1"/>
        <v>106.86359999999999</v>
      </c>
      <c r="I8" s="203">
        <v>290.18999999999994</v>
      </c>
      <c r="J8" s="203">
        <v>298.89569999999992</v>
      </c>
      <c r="K8" s="203">
        <v>5.1413522175126625</v>
      </c>
      <c r="L8" s="203">
        <v>8.2297804886453676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4"/>
        <v>298.89569999999992</v>
      </c>
      <c r="S8" s="62">
        <f t="shared" si="2"/>
        <v>15.367280699999991</v>
      </c>
      <c r="T8" s="63">
        <f t="shared" si="3"/>
        <v>24.598459999999985</v>
      </c>
      <c r="U8" s="64" t="s">
        <v>221</v>
      </c>
      <c r="V8" s="65" t="s">
        <v>214</v>
      </c>
      <c r="W8" s="66" t="s">
        <v>149</v>
      </c>
      <c r="X8" s="67">
        <v>1478</v>
      </c>
      <c r="Y8" s="68">
        <v>4.5</v>
      </c>
      <c r="Z8" s="68">
        <v>8.06</v>
      </c>
      <c r="AA8" s="62">
        <f t="shared" si="4"/>
        <v>66.509999999999991</v>
      </c>
      <c r="AB8" s="63">
        <f t="shared" si="5"/>
        <v>119.1268</v>
      </c>
      <c r="AC8" s="69">
        <v>1478</v>
      </c>
      <c r="AD8" s="70">
        <v>4.5</v>
      </c>
      <c r="AE8" s="70">
        <v>8.06</v>
      </c>
      <c r="AF8" s="62">
        <f t="shared" si="6"/>
        <v>66.509999999999991</v>
      </c>
      <c r="AG8" s="63">
        <f t="shared" si="7"/>
        <v>119.1268</v>
      </c>
      <c r="AH8" s="71">
        <v>0</v>
      </c>
      <c r="AI8" s="71">
        <v>0</v>
      </c>
      <c r="AJ8" s="71">
        <v>0</v>
      </c>
      <c r="AK8" s="62">
        <f t="shared" si="8"/>
        <v>0</v>
      </c>
      <c r="AL8" s="72">
        <f t="shared" si="9"/>
        <v>0</v>
      </c>
      <c r="AM8" s="73">
        <f t="shared" si="15"/>
        <v>128.89570000000003</v>
      </c>
      <c r="AN8" s="74">
        <f t="shared" si="10"/>
        <v>4.8396807000000024</v>
      </c>
      <c r="AO8" s="74">
        <f t="shared" si="10"/>
        <v>12.335259999999977</v>
      </c>
      <c r="AP8" s="75">
        <f t="shared" si="16"/>
        <v>0.42974158364591475</v>
      </c>
      <c r="AQ8" s="76">
        <f t="shared" si="11"/>
        <v>5864.1954407703279</v>
      </c>
      <c r="AR8" s="90">
        <f t="shared" si="12"/>
        <v>128.89570000000003</v>
      </c>
    </row>
    <row r="9" spans="1:46" x14ac:dyDescent="0.25">
      <c r="A9" t="str">
        <f t="shared" si="13"/>
        <v>46176E</v>
      </c>
      <c r="B9" s="51">
        <f t="shared" ref="B9:B65" si="17">+B7+1</f>
        <v>46176</v>
      </c>
      <c r="C9" s="52" t="s">
        <v>88</v>
      </c>
      <c r="D9" s="91">
        <v>0</v>
      </c>
      <c r="E9" s="62">
        <v>0</v>
      </c>
      <c r="F9" s="62">
        <v>0</v>
      </c>
      <c r="G9" s="62">
        <f t="shared" si="0"/>
        <v>0</v>
      </c>
      <c r="H9" s="63">
        <f t="shared" si="1"/>
        <v>0</v>
      </c>
      <c r="I9" s="203">
        <v>1433.6399999999994</v>
      </c>
      <c r="J9" s="203">
        <v>1476.6491999999994</v>
      </c>
      <c r="K9" s="203">
        <v>4.3695572110153194</v>
      </c>
      <c r="L9" s="203">
        <v>8.1348616110041583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4"/>
        <v>1476.6491999999994</v>
      </c>
      <c r="S9" s="62">
        <f t="shared" si="2"/>
        <v>64.523031599999996</v>
      </c>
      <c r="T9" s="63">
        <f t="shared" si="3"/>
        <v>120.12336889999997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4"/>
        <v>0</v>
      </c>
      <c r="AB9" s="63">
        <f t="shared" si="5"/>
        <v>0</v>
      </c>
      <c r="AC9" s="69"/>
      <c r="AD9" s="70"/>
      <c r="AE9" s="70"/>
      <c r="AF9" s="62">
        <f t="shared" si="6"/>
        <v>0</v>
      </c>
      <c r="AG9" s="63">
        <f t="shared" si="7"/>
        <v>0</v>
      </c>
      <c r="AH9" s="82">
        <v>1476</v>
      </c>
      <c r="AI9" s="82">
        <v>4.4000000000000004</v>
      </c>
      <c r="AJ9" s="82">
        <v>8.1</v>
      </c>
      <c r="AK9" s="62">
        <f t="shared" si="8"/>
        <v>64.944000000000003</v>
      </c>
      <c r="AL9" s="72">
        <f t="shared" si="9"/>
        <v>119.556</v>
      </c>
      <c r="AM9" s="73">
        <f t="shared" si="15"/>
        <v>0.64919999999938227</v>
      </c>
      <c r="AN9" s="74">
        <f t="shared" si="10"/>
        <v>-0.42096840000000668</v>
      </c>
      <c r="AO9" s="74">
        <f t="shared" si="10"/>
        <v>0.56736889999997686</v>
      </c>
      <c r="AP9" s="75">
        <f t="shared" si="16"/>
        <v>7.928695041091267E-4</v>
      </c>
      <c r="AQ9" s="76">
        <f t="shared" si="11"/>
        <v>-19.178542511343238</v>
      </c>
      <c r="AR9" s="90">
        <f t="shared" si="12"/>
        <v>0.64919999999938227</v>
      </c>
    </row>
    <row r="10" spans="1:46" x14ac:dyDescent="0.25">
      <c r="A10" t="str">
        <f t="shared" si="13"/>
        <v>46177M</v>
      </c>
      <c r="B10" s="51">
        <f t="shared" si="17"/>
        <v>46177</v>
      </c>
      <c r="C10" s="52" t="s">
        <v>87</v>
      </c>
      <c r="D10" s="91">
        <v>1476</v>
      </c>
      <c r="E10" s="62">
        <v>4.4000000000000004</v>
      </c>
      <c r="F10" s="62">
        <v>8.1</v>
      </c>
      <c r="G10" s="62">
        <f t="shared" si="0"/>
        <v>64.944000000000003</v>
      </c>
      <c r="H10" s="63">
        <f t="shared" si="1"/>
        <v>119.556</v>
      </c>
      <c r="I10" s="203">
        <v>277.91999999999996</v>
      </c>
      <c r="J10" s="203">
        <v>286.25759999999997</v>
      </c>
      <c r="K10" s="203">
        <v>5.1575561312607929</v>
      </c>
      <c r="L10" s="203">
        <v>8.1207469775474941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4"/>
        <v>286.25759999999997</v>
      </c>
      <c r="S10" s="62">
        <f t="shared" si="2"/>
        <v>14.763896399999995</v>
      </c>
      <c r="T10" s="63">
        <f t="shared" si="3"/>
        <v>23.246255399999992</v>
      </c>
      <c r="U10" s="64" t="s">
        <v>221</v>
      </c>
      <c r="V10" s="65" t="s">
        <v>215</v>
      </c>
      <c r="W10" s="66" t="s">
        <v>149</v>
      </c>
      <c r="X10" s="67">
        <v>2150</v>
      </c>
      <c r="Y10" s="68">
        <v>4.45</v>
      </c>
      <c r="Z10" s="68">
        <v>7.93</v>
      </c>
      <c r="AA10" s="62">
        <f t="shared" si="4"/>
        <v>95.675000000000011</v>
      </c>
      <c r="AB10" s="63">
        <f t="shared" si="5"/>
        <v>170.49499999999998</v>
      </c>
      <c r="AC10" s="69">
        <v>2150</v>
      </c>
      <c r="AD10" s="70">
        <v>4.45</v>
      </c>
      <c r="AE10" s="70">
        <v>7.93</v>
      </c>
      <c r="AF10" s="62">
        <f t="shared" si="6"/>
        <v>95.675000000000011</v>
      </c>
      <c r="AG10" s="63">
        <f t="shared" si="7"/>
        <v>170.49499999999998</v>
      </c>
      <c r="AH10" s="71">
        <v>0</v>
      </c>
      <c r="AI10" s="71">
        <v>0</v>
      </c>
      <c r="AJ10" s="71">
        <v>0</v>
      </c>
      <c r="AK10" s="62">
        <f t="shared" si="8"/>
        <v>0</v>
      </c>
      <c r="AL10" s="72">
        <f t="shared" si="9"/>
        <v>0</v>
      </c>
      <c r="AM10" s="73">
        <f t="shared" si="15"/>
        <v>-387.74240000000009</v>
      </c>
      <c r="AN10" s="74">
        <f t="shared" si="10"/>
        <v>-15.967103600000016</v>
      </c>
      <c r="AO10" s="74">
        <f t="shared" si="10"/>
        <v>-27.692744599999997</v>
      </c>
      <c r="AP10" s="75">
        <f t="shared" si="16"/>
        <v>-1.1486365124171913</v>
      </c>
      <c r="AQ10" s="76">
        <f t="shared" si="11"/>
        <v>-15455.492462666674</v>
      </c>
      <c r="AR10" s="90">
        <f t="shared" si="12"/>
        <v>-387.74240000000009</v>
      </c>
    </row>
    <row r="11" spans="1:46" x14ac:dyDescent="0.25">
      <c r="A11" t="str">
        <f t="shared" si="13"/>
        <v>46177E</v>
      </c>
      <c r="B11" s="51">
        <f t="shared" si="17"/>
        <v>46177</v>
      </c>
      <c r="C11" s="52" t="s">
        <v>88</v>
      </c>
      <c r="D11" s="91">
        <v>0</v>
      </c>
      <c r="E11" s="62">
        <v>0</v>
      </c>
      <c r="F11" s="62">
        <v>0</v>
      </c>
      <c r="G11" s="62">
        <f t="shared" si="0"/>
        <v>0</v>
      </c>
      <c r="H11" s="63">
        <f t="shared" si="1"/>
        <v>0</v>
      </c>
      <c r="I11" s="203">
        <v>713.6099999999999</v>
      </c>
      <c r="J11" s="203">
        <v>735.01829999999995</v>
      </c>
      <c r="K11" s="203">
        <v>4.5622763133924691</v>
      </c>
      <c r="L11" s="203">
        <v>8.0700298482364339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4"/>
        <v>735.01829999999995</v>
      </c>
      <c r="S11" s="62">
        <f t="shared" si="2"/>
        <v>33.533565799999991</v>
      </c>
      <c r="T11" s="63">
        <f t="shared" si="3"/>
        <v>59.316196200000007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4"/>
        <v>0</v>
      </c>
      <c r="AB11" s="63">
        <f t="shared" si="5"/>
        <v>0</v>
      </c>
      <c r="AC11" s="69"/>
      <c r="AD11" s="70"/>
      <c r="AE11" s="70"/>
      <c r="AF11" s="62">
        <f t="shared" si="6"/>
        <v>0</v>
      </c>
      <c r="AG11" s="63">
        <f t="shared" si="7"/>
        <v>0</v>
      </c>
      <c r="AH11" s="71">
        <v>735</v>
      </c>
      <c r="AI11" s="71">
        <v>4.5999999999999996</v>
      </c>
      <c r="AJ11" s="71">
        <v>8.1</v>
      </c>
      <c r="AK11" s="62">
        <f t="shared" si="8"/>
        <v>33.81</v>
      </c>
      <c r="AL11" s="72">
        <f t="shared" si="9"/>
        <v>59.535000000000004</v>
      </c>
      <c r="AM11" s="73">
        <f t="shared" si="15"/>
        <v>1.8299999999953798E-2</v>
      </c>
      <c r="AN11" s="74">
        <f t="shared" si="10"/>
        <v>-0.27643420000001129</v>
      </c>
      <c r="AO11" s="74">
        <f t="shared" si="10"/>
        <v>-0.21880379999999633</v>
      </c>
      <c r="AP11" s="75">
        <f t="shared" si="16"/>
        <v>-5.3337562674636435E-3</v>
      </c>
      <c r="AQ11" s="76">
        <f t="shared" si="11"/>
        <v>-189.57621929400398</v>
      </c>
      <c r="AR11" s="90">
        <f t="shared" si="12"/>
        <v>1.8299999999953798E-2</v>
      </c>
    </row>
    <row r="12" spans="1:46" x14ac:dyDescent="0.25">
      <c r="A12" t="str">
        <f t="shared" si="13"/>
        <v>46178M</v>
      </c>
      <c r="B12" s="51">
        <f t="shared" si="17"/>
        <v>46178</v>
      </c>
      <c r="C12" s="52" t="s">
        <v>87</v>
      </c>
      <c r="D12" s="91">
        <v>735</v>
      </c>
      <c r="E12" s="62">
        <v>4.5999999999999996</v>
      </c>
      <c r="F12" s="62">
        <v>8.1</v>
      </c>
      <c r="G12" s="62">
        <f t="shared" si="0"/>
        <v>33.81</v>
      </c>
      <c r="H12" s="63">
        <f t="shared" si="1"/>
        <v>59.535000000000004</v>
      </c>
      <c r="I12" s="203">
        <v>305.39999999999998</v>
      </c>
      <c r="J12" s="203">
        <v>314.56200000000001</v>
      </c>
      <c r="K12" s="203">
        <v>5.0999999999999996</v>
      </c>
      <c r="L12" s="203">
        <v>8.1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4"/>
        <v>314.56200000000001</v>
      </c>
      <c r="S12" s="62">
        <f t="shared" si="2"/>
        <v>16.042662</v>
      </c>
      <c r="T12" s="63">
        <f t="shared" si="3"/>
        <v>25.479522000000003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4"/>
        <v>0</v>
      </c>
      <c r="AB12" s="63">
        <f t="shared" si="5"/>
        <v>0</v>
      </c>
      <c r="AC12" s="69"/>
      <c r="AD12" s="70"/>
      <c r="AE12" s="70"/>
      <c r="AF12" s="62">
        <f t="shared" si="6"/>
        <v>0</v>
      </c>
      <c r="AG12" s="63">
        <f t="shared" si="7"/>
        <v>0</v>
      </c>
      <c r="AH12" s="71">
        <v>1050</v>
      </c>
      <c r="AI12" s="71">
        <v>4.75</v>
      </c>
      <c r="AJ12" s="71">
        <v>8.1</v>
      </c>
      <c r="AK12" s="62">
        <f t="shared" si="8"/>
        <v>49.875</v>
      </c>
      <c r="AL12" s="72">
        <f t="shared" si="9"/>
        <v>85.05</v>
      </c>
      <c r="AM12" s="73">
        <f t="shared" si="15"/>
        <v>-0.43800000000010186</v>
      </c>
      <c r="AN12" s="74">
        <f t="shared" si="10"/>
        <v>-2.2337999999997749E-2</v>
      </c>
      <c r="AO12" s="74">
        <f t="shared" si="10"/>
        <v>-3.5477999999997678E-2</v>
      </c>
      <c r="AP12" s="75">
        <f t="shared" si="16"/>
        <v>-1.3924123066357834E-3</v>
      </c>
      <c r="AQ12" s="76">
        <f t="shared" si="11"/>
        <v>-20.645370899998298</v>
      </c>
      <c r="AR12" s="90">
        <f t="shared" si="12"/>
        <v>-0.43800000000010186</v>
      </c>
    </row>
    <row r="13" spans="1:46" x14ac:dyDescent="0.25">
      <c r="A13" t="str">
        <f t="shared" si="13"/>
        <v>46178E</v>
      </c>
      <c r="B13" s="51">
        <f t="shared" si="17"/>
        <v>46178</v>
      </c>
      <c r="C13" s="52" t="s">
        <v>88</v>
      </c>
      <c r="D13" s="91">
        <v>1050</v>
      </c>
      <c r="E13" s="62">
        <v>4.75</v>
      </c>
      <c r="F13" s="62">
        <v>8.1</v>
      </c>
      <c r="G13" s="62">
        <f t="shared" si="0"/>
        <v>49.875</v>
      </c>
      <c r="H13" s="63">
        <f t="shared" si="1"/>
        <v>85.05</v>
      </c>
      <c r="I13" s="203">
        <v>1307</v>
      </c>
      <c r="J13" s="203">
        <v>1346.21</v>
      </c>
      <c r="K13" s="203">
        <v>4.2</v>
      </c>
      <c r="L13" s="203">
        <v>8.3000000000000007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4"/>
        <v>1346.21</v>
      </c>
      <c r="S13" s="62">
        <f t="shared" si="2"/>
        <v>56.540820000000004</v>
      </c>
      <c r="T13" s="63">
        <f t="shared" si="3"/>
        <v>111.73543000000001</v>
      </c>
      <c r="U13" s="64" t="s">
        <v>221</v>
      </c>
      <c r="V13" s="65" t="s">
        <v>339</v>
      </c>
      <c r="W13" s="66" t="s">
        <v>149</v>
      </c>
      <c r="X13" s="67">
        <v>1740</v>
      </c>
      <c r="Y13" s="68">
        <v>4.2</v>
      </c>
      <c r="Z13" s="68">
        <v>7.6</v>
      </c>
      <c r="AA13" s="62">
        <f t="shared" si="4"/>
        <v>73.08</v>
      </c>
      <c r="AB13" s="63">
        <f t="shared" si="5"/>
        <v>132.24</v>
      </c>
      <c r="AC13" s="69">
        <v>1740</v>
      </c>
      <c r="AD13" s="70">
        <v>4.2</v>
      </c>
      <c r="AE13" s="70">
        <v>7.6</v>
      </c>
      <c r="AF13" s="62">
        <f t="shared" si="6"/>
        <v>73.08</v>
      </c>
      <c r="AG13" s="63">
        <f t="shared" si="7"/>
        <v>132.24</v>
      </c>
      <c r="AH13" s="71">
        <v>656</v>
      </c>
      <c r="AI13" s="71">
        <v>4.4400000000000004</v>
      </c>
      <c r="AJ13" s="71">
        <v>8.2100000000000009</v>
      </c>
      <c r="AK13" s="62">
        <f t="shared" si="8"/>
        <v>29.1264</v>
      </c>
      <c r="AL13" s="72">
        <f t="shared" si="9"/>
        <v>53.857600000000005</v>
      </c>
      <c r="AM13" s="73">
        <f t="shared" si="15"/>
        <v>0.21000000000003638</v>
      </c>
      <c r="AN13" s="74">
        <f t="shared" si="10"/>
        <v>4.2094199999999979</v>
      </c>
      <c r="AO13" s="74">
        <f t="shared" si="10"/>
        <v>10.687830000000005</v>
      </c>
      <c r="AP13" s="75">
        <f t="shared" si="16"/>
        <v>8.8528535666797914E-2</v>
      </c>
      <c r="AQ13" s="76">
        <f t="shared" si="11"/>
        <v>5088.2332424000015</v>
      </c>
      <c r="AR13" s="90">
        <f t="shared" si="12"/>
        <v>0.21000000000003638</v>
      </c>
    </row>
    <row r="14" spans="1:46" x14ac:dyDescent="0.25">
      <c r="A14" t="str">
        <f t="shared" si="13"/>
        <v>46179M</v>
      </c>
      <c r="B14" s="51">
        <f t="shared" si="17"/>
        <v>46179</v>
      </c>
      <c r="C14" s="52" t="s">
        <v>87</v>
      </c>
      <c r="D14" s="91">
        <v>656</v>
      </c>
      <c r="E14" s="62">
        <v>4.4400000000000004</v>
      </c>
      <c r="F14" s="62">
        <v>8.2100000000000009</v>
      </c>
      <c r="G14" s="62">
        <f t="shared" si="0"/>
        <v>29.1264</v>
      </c>
      <c r="H14" s="63">
        <f t="shared" si="1"/>
        <v>53.857600000000005</v>
      </c>
      <c r="I14" s="203">
        <v>504.8</v>
      </c>
      <c r="J14" s="203">
        <v>519.94400000000007</v>
      </c>
      <c r="K14" s="203">
        <v>4.7</v>
      </c>
      <c r="L14" s="203">
        <v>8.1999999999999993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4"/>
        <v>519.94400000000007</v>
      </c>
      <c r="S14" s="62">
        <f t="shared" si="2"/>
        <v>24.437368000000003</v>
      </c>
      <c r="T14" s="63">
        <f t="shared" si="3"/>
        <v>42.635407999999998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4"/>
        <v>0</v>
      </c>
      <c r="AB14" s="63">
        <f t="shared" si="5"/>
        <v>0</v>
      </c>
      <c r="AC14" s="69"/>
      <c r="AD14" s="70"/>
      <c r="AE14" s="70"/>
      <c r="AF14" s="62">
        <f t="shared" si="6"/>
        <v>0</v>
      </c>
      <c r="AG14" s="63">
        <f t="shared" si="7"/>
        <v>0</v>
      </c>
      <c r="AH14" s="89">
        <v>1175</v>
      </c>
      <c r="AI14" s="71">
        <v>4.5599999999999996</v>
      </c>
      <c r="AJ14" s="71">
        <v>8.2100000000000009</v>
      </c>
      <c r="AK14" s="62">
        <f t="shared" si="8"/>
        <v>53.579999999999991</v>
      </c>
      <c r="AL14" s="72">
        <f t="shared" si="9"/>
        <v>96.467500000000001</v>
      </c>
      <c r="AM14" s="73">
        <f t="shared" si="15"/>
        <v>0.94399999999995998</v>
      </c>
      <c r="AN14" s="74">
        <f t="shared" si="10"/>
        <v>-1.6231999999988034E-2</v>
      </c>
      <c r="AO14" s="74">
        <f t="shared" si="10"/>
        <v>2.5508000000002085E-2</v>
      </c>
      <c r="AP14" s="75">
        <f t="shared" si="16"/>
        <v>1.3829754116653902E-4</v>
      </c>
      <c r="AQ14" s="76">
        <f t="shared" si="11"/>
        <v>0.34715706667266311</v>
      </c>
      <c r="AR14" s="90">
        <f t="shared" si="12"/>
        <v>0.94399999999995998</v>
      </c>
    </row>
    <row r="15" spans="1:46" x14ac:dyDescent="0.25">
      <c r="A15" t="str">
        <f t="shared" si="13"/>
        <v>46179E</v>
      </c>
      <c r="B15" s="51">
        <f t="shared" si="17"/>
        <v>46179</v>
      </c>
      <c r="C15" s="52" t="s">
        <v>88</v>
      </c>
      <c r="D15" s="91">
        <v>1175</v>
      </c>
      <c r="E15" s="62">
        <v>4.5599999999999996</v>
      </c>
      <c r="F15" s="62">
        <v>8.2100000000000009</v>
      </c>
      <c r="G15" s="62">
        <f t="shared" si="0"/>
        <v>53.579999999999991</v>
      </c>
      <c r="H15" s="63">
        <f t="shared" si="1"/>
        <v>96.467500000000001</v>
      </c>
      <c r="I15" s="203">
        <v>441.2</v>
      </c>
      <c r="J15" s="203">
        <v>454.43599999999998</v>
      </c>
      <c r="K15" s="203">
        <v>4.2</v>
      </c>
      <c r="L15" s="203">
        <v>8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4"/>
        <v>454.43599999999998</v>
      </c>
      <c r="S15" s="62">
        <f t="shared" si="2"/>
        <v>19.086312</v>
      </c>
      <c r="T15" s="63">
        <f t="shared" si="3"/>
        <v>36.354880000000001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4"/>
        <v>0</v>
      </c>
      <c r="AB15" s="63">
        <f t="shared" si="5"/>
        <v>0</v>
      </c>
      <c r="AC15" s="69"/>
      <c r="AD15" s="70"/>
      <c r="AE15" s="70"/>
      <c r="AF15" s="62">
        <f t="shared" si="6"/>
        <v>0</v>
      </c>
      <c r="AG15" s="63">
        <f t="shared" si="7"/>
        <v>0</v>
      </c>
      <c r="AH15" s="89">
        <v>1630</v>
      </c>
      <c r="AI15" s="66">
        <v>4.45</v>
      </c>
      <c r="AJ15" s="66">
        <v>8.14</v>
      </c>
      <c r="AK15" s="62">
        <f t="shared" si="8"/>
        <v>72.535000000000011</v>
      </c>
      <c r="AL15" s="72">
        <f t="shared" si="9"/>
        <v>132.68199999999999</v>
      </c>
      <c r="AM15" s="73">
        <f t="shared" si="15"/>
        <v>-0.56400000000007822</v>
      </c>
      <c r="AN15" s="74">
        <f t="shared" si="10"/>
        <v>0.13131199999997989</v>
      </c>
      <c r="AO15" s="74">
        <f t="shared" si="10"/>
        <v>0.14038000000002171</v>
      </c>
      <c r="AP15" s="75">
        <f t="shared" si="16"/>
        <v>4.9005439854179472E-3</v>
      </c>
      <c r="AQ15" s="76">
        <f t="shared" si="11"/>
        <v>100.95926045333081</v>
      </c>
      <c r="AR15" s="90">
        <f t="shared" si="12"/>
        <v>-0.56400000000007822</v>
      </c>
    </row>
    <row r="16" spans="1:46" x14ac:dyDescent="0.25">
      <c r="A16" t="str">
        <f t="shared" si="13"/>
        <v>46180M</v>
      </c>
      <c r="B16" s="51">
        <f t="shared" si="17"/>
        <v>46180</v>
      </c>
      <c r="C16" s="52" t="s">
        <v>87</v>
      </c>
      <c r="D16" s="79">
        <v>1630</v>
      </c>
      <c r="E16" s="62">
        <v>4.45</v>
      </c>
      <c r="F16" s="62">
        <v>8.14</v>
      </c>
      <c r="G16" s="62">
        <f t="shared" si="0"/>
        <v>72.535000000000011</v>
      </c>
      <c r="H16" s="63">
        <f t="shared" si="1"/>
        <v>132.68199999999999</v>
      </c>
      <c r="I16" s="203">
        <v>265.3</v>
      </c>
      <c r="J16" s="203">
        <v>273.25900000000001</v>
      </c>
      <c r="K16" s="203">
        <v>4.7</v>
      </c>
      <c r="L16" s="203">
        <v>8.1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4"/>
        <v>273.25900000000001</v>
      </c>
      <c r="S16" s="62">
        <f t="shared" si="2"/>
        <v>12.843173</v>
      </c>
      <c r="T16" s="63">
        <f t="shared" si="3"/>
        <v>22.133979000000004</v>
      </c>
      <c r="U16" s="64" t="s">
        <v>221</v>
      </c>
      <c r="V16" s="65" t="s">
        <v>341</v>
      </c>
      <c r="W16" s="66" t="s">
        <v>149</v>
      </c>
      <c r="X16" s="67">
        <v>2270</v>
      </c>
      <c r="Y16" s="68">
        <v>4.4000000000000004</v>
      </c>
      <c r="Z16" s="68">
        <v>8</v>
      </c>
      <c r="AA16" s="62">
        <f t="shared" si="4"/>
        <v>99.88000000000001</v>
      </c>
      <c r="AB16" s="63">
        <f t="shared" si="5"/>
        <v>181.6</v>
      </c>
      <c r="AC16" s="69">
        <v>2270</v>
      </c>
      <c r="AD16" s="70">
        <v>4.2</v>
      </c>
      <c r="AE16" s="70">
        <v>8</v>
      </c>
      <c r="AF16" s="62">
        <f t="shared" si="6"/>
        <v>95.34</v>
      </c>
      <c r="AG16" s="63">
        <f t="shared" si="7"/>
        <v>181.6</v>
      </c>
      <c r="AH16" s="97">
        <v>0</v>
      </c>
      <c r="AI16" s="71">
        <v>0</v>
      </c>
      <c r="AJ16" s="71">
        <v>0</v>
      </c>
      <c r="AK16" s="62">
        <f t="shared" si="8"/>
        <v>0</v>
      </c>
      <c r="AL16" s="72">
        <f t="shared" si="9"/>
        <v>0</v>
      </c>
      <c r="AM16" s="73">
        <f t="shared" si="15"/>
        <v>-366.74099999999999</v>
      </c>
      <c r="AN16" s="74">
        <f t="shared" si="10"/>
        <v>-9.9618269999999995</v>
      </c>
      <c r="AO16" s="74">
        <f t="shared" si="10"/>
        <v>-26.784020999999996</v>
      </c>
      <c r="AP16" s="75">
        <f t="shared" si="16"/>
        <v>-1.050567181684775</v>
      </c>
      <c r="AQ16" s="76">
        <f t="shared" si="11"/>
        <v>-12487.707003309999</v>
      </c>
      <c r="AR16" s="90">
        <f t="shared" si="12"/>
        <v>-366.74099999999999</v>
      </c>
    </row>
    <row r="17" spans="1:48" x14ac:dyDescent="0.25">
      <c r="A17" t="str">
        <f t="shared" si="13"/>
        <v>46180E</v>
      </c>
      <c r="B17" s="51">
        <f t="shared" si="17"/>
        <v>46180</v>
      </c>
      <c r="C17" s="52" t="s">
        <v>88</v>
      </c>
      <c r="D17" s="79">
        <v>0</v>
      </c>
      <c r="E17" s="62">
        <v>0</v>
      </c>
      <c r="F17" s="62">
        <v>0</v>
      </c>
      <c r="G17" s="62">
        <f t="shared" si="0"/>
        <v>0</v>
      </c>
      <c r="H17" s="63">
        <f t="shared" si="1"/>
        <v>0</v>
      </c>
      <c r="I17" s="203">
        <v>1057.5</v>
      </c>
      <c r="J17" s="203">
        <v>1089.2250000000001</v>
      </c>
      <c r="K17" s="203">
        <v>4.2</v>
      </c>
      <c r="L17" s="203">
        <v>8.1999999999999993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4"/>
        <v>1089.2250000000001</v>
      </c>
      <c r="S17" s="62">
        <f t="shared" si="2"/>
        <v>45.747450000000008</v>
      </c>
      <c r="T17" s="63">
        <f t="shared" si="3"/>
        <v>89.316450000000003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4"/>
        <v>0</v>
      </c>
      <c r="AB17" s="63">
        <f t="shared" si="5"/>
        <v>0</v>
      </c>
      <c r="AC17" s="69"/>
      <c r="AD17" s="70"/>
      <c r="AE17" s="70"/>
      <c r="AF17" s="62">
        <f t="shared" si="6"/>
        <v>0</v>
      </c>
      <c r="AG17" s="63">
        <f t="shared" si="7"/>
        <v>0</v>
      </c>
      <c r="AH17" s="97">
        <v>1089</v>
      </c>
      <c r="AI17" s="66">
        <v>4.2</v>
      </c>
      <c r="AJ17" s="66">
        <v>8.1999999999999993</v>
      </c>
      <c r="AK17" s="62">
        <f t="shared" si="8"/>
        <v>45.738</v>
      </c>
      <c r="AL17" s="72">
        <f>AH17*AJ17%</f>
        <v>89.297999999999988</v>
      </c>
      <c r="AM17" s="73">
        <f t="shared" si="15"/>
        <v>0.22500000000013642</v>
      </c>
      <c r="AN17" s="74">
        <f t="shared" si="10"/>
        <v>9.4500000000081741E-3</v>
      </c>
      <c r="AO17" s="74">
        <f t="shared" si="10"/>
        <v>1.8450000000015621E-2</v>
      </c>
      <c r="AP17" s="75">
        <f t="shared" si="16"/>
        <v>2.0656889072523296E-4</v>
      </c>
      <c r="AQ17" s="76">
        <f t="shared" si="11"/>
        <v>9.7637925000083463</v>
      </c>
      <c r="AR17" s="90">
        <f t="shared" si="12"/>
        <v>0.22500000000013642</v>
      </c>
    </row>
    <row r="18" spans="1:48" x14ac:dyDescent="0.25">
      <c r="A18" t="str">
        <f t="shared" si="13"/>
        <v>46181M</v>
      </c>
      <c r="B18" s="51">
        <f t="shared" si="17"/>
        <v>46181</v>
      </c>
      <c r="C18" s="52" t="s">
        <v>87</v>
      </c>
      <c r="D18" s="79">
        <v>1089</v>
      </c>
      <c r="E18" s="62">
        <v>4.2</v>
      </c>
      <c r="F18" s="62">
        <v>8.1999999999999993</v>
      </c>
      <c r="G18" s="62">
        <f t="shared" si="0"/>
        <v>45.738</v>
      </c>
      <c r="H18" s="63">
        <f t="shared" si="1"/>
        <v>89.297999999999988</v>
      </c>
      <c r="I18" s="203">
        <v>329.7</v>
      </c>
      <c r="J18" s="203">
        <v>339.59100000000001</v>
      </c>
      <c r="K18" s="203">
        <v>5.2</v>
      </c>
      <c r="L18" s="203">
        <v>8.1999999999999993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4"/>
        <v>339.59100000000001</v>
      </c>
      <c r="S18" s="62">
        <f t="shared" si="2"/>
        <v>17.658732000000001</v>
      </c>
      <c r="T18" s="63">
        <f t="shared" si="3"/>
        <v>27.846461999999995</v>
      </c>
      <c r="U18" s="64" t="s">
        <v>221</v>
      </c>
      <c r="V18" s="65" t="s">
        <v>342</v>
      </c>
      <c r="W18" s="66" t="s">
        <v>149</v>
      </c>
      <c r="X18" s="67">
        <v>1370</v>
      </c>
      <c r="Y18" s="68">
        <v>4.0999999999999996</v>
      </c>
      <c r="Z18" s="68">
        <v>8</v>
      </c>
      <c r="AA18" s="62">
        <f t="shared" si="4"/>
        <v>56.169999999999995</v>
      </c>
      <c r="AB18" s="63">
        <f t="shared" si="5"/>
        <v>109.60000000000001</v>
      </c>
      <c r="AC18" s="69">
        <v>1370</v>
      </c>
      <c r="AD18" s="70">
        <v>4.0999999999999996</v>
      </c>
      <c r="AE18" s="70">
        <v>8</v>
      </c>
      <c r="AF18" s="62">
        <f t="shared" si="6"/>
        <v>56.169999999999995</v>
      </c>
      <c r="AG18" s="63">
        <f t="shared" si="7"/>
        <v>109.60000000000001</v>
      </c>
      <c r="AH18" s="97">
        <v>0</v>
      </c>
      <c r="AI18" s="71">
        <v>0</v>
      </c>
      <c r="AJ18" s="71">
        <v>0</v>
      </c>
      <c r="AK18" s="62">
        <f t="shared" si="8"/>
        <v>0</v>
      </c>
      <c r="AL18" s="72">
        <f t="shared" si="9"/>
        <v>0</v>
      </c>
      <c r="AM18" s="73">
        <f t="shared" si="15"/>
        <v>58.590999999999894</v>
      </c>
      <c r="AN18" s="74">
        <f t="shared" si="10"/>
        <v>7.2267320000000055</v>
      </c>
      <c r="AO18" s="74">
        <f t="shared" si="10"/>
        <v>7.5444619999999674</v>
      </c>
      <c r="AP18" s="75">
        <f t="shared" si="16"/>
        <v>0.32460457151330846</v>
      </c>
      <c r="AQ18" s="76">
        <f t="shared" si="11"/>
        <v>5502.0085530666602</v>
      </c>
      <c r="AR18" s="90">
        <f t="shared" si="12"/>
        <v>58.590999999999894</v>
      </c>
    </row>
    <row r="19" spans="1:48" x14ac:dyDescent="0.25">
      <c r="A19" t="str">
        <f t="shared" si="13"/>
        <v>46181E</v>
      </c>
      <c r="B19" s="51">
        <f t="shared" si="17"/>
        <v>46181</v>
      </c>
      <c r="C19" s="52" t="s">
        <v>88</v>
      </c>
      <c r="D19" s="79">
        <v>0</v>
      </c>
      <c r="E19" s="62">
        <v>0</v>
      </c>
      <c r="F19" s="62">
        <v>0</v>
      </c>
      <c r="G19" s="62">
        <f t="shared" si="0"/>
        <v>0</v>
      </c>
      <c r="H19" s="63">
        <f t="shared" si="1"/>
        <v>0</v>
      </c>
      <c r="I19" s="203">
        <v>948.2</v>
      </c>
      <c r="J19" s="203">
        <v>976.64600000000007</v>
      </c>
      <c r="K19" s="203">
        <v>4.3</v>
      </c>
      <c r="L19" s="203">
        <v>8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4"/>
        <v>976.64600000000007</v>
      </c>
      <c r="S19" s="62">
        <f t="shared" si="2"/>
        <v>41.995778000000001</v>
      </c>
      <c r="T19" s="63">
        <f t="shared" si="3"/>
        <v>78.131680000000003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4"/>
        <v>0</v>
      </c>
      <c r="AB19" s="63">
        <f t="shared" si="5"/>
        <v>0</v>
      </c>
      <c r="AC19" s="69"/>
      <c r="AD19" s="70"/>
      <c r="AE19" s="70"/>
      <c r="AF19" s="62">
        <f t="shared" si="6"/>
        <v>0</v>
      </c>
      <c r="AG19" s="63">
        <f t="shared" si="7"/>
        <v>0</v>
      </c>
      <c r="AH19" s="97">
        <v>976.6</v>
      </c>
      <c r="AI19" s="71">
        <v>4.3</v>
      </c>
      <c r="AJ19" s="71">
        <v>8</v>
      </c>
      <c r="AK19" s="62">
        <f t="shared" si="8"/>
        <v>41.9938</v>
      </c>
      <c r="AL19" s="72">
        <f t="shared" si="9"/>
        <v>78.128</v>
      </c>
      <c r="AM19" s="73">
        <f t="shared" si="15"/>
        <v>4.6000000000049113E-2</v>
      </c>
      <c r="AN19" s="74">
        <f t="shared" si="10"/>
        <v>1.9780000000011455E-3</v>
      </c>
      <c r="AO19" s="74">
        <f t="shared" si="10"/>
        <v>3.6800000000027921E-3</v>
      </c>
      <c r="AP19" s="75">
        <f t="shared" si="16"/>
        <v>4.709997276396157E-5</v>
      </c>
      <c r="AQ19" s="76">
        <f t="shared" si="11"/>
        <v>1.9892698466680168</v>
      </c>
      <c r="AR19" s="90">
        <f t="shared" si="12"/>
        <v>4.6000000000049113E-2</v>
      </c>
    </row>
    <row r="20" spans="1:48" x14ac:dyDescent="0.25">
      <c r="A20" t="str">
        <f t="shared" si="13"/>
        <v>46182M</v>
      </c>
      <c r="B20" s="51">
        <f t="shared" si="17"/>
        <v>46182</v>
      </c>
      <c r="C20" s="52" t="s">
        <v>87</v>
      </c>
      <c r="D20" s="79">
        <v>976.6</v>
      </c>
      <c r="E20" s="62">
        <v>4.3</v>
      </c>
      <c r="F20" s="62">
        <v>8</v>
      </c>
      <c r="G20" s="62">
        <f t="shared" si="0"/>
        <v>41.9938</v>
      </c>
      <c r="H20" s="63">
        <f t="shared" si="1"/>
        <v>78.128</v>
      </c>
      <c r="I20" s="203">
        <v>295.2</v>
      </c>
      <c r="J20" s="203">
        <v>304.05599999999998</v>
      </c>
      <c r="K20" s="203">
        <v>5.0999999999999996</v>
      </c>
      <c r="L20" s="203">
        <v>8.1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4"/>
        <v>304.05599999999998</v>
      </c>
      <c r="S20" s="62">
        <f t="shared" si="2"/>
        <v>15.506855999999997</v>
      </c>
      <c r="T20" s="63">
        <f t="shared" si="3"/>
        <v>24.628536</v>
      </c>
      <c r="U20" s="64" t="s">
        <v>221</v>
      </c>
      <c r="V20" s="65" t="s">
        <v>343</v>
      </c>
      <c r="W20" s="66" t="s">
        <v>149</v>
      </c>
      <c r="X20" s="67">
        <v>1480</v>
      </c>
      <c r="Y20" s="68">
        <v>4</v>
      </c>
      <c r="Z20" s="68">
        <v>7.95</v>
      </c>
      <c r="AA20" s="62">
        <f t="shared" si="4"/>
        <v>59.2</v>
      </c>
      <c r="AB20" s="63">
        <f t="shared" si="5"/>
        <v>117.66</v>
      </c>
      <c r="AC20" s="69">
        <v>1486</v>
      </c>
      <c r="AD20" s="70">
        <v>4</v>
      </c>
      <c r="AE20" s="70">
        <v>7.96</v>
      </c>
      <c r="AF20" s="62">
        <f t="shared" si="6"/>
        <v>59.44</v>
      </c>
      <c r="AG20" s="63">
        <f t="shared" si="7"/>
        <v>118.2856</v>
      </c>
      <c r="AH20" s="97">
        <v>0</v>
      </c>
      <c r="AI20" s="66">
        <v>0</v>
      </c>
      <c r="AJ20" s="66">
        <v>0</v>
      </c>
      <c r="AK20" s="62">
        <f t="shared" si="8"/>
        <v>0</v>
      </c>
      <c r="AL20" s="72">
        <f t="shared" si="9"/>
        <v>0</v>
      </c>
      <c r="AM20" s="73">
        <f t="shared" si="15"/>
        <v>-205.34400000000005</v>
      </c>
      <c r="AN20" s="74">
        <f t="shared" ref="AN20:AO65" si="18">+G20+S20-AF20-AK20</f>
        <v>-1.9393439999999984</v>
      </c>
      <c r="AO20" s="74">
        <f t="shared" si="18"/>
        <v>-15.529064000000005</v>
      </c>
      <c r="AP20" s="75">
        <f t="shared" si="16"/>
        <v>-0.43523700976933288</v>
      </c>
      <c r="AQ20" s="76">
        <f t="shared" si="11"/>
        <v>-5518.0256618666681</v>
      </c>
      <c r="AR20" s="90">
        <f t="shared" si="12"/>
        <v>-199.34400000000005</v>
      </c>
    </row>
    <row r="21" spans="1:48" x14ac:dyDescent="0.25">
      <c r="A21" t="str">
        <f t="shared" si="13"/>
        <v>46182E</v>
      </c>
      <c r="B21" s="51">
        <f t="shared" si="17"/>
        <v>46182</v>
      </c>
      <c r="C21" s="52" t="s">
        <v>88</v>
      </c>
      <c r="D21" s="79">
        <v>0</v>
      </c>
      <c r="E21" s="62">
        <v>0</v>
      </c>
      <c r="F21" s="62">
        <v>0</v>
      </c>
      <c r="G21" s="62">
        <f t="shared" si="0"/>
        <v>0</v>
      </c>
      <c r="H21" s="63">
        <f t="shared" si="1"/>
        <v>0</v>
      </c>
      <c r="I21" s="203">
        <v>1088.0999999999999</v>
      </c>
      <c r="J21" s="203">
        <v>1120.7429999999999</v>
      </c>
      <c r="K21" s="203">
        <v>4.3</v>
      </c>
      <c r="L21" s="203">
        <v>8.1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4"/>
        <v>1120.7429999999999</v>
      </c>
      <c r="S21" s="62">
        <f t="shared" si="2"/>
        <v>48.191948999999994</v>
      </c>
      <c r="T21" s="63">
        <f t="shared" si="3"/>
        <v>90.780182999999994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4"/>
        <v>0</v>
      </c>
      <c r="AB21" s="63">
        <f t="shared" si="5"/>
        <v>0</v>
      </c>
      <c r="AC21" s="69"/>
      <c r="AD21" s="70"/>
      <c r="AE21" s="70"/>
      <c r="AF21" s="62">
        <f t="shared" si="6"/>
        <v>0</v>
      </c>
      <c r="AG21" s="63">
        <f t="shared" si="7"/>
        <v>0</v>
      </c>
      <c r="AH21" s="97">
        <v>1120</v>
      </c>
      <c r="AI21" s="66">
        <v>4.3</v>
      </c>
      <c r="AJ21" s="66">
        <v>8.1</v>
      </c>
      <c r="AK21" s="62">
        <f t="shared" si="8"/>
        <v>48.16</v>
      </c>
      <c r="AL21" s="72">
        <f t="shared" si="9"/>
        <v>90.72</v>
      </c>
      <c r="AM21" s="73">
        <f t="shared" si="15"/>
        <v>0.74299999999993815</v>
      </c>
      <c r="AN21" s="74">
        <f t="shared" si="18"/>
        <v>3.1948999999997341E-2</v>
      </c>
      <c r="AO21" s="74">
        <f t="shared" si="18"/>
        <v>6.0182999999994991E-2</v>
      </c>
      <c r="AP21" s="75">
        <f t="shared" si="16"/>
        <v>6.6295305881896042E-4</v>
      </c>
      <c r="AQ21" s="76">
        <f t="shared" si="11"/>
        <v>32.353392609997307</v>
      </c>
      <c r="AR21" s="90">
        <f t="shared" si="12"/>
        <v>0.74299999999993815</v>
      </c>
    </row>
    <row r="22" spans="1:48" x14ac:dyDescent="0.25">
      <c r="A22" t="str">
        <f t="shared" si="13"/>
        <v>46183M</v>
      </c>
      <c r="B22" s="51">
        <f t="shared" si="17"/>
        <v>46183</v>
      </c>
      <c r="C22" s="52" t="s">
        <v>87</v>
      </c>
      <c r="D22" s="79">
        <v>1120</v>
      </c>
      <c r="E22" s="62">
        <v>4.3</v>
      </c>
      <c r="F22" s="62">
        <v>8.1</v>
      </c>
      <c r="G22" s="62">
        <f t="shared" si="0"/>
        <v>48.16</v>
      </c>
      <c r="H22" s="63">
        <f t="shared" si="1"/>
        <v>90.72</v>
      </c>
      <c r="I22" s="203">
        <v>298.5</v>
      </c>
      <c r="J22" s="203">
        <v>307.45499999999998</v>
      </c>
      <c r="K22" s="203">
        <v>5</v>
      </c>
      <c r="L22" s="203">
        <v>8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4"/>
        <v>307.45499999999998</v>
      </c>
      <c r="S22" s="62">
        <f t="shared" si="2"/>
        <v>15.37275</v>
      </c>
      <c r="T22" s="63">
        <f t="shared" si="3"/>
        <v>24.596399999999999</v>
      </c>
      <c r="U22" s="64" t="s">
        <v>167</v>
      </c>
      <c r="V22" s="65" t="s">
        <v>167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4"/>
        <v>0</v>
      </c>
      <c r="AB22" s="63">
        <f t="shared" si="5"/>
        <v>0</v>
      </c>
      <c r="AC22" s="69"/>
      <c r="AD22" s="70"/>
      <c r="AE22" s="70"/>
      <c r="AF22" s="62">
        <f t="shared" si="6"/>
        <v>0</v>
      </c>
      <c r="AG22" s="63">
        <f t="shared" si="7"/>
        <v>0</v>
      </c>
      <c r="AH22" s="97">
        <v>1428</v>
      </c>
      <c r="AI22" s="66">
        <v>4.45</v>
      </c>
      <c r="AJ22" s="66">
        <v>8.07</v>
      </c>
      <c r="AK22" s="62">
        <f t="shared" si="8"/>
        <v>63.546000000000006</v>
      </c>
      <c r="AL22" s="72">
        <f t="shared" si="9"/>
        <v>115.23960000000001</v>
      </c>
      <c r="AM22" s="73">
        <f t="shared" si="15"/>
        <v>-0.54500000000007276</v>
      </c>
      <c r="AN22" s="74">
        <f t="shared" si="18"/>
        <v>-1.3250000000013529E-2</v>
      </c>
      <c r="AO22" s="74">
        <f t="shared" si="18"/>
        <v>7.6799999999991542E-2</v>
      </c>
      <c r="AP22" s="75">
        <f t="shared" si="16"/>
        <v>1.5899762691970686E-3</v>
      </c>
      <c r="AQ22" s="76">
        <f t="shared" si="11"/>
        <v>17.036134499991398</v>
      </c>
      <c r="AR22" s="90">
        <f t="shared" si="12"/>
        <v>-0.54500000000007276</v>
      </c>
      <c r="AT22" s="83"/>
      <c r="AU22" s="83"/>
    </row>
    <row r="23" spans="1:48" x14ac:dyDescent="0.25">
      <c r="A23" t="str">
        <f t="shared" si="13"/>
        <v>46183E</v>
      </c>
      <c r="B23" s="51">
        <f t="shared" si="17"/>
        <v>46183</v>
      </c>
      <c r="C23" s="52" t="s">
        <v>88</v>
      </c>
      <c r="D23" s="79">
        <v>1428</v>
      </c>
      <c r="E23" s="62">
        <v>4.45</v>
      </c>
      <c r="F23" s="62">
        <v>8.07</v>
      </c>
      <c r="G23" s="62">
        <f t="shared" si="0"/>
        <v>63.546000000000006</v>
      </c>
      <c r="H23" s="63">
        <f t="shared" si="1"/>
        <v>115.23960000000001</v>
      </c>
      <c r="I23" s="203">
        <v>934.6</v>
      </c>
      <c r="J23" s="203">
        <v>962.63800000000003</v>
      </c>
      <c r="K23" s="203">
        <v>4.3</v>
      </c>
      <c r="L23" s="203">
        <v>8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4"/>
        <v>962.63800000000003</v>
      </c>
      <c r="S23" s="62">
        <f t="shared" si="2"/>
        <v>41.393433999999999</v>
      </c>
      <c r="T23" s="63">
        <f t="shared" si="3"/>
        <v>77.011040000000008</v>
      </c>
      <c r="U23" s="64" t="s">
        <v>221</v>
      </c>
      <c r="V23" s="65" t="s">
        <v>420</v>
      </c>
      <c r="W23" s="66" t="s">
        <v>149</v>
      </c>
      <c r="X23" s="67">
        <v>1545</v>
      </c>
      <c r="Y23" s="68">
        <v>4.2</v>
      </c>
      <c r="Z23" s="68">
        <v>7.85</v>
      </c>
      <c r="AA23" s="62">
        <f t="shared" si="4"/>
        <v>64.89</v>
      </c>
      <c r="AB23" s="63">
        <f t="shared" si="5"/>
        <v>121.2825</v>
      </c>
      <c r="AC23" s="69">
        <v>1545</v>
      </c>
      <c r="AD23" s="70">
        <v>4.2</v>
      </c>
      <c r="AE23" s="70">
        <v>7.85</v>
      </c>
      <c r="AF23" s="62">
        <f t="shared" si="6"/>
        <v>64.89</v>
      </c>
      <c r="AG23" s="63">
        <f t="shared" si="7"/>
        <v>121.2825</v>
      </c>
      <c r="AH23" s="97">
        <v>846</v>
      </c>
      <c r="AI23" s="66">
        <v>4.38</v>
      </c>
      <c r="AJ23" s="84">
        <v>8.0399999999999991</v>
      </c>
      <c r="AK23" s="62">
        <f t="shared" si="8"/>
        <v>37.0548</v>
      </c>
      <c r="AL23" s="72">
        <f t="shared" si="9"/>
        <v>68.018399999999986</v>
      </c>
      <c r="AM23" s="73">
        <f t="shared" si="15"/>
        <v>-0.36200000000008004</v>
      </c>
      <c r="AN23" s="74">
        <f t="shared" si="18"/>
        <v>2.9946340000000049</v>
      </c>
      <c r="AO23" s="74">
        <f t="shared" si="18"/>
        <v>2.9497400000000482</v>
      </c>
      <c r="AP23" s="75">
        <f t="shared" si="16"/>
        <v>5.0203964421142167E-2</v>
      </c>
      <c r="AQ23" s="76">
        <f t="shared" si="11"/>
        <v>2227.0996712066835</v>
      </c>
      <c r="AR23" s="90">
        <f t="shared" si="12"/>
        <v>-0.36200000000008004</v>
      </c>
      <c r="AU23" s="83"/>
    </row>
    <row r="24" spans="1:48" x14ac:dyDescent="0.25">
      <c r="A24" t="str">
        <f t="shared" si="13"/>
        <v>46184M</v>
      </c>
      <c r="B24" s="51">
        <f t="shared" si="17"/>
        <v>46184</v>
      </c>
      <c r="C24" s="52" t="s">
        <v>87</v>
      </c>
      <c r="D24" s="79">
        <v>846</v>
      </c>
      <c r="E24" s="62">
        <v>4.38</v>
      </c>
      <c r="F24" s="62">
        <v>8.0399999999999991</v>
      </c>
      <c r="G24" s="62">
        <f t="shared" si="0"/>
        <v>37.0548</v>
      </c>
      <c r="H24" s="63">
        <f t="shared" si="1"/>
        <v>68.018399999999986</v>
      </c>
      <c r="I24" s="203">
        <v>271.3</v>
      </c>
      <c r="J24" s="203">
        <v>279.43900000000002</v>
      </c>
      <c r="K24" s="203">
        <v>5.2</v>
      </c>
      <c r="L24" s="203">
        <v>8.1999999999999993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4"/>
        <v>279.43900000000002</v>
      </c>
      <c r="S24" s="62">
        <f t="shared" si="2"/>
        <v>14.530828000000003</v>
      </c>
      <c r="T24" s="63">
        <f t="shared" si="3"/>
        <v>22.913997999999999</v>
      </c>
      <c r="U24" s="64" t="s">
        <v>167</v>
      </c>
      <c r="V24" s="65" t="s">
        <v>167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4"/>
        <v>0</v>
      </c>
      <c r="AB24" s="63">
        <f t="shared" si="5"/>
        <v>0</v>
      </c>
      <c r="AC24" s="69"/>
      <c r="AD24" s="70"/>
      <c r="AE24" s="70"/>
      <c r="AF24" s="62">
        <f t="shared" si="6"/>
        <v>0</v>
      </c>
      <c r="AG24" s="63">
        <f t="shared" si="7"/>
        <v>0</v>
      </c>
      <c r="AH24" s="97">
        <v>1126</v>
      </c>
      <c r="AI24" s="66">
        <v>4.58</v>
      </c>
      <c r="AJ24" s="66">
        <v>8.07</v>
      </c>
      <c r="AK24" s="62">
        <f t="shared" si="8"/>
        <v>51.570799999999998</v>
      </c>
      <c r="AL24" s="72">
        <f t="shared" si="9"/>
        <v>90.868200000000016</v>
      </c>
      <c r="AM24" s="73">
        <f t="shared" si="15"/>
        <v>-0.56099999999992178</v>
      </c>
      <c r="AN24" s="74">
        <f t="shared" si="18"/>
        <v>1.4828000000001396E-2</v>
      </c>
      <c r="AO24" s="74">
        <f t="shared" si="18"/>
        <v>6.4197999999962008E-2</v>
      </c>
      <c r="AP24" s="75">
        <f t="shared" si="16"/>
        <v>2.1104651414313794E-3</v>
      </c>
      <c r="AQ24" s="76">
        <f t="shared" si="11"/>
        <v>25.869186933322592</v>
      </c>
      <c r="AR24" s="90">
        <f t="shared" si="12"/>
        <v>-0.56099999999992178</v>
      </c>
      <c r="AT24" s="77"/>
      <c r="AU24" s="77"/>
      <c r="AV24" s="77"/>
    </row>
    <row r="25" spans="1:48" x14ac:dyDescent="0.25">
      <c r="A25" t="str">
        <f t="shared" si="13"/>
        <v>46184E</v>
      </c>
      <c r="B25" s="51">
        <f t="shared" si="17"/>
        <v>46184</v>
      </c>
      <c r="C25" s="52" t="s">
        <v>88</v>
      </c>
      <c r="D25" s="79">
        <v>1126</v>
      </c>
      <c r="E25" s="62">
        <v>4.58</v>
      </c>
      <c r="F25" s="62">
        <v>8.07</v>
      </c>
      <c r="G25" s="62">
        <f t="shared" si="0"/>
        <v>51.570799999999998</v>
      </c>
      <c r="H25" s="63">
        <f t="shared" si="1"/>
        <v>90.868200000000016</v>
      </c>
      <c r="I25" s="203">
        <v>588.70000000000005</v>
      </c>
      <c r="J25" s="203">
        <v>606.3610000000001</v>
      </c>
      <c r="K25" s="203">
        <v>4.2</v>
      </c>
      <c r="L25" s="203">
        <v>8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4"/>
        <v>606.3610000000001</v>
      </c>
      <c r="S25" s="62">
        <f t="shared" si="2"/>
        <v>25.467162000000005</v>
      </c>
      <c r="T25" s="63">
        <f t="shared" si="3"/>
        <v>48.508880000000012</v>
      </c>
      <c r="U25" s="64" t="s">
        <v>187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4"/>
        <v>0</v>
      </c>
      <c r="AB25" s="63">
        <f t="shared" si="5"/>
        <v>0</v>
      </c>
      <c r="AC25" s="69"/>
      <c r="AD25" s="70"/>
      <c r="AE25" s="70"/>
      <c r="AF25" s="62">
        <f t="shared" si="6"/>
        <v>0</v>
      </c>
      <c r="AG25" s="63">
        <f t="shared" si="7"/>
        <v>0</v>
      </c>
      <c r="AH25" s="97">
        <v>1732</v>
      </c>
      <c r="AI25" s="66">
        <v>4.45</v>
      </c>
      <c r="AJ25" s="66">
        <v>8.0399999999999991</v>
      </c>
      <c r="AK25" s="62">
        <f t="shared" si="8"/>
        <v>77.074000000000012</v>
      </c>
      <c r="AL25" s="72">
        <f t="shared" si="9"/>
        <v>139.25279999999998</v>
      </c>
      <c r="AM25" s="73">
        <f t="shared" si="15"/>
        <v>0.36100000000010368</v>
      </c>
      <c r="AN25" s="74">
        <f t="shared" si="18"/>
        <v>-3.6038000000004899E-2</v>
      </c>
      <c r="AO25" s="74">
        <f t="shared" si="18"/>
        <v>0.12428000000005568</v>
      </c>
      <c r="AP25" s="75">
        <f t="shared" si="16"/>
        <v>1.1928456512995214E-3</v>
      </c>
      <c r="AQ25" s="76">
        <f t="shared" si="11"/>
        <v>21.015871286681136</v>
      </c>
      <c r="AR25" s="90">
        <f t="shared" si="12"/>
        <v>0.36100000000010368</v>
      </c>
    </row>
    <row r="26" spans="1:48" x14ac:dyDescent="0.25">
      <c r="A26" t="str">
        <f t="shared" si="13"/>
        <v>46185M</v>
      </c>
      <c r="B26" s="51">
        <f t="shared" si="17"/>
        <v>46185</v>
      </c>
      <c r="C26" s="52" t="s">
        <v>87</v>
      </c>
      <c r="D26" s="79"/>
      <c r="E26" s="62"/>
      <c r="F26" s="62"/>
      <c r="G26" s="62">
        <f t="shared" si="0"/>
        <v>0</v>
      </c>
      <c r="H26" s="63">
        <f t="shared" si="1"/>
        <v>0</v>
      </c>
      <c r="I26" s="203"/>
      <c r="J26" s="203"/>
      <c r="K26" s="203"/>
      <c r="L26" s="203"/>
      <c r="M26" s="58"/>
      <c r="N26" s="58"/>
      <c r="O26" s="59"/>
      <c r="P26" s="56"/>
      <c r="Q26" s="60"/>
      <c r="R26" s="61">
        <f t="shared" si="14"/>
        <v>0</v>
      </c>
      <c r="S26" s="62">
        <f t="shared" si="2"/>
        <v>0</v>
      </c>
      <c r="T26" s="63">
        <f t="shared" si="3"/>
        <v>0</v>
      </c>
      <c r="U26" s="64"/>
      <c r="V26" s="65"/>
      <c r="W26" s="66"/>
      <c r="X26" s="67"/>
      <c r="Y26" s="68"/>
      <c r="Z26" s="68"/>
      <c r="AA26" s="62">
        <f t="shared" si="4"/>
        <v>0</v>
      </c>
      <c r="AB26" s="63">
        <f t="shared" si="5"/>
        <v>0</v>
      </c>
      <c r="AC26" s="69"/>
      <c r="AD26" s="70"/>
      <c r="AE26" s="70"/>
      <c r="AF26" s="62">
        <f t="shared" si="6"/>
        <v>0</v>
      </c>
      <c r="AG26" s="63">
        <f t="shared" si="7"/>
        <v>0</v>
      </c>
      <c r="AH26" s="97"/>
      <c r="AI26" s="66"/>
      <c r="AJ26" s="66"/>
      <c r="AK26" s="62">
        <f t="shared" si="8"/>
        <v>0</v>
      </c>
      <c r="AL26" s="72">
        <f t="shared" si="9"/>
        <v>0</v>
      </c>
      <c r="AM26" s="73">
        <f t="shared" si="15"/>
        <v>0</v>
      </c>
      <c r="AN26" s="74">
        <f t="shared" si="18"/>
        <v>0</v>
      </c>
      <c r="AO26" s="74">
        <f t="shared" si="18"/>
        <v>0</v>
      </c>
      <c r="AP26" s="75" t="e">
        <f t="shared" si="16"/>
        <v>#DIV/0!</v>
      </c>
      <c r="AQ26" s="76">
        <f t="shared" si="11"/>
        <v>0</v>
      </c>
      <c r="AR26" s="90">
        <f t="shared" si="12"/>
        <v>0</v>
      </c>
    </row>
    <row r="27" spans="1:48" x14ac:dyDescent="0.25">
      <c r="A27" t="str">
        <f t="shared" si="13"/>
        <v>46185E</v>
      </c>
      <c r="B27" s="51">
        <f t="shared" si="17"/>
        <v>46185</v>
      </c>
      <c r="C27" s="52" t="s">
        <v>88</v>
      </c>
      <c r="D27" s="79"/>
      <c r="E27" s="62"/>
      <c r="F27" s="62"/>
      <c r="G27" s="62">
        <f t="shared" si="0"/>
        <v>0</v>
      </c>
      <c r="H27" s="63">
        <f t="shared" si="1"/>
        <v>0</v>
      </c>
      <c r="I27" s="203"/>
      <c r="J27" s="203"/>
      <c r="K27" s="203"/>
      <c r="L27" s="203"/>
      <c r="M27" s="58"/>
      <c r="N27" s="58"/>
      <c r="O27" s="59"/>
      <c r="P27" s="56"/>
      <c r="Q27" s="60"/>
      <c r="R27" s="61">
        <f t="shared" si="14"/>
        <v>0</v>
      </c>
      <c r="S27" s="62">
        <f t="shared" si="2"/>
        <v>0</v>
      </c>
      <c r="T27" s="63">
        <f t="shared" si="3"/>
        <v>0</v>
      </c>
      <c r="U27" s="64"/>
      <c r="V27" s="65"/>
      <c r="W27" s="66"/>
      <c r="X27" s="67"/>
      <c r="Y27" s="68"/>
      <c r="Z27" s="68"/>
      <c r="AA27" s="62">
        <f t="shared" si="4"/>
        <v>0</v>
      </c>
      <c r="AB27" s="63">
        <f t="shared" si="5"/>
        <v>0</v>
      </c>
      <c r="AC27" s="69"/>
      <c r="AD27" s="70"/>
      <c r="AE27" s="70"/>
      <c r="AF27" s="62">
        <f t="shared" si="6"/>
        <v>0</v>
      </c>
      <c r="AG27" s="63">
        <f t="shared" si="7"/>
        <v>0</v>
      </c>
      <c r="AH27" s="97"/>
      <c r="AI27" s="66"/>
      <c r="AJ27" s="66"/>
      <c r="AK27" s="62">
        <f t="shared" si="8"/>
        <v>0</v>
      </c>
      <c r="AL27" s="72">
        <f t="shared" si="9"/>
        <v>0</v>
      </c>
      <c r="AM27" s="73">
        <f t="shared" si="15"/>
        <v>0</v>
      </c>
      <c r="AN27" s="74">
        <f t="shared" si="18"/>
        <v>0</v>
      </c>
      <c r="AO27" s="74">
        <f t="shared" si="18"/>
        <v>0</v>
      </c>
      <c r="AP27" s="75" t="e">
        <f t="shared" si="16"/>
        <v>#DIV/0!</v>
      </c>
      <c r="AQ27" s="76">
        <f t="shared" si="11"/>
        <v>0</v>
      </c>
      <c r="AR27" s="90">
        <f t="shared" si="12"/>
        <v>0</v>
      </c>
    </row>
    <row r="28" spans="1:48" x14ac:dyDescent="0.25">
      <c r="A28" t="str">
        <f t="shared" si="13"/>
        <v>46186M</v>
      </c>
      <c r="B28" s="51">
        <f t="shared" si="17"/>
        <v>46186</v>
      </c>
      <c r="C28" s="52" t="s">
        <v>87</v>
      </c>
      <c r="D28" s="79"/>
      <c r="E28" s="62"/>
      <c r="F28" s="62"/>
      <c r="G28" s="62">
        <f t="shared" si="0"/>
        <v>0</v>
      </c>
      <c r="H28" s="63">
        <f t="shared" si="1"/>
        <v>0</v>
      </c>
      <c r="I28" s="203"/>
      <c r="J28" s="203"/>
      <c r="K28" s="203"/>
      <c r="L28" s="203"/>
      <c r="M28" s="58"/>
      <c r="N28" s="58"/>
      <c r="O28" s="59"/>
      <c r="P28" s="56"/>
      <c r="Q28" s="60"/>
      <c r="R28" s="61">
        <f t="shared" si="14"/>
        <v>0</v>
      </c>
      <c r="S28" s="62">
        <f t="shared" si="2"/>
        <v>0</v>
      </c>
      <c r="T28" s="63">
        <f t="shared" si="3"/>
        <v>0</v>
      </c>
      <c r="U28" s="64"/>
      <c r="V28" s="65"/>
      <c r="W28" s="66"/>
      <c r="X28" s="67"/>
      <c r="Y28" s="68"/>
      <c r="Z28" s="68"/>
      <c r="AA28" s="62">
        <f t="shared" si="4"/>
        <v>0</v>
      </c>
      <c r="AB28" s="63">
        <f t="shared" si="5"/>
        <v>0</v>
      </c>
      <c r="AC28" s="69"/>
      <c r="AD28" s="70"/>
      <c r="AE28" s="70"/>
      <c r="AF28" s="62">
        <f t="shared" si="6"/>
        <v>0</v>
      </c>
      <c r="AG28" s="63">
        <f t="shared" si="7"/>
        <v>0</v>
      </c>
      <c r="AH28" s="97"/>
      <c r="AI28" s="66"/>
      <c r="AJ28" s="66"/>
      <c r="AK28" s="62">
        <f t="shared" si="8"/>
        <v>0</v>
      </c>
      <c r="AL28" s="72">
        <f t="shared" si="9"/>
        <v>0</v>
      </c>
      <c r="AM28" s="73">
        <f t="shared" si="15"/>
        <v>0</v>
      </c>
      <c r="AN28" s="74">
        <f t="shared" si="18"/>
        <v>0</v>
      </c>
      <c r="AO28" s="74">
        <f t="shared" si="18"/>
        <v>0</v>
      </c>
      <c r="AP28" s="75" t="e">
        <f t="shared" si="16"/>
        <v>#DIV/0!</v>
      </c>
      <c r="AQ28" s="76">
        <f t="shared" si="11"/>
        <v>0</v>
      </c>
      <c r="AR28" s="90">
        <f t="shared" si="12"/>
        <v>0</v>
      </c>
    </row>
    <row r="29" spans="1:48" x14ac:dyDescent="0.25">
      <c r="A29" t="str">
        <f t="shared" si="13"/>
        <v>46186E</v>
      </c>
      <c r="B29" s="51">
        <f t="shared" si="17"/>
        <v>46186</v>
      </c>
      <c r="C29" s="52" t="s">
        <v>88</v>
      </c>
      <c r="D29" s="79"/>
      <c r="E29" s="62"/>
      <c r="F29" s="62"/>
      <c r="G29" s="62">
        <f t="shared" si="0"/>
        <v>0</v>
      </c>
      <c r="H29" s="63">
        <f t="shared" si="1"/>
        <v>0</v>
      </c>
      <c r="I29" s="203"/>
      <c r="J29" s="203"/>
      <c r="K29" s="203"/>
      <c r="L29" s="203"/>
      <c r="M29" s="58"/>
      <c r="N29" s="58"/>
      <c r="O29" s="59"/>
      <c r="P29" s="56"/>
      <c r="Q29" s="60"/>
      <c r="R29" s="61">
        <f t="shared" si="14"/>
        <v>0</v>
      </c>
      <c r="S29" s="62">
        <f t="shared" si="2"/>
        <v>0</v>
      </c>
      <c r="T29" s="63">
        <f t="shared" si="3"/>
        <v>0</v>
      </c>
      <c r="U29" s="64"/>
      <c r="V29" s="65"/>
      <c r="W29" s="66"/>
      <c r="X29" s="67"/>
      <c r="Y29" s="68"/>
      <c r="Z29" s="68"/>
      <c r="AA29" s="62">
        <f t="shared" si="4"/>
        <v>0</v>
      </c>
      <c r="AB29" s="63">
        <f t="shared" si="5"/>
        <v>0</v>
      </c>
      <c r="AC29" s="69"/>
      <c r="AD29" s="70"/>
      <c r="AE29" s="70"/>
      <c r="AF29" s="62">
        <f t="shared" si="6"/>
        <v>0</v>
      </c>
      <c r="AG29" s="63">
        <f t="shared" si="7"/>
        <v>0</v>
      </c>
      <c r="AH29" s="97"/>
      <c r="AI29" s="66"/>
      <c r="AJ29" s="66"/>
      <c r="AK29" s="62">
        <f t="shared" si="8"/>
        <v>0</v>
      </c>
      <c r="AL29" s="72">
        <f t="shared" si="9"/>
        <v>0</v>
      </c>
      <c r="AM29" s="73">
        <f t="shared" si="15"/>
        <v>0</v>
      </c>
      <c r="AN29" s="74">
        <f t="shared" si="18"/>
        <v>0</v>
      </c>
      <c r="AO29" s="74">
        <f t="shared" si="18"/>
        <v>0</v>
      </c>
      <c r="AP29" s="75" t="e">
        <f t="shared" si="16"/>
        <v>#DIV/0!</v>
      </c>
      <c r="AQ29" s="76">
        <f t="shared" si="11"/>
        <v>0</v>
      </c>
      <c r="AR29" s="90">
        <f t="shared" si="12"/>
        <v>0</v>
      </c>
    </row>
    <row r="30" spans="1:48" x14ac:dyDescent="0.25">
      <c r="A30" t="str">
        <f t="shared" si="13"/>
        <v>46187M</v>
      </c>
      <c r="B30" s="51">
        <f t="shared" si="17"/>
        <v>46187</v>
      </c>
      <c r="C30" s="52" t="s">
        <v>87</v>
      </c>
      <c r="D30" s="79"/>
      <c r="E30" s="62"/>
      <c r="F30" s="62"/>
      <c r="G30" s="62">
        <f t="shared" si="0"/>
        <v>0</v>
      </c>
      <c r="H30" s="63">
        <f t="shared" si="1"/>
        <v>0</v>
      </c>
      <c r="I30" s="203"/>
      <c r="J30" s="203"/>
      <c r="K30" s="203"/>
      <c r="L30" s="203"/>
      <c r="M30" s="58"/>
      <c r="N30" s="58"/>
      <c r="O30" s="59"/>
      <c r="P30" s="56"/>
      <c r="Q30" s="60"/>
      <c r="R30" s="61">
        <f t="shared" si="14"/>
        <v>0</v>
      </c>
      <c r="S30" s="62">
        <f t="shared" si="2"/>
        <v>0</v>
      </c>
      <c r="T30" s="63">
        <f t="shared" si="3"/>
        <v>0</v>
      </c>
      <c r="U30" s="64"/>
      <c r="V30" s="65"/>
      <c r="W30" s="66"/>
      <c r="X30" s="67"/>
      <c r="Y30" s="68"/>
      <c r="Z30" s="68"/>
      <c r="AA30" s="62">
        <f t="shared" si="4"/>
        <v>0</v>
      </c>
      <c r="AB30" s="63">
        <f t="shared" si="5"/>
        <v>0</v>
      </c>
      <c r="AC30" s="69"/>
      <c r="AD30" s="70"/>
      <c r="AE30" s="70"/>
      <c r="AF30" s="62">
        <f t="shared" si="6"/>
        <v>0</v>
      </c>
      <c r="AG30" s="63">
        <f t="shared" si="7"/>
        <v>0</v>
      </c>
      <c r="AH30" s="97"/>
      <c r="AI30" s="66"/>
      <c r="AJ30" s="66"/>
      <c r="AK30" s="62">
        <f t="shared" si="8"/>
        <v>0</v>
      </c>
      <c r="AL30" s="72">
        <f t="shared" si="9"/>
        <v>0</v>
      </c>
      <c r="AM30" s="73">
        <f t="shared" si="15"/>
        <v>0</v>
      </c>
      <c r="AN30" s="74">
        <f t="shared" si="18"/>
        <v>0</v>
      </c>
      <c r="AO30" s="74">
        <f t="shared" si="18"/>
        <v>0</v>
      </c>
      <c r="AP30" s="75" t="e">
        <f t="shared" si="16"/>
        <v>#DIV/0!</v>
      </c>
      <c r="AQ30" s="76">
        <f t="shared" si="11"/>
        <v>0</v>
      </c>
      <c r="AR30" s="90">
        <f t="shared" si="12"/>
        <v>0</v>
      </c>
    </row>
    <row r="31" spans="1:48" x14ac:dyDescent="0.25">
      <c r="A31" t="str">
        <f t="shared" si="13"/>
        <v>46187E</v>
      </c>
      <c r="B31" s="51">
        <f t="shared" si="17"/>
        <v>46187</v>
      </c>
      <c r="C31" s="52" t="s">
        <v>88</v>
      </c>
      <c r="D31" s="79"/>
      <c r="E31" s="62"/>
      <c r="F31" s="62"/>
      <c r="G31" s="62">
        <f t="shared" si="0"/>
        <v>0</v>
      </c>
      <c r="H31" s="63">
        <f t="shared" si="1"/>
        <v>0</v>
      </c>
      <c r="I31" s="203"/>
      <c r="J31" s="203"/>
      <c r="K31" s="203"/>
      <c r="L31" s="203"/>
      <c r="M31" s="58"/>
      <c r="N31" s="58"/>
      <c r="O31" s="59"/>
      <c r="P31" s="56"/>
      <c r="Q31" s="60"/>
      <c r="R31" s="61">
        <f t="shared" si="14"/>
        <v>0</v>
      </c>
      <c r="S31" s="62">
        <f t="shared" si="2"/>
        <v>0</v>
      </c>
      <c r="T31" s="63">
        <f t="shared" si="3"/>
        <v>0</v>
      </c>
      <c r="U31" s="64"/>
      <c r="V31" s="85"/>
      <c r="W31" s="66"/>
      <c r="X31" s="67"/>
      <c r="Y31" s="68"/>
      <c r="Z31" s="68"/>
      <c r="AA31" s="62">
        <f t="shared" si="4"/>
        <v>0</v>
      </c>
      <c r="AB31" s="63">
        <f t="shared" si="5"/>
        <v>0</v>
      </c>
      <c r="AC31" s="69"/>
      <c r="AD31" s="70"/>
      <c r="AE31" s="70"/>
      <c r="AF31" s="62">
        <f t="shared" si="6"/>
        <v>0</v>
      </c>
      <c r="AG31" s="63">
        <f t="shared" si="7"/>
        <v>0</v>
      </c>
      <c r="AH31" s="97"/>
      <c r="AI31" s="66"/>
      <c r="AJ31" s="66"/>
      <c r="AK31" s="62">
        <f t="shared" si="8"/>
        <v>0</v>
      </c>
      <c r="AL31" s="72">
        <f t="shared" si="9"/>
        <v>0</v>
      </c>
      <c r="AM31" s="73">
        <f t="shared" si="15"/>
        <v>0</v>
      </c>
      <c r="AN31" s="74">
        <f t="shared" si="18"/>
        <v>0</v>
      </c>
      <c r="AO31" s="74">
        <f t="shared" si="18"/>
        <v>0</v>
      </c>
      <c r="AP31" s="75" t="e">
        <f t="shared" si="16"/>
        <v>#DIV/0!</v>
      </c>
      <c r="AQ31" s="76">
        <f t="shared" si="11"/>
        <v>0</v>
      </c>
      <c r="AR31" s="90">
        <f t="shared" si="12"/>
        <v>0</v>
      </c>
    </row>
    <row r="32" spans="1:48" x14ac:dyDescent="0.25">
      <c r="A32" t="str">
        <f t="shared" si="13"/>
        <v>46188M</v>
      </c>
      <c r="B32" s="51">
        <f t="shared" si="17"/>
        <v>46188</v>
      </c>
      <c r="C32" s="52" t="s">
        <v>87</v>
      </c>
      <c r="D32" s="79"/>
      <c r="E32" s="62"/>
      <c r="F32" s="62"/>
      <c r="G32" s="62">
        <f t="shared" si="0"/>
        <v>0</v>
      </c>
      <c r="H32" s="63">
        <f t="shared" si="1"/>
        <v>0</v>
      </c>
      <c r="I32" s="203"/>
      <c r="J32" s="203"/>
      <c r="K32" s="203"/>
      <c r="L32" s="203"/>
      <c r="M32" s="58"/>
      <c r="N32" s="58"/>
      <c r="O32" s="59"/>
      <c r="P32" s="56"/>
      <c r="Q32" s="60"/>
      <c r="R32" s="61">
        <f t="shared" si="14"/>
        <v>0</v>
      </c>
      <c r="S32" s="62">
        <f t="shared" si="2"/>
        <v>0</v>
      </c>
      <c r="T32" s="63">
        <f t="shared" si="3"/>
        <v>0</v>
      </c>
      <c r="U32" s="64"/>
      <c r="V32" s="85"/>
      <c r="W32" s="66"/>
      <c r="X32" s="67"/>
      <c r="Y32" s="68"/>
      <c r="Z32" s="68"/>
      <c r="AA32" s="62">
        <f t="shared" si="4"/>
        <v>0</v>
      </c>
      <c r="AB32" s="63">
        <f t="shared" si="5"/>
        <v>0</v>
      </c>
      <c r="AC32" s="69"/>
      <c r="AD32" s="70"/>
      <c r="AE32" s="70"/>
      <c r="AF32" s="62">
        <f t="shared" si="6"/>
        <v>0</v>
      </c>
      <c r="AG32" s="63">
        <f t="shared" si="7"/>
        <v>0</v>
      </c>
      <c r="AH32" s="97"/>
      <c r="AI32" s="66"/>
      <c r="AJ32" s="66"/>
      <c r="AK32" s="62">
        <f t="shared" si="8"/>
        <v>0</v>
      </c>
      <c r="AL32" s="72">
        <f t="shared" si="9"/>
        <v>0</v>
      </c>
      <c r="AM32" s="73">
        <f t="shared" si="15"/>
        <v>0</v>
      </c>
      <c r="AN32" s="74">
        <f t="shared" si="18"/>
        <v>0</v>
      </c>
      <c r="AO32" s="74">
        <f t="shared" si="18"/>
        <v>0</v>
      </c>
      <c r="AP32" s="75" t="e">
        <f t="shared" si="16"/>
        <v>#DIV/0!</v>
      </c>
      <c r="AQ32" s="76">
        <f t="shared" si="11"/>
        <v>0</v>
      </c>
      <c r="AR32" s="90">
        <f t="shared" si="12"/>
        <v>0</v>
      </c>
    </row>
    <row r="33" spans="1:44" x14ac:dyDescent="0.25">
      <c r="A33" t="str">
        <f t="shared" si="13"/>
        <v>46188E</v>
      </c>
      <c r="B33" s="51">
        <f t="shared" si="17"/>
        <v>46188</v>
      </c>
      <c r="C33" s="52" t="s">
        <v>88</v>
      </c>
      <c r="D33" s="79"/>
      <c r="E33" s="62"/>
      <c r="F33" s="62"/>
      <c r="G33" s="62">
        <f t="shared" si="0"/>
        <v>0</v>
      </c>
      <c r="H33" s="63">
        <f t="shared" si="1"/>
        <v>0</v>
      </c>
      <c r="I33" s="203"/>
      <c r="J33" s="203"/>
      <c r="K33" s="203"/>
      <c r="L33" s="203"/>
      <c r="M33" s="58"/>
      <c r="N33" s="58"/>
      <c r="O33" s="59"/>
      <c r="P33" s="56"/>
      <c r="Q33" s="60"/>
      <c r="R33" s="61">
        <f t="shared" si="14"/>
        <v>0</v>
      </c>
      <c r="S33" s="62">
        <f t="shared" si="2"/>
        <v>0</v>
      </c>
      <c r="T33" s="63">
        <f t="shared" si="3"/>
        <v>0</v>
      </c>
      <c r="U33" s="64"/>
      <c r="V33" s="85"/>
      <c r="W33" s="66"/>
      <c r="X33" s="67"/>
      <c r="Y33" s="68"/>
      <c r="Z33" s="68"/>
      <c r="AA33" s="62">
        <f t="shared" si="4"/>
        <v>0</v>
      </c>
      <c r="AB33" s="63">
        <f t="shared" si="5"/>
        <v>0</v>
      </c>
      <c r="AC33" s="69"/>
      <c r="AD33" s="70"/>
      <c r="AE33" s="70"/>
      <c r="AF33" s="62">
        <f t="shared" si="6"/>
        <v>0</v>
      </c>
      <c r="AG33" s="63">
        <f t="shared" si="7"/>
        <v>0</v>
      </c>
      <c r="AH33" s="97"/>
      <c r="AI33" s="66"/>
      <c r="AJ33" s="66"/>
      <c r="AK33" s="62">
        <f t="shared" si="8"/>
        <v>0</v>
      </c>
      <c r="AL33" s="72">
        <f t="shared" si="9"/>
        <v>0</v>
      </c>
      <c r="AM33" s="73">
        <f t="shared" si="15"/>
        <v>0</v>
      </c>
      <c r="AN33" s="74">
        <f t="shared" si="18"/>
        <v>0</v>
      </c>
      <c r="AO33" s="74">
        <f t="shared" si="18"/>
        <v>0</v>
      </c>
      <c r="AP33" s="75" t="e">
        <f t="shared" si="16"/>
        <v>#DIV/0!</v>
      </c>
      <c r="AQ33" s="76">
        <f t="shared" si="11"/>
        <v>0</v>
      </c>
      <c r="AR33" s="90">
        <f t="shared" si="12"/>
        <v>0</v>
      </c>
    </row>
    <row r="34" spans="1:44" x14ac:dyDescent="0.25">
      <c r="A34" t="str">
        <f t="shared" si="13"/>
        <v>46189M</v>
      </c>
      <c r="B34" s="51">
        <f t="shared" si="17"/>
        <v>46189</v>
      </c>
      <c r="C34" s="52" t="s">
        <v>87</v>
      </c>
      <c r="D34" s="79"/>
      <c r="E34" s="62"/>
      <c r="F34" s="62"/>
      <c r="G34" s="62">
        <f t="shared" si="0"/>
        <v>0</v>
      </c>
      <c r="H34" s="63">
        <f t="shared" si="1"/>
        <v>0</v>
      </c>
      <c r="I34" s="203"/>
      <c r="J34" s="203"/>
      <c r="K34" s="203"/>
      <c r="L34" s="203"/>
      <c r="M34" s="58"/>
      <c r="N34" s="58"/>
      <c r="O34" s="59"/>
      <c r="P34" s="56"/>
      <c r="Q34" s="60"/>
      <c r="R34" s="61">
        <f t="shared" si="14"/>
        <v>0</v>
      </c>
      <c r="S34" s="62">
        <f t="shared" si="2"/>
        <v>0</v>
      </c>
      <c r="T34" s="63">
        <f t="shared" si="3"/>
        <v>0</v>
      </c>
      <c r="U34" s="64"/>
      <c r="V34" s="65"/>
      <c r="W34" s="66"/>
      <c r="X34" s="67"/>
      <c r="Y34" s="68"/>
      <c r="Z34" s="68"/>
      <c r="AA34" s="62">
        <f t="shared" si="4"/>
        <v>0</v>
      </c>
      <c r="AB34" s="63">
        <f t="shared" si="5"/>
        <v>0</v>
      </c>
      <c r="AC34" s="69"/>
      <c r="AD34" s="70"/>
      <c r="AE34" s="70"/>
      <c r="AF34" s="62">
        <f t="shared" si="6"/>
        <v>0</v>
      </c>
      <c r="AG34" s="63">
        <f t="shared" si="7"/>
        <v>0</v>
      </c>
      <c r="AH34" s="97"/>
      <c r="AI34" s="66"/>
      <c r="AJ34" s="66"/>
      <c r="AK34" s="62">
        <f t="shared" si="8"/>
        <v>0</v>
      </c>
      <c r="AL34" s="72">
        <f t="shared" si="9"/>
        <v>0</v>
      </c>
      <c r="AM34" s="73">
        <f t="shared" si="15"/>
        <v>0</v>
      </c>
      <c r="AN34" s="74">
        <f t="shared" si="18"/>
        <v>0</v>
      </c>
      <c r="AO34" s="74">
        <f t="shared" si="18"/>
        <v>0</v>
      </c>
      <c r="AP34" s="75" t="e">
        <f t="shared" si="16"/>
        <v>#DIV/0!</v>
      </c>
      <c r="AQ34" s="76">
        <f t="shared" si="11"/>
        <v>0</v>
      </c>
      <c r="AR34" s="77">
        <f>(D34+J34+O34)-(X34+AH34)</f>
        <v>0</v>
      </c>
    </row>
    <row r="35" spans="1:44" x14ac:dyDescent="0.25">
      <c r="A35" t="str">
        <f t="shared" si="13"/>
        <v>46189E</v>
      </c>
      <c r="B35" s="51">
        <f t="shared" si="17"/>
        <v>46189</v>
      </c>
      <c r="C35" s="52" t="s">
        <v>88</v>
      </c>
      <c r="D35" s="79"/>
      <c r="E35" s="62"/>
      <c r="F35" s="62"/>
      <c r="G35" s="62">
        <f t="shared" si="0"/>
        <v>0</v>
      </c>
      <c r="H35" s="63">
        <f t="shared" si="1"/>
        <v>0</v>
      </c>
      <c r="I35" s="203"/>
      <c r="J35" s="203"/>
      <c r="K35" s="203"/>
      <c r="L35" s="203"/>
      <c r="M35" s="58"/>
      <c r="N35" s="58"/>
      <c r="O35" s="59"/>
      <c r="P35" s="56"/>
      <c r="Q35" s="60"/>
      <c r="R35" s="61">
        <f t="shared" si="14"/>
        <v>0</v>
      </c>
      <c r="S35" s="62">
        <f t="shared" si="2"/>
        <v>0</v>
      </c>
      <c r="T35" s="63">
        <f t="shared" si="3"/>
        <v>0</v>
      </c>
      <c r="U35" s="64"/>
      <c r="V35" s="65"/>
      <c r="W35" s="66"/>
      <c r="X35" s="67"/>
      <c r="Y35" s="68"/>
      <c r="Z35" s="68"/>
      <c r="AA35" s="62">
        <f t="shared" si="4"/>
        <v>0</v>
      </c>
      <c r="AB35" s="63">
        <f t="shared" si="5"/>
        <v>0</v>
      </c>
      <c r="AC35" s="69"/>
      <c r="AD35" s="70"/>
      <c r="AE35" s="70"/>
      <c r="AF35" s="62">
        <f t="shared" si="6"/>
        <v>0</v>
      </c>
      <c r="AG35" s="63">
        <f t="shared" si="7"/>
        <v>0</v>
      </c>
      <c r="AH35" s="97"/>
      <c r="AI35" s="66"/>
      <c r="AJ35" s="66"/>
      <c r="AK35" s="62">
        <f t="shared" si="8"/>
        <v>0</v>
      </c>
      <c r="AL35" s="72">
        <f t="shared" si="9"/>
        <v>0</v>
      </c>
      <c r="AM35" s="73">
        <f t="shared" si="15"/>
        <v>0</v>
      </c>
      <c r="AN35" s="74">
        <f t="shared" si="18"/>
        <v>0</v>
      </c>
      <c r="AO35" s="74">
        <f t="shared" si="18"/>
        <v>0</v>
      </c>
      <c r="AP35" s="75" t="e">
        <f t="shared" si="16"/>
        <v>#DIV/0!</v>
      </c>
      <c r="AQ35" s="76">
        <f t="shared" si="11"/>
        <v>0</v>
      </c>
      <c r="AR35" s="77">
        <f t="shared" si="12"/>
        <v>0</v>
      </c>
    </row>
    <row r="36" spans="1:44" x14ac:dyDescent="0.25">
      <c r="A36" t="str">
        <f t="shared" si="13"/>
        <v>46190M</v>
      </c>
      <c r="B36" s="51">
        <f t="shared" si="17"/>
        <v>46190</v>
      </c>
      <c r="C36" s="52" t="s">
        <v>87</v>
      </c>
      <c r="D36" s="79"/>
      <c r="E36" s="62"/>
      <c r="F36" s="62"/>
      <c r="G36" s="62">
        <f t="shared" si="0"/>
        <v>0</v>
      </c>
      <c r="H36" s="63">
        <f t="shared" si="1"/>
        <v>0</v>
      </c>
      <c r="I36" s="203"/>
      <c r="J36" s="203"/>
      <c r="K36" s="203"/>
      <c r="L36" s="203"/>
      <c r="M36" s="58"/>
      <c r="N36" s="58"/>
      <c r="O36" s="59"/>
      <c r="P36" s="56"/>
      <c r="Q36" s="60"/>
      <c r="R36" s="61">
        <f t="shared" si="14"/>
        <v>0</v>
      </c>
      <c r="S36" s="62">
        <f t="shared" si="2"/>
        <v>0</v>
      </c>
      <c r="T36" s="63">
        <f t="shared" si="3"/>
        <v>0</v>
      </c>
      <c r="U36" s="64"/>
      <c r="V36" s="65"/>
      <c r="W36" s="66"/>
      <c r="X36" s="67"/>
      <c r="Y36" s="68"/>
      <c r="Z36" s="68"/>
      <c r="AA36" s="62">
        <f t="shared" si="4"/>
        <v>0</v>
      </c>
      <c r="AB36" s="63">
        <f t="shared" si="5"/>
        <v>0</v>
      </c>
      <c r="AC36" s="69"/>
      <c r="AD36" s="70"/>
      <c r="AE36" s="70"/>
      <c r="AF36" s="62">
        <f t="shared" si="6"/>
        <v>0</v>
      </c>
      <c r="AG36" s="63">
        <f t="shared" si="7"/>
        <v>0</v>
      </c>
      <c r="AH36" s="97"/>
      <c r="AI36" s="66"/>
      <c r="AJ36" s="66"/>
      <c r="AK36" s="62">
        <f t="shared" si="8"/>
        <v>0</v>
      </c>
      <c r="AL36" s="72">
        <f t="shared" si="9"/>
        <v>0</v>
      </c>
      <c r="AM36" s="73">
        <f t="shared" si="15"/>
        <v>0</v>
      </c>
      <c r="AN36" s="74">
        <f t="shared" si="18"/>
        <v>0</v>
      </c>
      <c r="AO36" s="74">
        <f t="shared" si="18"/>
        <v>0</v>
      </c>
      <c r="AP36" s="75" t="e">
        <f t="shared" si="16"/>
        <v>#DIV/0!</v>
      </c>
      <c r="AQ36" s="76">
        <f t="shared" si="11"/>
        <v>0</v>
      </c>
      <c r="AR36" s="90">
        <f t="shared" si="12"/>
        <v>0</v>
      </c>
    </row>
    <row r="37" spans="1:44" x14ac:dyDescent="0.25">
      <c r="A37" t="str">
        <f t="shared" si="13"/>
        <v>46190E</v>
      </c>
      <c r="B37" s="51">
        <f t="shared" si="17"/>
        <v>46190</v>
      </c>
      <c r="C37" s="52" t="s">
        <v>88</v>
      </c>
      <c r="D37" s="79"/>
      <c r="E37" s="62"/>
      <c r="F37" s="62"/>
      <c r="G37" s="62">
        <f t="shared" si="0"/>
        <v>0</v>
      </c>
      <c r="H37" s="63">
        <f t="shared" si="1"/>
        <v>0</v>
      </c>
      <c r="I37" s="203"/>
      <c r="J37" s="203"/>
      <c r="K37" s="203"/>
      <c r="L37" s="203"/>
      <c r="M37" s="58"/>
      <c r="N37" s="58"/>
      <c r="O37" s="59"/>
      <c r="P37" s="56"/>
      <c r="Q37" s="60"/>
      <c r="R37" s="61">
        <f t="shared" si="14"/>
        <v>0</v>
      </c>
      <c r="S37" s="62">
        <f t="shared" si="2"/>
        <v>0</v>
      </c>
      <c r="T37" s="63">
        <f t="shared" si="3"/>
        <v>0</v>
      </c>
      <c r="U37" s="64"/>
      <c r="V37" s="85"/>
      <c r="W37" s="66"/>
      <c r="X37" s="67"/>
      <c r="Y37" s="68"/>
      <c r="Z37" s="68"/>
      <c r="AA37" s="62">
        <f t="shared" si="4"/>
        <v>0</v>
      </c>
      <c r="AB37" s="63">
        <f t="shared" si="5"/>
        <v>0</v>
      </c>
      <c r="AC37" s="69"/>
      <c r="AD37" s="70"/>
      <c r="AE37" s="70"/>
      <c r="AF37" s="62">
        <f t="shared" si="6"/>
        <v>0</v>
      </c>
      <c r="AG37" s="63">
        <f t="shared" si="7"/>
        <v>0</v>
      </c>
      <c r="AH37" s="97"/>
      <c r="AI37" s="66"/>
      <c r="AJ37" s="66"/>
      <c r="AK37" s="62">
        <f t="shared" si="8"/>
        <v>0</v>
      </c>
      <c r="AL37" s="72">
        <f t="shared" si="9"/>
        <v>0</v>
      </c>
      <c r="AM37" s="73">
        <f t="shared" si="15"/>
        <v>0</v>
      </c>
      <c r="AN37" s="74">
        <f t="shared" si="18"/>
        <v>0</v>
      </c>
      <c r="AO37" s="74">
        <f t="shared" si="18"/>
        <v>0</v>
      </c>
      <c r="AP37" s="75" t="e">
        <f t="shared" si="16"/>
        <v>#DIV/0!</v>
      </c>
      <c r="AQ37" s="76">
        <f t="shared" si="11"/>
        <v>0</v>
      </c>
      <c r="AR37" s="90">
        <f t="shared" si="12"/>
        <v>0</v>
      </c>
    </row>
    <row r="38" spans="1:44" x14ac:dyDescent="0.25">
      <c r="A38" t="str">
        <f t="shared" si="13"/>
        <v>46191M</v>
      </c>
      <c r="B38" s="51">
        <f t="shared" si="17"/>
        <v>46191</v>
      </c>
      <c r="C38" s="52" t="s">
        <v>87</v>
      </c>
      <c r="D38" s="79"/>
      <c r="E38" s="62"/>
      <c r="F38" s="62"/>
      <c r="G38" s="62">
        <f t="shared" si="0"/>
        <v>0</v>
      </c>
      <c r="H38" s="63">
        <f t="shared" si="1"/>
        <v>0</v>
      </c>
      <c r="I38" s="203"/>
      <c r="J38" s="203"/>
      <c r="K38" s="203"/>
      <c r="L38" s="203"/>
      <c r="M38" s="58"/>
      <c r="N38" s="58"/>
      <c r="O38" s="59"/>
      <c r="P38" s="56"/>
      <c r="Q38" s="60"/>
      <c r="R38" s="61">
        <f t="shared" si="14"/>
        <v>0</v>
      </c>
      <c r="S38" s="62">
        <f t="shared" si="2"/>
        <v>0</v>
      </c>
      <c r="T38" s="63">
        <f t="shared" si="3"/>
        <v>0</v>
      </c>
      <c r="U38" s="64"/>
      <c r="V38" s="65"/>
      <c r="W38" s="66"/>
      <c r="X38" s="67"/>
      <c r="Y38" s="68"/>
      <c r="Z38" s="68"/>
      <c r="AA38" s="62">
        <f t="shared" si="4"/>
        <v>0</v>
      </c>
      <c r="AB38" s="63">
        <f t="shared" si="5"/>
        <v>0</v>
      </c>
      <c r="AC38" s="69"/>
      <c r="AD38" s="70"/>
      <c r="AE38" s="70"/>
      <c r="AF38" s="62">
        <f t="shared" si="6"/>
        <v>0</v>
      </c>
      <c r="AG38" s="63">
        <f t="shared" si="7"/>
        <v>0</v>
      </c>
      <c r="AH38" s="97"/>
      <c r="AI38" s="66"/>
      <c r="AJ38" s="66"/>
      <c r="AK38" s="62">
        <f t="shared" si="8"/>
        <v>0</v>
      </c>
      <c r="AL38" s="72">
        <f t="shared" si="9"/>
        <v>0</v>
      </c>
      <c r="AM38" s="73">
        <f t="shared" si="15"/>
        <v>0</v>
      </c>
      <c r="AN38" s="74">
        <f t="shared" si="18"/>
        <v>0</v>
      </c>
      <c r="AO38" s="74">
        <f t="shared" si="18"/>
        <v>0</v>
      </c>
      <c r="AP38" s="75" t="e">
        <f t="shared" si="16"/>
        <v>#DIV/0!</v>
      </c>
      <c r="AQ38" s="76">
        <f t="shared" si="11"/>
        <v>0</v>
      </c>
      <c r="AR38" s="90">
        <f t="shared" si="12"/>
        <v>0</v>
      </c>
    </row>
    <row r="39" spans="1:44" x14ac:dyDescent="0.25">
      <c r="A39" t="str">
        <f t="shared" si="13"/>
        <v>46191E</v>
      </c>
      <c r="B39" s="51">
        <f t="shared" si="17"/>
        <v>46191</v>
      </c>
      <c r="C39" s="52" t="s">
        <v>88</v>
      </c>
      <c r="D39" s="79"/>
      <c r="E39" s="62"/>
      <c r="F39" s="62"/>
      <c r="G39" s="62">
        <f t="shared" si="0"/>
        <v>0</v>
      </c>
      <c r="H39" s="63">
        <f t="shared" si="1"/>
        <v>0</v>
      </c>
      <c r="I39" s="203"/>
      <c r="J39" s="203"/>
      <c r="K39" s="203"/>
      <c r="L39" s="203"/>
      <c r="M39" s="58"/>
      <c r="N39" s="58"/>
      <c r="O39" s="59"/>
      <c r="P39" s="56"/>
      <c r="Q39" s="60"/>
      <c r="R39" s="61">
        <f t="shared" si="14"/>
        <v>0</v>
      </c>
      <c r="S39" s="62">
        <f t="shared" si="2"/>
        <v>0</v>
      </c>
      <c r="T39" s="63">
        <f t="shared" si="3"/>
        <v>0</v>
      </c>
      <c r="U39" s="64"/>
      <c r="V39" s="65"/>
      <c r="W39" s="66"/>
      <c r="X39" s="67"/>
      <c r="Y39" s="68"/>
      <c r="Z39" s="68"/>
      <c r="AA39" s="62">
        <f t="shared" si="4"/>
        <v>0</v>
      </c>
      <c r="AB39" s="63">
        <f t="shared" si="5"/>
        <v>0</v>
      </c>
      <c r="AC39" s="69"/>
      <c r="AD39" s="70"/>
      <c r="AE39" s="70"/>
      <c r="AF39" s="62">
        <f t="shared" si="6"/>
        <v>0</v>
      </c>
      <c r="AG39" s="63">
        <f t="shared" si="7"/>
        <v>0</v>
      </c>
      <c r="AH39" s="97"/>
      <c r="AI39" s="66"/>
      <c r="AJ39" s="66"/>
      <c r="AK39" s="62">
        <f t="shared" si="8"/>
        <v>0</v>
      </c>
      <c r="AL39" s="72">
        <f t="shared" si="9"/>
        <v>0</v>
      </c>
      <c r="AM39" s="73">
        <f t="shared" si="15"/>
        <v>0</v>
      </c>
      <c r="AN39" s="74">
        <f t="shared" si="18"/>
        <v>0</v>
      </c>
      <c r="AO39" s="74">
        <f t="shared" si="18"/>
        <v>0</v>
      </c>
      <c r="AP39" s="75" t="e">
        <f t="shared" si="16"/>
        <v>#DIV/0!</v>
      </c>
      <c r="AQ39" s="76">
        <f t="shared" si="11"/>
        <v>0</v>
      </c>
      <c r="AR39" s="90">
        <f t="shared" si="12"/>
        <v>0</v>
      </c>
    </row>
    <row r="40" spans="1:44" x14ac:dyDescent="0.25">
      <c r="A40" t="str">
        <f t="shared" si="13"/>
        <v>46192M</v>
      </c>
      <c r="B40" s="51">
        <f t="shared" si="17"/>
        <v>46192</v>
      </c>
      <c r="C40" s="52" t="s">
        <v>87</v>
      </c>
      <c r="D40" s="79"/>
      <c r="E40" s="62"/>
      <c r="F40" s="62"/>
      <c r="G40" s="62">
        <f t="shared" si="0"/>
        <v>0</v>
      </c>
      <c r="H40" s="63">
        <f t="shared" si="1"/>
        <v>0</v>
      </c>
      <c r="I40" s="203"/>
      <c r="J40" s="203"/>
      <c r="K40" s="203"/>
      <c r="L40" s="203"/>
      <c r="M40" s="58"/>
      <c r="N40" s="58"/>
      <c r="O40" s="59"/>
      <c r="P40" s="56"/>
      <c r="Q40" s="60"/>
      <c r="R40" s="61">
        <f t="shared" si="14"/>
        <v>0</v>
      </c>
      <c r="S40" s="62">
        <f t="shared" si="2"/>
        <v>0</v>
      </c>
      <c r="T40" s="63">
        <f t="shared" si="3"/>
        <v>0</v>
      </c>
      <c r="U40" s="64"/>
      <c r="V40" s="65"/>
      <c r="W40" s="66"/>
      <c r="X40" s="67"/>
      <c r="Y40" s="68"/>
      <c r="Z40" s="68"/>
      <c r="AA40" s="62">
        <f t="shared" si="4"/>
        <v>0</v>
      </c>
      <c r="AB40" s="63">
        <f t="shared" si="5"/>
        <v>0</v>
      </c>
      <c r="AC40" s="69"/>
      <c r="AD40" s="70"/>
      <c r="AE40" s="70"/>
      <c r="AF40" s="62">
        <f t="shared" si="6"/>
        <v>0</v>
      </c>
      <c r="AG40" s="63">
        <f t="shared" si="7"/>
        <v>0</v>
      </c>
      <c r="AH40" s="97"/>
      <c r="AI40" s="66"/>
      <c r="AJ40" s="66"/>
      <c r="AK40" s="62">
        <f t="shared" si="8"/>
        <v>0</v>
      </c>
      <c r="AL40" s="72">
        <f t="shared" si="9"/>
        <v>0</v>
      </c>
      <c r="AM40" s="73">
        <f t="shared" si="15"/>
        <v>0</v>
      </c>
      <c r="AN40" s="74">
        <f t="shared" si="18"/>
        <v>0</v>
      </c>
      <c r="AO40" s="74">
        <f t="shared" si="18"/>
        <v>0</v>
      </c>
      <c r="AP40" s="75" t="e">
        <f t="shared" si="16"/>
        <v>#DIV/0!</v>
      </c>
      <c r="AQ40" s="76">
        <f t="shared" si="11"/>
        <v>0</v>
      </c>
      <c r="AR40" s="90">
        <f t="shared" si="12"/>
        <v>0</v>
      </c>
    </row>
    <row r="41" spans="1:44" x14ac:dyDescent="0.25">
      <c r="A41" t="str">
        <f t="shared" si="13"/>
        <v>46192E</v>
      </c>
      <c r="B41" s="51">
        <f t="shared" si="17"/>
        <v>46192</v>
      </c>
      <c r="C41" s="52" t="s">
        <v>88</v>
      </c>
      <c r="D41" s="79"/>
      <c r="E41" s="62"/>
      <c r="F41" s="62"/>
      <c r="G41" s="62">
        <f t="shared" si="0"/>
        <v>0</v>
      </c>
      <c r="H41" s="63">
        <f t="shared" si="1"/>
        <v>0</v>
      </c>
      <c r="I41" s="203"/>
      <c r="J41" s="203"/>
      <c r="K41" s="203"/>
      <c r="L41" s="203"/>
      <c r="M41" s="58"/>
      <c r="N41" s="58"/>
      <c r="O41" s="59"/>
      <c r="P41" s="56"/>
      <c r="Q41" s="60"/>
      <c r="R41" s="61">
        <f t="shared" si="14"/>
        <v>0</v>
      </c>
      <c r="S41" s="62">
        <f t="shared" si="2"/>
        <v>0</v>
      </c>
      <c r="T41" s="63">
        <f t="shared" si="3"/>
        <v>0</v>
      </c>
      <c r="U41" s="64"/>
      <c r="V41" s="65"/>
      <c r="W41" s="66"/>
      <c r="X41" s="67"/>
      <c r="Y41" s="68"/>
      <c r="Z41" s="68"/>
      <c r="AA41" s="62">
        <f t="shared" si="4"/>
        <v>0</v>
      </c>
      <c r="AB41" s="63">
        <f t="shared" si="5"/>
        <v>0</v>
      </c>
      <c r="AC41" s="69"/>
      <c r="AD41" s="70"/>
      <c r="AE41" s="70"/>
      <c r="AF41" s="62">
        <f t="shared" si="6"/>
        <v>0</v>
      </c>
      <c r="AG41" s="63">
        <f t="shared" si="7"/>
        <v>0</v>
      </c>
      <c r="AH41" s="97"/>
      <c r="AI41" s="66"/>
      <c r="AJ41" s="66"/>
      <c r="AK41" s="62">
        <f t="shared" si="8"/>
        <v>0</v>
      </c>
      <c r="AL41" s="72">
        <f t="shared" si="9"/>
        <v>0</v>
      </c>
      <c r="AM41" s="73">
        <f t="shared" si="15"/>
        <v>0</v>
      </c>
      <c r="AN41" s="74">
        <f t="shared" si="18"/>
        <v>0</v>
      </c>
      <c r="AO41" s="74">
        <f t="shared" si="18"/>
        <v>0</v>
      </c>
      <c r="AP41" s="75" t="e">
        <f t="shared" si="16"/>
        <v>#DIV/0!</v>
      </c>
      <c r="AQ41" s="76">
        <f t="shared" si="11"/>
        <v>0</v>
      </c>
      <c r="AR41" s="90">
        <f t="shared" si="12"/>
        <v>0</v>
      </c>
    </row>
    <row r="42" spans="1:44" x14ac:dyDescent="0.25">
      <c r="A42" t="str">
        <f t="shared" si="13"/>
        <v>46193M</v>
      </c>
      <c r="B42" s="51">
        <f t="shared" si="17"/>
        <v>46193</v>
      </c>
      <c r="C42" s="52" t="s">
        <v>87</v>
      </c>
      <c r="D42" s="79"/>
      <c r="E42" s="62"/>
      <c r="F42" s="62"/>
      <c r="G42" s="62">
        <f t="shared" si="0"/>
        <v>0</v>
      </c>
      <c r="H42" s="63">
        <f t="shared" si="1"/>
        <v>0</v>
      </c>
      <c r="I42" s="203"/>
      <c r="J42" s="203"/>
      <c r="K42" s="203"/>
      <c r="L42" s="203"/>
      <c r="M42" s="58"/>
      <c r="N42" s="58"/>
      <c r="O42" s="59"/>
      <c r="P42" s="56"/>
      <c r="Q42" s="60"/>
      <c r="R42" s="61">
        <f t="shared" si="14"/>
        <v>0</v>
      </c>
      <c r="S42" s="62">
        <f t="shared" si="2"/>
        <v>0</v>
      </c>
      <c r="T42" s="63">
        <f t="shared" si="3"/>
        <v>0</v>
      </c>
      <c r="U42" s="64"/>
      <c r="V42" s="65"/>
      <c r="W42" s="66"/>
      <c r="X42" s="67"/>
      <c r="Y42" s="68"/>
      <c r="Z42" s="68"/>
      <c r="AA42" s="62">
        <f t="shared" si="4"/>
        <v>0</v>
      </c>
      <c r="AB42" s="63">
        <f t="shared" si="5"/>
        <v>0</v>
      </c>
      <c r="AC42" s="69"/>
      <c r="AD42" s="70"/>
      <c r="AE42" s="70"/>
      <c r="AF42" s="62">
        <f t="shared" si="6"/>
        <v>0</v>
      </c>
      <c r="AG42" s="63">
        <f t="shared" si="7"/>
        <v>0</v>
      </c>
      <c r="AH42" s="97"/>
      <c r="AI42" s="66"/>
      <c r="AJ42" s="66"/>
      <c r="AK42" s="62">
        <f t="shared" si="8"/>
        <v>0</v>
      </c>
      <c r="AL42" s="72">
        <f t="shared" si="9"/>
        <v>0</v>
      </c>
      <c r="AM42" s="73">
        <f t="shared" si="15"/>
        <v>0</v>
      </c>
      <c r="AN42" s="74">
        <f t="shared" si="18"/>
        <v>0</v>
      </c>
      <c r="AO42" s="74">
        <f t="shared" si="18"/>
        <v>0</v>
      </c>
      <c r="AP42" s="75" t="e">
        <f t="shared" si="16"/>
        <v>#DIV/0!</v>
      </c>
      <c r="AQ42" s="76">
        <f t="shared" si="11"/>
        <v>0</v>
      </c>
      <c r="AR42" s="90">
        <f t="shared" si="12"/>
        <v>0</v>
      </c>
    </row>
    <row r="43" spans="1:44" x14ac:dyDescent="0.25">
      <c r="A43" t="str">
        <f t="shared" si="13"/>
        <v>46193E</v>
      </c>
      <c r="B43" s="51">
        <f t="shared" si="17"/>
        <v>46193</v>
      </c>
      <c r="C43" s="52" t="s">
        <v>88</v>
      </c>
      <c r="D43" s="79"/>
      <c r="E43" s="62"/>
      <c r="F43" s="62"/>
      <c r="G43" s="62">
        <f t="shared" si="0"/>
        <v>0</v>
      </c>
      <c r="H43" s="63">
        <f t="shared" si="1"/>
        <v>0</v>
      </c>
      <c r="I43" s="203"/>
      <c r="J43" s="203"/>
      <c r="K43" s="203"/>
      <c r="L43" s="203"/>
      <c r="M43" s="58"/>
      <c r="N43" s="58"/>
      <c r="O43" s="59"/>
      <c r="P43" s="56"/>
      <c r="Q43" s="60"/>
      <c r="R43" s="61">
        <f t="shared" si="14"/>
        <v>0</v>
      </c>
      <c r="S43" s="62">
        <f t="shared" si="2"/>
        <v>0</v>
      </c>
      <c r="T43" s="63">
        <f t="shared" si="3"/>
        <v>0</v>
      </c>
      <c r="U43" s="64"/>
      <c r="V43" s="65"/>
      <c r="W43" s="66"/>
      <c r="X43" s="67"/>
      <c r="Y43" s="68"/>
      <c r="Z43" s="68"/>
      <c r="AA43" s="62">
        <f t="shared" si="4"/>
        <v>0</v>
      </c>
      <c r="AB43" s="63">
        <f t="shared" si="5"/>
        <v>0</v>
      </c>
      <c r="AC43" s="69"/>
      <c r="AD43" s="70"/>
      <c r="AE43" s="70"/>
      <c r="AF43" s="62">
        <f t="shared" si="6"/>
        <v>0</v>
      </c>
      <c r="AG43" s="63">
        <f t="shared" si="7"/>
        <v>0</v>
      </c>
      <c r="AH43" s="97"/>
      <c r="AI43" s="66"/>
      <c r="AJ43" s="66"/>
      <c r="AK43" s="62">
        <f t="shared" si="8"/>
        <v>0</v>
      </c>
      <c r="AL43" s="72">
        <f t="shared" si="9"/>
        <v>0</v>
      </c>
      <c r="AM43" s="73">
        <f t="shared" si="15"/>
        <v>0</v>
      </c>
      <c r="AN43" s="74">
        <f t="shared" si="18"/>
        <v>0</v>
      </c>
      <c r="AO43" s="74">
        <f t="shared" si="18"/>
        <v>0</v>
      </c>
      <c r="AP43" s="75" t="e">
        <f t="shared" si="16"/>
        <v>#DIV/0!</v>
      </c>
      <c r="AQ43" s="76">
        <f t="shared" si="11"/>
        <v>0</v>
      </c>
      <c r="AR43" s="90">
        <f t="shared" si="12"/>
        <v>0</v>
      </c>
    </row>
    <row r="44" spans="1:44" x14ac:dyDescent="0.25">
      <c r="A44" t="str">
        <f t="shared" si="13"/>
        <v>46194M</v>
      </c>
      <c r="B44" s="51">
        <f t="shared" si="17"/>
        <v>46194</v>
      </c>
      <c r="C44" s="52" t="s">
        <v>87</v>
      </c>
      <c r="D44" s="79"/>
      <c r="E44" s="62"/>
      <c r="F44" s="62"/>
      <c r="G44" s="62">
        <f t="shared" si="0"/>
        <v>0</v>
      </c>
      <c r="H44" s="63">
        <f t="shared" si="1"/>
        <v>0</v>
      </c>
      <c r="I44" s="203"/>
      <c r="J44" s="203"/>
      <c r="K44" s="203"/>
      <c r="L44" s="203"/>
      <c r="M44" s="58"/>
      <c r="N44" s="58"/>
      <c r="O44" s="59"/>
      <c r="P44" s="56"/>
      <c r="Q44" s="60"/>
      <c r="R44" s="61">
        <f t="shared" si="14"/>
        <v>0</v>
      </c>
      <c r="S44" s="62">
        <f t="shared" si="2"/>
        <v>0</v>
      </c>
      <c r="T44" s="63">
        <f t="shared" si="3"/>
        <v>0</v>
      </c>
      <c r="U44" s="64"/>
      <c r="V44" s="65"/>
      <c r="W44" s="66"/>
      <c r="X44" s="67"/>
      <c r="Y44" s="68"/>
      <c r="Z44" s="68"/>
      <c r="AA44" s="62">
        <f t="shared" si="4"/>
        <v>0</v>
      </c>
      <c r="AB44" s="63">
        <f t="shared" si="5"/>
        <v>0</v>
      </c>
      <c r="AC44" s="69"/>
      <c r="AD44" s="70"/>
      <c r="AE44" s="70"/>
      <c r="AF44" s="62">
        <f t="shared" si="6"/>
        <v>0</v>
      </c>
      <c r="AG44" s="63">
        <f t="shared" si="7"/>
        <v>0</v>
      </c>
      <c r="AH44" s="89"/>
      <c r="AI44" s="66"/>
      <c r="AJ44" s="66"/>
      <c r="AK44" s="62">
        <f t="shared" si="8"/>
        <v>0</v>
      </c>
      <c r="AL44" s="72">
        <f t="shared" si="9"/>
        <v>0</v>
      </c>
      <c r="AM44" s="73">
        <f t="shared" si="15"/>
        <v>0</v>
      </c>
      <c r="AN44" s="74">
        <f t="shared" si="18"/>
        <v>0</v>
      </c>
      <c r="AO44" s="74">
        <f t="shared" si="18"/>
        <v>0</v>
      </c>
      <c r="AP44" s="75" t="e">
        <f t="shared" si="16"/>
        <v>#DIV/0!</v>
      </c>
      <c r="AQ44" s="76">
        <f t="shared" si="11"/>
        <v>0</v>
      </c>
      <c r="AR44" s="90">
        <f t="shared" si="12"/>
        <v>0</v>
      </c>
    </row>
    <row r="45" spans="1:44" x14ac:dyDescent="0.25">
      <c r="A45" t="str">
        <f t="shared" si="13"/>
        <v>46194E</v>
      </c>
      <c r="B45" s="51">
        <f t="shared" si="17"/>
        <v>46194</v>
      </c>
      <c r="C45" s="52" t="s">
        <v>88</v>
      </c>
      <c r="D45" s="79"/>
      <c r="E45" s="62"/>
      <c r="F45" s="62"/>
      <c r="G45" s="62">
        <f t="shared" si="0"/>
        <v>0</v>
      </c>
      <c r="H45" s="63">
        <f t="shared" si="1"/>
        <v>0</v>
      </c>
      <c r="I45" s="203"/>
      <c r="J45" s="203"/>
      <c r="K45" s="203"/>
      <c r="L45" s="203"/>
      <c r="M45" s="58"/>
      <c r="N45" s="58"/>
      <c r="O45" s="59"/>
      <c r="P45" s="56"/>
      <c r="Q45" s="60"/>
      <c r="R45" s="61">
        <f t="shared" si="14"/>
        <v>0</v>
      </c>
      <c r="S45" s="62">
        <f t="shared" si="2"/>
        <v>0</v>
      </c>
      <c r="T45" s="63">
        <f t="shared" si="3"/>
        <v>0</v>
      </c>
      <c r="U45" s="64"/>
      <c r="V45" s="65"/>
      <c r="W45" s="66"/>
      <c r="X45" s="67"/>
      <c r="Y45" s="68"/>
      <c r="Z45" s="68"/>
      <c r="AA45" s="62">
        <f t="shared" si="4"/>
        <v>0</v>
      </c>
      <c r="AB45" s="63">
        <f t="shared" si="5"/>
        <v>0</v>
      </c>
      <c r="AC45" s="69"/>
      <c r="AD45" s="70"/>
      <c r="AE45" s="70"/>
      <c r="AF45" s="62">
        <f t="shared" si="6"/>
        <v>0</v>
      </c>
      <c r="AG45" s="63">
        <f t="shared" si="7"/>
        <v>0</v>
      </c>
      <c r="AH45" s="89"/>
      <c r="AI45" s="66"/>
      <c r="AJ45" s="66"/>
      <c r="AK45" s="62">
        <f t="shared" si="8"/>
        <v>0</v>
      </c>
      <c r="AL45" s="72">
        <f t="shared" si="9"/>
        <v>0</v>
      </c>
      <c r="AM45" s="73">
        <f t="shared" si="15"/>
        <v>0</v>
      </c>
      <c r="AN45" s="74">
        <f t="shared" si="18"/>
        <v>0</v>
      </c>
      <c r="AO45" s="74">
        <f t="shared" si="18"/>
        <v>0</v>
      </c>
      <c r="AP45" s="75" t="e">
        <f t="shared" si="16"/>
        <v>#DIV/0!</v>
      </c>
      <c r="AQ45" s="76">
        <f t="shared" si="11"/>
        <v>0</v>
      </c>
      <c r="AR45" s="90">
        <f t="shared" si="12"/>
        <v>0</v>
      </c>
    </row>
    <row r="46" spans="1:44" x14ac:dyDescent="0.25">
      <c r="A46" t="str">
        <f t="shared" si="13"/>
        <v>46195M</v>
      </c>
      <c r="B46" s="51">
        <f t="shared" si="17"/>
        <v>46195</v>
      </c>
      <c r="C46" s="52" t="s">
        <v>87</v>
      </c>
      <c r="D46" s="79"/>
      <c r="E46" s="62"/>
      <c r="F46" s="62"/>
      <c r="G46" s="62">
        <f t="shared" si="0"/>
        <v>0</v>
      </c>
      <c r="H46" s="63">
        <f t="shared" si="1"/>
        <v>0</v>
      </c>
      <c r="I46" s="203"/>
      <c r="J46" s="203"/>
      <c r="K46" s="203"/>
      <c r="L46" s="203"/>
      <c r="M46" s="58"/>
      <c r="N46" s="58"/>
      <c r="O46" s="59"/>
      <c r="P46" s="56"/>
      <c r="Q46" s="60"/>
      <c r="R46" s="61">
        <f t="shared" si="14"/>
        <v>0</v>
      </c>
      <c r="S46" s="62">
        <f t="shared" si="2"/>
        <v>0</v>
      </c>
      <c r="T46" s="63">
        <f t="shared" si="3"/>
        <v>0</v>
      </c>
      <c r="U46" s="64"/>
      <c r="V46" s="65"/>
      <c r="W46" s="66"/>
      <c r="X46" s="67"/>
      <c r="Y46" s="68"/>
      <c r="Z46" s="68"/>
      <c r="AA46" s="62">
        <f t="shared" si="4"/>
        <v>0</v>
      </c>
      <c r="AB46" s="63">
        <f t="shared" si="5"/>
        <v>0</v>
      </c>
      <c r="AC46" s="69"/>
      <c r="AD46" s="70"/>
      <c r="AE46" s="70"/>
      <c r="AF46" s="62">
        <f t="shared" si="6"/>
        <v>0</v>
      </c>
      <c r="AG46" s="63">
        <f t="shared" si="7"/>
        <v>0</v>
      </c>
      <c r="AH46" s="89"/>
      <c r="AI46" s="66"/>
      <c r="AJ46" s="66"/>
      <c r="AK46" s="62">
        <f t="shared" si="8"/>
        <v>0</v>
      </c>
      <c r="AL46" s="72">
        <f t="shared" si="9"/>
        <v>0</v>
      </c>
      <c r="AM46" s="73">
        <f t="shared" si="15"/>
        <v>0</v>
      </c>
      <c r="AN46" s="74">
        <f t="shared" si="18"/>
        <v>0</v>
      </c>
      <c r="AO46" s="74">
        <f t="shared" si="18"/>
        <v>0</v>
      </c>
      <c r="AP46" s="75" t="e">
        <f t="shared" si="16"/>
        <v>#DIV/0!</v>
      </c>
      <c r="AQ46" s="76">
        <f t="shared" si="11"/>
        <v>0</v>
      </c>
      <c r="AR46" s="90">
        <f t="shared" si="12"/>
        <v>0</v>
      </c>
    </row>
    <row r="47" spans="1:44" x14ac:dyDescent="0.25">
      <c r="A47" t="str">
        <f t="shared" si="13"/>
        <v>46195E</v>
      </c>
      <c r="B47" s="51">
        <f t="shared" si="17"/>
        <v>46195</v>
      </c>
      <c r="C47" s="52" t="s">
        <v>88</v>
      </c>
      <c r="D47" s="79"/>
      <c r="E47" s="62"/>
      <c r="F47" s="62"/>
      <c r="G47" s="62">
        <f t="shared" si="0"/>
        <v>0</v>
      </c>
      <c r="H47" s="63">
        <f t="shared" si="1"/>
        <v>0</v>
      </c>
      <c r="I47" s="203"/>
      <c r="J47" s="203"/>
      <c r="K47" s="203"/>
      <c r="L47" s="203"/>
      <c r="M47" s="58"/>
      <c r="N47" s="58"/>
      <c r="O47" s="59"/>
      <c r="P47" s="56"/>
      <c r="Q47" s="60"/>
      <c r="R47" s="61">
        <f t="shared" si="14"/>
        <v>0</v>
      </c>
      <c r="S47" s="62">
        <f t="shared" si="2"/>
        <v>0</v>
      </c>
      <c r="T47" s="63">
        <f t="shared" si="3"/>
        <v>0</v>
      </c>
      <c r="U47" s="64"/>
      <c r="V47" s="65"/>
      <c r="W47" s="66"/>
      <c r="X47" s="67"/>
      <c r="Y47" s="68"/>
      <c r="Z47" s="68"/>
      <c r="AA47" s="62">
        <f t="shared" si="4"/>
        <v>0</v>
      </c>
      <c r="AB47" s="63">
        <f t="shared" si="5"/>
        <v>0</v>
      </c>
      <c r="AC47" s="69"/>
      <c r="AD47" s="70"/>
      <c r="AE47" s="70"/>
      <c r="AF47" s="62">
        <f t="shared" si="6"/>
        <v>0</v>
      </c>
      <c r="AG47" s="63">
        <f t="shared" si="7"/>
        <v>0</v>
      </c>
      <c r="AH47" s="89"/>
      <c r="AI47" s="66"/>
      <c r="AJ47" s="66"/>
      <c r="AK47" s="62">
        <f t="shared" si="8"/>
        <v>0</v>
      </c>
      <c r="AL47" s="72">
        <f t="shared" si="9"/>
        <v>0</v>
      </c>
      <c r="AM47" s="73">
        <f t="shared" si="15"/>
        <v>0</v>
      </c>
      <c r="AN47" s="74">
        <f t="shared" si="18"/>
        <v>0</v>
      </c>
      <c r="AO47" s="74">
        <f t="shared" si="18"/>
        <v>0</v>
      </c>
      <c r="AP47" s="75" t="e">
        <f t="shared" si="16"/>
        <v>#DIV/0!</v>
      </c>
      <c r="AQ47" s="76">
        <f t="shared" si="11"/>
        <v>0</v>
      </c>
      <c r="AR47" s="90">
        <f t="shared" si="12"/>
        <v>0</v>
      </c>
    </row>
    <row r="48" spans="1:44" x14ac:dyDescent="0.25">
      <c r="A48" t="str">
        <f t="shared" si="13"/>
        <v>46196M</v>
      </c>
      <c r="B48" s="51">
        <f t="shared" si="17"/>
        <v>46196</v>
      </c>
      <c r="C48" s="52" t="s">
        <v>87</v>
      </c>
      <c r="D48" s="79"/>
      <c r="E48" s="62"/>
      <c r="F48" s="62"/>
      <c r="G48" s="62">
        <f t="shared" si="0"/>
        <v>0</v>
      </c>
      <c r="H48" s="63">
        <f t="shared" si="1"/>
        <v>0</v>
      </c>
      <c r="I48" s="203"/>
      <c r="J48" s="203"/>
      <c r="K48" s="203"/>
      <c r="L48" s="203"/>
      <c r="M48" s="58"/>
      <c r="N48" s="58"/>
      <c r="O48" s="59"/>
      <c r="P48" s="56"/>
      <c r="Q48" s="60"/>
      <c r="R48" s="61">
        <f t="shared" si="14"/>
        <v>0</v>
      </c>
      <c r="S48" s="62">
        <f t="shared" si="2"/>
        <v>0</v>
      </c>
      <c r="T48" s="63">
        <f t="shared" si="3"/>
        <v>0</v>
      </c>
      <c r="U48" s="64"/>
      <c r="V48" s="65"/>
      <c r="W48" s="66"/>
      <c r="X48" s="67"/>
      <c r="Y48" s="68"/>
      <c r="Z48" s="68"/>
      <c r="AA48" s="62">
        <f t="shared" si="4"/>
        <v>0</v>
      </c>
      <c r="AB48" s="63">
        <f t="shared" si="5"/>
        <v>0</v>
      </c>
      <c r="AC48" s="69"/>
      <c r="AD48" s="70"/>
      <c r="AE48" s="70"/>
      <c r="AF48" s="62">
        <f t="shared" si="6"/>
        <v>0</v>
      </c>
      <c r="AG48" s="63">
        <f t="shared" si="7"/>
        <v>0</v>
      </c>
      <c r="AH48" s="89"/>
      <c r="AI48" s="66"/>
      <c r="AJ48" s="66"/>
      <c r="AK48" s="62">
        <f t="shared" si="8"/>
        <v>0</v>
      </c>
      <c r="AL48" s="72">
        <f t="shared" si="9"/>
        <v>0</v>
      </c>
      <c r="AM48" s="73">
        <f t="shared" si="15"/>
        <v>0</v>
      </c>
      <c r="AN48" s="74">
        <f t="shared" si="18"/>
        <v>0</v>
      </c>
      <c r="AO48" s="74">
        <f t="shared" si="18"/>
        <v>0</v>
      </c>
      <c r="AP48" s="75" t="e">
        <f t="shared" si="16"/>
        <v>#DIV/0!</v>
      </c>
      <c r="AQ48" s="76">
        <f t="shared" si="11"/>
        <v>0</v>
      </c>
      <c r="AR48" s="90">
        <f t="shared" si="12"/>
        <v>0</v>
      </c>
    </row>
    <row r="49" spans="1:44" x14ac:dyDescent="0.25">
      <c r="A49" t="str">
        <f t="shared" si="13"/>
        <v>46196E</v>
      </c>
      <c r="B49" s="51">
        <f t="shared" si="17"/>
        <v>46196</v>
      </c>
      <c r="C49" s="52" t="s">
        <v>88</v>
      </c>
      <c r="D49" s="79"/>
      <c r="E49" s="62"/>
      <c r="F49" s="62"/>
      <c r="G49" s="62">
        <f t="shared" si="0"/>
        <v>0</v>
      </c>
      <c r="H49" s="63">
        <f t="shared" si="1"/>
        <v>0</v>
      </c>
      <c r="I49" s="203"/>
      <c r="J49" s="203"/>
      <c r="K49" s="203"/>
      <c r="L49" s="203"/>
      <c r="M49" s="58"/>
      <c r="N49" s="58"/>
      <c r="O49" s="59"/>
      <c r="P49" s="56"/>
      <c r="Q49" s="60"/>
      <c r="R49" s="61">
        <f t="shared" si="14"/>
        <v>0</v>
      </c>
      <c r="S49" s="62">
        <f t="shared" si="2"/>
        <v>0</v>
      </c>
      <c r="T49" s="63">
        <f t="shared" si="3"/>
        <v>0</v>
      </c>
      <c r="U49" s="64"/>
      <c r="V49" s="65"/>
      <c r="W49" s="66"/>
      <c r="X49" s="67"/>
      <c r="Y49" s="68"/>
      <c r="Z49" s="68"/>
      <c r="AA49" s="62">
        <f t="shared" si="4"/>
        <v>0</v>
      </c>
      <c r="AB49" s="63">
        <f t="shared" si="5"/>
        <v>0</v>
      </c>
      <c r="AC49" s="69"/>
      <c r="AD49" s="70"/>
      <c r="AE49" s="70"/>
      <c r="AF49" s="62">
        <f t="shared" si="6"/>
        <v>0</v>
      </c>
      <c r="AG49" s="63">
        <f t="shared" si="7"/>
        <v>0</v>
      </c>
      <c r="AH49" s="89"/>
      <c r="AI49" s="66"/>
      <c r="AJ49" s="66"/>
      <c r="AK49" s="62">
        <f t="shared" si="8"/>
        <v>0</v>
      </c>
      <c r="AL49" s="72">
        <f t="shared" si="9"/>
        <v>0</v>
      </c>
      <c r="AM49" s="73">
        <f t="shared" si="15"/>
        <v>0</v>
      </c>
      <c r="AN49" s="74">
        <f t="shared" si="18"/>
        <v>0</v>
      </c>
      <c r="AO49" s="74">
        <f t="shared" si="18"/>
        <v>0</v>
      </c>
      <c r="AP49" s="75" t="e">
        <f t="shared" si="16"/>
        <v>#DIV/0!</v>
      </c>
      <c r="AQ49" s="76">
        <f t="shared" si="11"/>
        <v>0</v>
      </c>
      <c r="AR49" s="90">
        <f t="shared" si="12"/>
        <v>0</v>
      </c>
    </row>
    <row r="50" spans="1:44" x14ac:dyDescent="0.25">
      <c r="A50" t="str">
        <f t="shared" si="13"/>
        <v>46197M</v>
      </c>
      <c r="B50" s="51">
        <f t="shared" si="17"/>
        <v>46197</v>
      </c>
      <c r="C50" s="52" t="s">
        <v>87</v>
      </c>
      <c r="D50" s="79"/>
      <c r="E50" s="62"/>
      <c r="F50" s="62"/>
      <c r="G50" s="62">
        <f t="shared" si="0"/>
        <v>0</v>
      </c>
      <c r="H50" s="63">
        <f t="shared" si="1"/>
        <v>0</v>
      </c>
      <c r="I50" s="203"/>
      <c r="J50" s="203"/>
      <c r="K50" s="203"/>
      <c r="L50" s="203"/>
      <c r="M50" s="58"/>
      <c r="N50" s="58"/>
      <c r="O50" s="59"/>
      <c r="P50" s="56"/>
      <c r="Q50" s="60"/>
      <c r="R50" s="61">
        <f t="shared" si="14"/>
        <v>0</v>
      </c>
      <c r="S50" s="62">
        <f t="shared" si="2"/>
        <v>0</v>
      </c>
      <c r="T50" s="63">
        <f t="shared" si="3"/>
        <v>0</v>
      </c>
      <c r="U50" s="64"/>
      <c r="V50" s="65"/>
      <c r="W50" s="66"/>
      <c r="X50" s="67"/>
      <c r="Y50" s="68"/>
      <c r="Z50" s="68"/>
      <c r="AA50" s="62">
        <f t="shared" si="4"/>
        <v>0</v>
      </c>
      <c r="AB50" s="63">
        <f t="shared" si="5"/>
        <v>0</v>
      </c>
      <c r="AC50" s="69"/>
      <c r="AD50" s="70"/>
      <c r="AE50" s="70"/>
      <c r="AF50" s="62">
        <f t="shared" si="6"/>
        <v>0</v>
      </c>
      <c r="AG50" s="63">
        <f t="shared" si="7"/>
        <v>0</v>
      </c>
      <c r="AH50" s="89"/>
      <c r="AI50" s="66"/>
      <c r="AJ50" s="66"/>
      <c r="AK50" s="62">
        <f t="shared" si="8"/>
        <v>0</v>
      </c>
      <c r="AL50" s="72">
        <f t="shared" si="9"/>
        <v>0</v>
      </c>
      <c r="AM50" s="73">
        <f t="shared" si="15"/>
        <v>0</v>
      </c>
      <c r="AN50" s="74">
        <f t="shared" si="18"/>
        <v>0</v>
      </c>
      <c r="AO50" s="74">
        <f t="shared" si="18"/>
        <v>0</v>
      </c>
      <c r="AP50" s="75" t="e">
        <f t="shared" si="16"/>
        <v>#DIV/0!</v>
      </c>
      <c r="AQ50" s="76">
        <f t="shared" si="11"/>
        <v>0</v>
      </c>
      <c r="AR50" s="90">
        <f t="shared" si="12"/>
        <v>0</v>
      </c>
    </row>
    <row r="51" spans="1:44" x14ac:dyDescent="0.25">
      <c r="A51" t="str">
        <f t="shared" si="13"/>
        <v>46197E</v>
      </c>
      <c r="B51" s="51">
        <f t="shared" si="17"/>
        <v>46197</v>
      </c>
      <c r="C51" s="52" t="s">
        <v>88</v>
      </c>
      <c r="D51" s="79"/>
      <c r="E51" s="62"/>
      <c r="F51" s="62"/>
      <c r="G51" s="62">
        <f t="shared" si="0"/>
        <v>0</v>
      </c>
      <c r="H51" s="63">
        <f t="shared" si="1"/>
        <v>0</v>
      </c>
      <c r="I51" s="203"/>
      <c r="J51" s="203"/>
      <c r="K51" s="203"/>
      <c r="L51" s="203"/>
      <c r="M51" s="58"/>
      <c r="N51" s="58"/>
      <c r="O51" s="59"/>
      <c r="P51" s="56"/>
      <c r="Q51" s="60"/>
      <c r="R51" s="61">
        <f t="shared" si="14"/>
        <v>0</v>
      </c>
      <c r="S51" s="62">
        <f t="shared" si="2"/>
        <v>0</v>
      </c>
      <c r="T51" s="63">
        <f t="shared" si="3"/>
        <v>0</v>
      </c>
      <c r="U51" s="64"/>
      <c r="V51" s="85"/>
      <c r="W51" s="66"/>
      <c r="X51" s="67"/>
      <c r="Y51" s="68"/>
      <c r="Z51" s="68"/>
      <c r="AA51" s="62">
        <f t="shared" si="4"/>
        <v>0</v>
      </c>
      <c r="AB51" s="63">
        <f t="shared" si="5"/>
        <v>0</v>
      </c>
      <c r="AC51" s="69"/>
      <c r="AD51" s="70"/>
      <c r="AE51" s="70"/>
      <c r="AF51" s="62">
        <f t="shared" si="6"/>
        <v>0</v>
      </c>
      <c r="AG51" s="63">
        <f t="shared" si="7"/>
        <v>0</v>
      </c>
      <c r="AH51" s="89"/>
      <c r="AI51" s="66"/>
      <c r="AJ51" s="66"/>
      <c r="AK51" s="62">
        <f t="shared" si="8"/>
        <v>0</v>
      </c>
      <c r="AL51" s="72">
        <f t="shared" si="9"/>
        <v>0</v>
      </c>
      <c r="AM51" s="73">
        <f t="shared" si="15"/>
        <v>0</v>
      </c>
      <c r="AN51" s="74">
        <f t="shared" si="18"/>
        <v>0</v>
      </c>
      <c r="AO51" s="74">
        <f t="shared" si="18"/>
        <v>0</v>
      </c>
      <c r="AP51" s="75" t="e">
        <f t="shared" si="16"/>
        <v>#DIV/0!</v>
      </c>
      <c r="AQ51" s="76">
        <f t="shared" si="11"/>
        <v>0</v>
      </c>
      <c r="AR51" s="90">
        <f t="shared" si="12"/>
        <v>0</v>
      </c>
    </row>
    <row r="52" spans="1:44" x14ac:dyDescent="0.25">
      <c r="A52" t="str">
        <f t="shared" si="13"/>
        <v>46198M</v>
      </c>
      <c r="B52" s="51">
        <f t="shared" si="17"/>
        <v>46198</v>
      </c>
      <c r="C52" s="52" t="s">
        <v>87</v>
      </c>
      <c r="D52" s="79"/>
      <c r="E52" s="62"/>
      <c r="F52" s="62"/>
      <c r="G52" s="62">
        <f t="shared" si="0"/>
        <v>0</v>
      </c>
      <c r="H52" s="63">
        <f t="shared" si="1"/>
        <v>0</v>
      </c>
      <c r="I52" s="203"/>
      <c r="J52" s="203"/>
      <c r="K52" s="203"/>
      <c r="L52" s="203"/>
      <c r="M52" s="58"/>
      <c r="N52" s="58"/>
      <c r="O52" s="59"/>
      <c r="P52" s="56"/>
      <c r="Q52" s="60"/>
      <c r="R52" s="61">
        <f t="shared" si="14"/>
        <v>0</v>
      </c>
      <c r="S52" s="62">
        <f t="shared" si="2"/>
        <v>0</v>
      </c>
      <c r="T52" s="63">
        <f t="shared" si="3"/>
        <v>0</v>
      </c>
      <c r="U52" s="64"/>
      <c r="V52" s="85"/>
      <c r="W52" s="66"/>
      <c r="X52" s="67"/>
      <c r="Y52" s="68"/>
      <c r="Z52" s="68"/>
      <c r="AA52" s="62">
        <f t="shared" si="4"/>
        <v>0</v>
      </c>
      <c r="AB52" s="63">
        <f t="shared" si="5"/>
        <v>0</v>
      </c>
      <c r="AC52" s="69"/>
      <c r="AD52" s="70"/>
      <c r="AE52" s="70"/>
      <c r="AF52" s="62">
        <f t="shared" si="6"/>
        <v>0</v>
      </c>
      <c r="AG52" s="63">
        <f t="shared" si="7"/>
        <v>0</v>
      </c>
      <c r="AH52" s="89"/>
      <c r="AI52" s="66"/>
      <c r="AJ52" s="66"/>
      <c r="AK52" s="62">
        <f t="shared" si="8"/>
        <v>0</v>
      </c>
      <c r="AL52" s="72">
        <f t="shared" si="9"/>
        <v>0</v>
      </c>
      <c r="AM52" s="73">
        <f t="shared" si="15"/>
        <v>0</v>
      </c>
      <c r="AN52" s="74">
        <f t="shared" si="18"/>
        <v>0</v>
      </c>
      <c r="AO52" s="74">
        <f t="shared" si="18"/>
        <v>0</v>
      </c>
      <c r="AP52" s="75" t="e">
        <f t="shared" si="16"/>
        <v>#DIV/0!</v>
      </c>
      <c r="AQ52" s="76">
        <f t="shared" si="11"/>
        <v>0</v>
      </c>
      <c r="AR52" s="90">
        <f t="shared" si="12"/>
        <v>0</v>
      </c>
    </row>
    <row r="53" spans="1:44" x14ac:dyDescent="0.25">
      <c r="A53" t="str">
        <f t="shared" si="13"/>
        <v>46198E</v>
      </c>
      <c r="B53" s="51">
        <f t="shared" si="17"/>
        <v>46198</v>
      </c>
      <c r="C53" s="52" t="s">
        <v>88</v>
      </c>
      <c r="D53" s="79"/>
      <c r="E53" s="62"/>
      <c r="F53" s="62"/>
      <c r="G53" s="62">
        <f t="shared" si="0"/>
        <v>0</v>
      </c>
      <c r="H53" s="63">
        <f t="shared" si="1"/>
        <v>0</v>
      </c>
      <c r="I53" s="203"/>
      <c r="J53" s="203"/>
      <c r="K53" s="203"/>
      <c r="L53" s="203"/>
      <c r="M53" s="58"/>
      <c r="N53" s="58"/>
      <c r="O53" s="59"/>
      <c r="P53" s="56"/>
      <c r="Q53" s="60"/>
      <c r="R53" s="61">
        <f t="shared" si="14"/>
        <v>0</v>
      </c>
      <c r="S53" s="62">
        <f t="shared" si="2"/>
        <v>0</v>
      </c>
      <c r="T53" s="63">
        <f t="shared" si="3"/>
        <v>0</v>
      </c>
      <c r="U53" s="64"/>
      <c r="V53" s="65"/>
      <c r="W53" s="66"/>
      <c r="X53" s="67"/>
      <c r="Y53" s="68"/>
      <c r="Z53" s="68"/>
      <c r="AA53" s="62">
        <f t="shared" si="4"/>
        <v>0</v>
      </c>
      <c r="AB53" s="63">
        <f t="shared" si="5"/>
        <v>0</v>
      </c>
      <c r="AC53" s="69"/>
      <c r="AD53" s="70"/>
      <c r="AE53" s="70"/>
      <c r="AF53" s="62">
        <f t="shared" si="6"/>
        <v>0</v>
      </c>
      <c r="AG53" s="63">
        <f t="shared" si="7"/>
        <v>0</v>
      </c>
      <c r="AH53" s="89"/>
      <c r="AI53" s="66"/>
      <c r="AJ53" s="66"/>
      <c r="AK53" s="62">
        <f t="shared" si="8"/>
        <v>0</v>
      </c>
      <c r="AL53" s="72">
        <f t="shared" si="9"/>
        <v>0</v>
      </c>
      <c r="AM53" s="73">
        <f t="shared" si="15"/>
        <v>0</v>
      </c>
      <c r="AN53" s="74">
        <f t="shared" si="18"/>
        <v>0</v>
      </c>
      <c r="AO53" s="74">
        <f t="shared" si="18"/>
        <v>0</v>
      </c>
      <c r="AP53" s="75" t="e">
        <f t="shared" si="16"/>
        <v>#DIV/0!</v>
      </c>
      <c r="AQ53" s="76">
        <f t="shared" si="11"/>
        <v>0</v>
      </c>
      <c r="AR53" s="90">
        <f t="shared" si="12"/>
        <v>0</v>
      </c>
    </row>
    <row r="54" spans="1:44" x14ac:dyDescent="0.25">
      <c r="A54" t="str">
        <f t="shared" si="13"/>
        <v>46199M</v>
      </c>
      <c r="B54" s="51">
        <f t="shared" si="17"/>
        <v>46199</v>
      </c>
      <c r="C54" s="52" t="s">
        <v>87</v>
      </c>
      <c r="D54" s="79"/>
      <c r="E54" s="62"/>
      <c r="F54" s="62"/>
      <c r="G54" s="62">
        <f t="shared" si="0"/>
        <v>0</v>
      </c>
      <c r="H54" s="63">
        <f t="shared" si="1"/>
        <v>0</v>
      </c>
      <c r="I54" s="203"/>
      <c r="J54" s="203"/>
      <c r="K54" s="203"/>
      <c r="L54" s="203"/>
      <c r="M54" s="58"/>
      <c r="N54" s="58"/>
      <c r="O54" s="59"/>
      <c r="P54" s="56"/>
      <c r="Q54" s="60"/>
      <c r="R54" s="61">
        <f t="shared" si="14"/>
        <v>0</v>
      </c>
      <c r="S54" s="62">
        <f t="shared" si="2"/>
        <v>0</v>
      </c>
      <c r="T54" s="63">
        <f t="shared" si="3"/>
        <v>0</v>
      </c>
      <c r="U54" s="64"/>
      <c r="V54" s="65"/>
      <c r="W54" s="66"/>
      <c r="X54" s="67"/>
      <c r="Y54" s="68"/>
      <c r="Z54" s="68"/>
      <c r="AA54" s="62">
        <f t="shared" si="4"/>
        <v>0</v>
      </c>
      <c r="AB54" s="63">
        <f t="shared" si="5"/>
        <v>0</v>
      </c>
      <c r="AC54" s="69"/>
      <c r="AD54" s="70"/>
      <c r="AE54" s="70"/>
      <c r="AF54" s="62">
        <f t="shared" si="6"/>
        <v>0</v>
      </c>
      <c r="AG54" s="63">
        <f t="shared" si="7"/>
        <v>0</v>
      </c>
      <c r="AH54" s="89"/>
      <c r="AI54" s="66"/>
      <c r="AJ54" s="66"/>
      <c r="AK54" s="62">
        <f t="shared" si="8"/>
        <v>0</v>
      </c>
      <c r="AL54" s="72">
        <f t="shared" si="9"/>
        <v>0</v>
      </c>
      <c r="AM54" s="73">
        <f t="shared" si="15"/>
        <v>0</v>
      </c>
      <c r="AN54" s="74">
        <f t="shared" si="18"/>
        <v>0</v>
      </c>
      <c r="AO54" s="74">
        <f t="shared" si="18"/>
        <v>0</v>
      </c>
      <c r="AP54" s="75" t="e">
        <f t="shared" si="16"/>
        <v>#DIV/0!</v>
      </c>
      <c r="AQ54" s="76">
        <f t="shared" si="11"/>
        <v>0</v>
      </c>
      <c r="AR54" s="90">
        <f t="shared" si="12"/>
        <v>0</v>
      </c>
    </row>
    <row r="55" spans="1:44" x14ac:dyDescent="0.25">
      <c r="A55" t="str">
        <f t="shared" si="13"/>
        <v>46199E</v>
      </c>
      <c r="B55" s="51">
        <f t="shared" si="17"/>
        <v>46199</v>
      </c>
      <c r="C55" s="52" t="s">
        <v>88</v>
      </c>
      <c r="D55" s="79"/>
      <c r="E55" s="62"/>
      <c r="F55" s="62"/>
      <c r="G55" s="62">
        <f t="shared" si="0"/>
        <v>0</v>
      </c>
      <c r="H55" s="63">
        <f t="shared" si="1"/>
        <v>0</v>
      </c>
      <c r="I55" s="203"/>
      <c r="J55" s="203"/>
      <c r="K55" s="203"/>
      <c r="L55" s="203"/>
      <c r="M55" s="58"/>
      <c r="N55" s="58"/>
      <c r="O55" s="59"/>
      <c r="P55" s="56"/>
      <c r="Q55" s="60"/>
      <c r="R55" s="61">
        <f t="shared" si="14"/>
        <v>0</v>
      </c>
      <c r="S55" s="62">
        <f t="shared" si="2"/>
        <v>0</v>
      </c>
      <c r="T55" s="63">
        <f t="shared" si="3"/>
        <v>0</v>
      </c>
      <c r="U55" s="64"/>
      <c r="V55" s="65"/>
      <c r="W55" s="66"/>
      <c r="X55" s="67"/>
      <c r="Y55" s="68"/>
      <c r="Z55" s="68"/>
      <c r="AA55" s="62">
        <f t="shared" si="4"/>
        <v>0</v>
      </c>
      <c r="AB55" s="63">
        <f t="shared" si="5"/>
        <v>0</v>
      </c>
      <c r="AC55" s="69"/>
      <c r="AD55" s="70"/>
      <c r="AE55" s="70"/>
      <c r="AF55" s="62">
        <f t="shared" si="6"/>
        <v>0</v>
      </c>
      <c r="AG55" s="63">
        <f t="shared" si="7"/>
        <v>0</v>
      </c>
      <c r="AH55" s="89"/>
      <c r="AI55" s="66"/>
      <c r="AJ55" s="66"/>
      <c r="AK55" s="62">
        <f t="shared" si="8"/>
        <v>0</v>
      </c>
      <c r="AL55" s="72">
        <f t="shared" si="9"/>
        <v>0</v>
      </c>
      <c r="AM55" s="73">
        <f t="shared" si="15"/>
        <v>0</v>
      </c>
      <c r="AN55" s="74">
        <f t="shared" si="18"/>
        <v>0</v>
      </c>
      <c r="AO55" s="74">
        <f t="shared" si="18"/>
        <v>0</v>
      </c>
      <c r="AP55" s="75" t="e">
        <f t="shared" si="16"/>
        <v>#DIV/0!</v>
      </c>
      <c r="AQ55" s="76">
        <f t="shared" si="11"/>
        <v>0</v>
      </c>
      <c r="AR55" s="90">
        <f t="shared" si="12"/>
        <v>0</v>
      </c>
    </row>
    <row r="56" spans="1:44" x14ac:dyDescent="0.25">
      <c r="A56" t="str">
        <f t="shared" si="13"/>
        <v>46200M</v>
      </c>
      <c r="B56" s="51">
        <f t="shared" si="17"/>
        <v>46200</v>
      </c>
      <c r="C56" s="52" t="s">
        <v>87</v>
      </c>
      <c r="D56" s="79"/>
      <c r="E56" s="62"/>
      <c r="F56" s="62"/>
      <c r="G56" s="62">
        <f t="shared" si="0"/>
        <v>0</v>
      </c>
      <c r="H56" s="63">
        <f t="shared" si="1"/>
        <v>0</v>
      </c>
      <c r="I56" s="203"/>
      <c r="J56" s="203"/>
      <c r="K56" s="203"/>
      <c r="L56" s="203"/>
      <c r="M56" s="58"/>
      <c r="N56" s="58"/>
      <c r="O56" s="59"/>
      <c r="P56" s="56"/>
      <c r="Q56" s="60"/>
      <c r="R56" s="61">
        <f t="shared" si="14"/>
        <v>0</v>
      </c>
      <c r="S56" s="62">
        <f t="shared" si="2"/>
        <v>0</v>
      </c>
      <c r="T56" s="63">
        <f t="shared" si="3"/>
        <v>0</v>
      </c>
      <c r="U56" s="64"/>
      <c r="V56" s="65"/>
      <c r="W56" s="66"/>
      <c r="X56" s="67"/>
      <c r="Y56" s="68"/>
      <c r="Z56" s="68"/>
      <c r="AA56" s="62">
        <f t="shared" si="4"/>
        <v>0</v>
      </c>
      <c r="AB56" s="63">
        <f t="shared" si="5"/>
        <v>0</v>
      </c>
      <c r="AC56" s="69"/>
      <c r="AD56" s="70"/>
      <c r="AE56" s="70"/>
      <c r="AF56" s="62">
        <f t="shared" si="6"/>
        <v>0</v>
      </c>
      <c r="AG56" s="63">
        <f t="shared" si="7"/>
        <v>0</v>
      </c>
      <c r="AH56" s="89"/>
      <c r="AI56" s="66"/>
      <c r="AJ56" s="66"/>
      <c r="AK56" s="62">
        <f t="shared" si="8"/>
        <v>0</v>
      </c>
      <c r="AL56" s="72">
        <f t="shared" si="9"/>
        <v>0</v>
      </c>
      <c r="AM56" s="73">
        <f t="shared" si="15"/>
        <v>0</v>
      </c>
      <c r="AN56" s="74">
        <f t="shared" si="18"/>
        <v>0</v>
      </c>
      <c r="AO56" s="74">
        <f t="shared" si="18"/>
        <v>0</v>
      </c>
      <c r="AP56" s="75" t="e">
        <f t="shared" si="16"/>
        <v>#DIV/0!</v>
      </c>
      <c r="AQ56" s="76">
        <f t="shared" si="11"/>
        <v>0</v>
      </c>
      <c r="AR56" s="90">
        <f t="shared" si="12"/>
        <v>0</v>
      </c>
    </row>
    <row r="57" spans="1:44" x14ac:dyDescent="0.25">
      <c r="A57" t="str">
        <f t="shared" si="13"/>
        <v>46200E</v>
      </c>
      <c r="B57" s="51">
        <f t="shared" si="17"/>
        <v>46200</v>
      </c>
      <c r="C57" s="52" t="s">
        <v>88</v>
      </c>
      <c r="D57" s="79"/>
      <c r="E57" s="62"/>
      <c r="F57" s="62"/>
      <c r="G57" s="62">
        <f t="shared" si="0"/>
        <v>0</v>
      </c>
      <c r="H57" s="63">
        <f t="shared" si="1"/>
        <v>0</v>
      </c>
      <c r="I57" s="203"/>
      <c r="J57" s="203"/>
      <c r="K57" s="203"/>
      <c r="L57" s="203"/>
      <c r="M57" s="58"/>
      <c r="N57" s="58"/>
      <c r="O57" s="59"/>
      <c r="P57" s="56"/>
      <c r="Q57" s="60"/>
      <c r="R57" s="61">
        <f t="shared" si="14"/>
        <v>0</v>
      </c>
      <c r="S57" s="62">
        <f t="shared" si="2"/>
        <v>0</v>
      </c>
      <c r="T57" s="63">
        <f t="shared" si="3"/>
        <v>0</v>
      </c>
      <c r="U57" s="64"/>
      <c r="V57" s="65"/>
      <c r="W57" s="66"/>
      <c r="X57" s="67"/>
      <c r="Y57" s="68"/>
      <c r="Z57" s="68"/>
      <c r="AA57" s="62">
        <f t="shared" si="4"/>
        <v>0</v>
      </c>
      <c r="AB57" s="63">
        <f t="shared" si="5"/>
        <v>0</v>
      </c>
      <c r="AC57" s="69"/>
      <c r="AD57" s="70"/>
      <c r="AE57" s="70"/>
      <c r="AF57" s="62">
        <f t="shared" si="6"/>
        <v>0</v>
      </c>
      <c r="AG57" s="63">
        <f t="shared" si="7"/>
        <v>0</v>
      </c>
      <c r="AH57" s="89"/>
      <c r="AI57" s="66"/>
      <c r="AJ57" s="66"/>
      <c r="AK57" s="62">
        <f t="shared" si="8"/>
        <v>0</v>
      </c>
      <c r="AL57" s="72">
        <f t="shared" si="9"/>
        <v>0</v>
      </c>
      <c r="AM57" s="73">
        <f t="shared" si="15"/>
        <v>0</v>
      </c>
      <c r="AN57" s="74">
        <f t="shared" si="18"/>
        <v>0</v>
      </c>
      <c r="AO57" s="74">
        <f t="shared" si="18"/>
        <v>0</v>
      </c>
      <c r="AP57" s="75" t="e">
        <f t="shared" si="16"/>
        <v>#DIV/0!</v>
      </c>
      <c r="AQ57" s="76">
        <f t="shared" si="11"/>
        <v>0</v>
      </c>
      <c r="AR57" s="90">
        <f t="shared" si="12"/>
        <v>0</v>
      </c>
    </row>
    <row r="58" spans="1:44" x14ac:dyDescent="0.25">
      <c r="A58" t="str">
        <f t="shared" si="13"/>
        <v>46201M</v>
      </c>
      <c r="B58" s="51">
        <f t="shared" si="17"/>
        <v>46201</v>
      </c>
      <c r="C58" s="52" t="s">
        <v>87</v>
      </c>
      <c r="D58" s="79"/>
      <c r="E58" s="62"/>
      <c r="F58" s="62"/>
      <c r="G58" s="62">
        <f t="shared" si="0"/>
        <v>0</v>
      </c>
      <c r="H58" s="63">
        <f t="shared" si="1"/>
        <v>0</v>
      </c>
      <c r="I58" s="203"/>
      <c r="J58" s="203"/>
      <c r="K58" s="203"/>
      <c r="L58" s="203"/>
      <c r="M58" s="58"/>
      <c r="N58" s="58"/>
      <c r="O58" s="59"/>
      <c r="P58" s="56"/>
      <c r="Q58" s="60"/>
      <c r="R58" s="61">
        <f t="shared" si="14"/>
        <v>0</v>
      </c>
      <c r="S58" s="62">
        <f t="shared" si="2"/>
        <v>0</v>
      </c>
      <c r="T58" s="63">
        <f t="shared" si="3"/>
        <v>0</v>
      </c>
      <c r="U58" s="64"/>
      <c r="V58" s="65"/>
      <c r="W58" s="66"/>
      <c r="X58" s="67"/>
      <c r="Y58" s="68"/>
      <c r="Z58" s="68"/>
      <c r="AA58" s="62">
        <f t="shared" si="4"/>
        <v>0</v>
      </c>
      <c r="AB58" s="63">
        <f t="shared" si="5"/>
        <v>0</v>
      </c>
      <c r="AC58" s="69"/>
      <c r="AD58" s="70"/>
      <c r="AE58" s="70"/>
      <c r="AF58" s="62">
        <f t="shared" si="6"/>
        <v>0</v>
      </c>
      <c r="AG58" s="63">
        <f t="shared" si="7"/>
        <v>0</v>
      </c>
      <c r="AH58" s="89"/>
      <c r="AI58" s="66"/>
      <c r="AJ58" s="66"/>
      <c r="AK58" s="62">
        <f t="shared" si="8"/>
        <v>0</v>
      </c>
      <c r="AL58" s="72">
        <f t="shared" si="9"/>
        <v>0</v>
      </c>
      <c r="AM58" s="73">
        <f t="shared" si="15"/>
        <v>0</v>
      </c>
      <c r="AN58" s="74">
        <f t="shared" si="18"/>
        <v>0</v>
      </c>
      <c r="AO58" s="74">
        <f t="shared" si="18"/>
        <v>0</v>
      </c>
      <c r="AP58" s="75" t="e">
        <f t="shared" si="16"/>
        <v>#DIV/0!</v>
      </c>
      <c r="AQ58" s="76">
        <f t="shared" si="11"/>
        <v>0</v>
      </c>
      <c r="AR58" s="77">
        <f t="shared" si="12"/>
        <v>0</v>
      </c>
    </row>
    <row r="59" spans="1:44" x14ac:dyDescent="0.25">
      <c r="A59" t="str">
        <f t="shared" si="13"/>
        <v>46201E</v>
      </c>
      <c r="B59" s="51">
        <f t="shared" si="17"/>
        <v>46201</v>
      </c>
      <c r="C59" s="52" t="s">
        <v>88</v>
      </c>
      <c r="D59" s="79"/>
      <c r="E59" s="62"/>
      <c r="F59" s="62"/>
      <c r="G59" s="62">
        <f t="shared" si="0"/>
        <v>0</v>
      </c>
      <c r="H59" s="63">
        <f t="shared" si="1"/>
        <v>0</v>
      </c>
      <c r="I59" s="203"/>
      <c r="J59" s="203"/>
      <c r="K59" s="203"/>
      <c r="L59" s="203"/>
      <c r="M59" s="58"/>
      <c r="N59" s="58"/>
      <c r="O59" s="59"/>
      <c r="P59" s="56"/>
      <c r="Q59" s="60"/>
      <c r="R59" s="61">
        <f t="shared" si="14"/>
        <v>0</v>
      </c>
      <c r="S59" s="62">
        <f t="shared" si="2"/>
        <v>0</v>
      </c>
      <c r="T59" s="63">
        <f t="shared" si="3"/>
        <v>0</v>
      </c>
      <c r="U59" s="64"/>
      <c r="V59" s="65"/>
      <c r="W59" s="66"/>
      <c r="X59" s="67"/>
      <c r="Y59" s="68"/>
      <c r="Z59" s="68"/>
      <c r="AA59" s="62">
        <f t="shared" si="4"/>
        <v>0</v>
      </c>
      <c r="AB59" s="63">
        <f t="shared" si="5"/>
        <v>0</v>
      </c>
      <c r="AC59" s="69"/>
      <c r="AD59" s="70"/>
      <c r="AE59" s="70"/>
      <c r="AF59" s="62">
        <f t="shared" si="6"/>
        <v>0</v>
      </c>
      <c r="AG59" s="63">
        <f t="shared" si="7"/>
        <v>0</v>
      </c>
      <c r="AH59" s="89"/>
      <c r="AI59" s="66"/>
      <c r="AJ59" s="66"/>
      <c r="AK59" s="62">
        <f t="shared" si="8"/>
        <v>0</v>
      </c>
      <c r="AL59" s="72">
        <f t="shared" si="9"/>
        <v>0</v>
      </c>
      <c r="AM59" s="73">
        <f t="shared" si="15"/>
        <v>0</v>
      </c>
      <c r="AN59" s="74">
        <f t="shared" si="18"/>
        <v>0</v>
      </c>
      <c r="AO59" s="74">
        <f t="shared" si="18"/>
        <v>0</v>
      </c>
      <c r="AP59" s="75" t="e">
        <f t="shared" si="16"/>
        <v>#DIV/0!</v>
      </c>
      <c r="AQ59" s="76">
        <f t="shared" si="11"/>
        <v>0</v>
      </c>
      <c r="AR59" s="77">
        <f t="shared" si="12"/>
        <v>0</v>
      </c>
    </row>
    <row r="60" spans="1:44" x14ac:dyDescent="0.25">
      <c r="A60" t="str">
        <f t="shared" si="13"/>
        <v>46202M</v>
      </c>
      <c r="B60" s="51">
        <f t="shared" si="17"/>
        <v>46202</v>
      </c>
      <c r="C60" s="52" t="s">
        <v>87</v>
      </c>
      <c r="D60" s="79"/>
      <c r="E60" s="62"/>
      <c r="F60" s="62"/>
      <c r="G60" s="62">
        <f t="shared" si="0"/>
        <v>0</v>
      </c>
      <c r="H60" s="63">
        <f t="shared" si="1"/>
        <v>0</v>
      </c>
      <c r="I60" s="203"/>
      <c r="J60" s="203"/>
      <c r="K60" s="203"/>
      <c r="L60" s="203"/>
      <c r="M60" s="58"/>
      <c r="N60" s="58"/>
      <c r="O60" s="59"/>
      <c r="P60" s="56"/>
      <c r="Q60" s="60"/>
      <c r="R60" s="61">
        <f t="shared" si="14"/>
        <v>0</v>
      </c>
      <c r="S60" s="62">
        <f t="shared" si="2"/>
        <v>0</v>
      </c>
      <c r="T60" s="63">
        <f t="shared" si="3"/>
        <v>0</v>
      </c>
      <c r="U60" s="64"/>
      <c r="V60" s="65"/>
      <c r="W60" s="66"/>
      <c r="X60" s="67"/>
      <c r="Y60" s="68"/>
      <c r="Z60" s="68"/>
      <c r="AA60" s="62">
        <f t="shared" si="4"/>
        <v>0</v>
      </c>
      <c r="AB60" s="63">
        <f t="shared" si="5"/>
        <v>0</v>
      </c>
      <c r="AC60" s="69"/>
      <c r="AD60" s="70"/>
      <c r="AE60" s="70"/>
      <c r="AF60" s="62">
        <f t="shared" si="6"/>
        <v>0</v>
      </c>
      <c r="AG60" s="63">
        <f t="shared" si="7"/>
        <v>0</v>
      </c>
      <c r="AH60" s="89"/>
      <c r="AI60" s="66"/>
      <c r="AJ60" s="66"/>
      <c r="AK60" s="62">
        <f t="shared" si="8"/>
        <v>0</v>
      </c>
      <c r="AL60" s="72">
        <f t="shared" si="9"/>
        <v>0</v>
      </c>
      <c r="AM60" s="73">
        <f t="shared" si="15"/>
        <v>0</v>
      </c>
      <c r="AN60" s="74">
        <f t="shared" si="18"/>
        <v>0</v>
      </c>
      <c r="AO60" s="74">
        <f t="shared" si="18"/>
        <v>0</v>
      </c>
      <c r="AP60" s="75" t="e">
        <f t="shared" si="16"/>
        <v>#DIV/0!</v>
      </c>
      <c r="AQ60" s="76">
        <f t="shared" si="11"/>
        <v>0</v>
      </c>
      <c r="AR60" s="77">
        <f t="shared" si="12"/>
        <v>0</v>
      </c>
    </row>
    <row r="61" spans="1:44" x14ac:dyDescent="0.25">
      <c r="A61" t="str">
        <f t="shared" si="13"/>
        <v>46202E</v>
      </c>
      <c r="B61" s="51">
        <f t="shared" si="17"/>
        <v>46202</v>
      </c>
      <c r="C61" s="52" t="s">
        <v>88</v>
      </c>
      <c r="D61" s="79"/>
      <c r="E61" s="62"/>
      <c r="F61" s="62"/>
      <c r="G61" s="62">
        <f t="shared" si="0"/>
        <v>0</v>
      </c>
      <c r="H61" s="63">
        <f t="shared" si="1"/>
        <v>0</v>
      </c>
      <c r="I61" s="203"/>
      <c r="J61" s="203"/>
      <c r="K61" s="203"/>
      <c r="L61" s="203"/>
      <c r="M61" s="58"/>
      <c r="N61" s="58"/>
      <c r="O61" s="59"/>
      <c r="P61" s="56"/>
      <c r="Q61" s="60"/>
      <c r="R61" s="61">
        <f t="shared" si="14"/>
        <v>0</v>
      </c>
      <c r="S61" s="62">
        <f t="shared" si="2"/>
        <v>0</v>
      </c>
      <c r="T61" s="63">
        <f t="shared" si="3"/>
        <v>0</v>
      </c>
      <c r="U61" s="64"/>
      <c r="V61" s="65"/>
      <c r="W61" s="66"/>
      <c r="X61" s="67"/>
      <c r="Y61" s="68"/>
      <c r="Z61" s="68"/>
      <c r="AA61" s="62">
        <f t="shared" si="4"/>
        <v>0</v>
      </c>
      <c r="AB61" s="63">
        <f t="shared" si="5"/>
        <v>0</v>
      </c>
      <c r="AC61" s="69"/>
      <c r="AD61" s="70"/>
      <c r="AE61" s="70"/>
      <c r="AF61" s="62">
        <f t="shared" si="6"/>
        <v>0</v>
      </c>
      <c r="AG61" s="63">
        <f t="shared" si="7"/>
        <v>0</v>
      </c>
      <c r="AH61" s="89"/>
      <c r="AI61" s="66"/>
      <c r="AJ61" s="66"/>
      <c r="AK61" s="62">
        <f t="shared" si="8"/>
        <v>0</v>
      </c>
      <c r="AL61" s="72">
        <f t="shared" si="9"/>
        <v>0</v>
      </c>
      <c r="AM61" s="73">
        <f t="shared" si="15"/>
        <v>0</v>
      </c>
      <c r="AN61" s="74">
        <f t="shared" si="18"/>
        <v>0</v>
      </c>
      <c r="AO61" s="74">
        <f t="shared" si="18"/>
        <v>0</v>
      </c>
      <c r="AP61" s="75" t="e">
        <f t="shared" si="16"/>
        <v>#DIV/0!</v>
      </c>
      <c r="AQ61" s="76">
        <f t="shared" si="11"/>
        <v>0</v>
      </c>
      <c r="AR61" s="77">
        <f t="shared" si="12"/>
        <v>0</v>
      </c>
    </row>
    <row r="62" spans="1:44" x14ac:dyDescent="0.25">
      <c r="A62" t="str">
        <f t="shared" si="13"/>
        <v>46203M</v>
      </c>
      <c r="B62" s="51">
        <f t="shared" si="17"/>
        <v>46203</v>
      </c>
      <c r="C62" s="52" t="s">
        <v>87</v>
      </c>
      <c r="D62" s="79"/>
      <c r="E62" s="62"/>
      <c r="F62" s="62"/>
      <c r="G62" s="62">
        <f t="shared" si="0"/>
        <v>0</v>
      </c>
      <c r="H62" s="63">
        <f t="shared" si="1"/>
        <v>0</v>
      </c>
      <c r="I62" s="203"/>
      <c r="J62" s="203"/>
      <c r="K62" s="203"/>
      <c r="L62" s="203"/>
      <c r="M62" s="58"/>
      <c r="N62" s="58"/>
      <c r="O62" s="59"/>
      <c r="P62" s="56"/>
      <c r="Q62" s="60"/>
      <c r="R62" s="61">
        <f t="shared" si="14"/>
        <v>0</v>
      </c>
      <c r="S62" s="62">
        <f t="shared" si="2"/>
        <v>0</v>
      </c>
      <c r="T62" s="63">
        <f t="shared" si="3"/>
        <v>0</v>
      </c>
      <c r="U62" s="64"/>
      <c r="V62" s="65"/>
      <c r="W62" s="66"/>
      <c r="X62" s="67"/>
      <c r="Y62" s="68"/>
      <c r="Z62" s="68"/>
      <c r="AA62" s="62">
        <f t="shared" si="4"/>
        <v>0</v>
      </c>
      <c r="AB62" s="63">
        <f t="shared" si="5"/>
        <v>0</v>
      </c>
      <c r="AC62" s="69"/>
      <c r="AD62" s="70"/>
      <c r="AE62" s="70"/>
      <c r="AF62" s="62">
        <f t="shared" si="6"/>
        <v>0</v>
      </c>
      <c r="AG62" s="63">
        <f t="shared" si="7"/>
        <v>0</v>
      </c>
      <c r="AH62" s="89"/>
      <c r="AI62" s="66"/>
      <c r="AJ62" s="66"/>
      <c r="AK62" s="62">
        <f t="shared" si="8"/>
        <v>0</v>
      </c>
      <c r="AL62" s="72">
        <f t="shared" si="9"/>
        <v>0</v>
      </c>
      <c r="AM62" s="73">
        <f t="shared" si="15"/>
        <v>0</v>
      </c>
      <c r="AN62" s="74">
        <f t="shared" si="18"/>
        <v>0</v>
      </c>
      <c r="AO62" s="74">
        <f t="shared" si="18"/>
        <v>0</v>
      </c>
      <c r="AP62" s="75" t="e">
        <f t="shared" si="16"/>
        <v>#DIV/0!</v>
      </c>
      <c r="AQ62" s="76">
        <f t="shared" si="11"/>
        <v>0</v>
      </c>
      <c r="AR62" s="77">
        <f t="shared" si="12"/>
        <v>0</v>
      </c>
    </row>
    <row r="63" spans="1:44" x14ac:dyDescent="0.25">
      <c r="A63" t="str">
        <f t="shared" si="13"/>
        <v>46203E</v>
      </c>
      <c r="B63" s="51">
        <f t="shared" si="17"/>
        <v>46203</v>
      </c>
      <c r="C63" s="52" t="s">
        <v>88</v>
      </c>
      <c r="D63" s="79"/>
      <c r="E63" s="62"/>
      <c r="F63" s="62"/>
      <c r="G63" s="62">
        <f t="shared" si="0"/>
        <v>0</v>
      </c>
      <c r="H63" s="63">
        <f t="shared" si="1"/>
        <v>0</v>
      </c>
      <c r="I63" s="203"/>
      <c r="J63" s="203"/>
      <c r="K63" s="203"/>
      <c r="L63" s="203"/>
      <c r="M63" s="58"/>
      <c r="N63" s="58"/>
      <c r="O63" s="59"/>
      <c r="P63" s="56"/>
      <c r="Q63" s="60"/>
      <c r="R63" s="61">
        <f t="shared" si="14"/>
        <v>0</v>
      </c>
      <c r="S63" s="62">
        <f t="shared" si="2"/>
        <v>0</v>
      </c>
      <c r="T63" s="63">
        <f t="shared" si="3"/>
        <v>0</v>
      </c>
      <c r="U63" s="64"/>
      <c r="V63" s="65"/>
      <c r="W63" s="66"/>
      <c r="X63" s="67"/>
      <c r="Y63" s="68"/>
      <c r="Z63" s="68"/>
      <c r="AA63" s="62">
        <f t="shared" si="4"/>
        <v>0</v>
      </c>
      <c r="AB63" s="63">
        <f t="shared" si="5"/>
        <v>0</v>
      </c>
      <c r="AC63" s="69"/>
      <c r="AD63" s="70"/>
      <c r="AE63" s="70"/>
      <c r="AF63" s="62">
        <f t="shared" si="6"/>
        <v>0</v>
      </c>
      <c r="AG63" s="63">
        <f t="shared" si="7"/>
        <v>0</v>
      </c>
      <c r="AH63" s="89"/>
      <c r="AI63" s="66"/>
      <c r="AJ63" s="66"/>
      <c r="AK63" s="62">
        <f t="shared" si="8"/>
        <v>0</v>
      </c>
      <c r="AL63" s="72">
        <f t="shared" si="9"/>
        <v>0</v>
      </c>
      <c r="AM63" s="73">
        <f t="shared" si="15"/>
        <v>0</v>
      </c>
      <c r="AN63" s="74">
        <f t="shared" si="18"/>
        <v>0</v>
      </c>
      <c r="AO63" s="74">
        <f t="shared" si="18"/>
        <v>0</v>
      </c>
      <c r="AP63" s="75" t="e">
        <f t="shared" si="16"/>
        <v>#DIV/0!</v>
      </c>
      <c r="AQ63" s="76">
        <f t="shared" si="11"/>
        <v>0</v>
      </c>
      <c r="AR63" s="77">
        <f t="shared" si="12"/>
        <v>0</v>
      </c>
    </row>
    <row r="64" spans="1:44" x14ac:dyDescent="0.25">
      <c r="A64" t="str">
        <f t="shared" si="13"/>
        <v>46204M</v>
      </c>
      <c r="B64" s="51">
        <f t="shared" si="17"/>
        <v>46204</v>
      </c>
      <c r="C64" s="52" t="s">
        <v>87</v>
      </c>
      <c r="D64" s="79"/>
      <c r="E64" s="62"/>
      <c r="F64" s="62"/>
      <c r="G64" s="62">
        <f t="shared" si="0"/>
        <v>0</v>
      </c>
      <c r="H64" s="63">
        <f t="shared" si="1"/>
        <v>0</v>
      </c>
      <c r="I64" s="203"/>
      <c r="J64" s="203"/>
      <c r="K64" s="203"/>
      <c r="L64" s="203"/>
      <c r="M64" s="58"/>
      <c r="N64" s="58"/>
      <c r="O64" s="59"/>
      <c r="P64" s="56"/>
      <c r="Q64" s="60"/>
      <c r="R64" s="61">
        <f t="shared" si="14"/>
        <v>0</v>
      </c>
      <c r="S64" s="62">
        <f t="shared" si="2"/>
        <v>0</v>
      </c>
      <c r="T64" s="63">
        <f t="shared" si="3"/>
        <v>0</v>
      </c>
      <c r="U64" s="64"/>
      <c r="V64" s="65"/>
      <c r="W64" s="66"/>
      <c r="X64" s="68"/>
      <c r="Y64" s="68"/>
      <c r="Z64" s="68"/>
      <c r="AA64" s="62">
        <f t="shared" si="4"/>
        <v>0</v>
      </c>
      <c r="AB64" s="63">
        <f t="shared" si="5"/>
        <v>0</v>
      </c>
      <c r="AC64" s="69"/>
      <c r="AD64" s="70"/>
      <c r="AE64" s="70"/>
      <c r="AF64" s="62">
        <f t="shared" si="6"/>
        <v>0</v>
      </c>
      <c r="AG64" s="63">
        <f t="shared" si="7"/>
        <v>0</v>
      </c>
      <c r="AH64" s="71"/>
      <c r="AI64" s="71"/>
      <c r="AJ64" s="71"/>
      <c r="AK64" s="62">
        <f t="shared" si="8"/>
        <v>0</v>
      </c>
      <c r="AL64" s="72">
        <f t="shared" si="9"/>
        <v>0</v>
      </c>
      <c r="AM64" s="73">
        <f t="shared" si="15"/>
        <v>0</v>
      </c>
      <c r="AN64" s="74">
        <f t="shared" si="18"/>
        <v>0</v>
      </c>
      <c r="AO64" s="74">
        <f t="shared" si="18"/>
        <v>0</v>
      </c>
      <c r="AP64" s="75" t="e">
        <f t="shared" si="16"/>
        <v>#DIV/0!</v>
      </c>
      <c r="AQ64" s="76">
        <f t="shared" si="11"/>
        <v>0</v>
      </c>
      <c r="AR64" s="77">
        <f t="shared" si="12"/>
        <v>0</v>
      </c>
    </row>
    <row r="65" spans="1:44" x14ac:dyDescent="0.25">
      <c r="A65" t="str">
        <f t="shared" si="13"/>
        <v>46204E</v>
      </c>
      <c r="B65" s="51">
        <f t="shared" si="17"/>
        <v>46204</v>
      </c>
      <c r="C65" s="52" t="s">
        <v>88</v>
      </c>
      <c r="D65" s="79"/>
      <c r="E65" s="62"/>
      <c r="F65" s="62"/>
      <c r="G65" s="62">
        <f t="shared" si="0"/>
        <v>0</v>
      </c>
      <c r="H65" s="63">
        <f t="shared" si="1"/>
        <v>0</v>
      </c>
      <c r="I65" s="203"/>
      <c r="J65" s="203"/>
      <c r="K65" s="203"/>
      <c r="L65" s="203"/>
      <c r="M65" s="58"/>
      <c r="N65" s="58"/>
      <c r="O65" s="59"/>
      <c r="P65" s="56"/>
      <c r="Q65" s="60"/>
      <c r="R65" s="61">
        <f t="shared" si="14"/>
        <v>0</v>
      </c>
      <c r="S65" s="62">
        <f t="shared" si="2"/>
        <v>0</v>
      </c>
      <c r="T65" s="63">
        <f t="shared" si="3"/>
        <v>0</v>
      </c>
      <c r="U65" s="64"/>
      <c r="V65" s="65"/>
      <c r="W65" s="66"/>
      <c r="X65" s="68"/>
      <c r="Y65" s="68"/>
      <c r="Z65" s="68"/>
      <c r="AA65" s="62">
        <f t="shared" si="4"/>
        <v>0</v>
      </c>
      <c r="AB65" s="63">
        <f t="shared" si="5"/>
        <v>0</v>
      </c>
      <c r="AC65" s="69"/>
      <c r="AD65" s="70"/>
      <c r="AE65" s="70"/>
      <c r="AF65" s="62">
        <f t="shared" si="6"/>
        <v>0</v>
      </c>
      <c r="AG65" s="63">
        <f t="shared" si="7"/>
        <v>0</v>
      </c>
      <c r="AH65" s="71"/>
      <c r="AI65" s="71"/>
      <c r="AJ65" s="71"/>
      <c r="AK65" s="62">
        <f t="shared" si="8"/>
        <v>0</v>
      </c>
      <c r="AL65" s="72">
        <f t="shared" si="9"/>
        <v>0</v>
      </c>
      <c r="AM65" s="73">
        <f t="shared" si="15"/>
        <v>0</v>
      </c>
      <c r="AN65" s="74">
        <f t="shared" si="18"/>
        <v>0</v>
      </c>
      <c r="AO65" s="74">
        <f t="shared" si="18"/>
        <v>0</v>
      </c>
      <c r="AP65" s="75" t="e">
        <f t="shared" si="16"/>
        <v>#DIV/0!</v>
      </c>
      <c r="AQ65" s="76">
        <f t="shared" si="11"/>
        <v>0</v>
      </c>
      <c r="AR65" s="77">
        <f t="shared" si="12"/>
        <v>0</v>
      </c>
    </row>
    <row r="66" spans="1:44" x14ac:dyDescent="0.25">
      <c r="J66">
        <f>SUM(J4:J65)</f>
        <v>14325.075200000003</v>
      </c>
      <c r="X66" s="77"/>
      <c r="AH66" s="77"/>
      <c r="AI66" s="77"/>
      <c r="AJ66" s="77"/>
      <c r="AM66" s="83">
        <f>-SUM(AM4:AM65)</f>
        <v>770.82480000000101</v>
      </c>
      <c r="AN66" s="83">
        <f t="shared" ref="AN66:AO66" si="19">-SUM(AN4:AN65)</f>
        <v>1.5865826000001029</v>
      </c>
      <c r="AO66" s="83">
        <f t="shared" si="19"/>
        <v>28.844780100000058</v>
      </c>
      <c r="AP66" s="83" t="e">
        <f>-SUM(AP4:AP65)</f>
        <v>#DIV/0!</v>
      </c>
      <c r="AQ66" s="127">
        <f>-SUM(AQ4:AQ65)</f>
        <v>9344.7062847600591</v>
      </c>
    </row>
    <row r="67" spans="1:44" x14ac:dyDescent="0.25">
      <c r="X67" s="77"/>
      <c r="AH67" s="86"/>
      <c r="AI67" s="86"/>
      <c r="AJ67" s="86"/>
    </row>
    <row r="68" spans="1:44" x14ac:dyDescent="0.25">
      <c r="AH68" s="77"/>
      <c r="AI68" s="77"/>
      <c r="AJ68" s="77"/>
    </row>
    <row r="69" spans="1:44" x14ac:dyDescent="0.25">
      <c r="X69" s="77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11" priority="1" operator="lessThan">
      <formula>0.1</formula>
    </cfRule>
    <cfRule type="cellIs" dxfId="110" priority="2" operator="greaterThan">
      <formula>0.1</formula>
    </cfRule>
  </conditionalFormatting>
  <conditionalFormatting sqref="AP1:AQ1">
    <cfRule type="cellIs" dxfId="109" priority="5" operator="lessThan">
      <formula>1</formula>
    </cfRule>
  </conditionalFormatting>
  <conditionalFormatting sqref="AQ4:AQ65">
    <cfRule type="cellIs" dxfId="108" priority="3" operator="lessThan">
      <formula>0</formula>
    </cfRule>
    <cfRule type="cellIs" dxfId="107" priority="4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AV71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O17" sqref="O17:Q17"/>
    </sheetView>
  </sheetViews>
  <sheetFormatPr defaultRowHeight="15" x14ac:dyDescent="0.25"/>
  <cols>
    <col min="1" max="1" width="3.42578125" customWidth="1"/>
    <col min="2" max="2" width="11.7109375" bestFit="1" customWidth="1"/>
    <col min="3" max="3" width="4.7109375" bestFit="1" customWidth="1"/>
    <col min="4" max="4" width="7.140625" bestFit="1" customWidth="1"/>
    <col min="5" max="5" width="6.28515625" customWidth="1"/>
    <col min="6" max="6" width="5.5703125" bestFit="1" customWidth="1"/>
    <col min="7" max="7" width="7.28515625" customWidth="1"/>
    <col min="8" max="9" width="7.5703125" bestFit="1" customWidth="1"/>
    <col min="10" max="10" width="8.7109375" bestFit="1" customWidth="1"/>
    <col min="11" max="12" width="7.28515625" bestFit="1" customWidth="1"/>
    <col min="13" max="13" width="5.28515625" bestFit="1" customWidth="1"/>
    <col min="14" max="14" width="9.5703125" bestFit="1" customWidth="1"/>
    <col min="15" max="15" width="7.7109375" bestFit="1" customWidth="1"/>
    <col min="16" max="17" width="5" bestFit="1" customWidth="1"/>
    <col min="18" max="18" width="8.7109375" bestFit="1" customWidth="1"/>
    <col min="19" max="19" width="7.28515625" customWidth="1"/>
    <col min="20" max="20" width="7.5703125" customWidth="1"/>
    <col min="21" max="21" width="6.7109375" bestFit="1" customWidth="1"/>
    <col min="22" max="22" width="7.140625" bestFit="1" customWidth="1"/>
    <col min="23" max="23" width="12.42578125" bestFit="1" customWidth="1"/>
    <col min="24" max="24" width="7.42578125" bestFit="1" customWidth="1"/>
    <col min="25" max="26" width="5" bestFit="1" customWidth="1"/>
    <col min="27" max="27" width="6.42578125" bestFit="1" customWidth="1"/>
    <col min="28" max="28" width="7.5703125" bestFit="1" customWidth="1"/>
    <col min="29" max="29" width="8.5703125" bestFit="1" customWidth="1"/>
    <col min="30" max="31" width="5" customWidth="1"/>
    <col min="32" max="32" width="6.42578125" bestFit="1" customWidth="1"/>
    <col min="33" max="33" width="7.5703125" bestFit="1" customWidth="1"/>
    <col min="34" max="34" width="7" bestFit="1" customWidth="1"/>
    <col min="35" max="35" width="5.42578125" customWidth="1"/>
    <col min="36" max="36" width="5.5703125" bestFit="1" customWidth="1"/>
    <col min="37" max="37" width="7.28515625" customWidth="1"/>
    <col min="38" max="38" width="7.5703125" bestFit="1" customWidth="1"/>
    <col min="39" max="39" width="7.28515625" bestFit="1" customWidth="1"/>
    <col min="40" max="41" width="6.42578125" bestFit="1" customWidth="1"/>
    <col min="42" max="42" width="8.28515625" bestFit="1" customWidth="1"/>
    <col min="43" max="43" width="10.140625" bestFit="1" customWidth="1"/>
    <col min="44" max="44" width="5.7109375" bestFit="1" customWidth="1"/>
    <col min="45" max="49" width="8.7109375" bestFit="1" customWidth="1"/>
  </cols>
  <sheetData>
    <row r="1" spans="1:44" ht="15.75" thickBot="1" x14ac:dyDescent="0.3">
      <c r="B1" s="43" t="s">
        <v>89</v>
      </c>
      <c r="C1" s="44"/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59" t="s">
        <v>64</v>
      </c>
      <c r="C2" s="261" t="s">
        <v>65</v>
      </c>
      <c r="D2" s="263" t="s">
        <v>66</v>
      </c>
      <c r="E2" s="263"/>
      <c r="F2" s="263"/>
      <c r="G2" s="263"/>
      <c r="H2" s="264"/>
      <c r="I2" s="255" t="s">
        <v>67</v>
      </c>
      <c r="J2" s="256"/>
      <c r="K2" s="256"/>
      <c r="L2" s="257"/>
      <c r="M2" s="255" t="s">
        <v>68</v>
      </c>
      <c r="N2" s="265"/>
      <c r="O2" s="256"/>
      <c r="P2" s="256"/>
      <c r="Q2" s="257"/>
      <c r="R2" s="265" t="s">
        <v>69</v>
      </c>
      <c r="S2" s="256"/>
      <c r="T2" s="257"/>
      <c r="U2" s="252" t="s">
        <v>70</v>
      </c>
      <c r="V2" s="253"/>
      <c r="W2" s="253"/>
      <c r="X2" s="253"/>
      <c r="Y2" s="253"/>
      <c r="Z2" s="253"/>
      <c r="AA2" s="253"/>
      <c r="AB2" s="254"/>
      <c r="AC2" s="255" t="s">
        <v>71</v>
      </c>
      <c r="AD2" s="256"/>
      <c r="AE2" s="256"/>
      <c r="AF2" s="256"/>
      <c r="AG2" s="257"/>
      <c r="AH2" s="255" t="s">
        <v>72</v>
      </c>
      <c r="AI2" s="256"/>
      <c r="AJ2" s="256"/>
      <c r="AK2" s="256"/>
      <c r="AL2" s="258"/>
      <c r="AM2" s="252" t="s">
        <v>73</v>
      </c>
      <c r="AN2" s="253"/>
      <c r="AO2" s="253"/>
      <c r="AP2" s="253"/>
      <c r="AQ2" s="254"/>
    </row>
    <row r="3" spans="1:44" x14ac:dyDescent="0.25">
      <c r="B3" s="260"/>
      <c r="C3" s="26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87">
        <v>0</v>
      </c>
      <c r="E4" s="88">
        <v>0</v>
      </c>
      <c r="F4" s="88">
        <v>0</v>
      </c>
      <c r="G4" s="62">
        <f t="shared" ref="G4" si="0">+D4*E4%</f>
        <v>0</v>
      </c>
      <c r="H4" s="63">
        <f t="shared" ref="H4" si="1">+D4*F4%</f>
        <v>0</v>
      </c>
      <c r="I4" s="203">
        <v>3638.9999999999991</v>
      </c>
      <c r="J4" s="203">
        <v>3748.1699999999992</v>
      </c>
      <c r="K4" s="203">
        <v>4.3174278647980193</v>
      </c>
      <c r="L4" s="203">
        <v>8.2878922780983757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3748.1699999999992</v>
      </c>
      <c r="S4" s="62">
        <f t="shared" ref="S4" si="2">+J4*K4%+O4*P4%</f>
        <v>161.82453599999988</v>
      </c>
      <c r="T4" s="63">
        <f t="shared" ref="T4" si="3">+J4*L4%+O4*Q4%</f>
        <v>310.64429199999984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" si="4">X4*Y4%</f>
        <v>0</v>
      </c>
      <c r="AB4" s="63">
        <f t="shared" ref="AB4" si="5">X4*Z4%</f>
        <v>0</v>
      </c>
      <c r="AC4" s="69"/>
      <c r="AD4" s="70"/>
      <c r="AE4" s="70"/>
      <c r="AF4" s="62">
        <f t="shared" ref="AF4" si="6">AC4*AD4%</f>
        <v>0</v>
      </c>
      <c r="AG4" s="62">
        <f t="shared" ref="AG4" si="7">AC4*AE4%</f>
        <v>0</v>
      </c>
      <c r="AH4" s="89">
        <v>3749</v>
      </c>
      <c r="AI4" s="66">
        <v>4.32</v>
      </c>
      <c r="AJ4" s="66">
        <v>8.39</v>
      </c>
      <c r="AK4" s="62">
        <f t="shared" ref="AK4" si="8">AH4*AI4%</f>
        <v>161.95680000000002</v>
      </c>
      <c r="AL4" s="72">
        <f t="shared" ref="AL4" si="9">AH4*AJ4%</f>
        <v>314.54110000000003</v>
      </c>
      <c r="AM4" s="73">
        <f t="shared" ref="AM4" si="10">+D4+R4-AC4-AH4</f>
        <v>-0.83000000000083674</v>
      </c>
      <c r="AN4" s="74">
        <f t="shared" ref="AN4:AO4" si="11">+G4+S4-AF4-AK4</f>
        <v>-0.13226400000013427</v>
      </c>
      <c r="AO4" s="74">
        <f t="shared" si="11"/>
        <v>-3.8968080000001919</v>
      </c>
      <c r="AP4" s="75">
        <f t="shared" ref="AP4" si="12">(AN4+AO4)/(S4+T4)</f>
        <v>-8.5276991014533749E-3</v>
      </c>
      <c r="AQ4" s="76">
        <f t="shared" ref="AQ4" si="13">($AP$1*AN4+$AQ$1*AO4)</f>
        <v>-1225.5853517601179</v>
      </c>
      <c r="AR4" s="90">
        <f t="shared" ref="AR4:AR65" si="14">(D4+J4+O4)-(X4+AH4)</f>
        <v>-0.83000000000083674</v>
      </c>
    </row>
    <row r="5" spans="1:44" x14ac:dyDescent="0.25">
      <c r="A5" t="str">
        <f t="shared" ref="A5:A65" si="15">CONCATENATE(B5,C5)</f>
        <v>46174E</v>
      </c>
      <c r="B5" s="51">
        <f>+B4</f>
        <v>46174</v>
      </c>
      <c r="C5" s="52" t="s">
        <v>88</v>
      </c>
      <c r="D5" s="91">
        <v>3749</v>
      </c>
      <c r="E5" s="62">
        <v>4.32</v>
      </c>
      <c r="F5" s="62">
        <v>8.39</v>
      </c>
      <c r="G5" s="62">
        <f t="shared" ref="G5:G65" si="16">+D5*E5%</f>
        <v>161.95680000000002</v>
      </c>
      <c r="H5" s="63">
        <f t="shared" ref="H5:H65" si="17">+D5*F5%</f>
        <v>314.54110000000003</v>
      </c>
      <c r="I5" s="203">
        <v>4129.5</v>
      </c>
      <c r="J5" s="203">
        <v>4253.3850000000002</v>
      </c>
      <c r="K5" s="203">
        <v>3.8815643540380176</v>
      </c>
      <c r="L5" s="203">
        <v>8.20396658191064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8">+J5+O5</f>
        <v>4253.3850000000002</v>
      </c>
      <c r="S5" s="62">
        <f t="shared" ref="S5:S65" si="19">+J5*K5%+O5*P5%</f>
        <v>165.09787599999993</v>
      </c>
      <c r="T5" s="63">
        <f t="shared" ref="T5:T65" si="20">+J5*L5%+O5*Q5%</f>
        <v>348.94628399999993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ref="AA5:AA65" si="21">X5*Y5%</f>
        <v>0</v>
      </c>
      <c r="AB5" s="63">
        <f t="shared" ref="AB5:AB65" si="22">X5*Z5%</f>
        <v>0</v>
      </c>
      <c r="AC5" s="69"/>
      <c r="AD5" s="70"/>
      <c r="AE5" s="70"/>
      <c r="AF5" s="62">
        <f t="shared" ref="AF5:AF65" si="23">AC5*AD5%</f>
        <v>0</v>
      </c>
      <c r="AG5" s="62">
        <f t="shared" ref="AG5:AG65" si="24">AC5*AE5%</f>
        <v>0</v>
      </c>
      <c r="AH5" s="89">
        <v>8003</v>
      </c>
      <c r="AI5" s="66">
        <v>4.09</v>
      </c>
      <c r="AJ5" s="66">
        <v>8.2899999999999991</v>
      </c>
      <c r="AK5" s="62">
        <f t="shared" ref="AK5:AK65" si="25">AH5*AI5%</f>
        <v>327.3227</v>
      </c>
      <c r="AL5" s="72">
        <f t="shared" ref="AL5:AL65" si="26">AH5*AJ5%</f>
        <v>663.44869999999992</v>
      </c>
      <c r="AM5" s="73">
        <f t="shared" ref="AM5:AM65" si="27">+D5+R5-AC5-AH5</f>
        <v>-0.61499999999978172</v>
      </c>
      <c r="AN5" s="74">
        <f t="shared" ref="AN5:AN65" si="28">+G5+S5-AF5-AK5</f>
        <v>-0.26802400000002535</v>
      </c>
      <c r="AO5" s="74">
        <f t="shared" ref="AO5:AO65" si="29">+H5+T5-AG5-AL5</f>
        <v>3.8684000000102969E-2</v>
      </c>
      <c r="AP5" s="75">
        <f t="shared" ref="AP5:AP65" si="30">(AN5+AO5)/(S5+T5)</f>
        <v>-4.4614843985373243E-4</v>
      </c>
      <c r="AQ5" s="76">
        <f t="shared" ref="AQ5:AQ65" si="31">($AP$1*AN5+$AQ$1*AO5)</f>
        <v>-108.74156421331391</v>
      </c>
      <c r="AR5" s="90">
        <f t="shared" si="14"/>
        <v>-0.61499999999978172</v>
      </c>
    </row>
    <row r="6" spans="1:44" x14ac:dyDescent="0.25">
      <c r="A6" t="str">
        <f t="shared" si="15"/>
        <v>46175M</v>
      </c>
      <c r="B6" s="51">
        <f>+B4+1</f>
        <v>46175</v>
      </c>
      <c r="C6" s="52" t="s">
        <v>87</v>
      </c>
      <c r="D6" s="91">
        <v>8003</v>
      </c>
      <c r="E6" s="62">
        <v>4.09</v>
      </c>
      <c r="F6" s="62">
        <v>8.2899999999999991</v>
      </c>
      <c r="G6" s="62">
        <f t="shared" si="16"/>
        <v>327.3227</v>
      </c>
      <c r="H6" s="63">
        <f t="shared" si="17"/>
        <v>663.44869999999992</v>
      </c>
      <c r="I6" s="203">
        <v>4508.699999999998</v>
      </c>
      <c r="J6" s="203">
        <v>4643.9609999999984</v>
      </c>
      <c r="K6" s="203">
        <v>4.1986625856677122</v>
      </c>
      <c r="L6" s="203">
        <v>8.2063654712001277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8"/>
        <v>4643.9609999999984</v>
      </c>
      <c r="S6" s="62">
        <f t="shared" si="19"/>
        <v>194.98425300000008</v>
      </c>
      <c r="T6" s="63">
        <f t="shared" si="20"/>
        <v>381.10041200000001</v>
      </c>
      <c r="U6" s="64" t="s">
        <v>168</v>
      </c>
      <c r="V6" s="65" t="s">
        <v>329</v>
      </c>
      <c r="W6" s="66" t="s">
        <v>225</v>
      </c>
      <c r="X6" s="67">
        <v>9870</v>
      </c>
      <c r="Y6" s="68">
        <v>4.25</v>
      </c>
      <c r="Z6" s="68">
        <v>8.32</v>
      </c>
      <c r="AA6" s="62">
        <f t="shared" si="21"/>
        <v>419.47500000000002</v>
      </c>
      <c r="AB6" s="63">
        <f t="shared" si="22"/>
        <v>821.18399999999997</v>
      </c>
      <c r="AC6" s="69">
        <v>9840</v>
      </c>
      <c r="AD6" s="70">
        <v>4.0999999999999988</v>
      </c>
      <c r="AE6" s="70">
        <v>8.1099999999999977</v>
      </c>
      <c r="AF6" s="62">
        <f t="shared" si="23"/>
        <v>403.43999999999988</v>
      </c>
      <c r="AG6" s="62">
        <f t="shared" si="24"/>
        <v>798.02399999999977</v>
      </c>
      <c r="AH6" s="89">
        <v>3087</v>
      </c>
      <c r="AI6" s="66">
        <v>4.13</v>
      </c>
      <c r="AJ6" s="66">
        <v>8.26</v>
      </c>
      <c r="AK6" s="62">
        <f t="shared" si="25"/>
        <v>127.49309999999998</v>
      </c>
      <c r="AL6" s="72">
        <f t="shared" si="26"/>
        <v>254.98619999999997</v>
      </c>
      <c r="AM6" s="73">
        <f t="shared" si="27"/>
        <v>-280.03900000000067</v>
      </c>
      <c r="AN6" s="74">
        <f t="shared" si="28"/>
        <v>-8.6261469999998468</v>
      </c>
      <c r="AO6" s="74">
        <f t="shared" si="29"/>
        <v>-8.461087999999819</v>
      </c>
      <c r="AP6" s="75">
        <f t="shared" si="30"/>
        <v>-2.966097873825484E-2</v>
      </c>
      <c r="AQ6" s="76">
        <f t="shared" si="31"/>
        <v>-6404.5416591565445</v>
      </c>
      <c r="AR6" s="90">
        <f t="shared" si="14"/>
        <v>-310.03900000000067</v>
      </c>
    </row>
    <row r="7" spans="1:44" x14ac:dyDescent="0.25">
      <c r="A7" t="str">
        <f t="shared" si="15"/>
        <v>46175E</v>
      </c>
      <c r="B7" s="51">
        <f>+B5+1</f>
        <v>46175</v>
      </c>
      <c r="C7" s="52" t="s">
        <v>88</v>
      </c>
      <c r="D7" s="91">
        <v>3087</v>
      </c>
      <c r="E7" s="62">
        <v>4.13</v>
      </c>
      <c r="F7" s="62">
        <v>8.26</v>
      </c>
      <c r="G7" s="62">
        <f t="shared" si="16"/>
        <v>127.49309999999998</v>
      </c>
      <c r="H7" s="63">
        <f t="shared" si="17"/>
        <v>254.98619999999997</v>
      </c>
      <c r="I7" s="203">
        <v>4080.2</v>
      </c>
      <c r="J7" s="203">
        <v>4202.6059999999998</v>
      </c>
      <c r="K7" s="203">
        <v>3.7818415763933135</v>
      </c>
      <c r="L7" s="203">
        <v>8.1626072251360249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8"/>
        <v>4202.6059999999998</v>
      </c>
      <c r="S7" s="62">
        <f t="shared" si="19"/>
        <v>158.93590099999997</v>
      </c>
      <c r="T7" s="63">
        <f t="shared" si="20"/>
        <v>343.04222100000004</v>
      </c>
      <c r="U7" s="64" t="s">
        <v>175</v>
      </c>
      <c r="V7" s="65" t="s">
        <v>226</v>
      </c>
      <c r="W7" s="66" t="s">
        <v>227</v>
      </c>
      <c r="X7" s="67">
        <v>3650</v>
      </c>
      <c r="Y7" s="68">
        <v>4.2</v>
      </c>
      <c r="Z7" s="68">
        <v>8.31</v>
      </c>
      <c r="AA7" s="62">
        <f t="shared" si="21"/>
        <v>153.30000000000001</v>
      </c>
      <c r="AB7" s="63">
        <f t="shared" si="22"/>
        <v>303.31500000000005</v>
      </c>
      <c r="AC7" s="69">
        <v>3670</v>
      </c>
      <c r="AD7" s="70">
        <v>4.1500000000000004</v>
      </c>
      <c r="AE7" s="70">
        <v>8.25</v>
      </c>
      <c r="AF7" s="62">
        <f t="shared" si="23"/>
        <v>152.30500000000001</v>
      </c>
      <c r="AG7" s="62">
        <f t="shared" si="24"/>
        <v>302.77500000000003</v>
      </c>
      <c r="AH7" s="89">
        <v>3641</v>
      </c>
      <c r="AI7" s="71">
        <v>3.93</v>
      </c>
      <c r="AJ7" s="71">
        <v>8.1999999999999993</v>
      </c>
      <c r="AK7" s="62">
        <f t="shared" si="25"/>
        <v>143.09130000000002</v>
      </c>
      <c r="AL7" s="72">
        <f t="shared" si="26"/>
        <v>298.56199999999995</v>
      </c>
      <c r="AM7" s="73">
        <f t="shared" si="27"/>
        <v>-21.394000000000233</v>
      </c>
      <c r="AN7" s="74">
        <f t="shared" si="28"/>
        <v>-8.9672990000000539</v>
      </c>
      <c r="AO7" s="74">
        <f t="shared" si="29"/>
        <v>-3.3085790000000088</v>
      </c>
      <c r="AP7" s="75">
        <f t="shared" si="30"/>
        <v>-2.4455006029127428E-2</v>
      </c>
      <c r="AQ7" s="76">
        <f t="shared" si="31"/>
        <v>-5015.6796600166936</v>
      </c>
      <c r="AR7" s="90">
        <f t="shared" si="14"/>
        <v>-1.3940000000002328</v>
      </c>
    </row>
    <row r="8" spans="1:44" x14ac:dyDescent="0.25">
      <c r="A8" t="str">
        <f t="shared" si="15"/>
        <v>46176M</v>
      </c>
      <c r="B8" s="51">
        <f>+B6+1</f>
        <v>46176</v>
      </c>
      <c r="C8" s="52" t="s">
        <v>87</v>
      </c>
      <c r="D8" s="91">
        <v>3641</v>
      </c>
      <c r="E8" s="62">
        <v>3.93</v>
      </c>
      <c r="F8" s="62">
        <v>8.1999999999999993</v>
      </c>
      <c r="G8" s="62">
        <f t="shared" si="16"/>
        <v>143.09130000000002</v>
      </c>
      <c r="H8" s="63">
        <f t="shared" si="17"/>
        <v>298.56199999999995</v>
      </c>
      <c r="I8" s="203">
        <v>3942.6</v>
      </c>
      <c r="J8" s="203">
        <v>4060.8780000000002</v>
      </c>
      <c r="K8" s="203">
        <v>4.27426571298128</v>
      </c>
      <c r="L8" s="203">
        <v>8.2024146502308088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8"/>
        <v>4060.8780000000002</v>
      </c>
      <c r="S8" s="62">
        <f t="shared" si="19"/>
        <v>173.57271599999996</v>
      </c>
      <c r="T8" s="63">
        <f t="shared" si="20"/>
        <v>333.0900519999999</v>
      </c>
      <c r="U8" s="64" t="s">
        <v>167</v>
      </c>
      <c r="V8" s="65" t="s">
        <v>167</v>
      </c>
      <c r="W8" s="66" t="s">
        <v>167</v>
      </c>
      <c r="X8" s="67">
        <v>0</v>
      </c>
      <c r="Y8" s="68">
        <v>0</v>
      </c>
      <c r="Z8" s="68">
        <v>0</v>
      </c>
      <c r="AA8" s="62">
        <f t="shared" si="21"/>
        <v>0</v>
      </c>
      <c r="AB8" s="63">
        <f t="shared" si="22"/>
        <v>0</v>
      </c>
      <c r="AC8" s="69"/>
      <c r="AD8" s="70"/>
      <c r="AE8" s="70"/>
      <c r="AF8" s="62">
        <f t="shared" si="23"/>
        <v>0</v>
      </c>
      <c r="AG8" s="62">
        <f t="shared" si="24"/>
        <v>0</v>
      </c>
      <c r="AH8" s="89">
        <v>7703</v>
      </c>
      <c r="AI8" s="66">
        <v>4.1100000000000003</v>
      </c>
      <c r="AJ8" s="66">
        <v>8.1999999999999993</v>
      </c>
      <c r="AK8" s="62">
        <f t="shared" si="25"/>
        <v>316.59330000000006</v>
      </c>
      <c r="AL8" s="72">
        <f t="shared" si="26"/>
        <v>631.64599999999996</v>
      </c>
      <c r="AM8" s="73">
        <f t="shared" si="27"/>
        <v>-1.1219999999993888</v>
      </c>
      <c r="AN8" s="74">
        <f t="shared" si="28"/>
        <v>7.0715999999890755E-2</v>
      </c>
      <c r="AO8" s="74">
        <f t="shared" si="29"/>
        <v>6.0519999999542051E-3</v>
      </c>
      <c r="AP8" s="75">
        <f t="shared" si="30"/>
        <v>1.5151695535647685E-4</v>
      </c>
      <c r="AQ8" s="76">
        <f t="shared" si="31"/>
        <v>33.556321773270589</v>
      </c>
      <c r="AR8" s="90">
        <f t="shared" ref="AR8:AR15" si="32">(D8+J8+O8)-(X8+AH8)</f>
        <v>-1.1219999999993888</v>
      </c>
    </row>
    <row r="9" spans="1:44" x14ac:dyDescent="0.25">
      <c r="A9" t="str">
        <f t="shared" si="15"/>
        <v>46176E</v>
      </c>
      <c r="B9" s="51">
        <f t="shared" ref="B9:B65" si="33">+B7+1</f>
        <v>46176</v>
      </c>
      <c r="C9" s="52" t="s">
        <v>88</v>
      </c>
      <c r="D9" s="91">
        <v>7703</v>
      </c>
      <c r="E9" s="62">
        <v>4.1100000000000003</v>
      </c>
      <c r="F9" s="62">
        <v>8.1999999999999993</v>
      </c>
      <c r="G9" s="62">
        <f t="shared" si="16"/>
        <v>316.59330000000006</v>
      </c>
      <c r="H9" s="63">
        <f t="shared" si="17"/>
        <v>631.64599999999996</v>
      </c>
      <c r="I9" s="203">
        <v>4461.2</v>
      </c>
      <c r="J9" s="203">
        <v>4595.0360000000001</v>
      </c>
      <c r="K9" s="203">
        <v>3.9278109028960806</v>
      </c>
      <c r="L9" s="203">
        <v>8.1428606652918525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8"/>
        <v>4595.0360000000001</v>
      </c>
      <c r="S9" s="62">
        <f t="shared" si="19"/>
        <v>180.48432499999996</v>
      </c>
      <c r="T9" s="63">
        <f t="shared" si="20"/>
        <v>374.16737900000015</v>
      </c>
      <c r="U9" s="64" t="s">
        <v>172</v>
      </c>
      <c r="V9" s="65" t="s">
        <v>228</v>
      </c>
      <c r="W9" s="66" t="s">
        <v>227</v>
      </c>
      <c r="X9" s="67">
        <v>6280</v>
      </c>
      <c r="Y9" s="68">
        <v>4.2</v>
      </c>
      <c r="Z9" s="68">
        <v>8.25</v>
      </c>
      <c r="AA9" s="62">
        <f t="shared" si="21"/>
        <v>263.76</v>
      </c>
      <c r="AB9" s="63">
        <f t="shared" si="22"/>
        <v>518.1</v>
      </c>
      <c r="AC9" s="69">
        <v>6290</v>
      </c>
      <c r="AD9" s="70">
        <v>4.0499205087440382</v>
      </c>
      <c r="AE9" s="70">
        <v>8.2199841017488087</v>
      </c>
      <c r="AF9" s="62">
        <f t="shared" si="23"/>
        <v>254.74</v>
      </c>
      <c r="AG9" s="62">
        <f t="shared" si="24"/>
        <v>517.03700000000003</v>
      </c>
      <c r="AH9" s="92">
        <v>6019</v>
      </c>
      <c r="AI9" s="66">
        <v>4.04</v>
      </c>
      <c r="AJ9" s="66">
        <v>8.18</v>
      </c>
      <c r="AK9" s="62">
        <f t="shared" si="25"/>
        <v>243.16759999999999</v>
      </c>
      <c r="AL9" s="72">
        <f t="shared" si="26"/>
        <v>492.35419999999999</v>
      </c>
      <c r="AM9" s="73">
        <f t="shared" si="27"/>
        <v>-10.963999999999942</v>
      </c>
      <c r="AN9" s="74">
        <f t="shared" si="28"/>
        <v>-0.82997499999999036</v>
      </c>
      <c r="AO9" s="74">
        <f t="shared" si="29"/>
        <v>-3.577820999999858</v>
      </c>
      <c r="AP9" s="75">
        <f t="shared" si="30"/>
        <v>-7.9469619730941042E-3</v>
      </c>
      <c r="AQ9" s="76">
        <f t="shared" si="31"/>
        <v>-1443.3304939899533</v>
      </c>
      <c r="AR9" s="90">
        <f t="shared" si="32"/>
        <v>-0.96399999999994179</v>
      </c>
    </row>
    <row r="10" spans="1:44" x14ac:dyDescent="0.25">
      <c r="A10" t="str">
        <f t="shared" si="15"/>
        <v>46177M</v>
      </c>
      <c r="B10" s="51">
        <f t="shared" si="33"/>
        <v>46177</v>
      </c>
      <c r="C10" s="52" t="s">
        <v>87</v>
      </c>
      <c r="D10" s="91">
        <v>6019</v>
      </c>
      <c r="E10" s="62">
        <v>4.04</v>
      </c>
      <c r="F10" s="62">
        <v>8.18</v>
      </c>
      <c r="G10" s="62">
        <f t="shared" si="16"/>
        <v>243.16759999999999</v>
      </c>
      <c r="H10" s="63">
        <f t="shared" si="17"/>
        <v>492.35419999999999</v>
      </c>
      <c r="I10" s="203">
        <v>3699.0000000000005</v>
      </c>
      <c r="J10" s="203">
        <v>3809.9700000000007</v>
      </c>
      <c r="K10" s="203">
        <v>4.3174749932414169</v>
      </c>
      <c r="L10" s="203">
        <v>8.2260070289267357</v>
      </c>
      <c r="M10" s="58" t="s">
        <v>159</v>
      </c>
      <c r="N10" s="58" t="s">
        <v>223</v>
      </c>
      <c r="O10" s="59">
        <v>6200</v>
      </c>
      <c r="P10" s="56">
        <v>3.85</v>
      </c>
      <c r="Q10" s="60">
        <v>8.07</v>
      </c>
      <c r="R10" s="61">
        <f t="shared" si="18"/>
        <v>10009.970000000001</v>
      </c>
      <c r="S10" s="62">
        <f t="shared" si="19"/>
        <v>403.19450200000006</v>
      </c>
      <c r="T10" s="63">
        <f t="shared" si="20"/>
        <v>813.74839999999995</v>
      </c>
      <c r="U10" s="64" t="s">
        <v>168</v>
      </c>
      <c r="V10" s="65" t="s">
        <v>229</v>
      </c>
      <c r="W10" s="66" t="s">
        <v>225</v>
      </c>
      <c r="X10" s="67">
        <v>9870</v>
      </c>
      <c r="Y10" s="68">
        <v>4.05</v>
      </c>
      <c r="Z10" s="68">
        <v>8.15</v>
      </c>
      <c r="AA10" s="62">
        <f t="shared" si="21"/>
        <v>399.73500000000001</v>
      </c>
      <c r="AB10" s="63">
        <f t="shared" si="22"/>
        <v>804.40499999999997</v>
      </c>
      <c r="AC10" s="69">
        <v>9820</v>
      </c>
      <c r="AD10" s="70">
        <v>4</v>
      </c>
      <c r="AE10" s="70">
        <v>8.08</v>
      </c>
      <c r="AF10" s="62">
        <f t="shared" si="23"/>
        <v>392.8</v>
      </c>
      <c r="AG10" s="62">
        <f t="shared" si="24"/>
        <v>793.45600000000002</v>
      </c>
      <c r="AH10" s="89">
        <v>6125</v>
      </c>
      <c r="AI10" s="66">
        <v>4.03</v>
      </c>
      <c r="AJ10" s="66">
        <v>8.15</v>
      </c>
      <c r="AK10" s="62">
        <f t="shared" si="25"/>
        <v>246.83750000000001</v>
      </c>
      <c r="AL10" s="72">
        <f t="shared" si="26"/>
        <v>499.1875</v>
      </c>
      <c r="AM10" s="73">
        <f t="shared" si="27"/>
        <v>83.970000000001164</v>
      </c>
      <c r="AN10" s="74">
        <f t="shared" si="28"/>
        <v>6.7246020000000328</v>
      </c>
      <c r="AO10" s="74">
        <f t="shared" si="29"/>
        <v>13.459099999999921</v>
      </c>
      <c r="AP10" s="75">
        <f t="shared" si="30"/>
        <v>1.6585578474412232E-2</v>
      </c>
      <c r="AQ10" s="76">
        <f t="shared" si="31"/>
        <v>7046.6908044866586</v>
      </c>
      <c r="AR10" s="90">
        <f t="shared" si="32"/>
        <v>33.970000000001164</v>
      </c>
    </row>
    <row r="11" spans="1:44" ht="14.25" customHeight="1" x14ac:dyDescent="0.25">
      <c r="A11" t="str">
        <f t="shared" si="15"/>
        <v>46177E</v>
      </c>
      <c r="B11" s="51">
        <f t="shared" si="33"/>
        <v>46177</v>
      </c>
      <c r="C11" s="52" t="s">
        <v>88</v>
      </c>
      <c r="D11" s="91">
        <v>6125</v>
      </c>
      <c r="E11" s="62">
        <v>4.03</v>
      </c>
      <c r="F11" s="62">
        <v>8.15</v>
      </c>
      <c r="G11" s="62">
        <f t="shared" si="16"/>
        <v>246.83750000000001</v>
      </c>
      <c r="H11" s="63">
        <f t="shared" si="17"/>
        <v>499.1875</v>
      </c>
      <c r="I11" s="203">
        <v>4440.8999999999996</v>
      </c>
      <c r="J11" s="203">
        <v>4574.1269999999995</v>
      </c>
      <c r="K11" s="203">
        <v>3.9102456709225604</v>
      </c>
      <c r="L11" s="203">
        <v>8.1712535747258439</v>
      </c>
      <c r="M11" s="58" t="s">
        <v>159</v>
      </c>
      <c r="N11" s="58" t="s">
        <v>224</v>
      </c>
      <c r="O11" s="59">
        <v>3222</v>
      </c>
      <c r="P11" s="56">
        <v>3.6</v>
      </c>
      <c r="Q11" s="60">
        <v>8</v>
      </c>
      <c r="R11" s="61">
        <f t="shared" si="18"/>
        <v>7796.1269999999995</v>
      </c>
      <c r="S11" s="62">
        <f t="shared" si="19"/>
        <v>294.85160299999995</v>
      </c>
      <c r="T11" s="63">
        <f t="shared" si="20"/>
        <v>631.52351599999997</v>
      </c>
      <c r="U11" s="64" t="s">
        <v>172</v>
      </c>
      <c r="V11" s="65" t="s">
        <v>230</v>
      </c>
      <c r="W11" s="66" t="s">
        <v>227</v>
      </c>
      <c r="X11" s="67">
        <v>3150</v>
      </c>
      <c r="Y11" s="68">
        <v>4.0999999999999996</v>
      </c>
      <c r="Z11" s="68">
        <v>8.16</v>
      </c>
      <c r="AA11" s="62">
        <f t="shared" si="21"/>
        <v>129.14999999999998</v>
      </c>
      <c r="AB11" s="63">
        <f t="shared" si="22"/>
        <v>257.04000000000002</v>
      </c>
      <c r="AC11" s="69">
        <v>3150</v>
      </c>
      <c r="AD11" s="70">
        <v>4</v>
      </c>
      <c r="AE11" s="70">
        <v>8.08</v>
      </c>
      <c r="AF11" s="62">
        <f t="shared" si="23"/>
        <v>126</v>
      </c>
      <c r="AG11" s="62">
        <f t="shared" si="24"/>
        <v>254.51999999999998</v>
      </c>
      <c r="AH11" s="89">
        <v>10772</v>
      </c>
      <c r="AI11" s="66">
        <v>3.89</v>
      </c>
      <c r="AJ11" s="66">
        <v>8.1199999999999992</v>
      </c>
      <c r="AK11" s="62">
        <f t="shared" si="25"/>
        <v>419.03080000000006</v>
      </c>
      <c r="AL11" s="72">
        <f t="shared" si="26"/>
        <v>874.68639999999994</v>
      </c>
      <c r="AM11" s="73">
        <f t="shared" si="27"/>
        <v>-0.87299999999959255</v>
      </c>
      <c r="AN11" s="74">
        <f t="shared" si="28"/>
        <v>-3.3416970000001243</v>
      </c>
      <c r="AO11" s="74">
        <f t="shared" si="29"/>
        <v>1.5046160000000555</v>
      </c>
      <c r="AP11" s="75">
        <f t="shared" si="30"/>
        <v>-1.9830854287010151E-3</v>
      </c>
      <c r="AQ11" s="76">
        <f t="shared" si="31"/>
        <v>-1049.8297545633725</v>
      </c>
      <c r="AR11" s="90">
        <f t="shared" si="32"/>
        <v>-0.87299999999959255</v>
      </c>
    </row>
    <row r="12" spans="1:44" x14ac:dyDescent="0.25">
      <c r="A12" t="str">
        <f t="shared" si="15"/>
        <v>46178M</v>
      </c>
      <c r="B12" s="51">
        <f t="shared" si="33"/>
        <v>46178</v>
      </c>
      <c r="C12" s="52" t="s">
        <v>87</v>
      </c>
      <c r="D12" s="91">
        <v>10772</v>
      </c>
      <c r="E12" s="62">
        <v>3.89</v>
      </c>
      <c r="F12" s="62">
        <v>8.1199999999999992</v>
      </c>
      <c r="G12" s="62">
        <f t="shared" si="16"/>
        <v>419.03080000000006</v>
      </c>
      <c r="H12" s="63">
        <f t="shared" si="17"/>
        <v>874.68639999999994</v>
      </c>
      <c r="I12" s="203">
        <v>2696.1</v>
      </c>
      <c r="J12" s="203">
        <v>2776.9830000000002</v>
      </c>
      <c r="K12" s="203">
        <v>4.41</v>
      </c>
      <c r="L12" s="203">
        <v>8.27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8"/>
        <v>2776.9830000000002</v>
      </c>
      <c r="S12" s="62">
        <f t="shared" si="19"/>
        <v>122.46495030000001</v>
      </c>
      <c r="T12" s="63">
        <f t="shared" si="20"/>
        <v>229.6564941</v>
      </c>
      <c r="U12" s="64" t="s">
        <v>170</v>
      </c>
      <c r="V12" s="65" t="s">
        <v>344</v>
      </c>
      <c r="W12" s="66" t="s">
        <v>227</v>
      </c>
      <c r="X12" s="67">
        <v>10070</v>
      </c>
      <c r="Y12" s="68">
        <v>4.25</v>
      </c>
      <c r="Z12" s="68">
        <v>8.26</v>
      </c>
      <c r="AA12" s="62">
        <f t="shared" si="21"/>
        <v>427.97500000000002</v>
      </c>
      <c r="AB12" s="63">
        <f t="shared" si="22"/>
        <v>831.78199999999993</v>
      </c>
      <c r="AC12" s="69">
        <v>10110</v>
      </c>
      <c r="AD12" s="70">
        <v>4.2</v>
      </c>
      <c r="AE12" s="70">
        <v>8.1827497527200794</v>
      </c>
      <c r="AF12" s="62">
        <f t="shared" si="23"/>
        <v>424.62</v>
      </c>
      <c r="AG12" s="62">
        <f t="shared" si="24"/>
        <v>827.27600000000007</v>
      </c>
      <c r="AH12" s="89">
        <v>3480</v>
      </c>
      <c r="AI12" s="66">
        <v>4</v>
      </c>
      <c r="AJ12" s="66">
        <v>8.15</v>
      </c>
      <c r="AK12" s="62">
        <f t="shared" si="25"/>
        <v>139.20000000000002</v>
      </c>
      <c r="AL12" s="72">
        <f t="shared" si="26"/>
        <v>283.62</v>
      </c>
      <c r="AM12" s="73">
        <f t="shared" si="27"/>
        <v>-41.016999999999825</v>
      </c>
      <c r="AN12" s="74">
        <f t="shared" si="28"/>
        <v>-22.324249699999967</v>
      </c>
      <c r="AO12" s="74">
        <f t="shared" si="29"/>
        <v>-6.5531059000001051</v>
      </c>
      <c r="AP12" s="75">
        <f t="shared" si="30"/>
        <v>-8.2009647691880447E-2</v>
      </c>
      <c r="AQ12" s="76">
        <f t="shared" si="31"/>
        <v>-11982.748779206351</v>
      </c>
      <c r="AR12" s="90">
        <f t="shared" si="32"/>
        <v>-1.0169999999998254</v>
      </c>
    </row>
    <row r="13" spans="1:44" x14ac:dyDescent="0.25">
      <c r="A13" t="str">
        <f t="shared" si="15"/>
        <v>46178E</v>
      </c>
      <c r="B13" s="51">
        <f t="shared" si="33"/>
        <v>46178</v>
      </c>
      <c r="C13" s="52" t="s">
        <v>88</v>
      </c>
      <c r="D13" s="91">
        <v>3480</v>
      </c>
      <c r="E13" s="62">
        <v>4</v>
      </c>
      <c r="F13" s="62">
        <v>8.15</v>
      </c>
      <c r="G13" s="62">
        <f t="shared" si="16"/>
        <v>139.20000000000002</v>
      </c>
      <c r="H13" s="63">
        <f t="shared" si="17"/>
        <v>283.62</v>
      </c>
      <c r="I13" s="203">
        <v>5251.4</v>
      </c>
      <c r="J13" s="203">
        <v>5408.942</v>
      </c>
      <c r="K13" s="203">
        <v>3.69</v>
      </c>
      <c r="L13" s="203">
        <v>8.09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8"/>
        <v>5408.942</v>
      </c>
      <c r="S13" s="62">
        <f t="shared" si="19"/>
        <v>199.5899598</v>
      </c>
      <c r="T13" s="63">
        <f t="shared" si="20"/>
        <v>437.58340779999997</v>
      </c>
      <c r="U13" s="64" t="s">
        <v>167</v>
      </c>
      <c r="V13" s="6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21"/>
        <v>0</v>
      </c>
      <c r="AB13" s="63">
        <f t="shared" si="22"/>
        <v>0</v>
      </c>
      <c r="AC13" s="69"/>
      <c r="AD13" s="70"/>
      <c r="AE13" s="70"/>
      <c r="AF13" s="62">
        <f t="shared" si="23"/>
        <v>0</v>
      </c>
      <c r="AG13" s="62">
        <f t="shared" si="24"/>
        <v>0</v>
      </c>
      <c r="AH13" s="89">
        <v>8890</v>
      </c>
      <c r="AI13" s="66">
        <v>3.81</v>
      </c>
      <c r="AJ13" s="66">
        <v>8.11</v>
      </c>
      <c r="AK13" s="62">
        <f t="shared" si="25"/>
        <v>338.709</v>
      </c>
      <c r="AL13" s="72">
        <f t="shared" si="26"/>
        <v>720.97899999999993</v>
      </c>
      <c r="AM13" s="73">
        <f t="shared" si="27"/>
        <v>-1.0580000000009022</v>
      </c>
      <c r="AN13" s="74">
        <f t="shared" si="28"/>
        <v>8.0959800000016457E-2</v>
      </c>
      <c r="AO13" s="74">
        <f t="shared" si="29"/>
        <v>0.2244077999999945</v>
      </c>
      <c r="AP13" s="75">
        <f t="shared" si="30"/>
        <v>4.7925355253032543E-4</v>
      </c>
      <c r="AQ13" s="76">
        <f t="shared" si="31"/>
        <v>103.50293415000576</v>
      </c>
      <c r="AR13" s="90">
        <f t="shared" si="32"/>
        <v>-1.0580000000009022</v>
      </c>
    </row>
    <row r="14" spans="1:44" x14ac:dyDescent="0.25">
      <c r="A14" t="str">
        <f t="shared" si="15"/>
        <v>46179M</v>
      </c>
      <c r="B14" s="51">
        <f t="shared" si="33"/>
        <v>46179</v>
      </c>
      <c r="C14" s="52" t="s">
        <v>87</v>
      </c>
      <c r="D14" s="91">
        <v>8890</v>
      </c>
      <c r="E14" s="62">
        <v>3.81</v>
      </c>
      <c r="F14" s="62">
        <v>8.11</v>
      </c>
      <c r="G14" s="62">
        <f t="shared" si="16"/>
        <v>338.709</v>
      </c>
      <c r="H14" s="63">
        <f t="shared" si="17"/>
        <v>720.97899999999993</v>
      </c>
      <c r="I14" s="203">
        <v>3520.6</v>
      </c>
      <c r="J14" s="203">
        <v>3626.2179999999998</v>
      </c>
      <c r="K14" s="203">
        <v>4.1500000000000004</v>
      </c>
      <c r="L14" s="203">
        <v>8.16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8"/>
        <v>3626.2179999999998</v>
      </c>
      <c r="S14" s="62">
        <f t="shared" si="19"/>
        <v>150.48804699999999</v>
      </c>
      <c r="T14" s="63">
        <f t="shared" si="20"/>
        <v>295.8993888</v>
      </c>
      <c r="U14" s="64" t="s">
        <v>168</v>
      </c>
      <c r="V14" s="65" t="s">
        <v>345</v>
      </c>
      <c r="W14" s="66" t="s">
        <v>225</v>
      </c>
      <c r="X14" s="67">
        <v>9870</v>
      </c>
      <c r="Y14" s="68">
        <v>4.05</v>
      </c>
      <c r="Z14" s="68">
        <v>8.2200000000000006</v>
      </c>
      <c r="AA14" s="62">
        <f t="shared" si="21"/>
        <v>399.73500000000001</v>
      </c>
      <c r="AB14" s="63">
        <f t="shared" si="22"/>
        <v>811.31400000000008</v>
      </c>
      <c r="AC14" s="69">
        <v>9820</v>
      </c>
      <c r="AD14" s="70">
        <v>4</v>
      </c>
      <c r="AE14" s="70">
        <v>8.15</v>
      </c>
      <c r="AF14" s="62">
        <f t="shared" si="23"/>
        <v>392.8</v>
      </c>
      <c r="AG14" s="62">
        <f t="shared" si="24"/>
        <v>800.33</v>
      </c>
      <c r="AH14" s="89">
        <v>2687</v>
      </c>
      <c r="AI14" s="66">
        <v>3.91</v>
      </c>
      <c r="AJ14" s="66">
        <v>8.1199999999999992</v>
      </c>
      <c r="AK14" s="62">
        <f t="shared" si="25"/>
        <v>105.0617</v>
      </c>
      <c r="AL14" s="72">
        <f t="shared" si="26"/>
        <v>218.18439999999998</v>
      </c>
      <c r="AM14" s="73">
        <f t="shared" si="27"/>
        <v>9.2180000000007567</v>
      </c>
      <c r="AN14" s="74">
        <f t="shared" si="28"/>
        <v>-8.6646530000000155</v>
      </c>
      <c r="AO14" s="74">
        <f t="shared" si="29"/>
        <v>-1.6360112000000981</v>
      </c>
      <c r="AP14" s="75">
        <f t="shared" si="30"/>
        <v>-2.3075614082953798E-2</v>
      </c>
      <c r="AQ14" s="76">
        <f t="shared" si="31"/>
        <v>-4379.2639034247031</v>
      </c>
      <c r="AR14" s="90">
        <f t="shared" si="32"/>
        <v>-40.781999999999243</v>
      </c>
    </row>
    <row r="15" spans="1:44" x14ac:dyDescent="0.25">
      <c r="A15" t="str">
        <f t="shared" si="15"/>
        <v>46179E</v>
      </c>
      <c r="B15" s="51">
        <f t="shared" si="33"/>
        <v>46179</v>
      </c>
      <c r="C15" s="52" t="s">
        <v>88</v>
      </c>
      <c r="D15" s="91">
        <v>2687</v>
      </c>
      <c r="E15" s="62">
        <v>3.91</v>
      </c>
      <c r="F15" s="62">
        <v>8.1199999999999992</v>
      </c>
      <c r="G15" s="62">
        <f t="shared" si="16"/>
        <v>105.0617</v>
      </c>
      <c r="H15" s="63">
        <f t="shared" si="17"/>
        <v>218.18439999999998</v>
      </c>
      <c r="I15" s="203">
        <v>4099.1000000000004</v>
      </c>
      <c r="J15" s="203">
        <v>4222.0730000000003</v>
      </c>
      <c r="K15" s="203">
        <v>3.88</v>
      </c>
      <c r="L15" s="203">
        <v>8.1199999999999992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8"/>
        <v>4222.0730000000003</v>
      </c>
      <c r="S15" s="62">
        <f t="shared" si="19"/>
        <v>163.81643240000002</v>
      </c>
      <c r="T15" s="63">
        <f t="shared" si="20"/>
        <v>342.83232759999999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21"/>
        <v>0</v>
      </c>
      <c r="AB15" s="63">
        <f t="shared" si="22"/>
        <v>0</v>
      </c>
      <c r="AC15" s="69"/>
      <c r="AD15" s="70"/>
      <c r="AE15" s="70"/>
      <c r="AF15" s="62">
        <f t="shared" si="23"/>
        <v>0</v>
      </c>
      <c r="AG15" s="62">
        <f t="shared" si="24"/>
        <v>0</v>
      </c>
      <c r="AH15" s="89">
        <v>6910</v>
      </c>
      <c r="AI15" s="66">
        <v>3.89</v>
      </c>
      <c r="AJ15" s="66">
        <v>8.1199999999999992</v>
      </c>
      <c r="AK15" s="62">
        <f t="shared" si="25"/>
        <v>268.79900000000004</v>
      </c>
      <c r="AL15" s="72">
        <f t="shared" si="26"/>
        <v>561.09199999999998</v>
      </c>
      <c r="AM15" s="73">
        <f t="shared" si="27"/>
        <v>-0.92699999999967986</v>
      </c>
      <c r="AN15" s="74">
        <f t="shared" si="28"/>
        <v>7.9132399999991776E-2</v>
      </c>
      <c r="AO15" s="74">
        <f t="shared" si="29"/>
        <v>-7.5272400000017115E-2</v>
      </c>
      <c r="AP15" s="75">
        <f t="shared" si="30"/>
        <v>7.6186903131365827E-6</v>
      </c>
      <c r="AQ15" s="76">
        <f t="shared" si="31"/>
        <v>12.996303627991189</v>
      </c>
      <c r="AR15" s="90">
        <f t="shared" si="32"/>
        <v>-0.92699999999967986</v>
      </c>
    </row>
    <row r="16" spans="1:44" x14ac:dyDescent="0.25">
      <c r="A16" t="str">
        <f t="shared" si="15"/>
        <v>46180M</v>
      </c>
      <c r="B16" s="51">
        <f t="shared" si="33"/>
        <v>46180</v>
      </c>
      <c r="C16" s="52" t="s">
        <v>87</v>
      </c>
      <c r="D16" s="91">
        <v>6910</v>
      </c>
      <c r="E16" s="62">
        <v>3.89</v>
      </c>
      <c r="F16" s="62">
        <v>8.1199999999999992</v>
      </c>
      <c r="G16" s="62">
        <f t="shared" si="16"/>
        <v>268.79900000000004</v>
      </c>
      <c r="H16" s="63">
        <f t="shared" si="17"/>
        <v>561.09199999999998</v>
      </c>
      <c r="I16" s="203">
        <v>3616.9</v>
      </c>
      <c r="J16" s="203">
        <v>3725.4070000000002</v>
      </c>
      <c r="K16" s="203">
        <v>4.1900000000000004</v>
      </c>
      <c r="L16" s="203">
        <v>8.2100000000000009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8"/>
        <v>3725.4070000000002</v>
      </c>
      <c r="S16" s="62">
        <f t="shared" si="19"/>
        <v>156.09455330000003</v>
      </c>
      <c r="T16" s="63">
        <f t="shared" si="20"/>
        <v>305.85591470000003</v>
      </c>
      <c r="U16" s="64" t="s">
        <v>168</v>
      </c>
      <c r="V16" s="65" t="s">
        <v>346</v>
      </c>
      <c r="W16" s="66" t="s">
        <v>225</v>
      </c>
      <c r="X16" s="67">
        <v>9870</v>
      </c>
      <c r="Y16" s="68">
        <v>4.2</v>
      </c>
      <c r="Z16" s="68">
        <v>8.25</v>
      </c>
      <c r="AA16" s="62">
        <f t="shared" si="21"/>
        <v>414.54</v>
      </c>
      <c r="AB16" s="63">
        <f t="shared" si="22"/>
        <v>814.27500000000009</v>
      </c>
      <c r="AC16" s="69">
        <v>9840</v>
      </c>
      <c r="AD16" s="70">
        <v>4.0999999999999988</v>
      </c>
      <c r="AE16" s="70">
        <v>8.0399999999999974</v>
      </c>
      <c r="AF16" s="62">
        <f t="shared" si="23"/>
        <v>403.43999999999988</v>
      </c>
      <c r="AG16" s="62">
        <f t="shared" si="24"/>
        <v>791.13599999999974</v>
      </c>
      <c r="AH16" s="89">
        <v>766</v>
      </c>
      <c r="AI16" s="118">
        <v>4</v>
      </c>
      <c r="AJ16" s="118">
        <v>8.15</v>
      </c>
      <c r="AK16" s="62">
        <f t="shared" si="25"/>
        <v>30.64</v>
      </c>
      <c r="AL16" s="72">
        <f t="shared" si="26"/>
        <v>62.429000000000002</v>
      </c>
      <c r="AM16" s="73">
        <f t="shared" si="27"/>
        <v>29.406999999999243</v>
      </c>
      <c r="AN16" s="74">
        <f t="shared" si="28"/>
        <v>-9.18644669999982</v>
      </c>
      <c r="AO16" s="74">
        <f t="shared" si="29"/>
        <v>13.382914700000214</v>
      </c>
      <c r="AP16" s="75">
        <f t="shared" si="30"/>
        <v>9.0842380096915355E-3</v>
      </c>
      <c r="AQ16" s="76">
        <f t="shared" si="31"/>
        <v>-118.73829611218844</v>
      </c>
      <c r="AR16" s="90">
        <f t="shared" si="14"/>
        <v>-0.5930000000007567</v>
      </c>
    </row>
    <row r="17" spans="1:48" x14ac:dyDescent="0.25">
      <c r="A17" t="str">
        <f t="shared" si="15"/>
        <v>46180E</v>
      </c>
      <c r="B17" s="51">
        <f t="shared" si="33"/>
        <v>46180</v>
      </c>
      <c r="C17" s="52" t="s">
        <v>88</v>
      </c>
      <c r="D17" s="91">
        <v>766</v>
      </c>
      <c r="E17" s="62">
        <v>4</v>
      </c>
      <c r="F17" s="62">
        <v>8.15</v>
      </c>
      <c r="G17" s="62">
        <f t="shared" si="16"/>
        <v>30.64</v>
      </c>
      <c r="H17" s="63">
        <f t="shared" si="17"/>
        <v>62.429000000000002</v>
      </c>
      <c r="I17" s="203">
        <v>3896</v>
      </c>
      <c r="J17" s="203">
        <v>4012.88</v>
      </c>
      <c r="K17" s="203">
        <v>3.96</v>
      </c>
      <c r="L17" s="203">
        <v>8.14</v>
      </c>
      <c r="M17" s="58" t="s">
        <v>159</v>
      </c>
      <c r="N17" s="58" t="s">
        <v>224</v>
      </c>
      <c r="O17" s="59">
        <v>3035</v>
      </c>
      <c r="P17" s="56">
        <v>4.0999999999999996</v>
      </c>
      <c r="Q17" s="60">
        <v>8</v>
      </c>
      <c r="R17" s="61">
        <f t="shared" si="18"/>
        <v>7047.88</v>
      </c>
      <c r="S17" s="62">
        <f t="shared" si="19"/>
        <v>283.34504799999996</v>
      </c>
      <c r="T17" s="63">
        <f t="shared" si="20"/>
        <v>569.44843200000003</v>
      </c>
      <c r="U17" s="64" t="s">
        <v>167</v>
      </c>
      <c r="V17" s="65" t="s">
        <v>167</v>
      </c>
      <c r="W17" s="66" t="s">
        <v>187</v>
      </c>
      <c r="X17" s="67">
        <v>0</v>
      </c>
      <c r="Y17" s="68">
        <v>0</v>
      </c>
      <c r="Z17" s="68">
        <v>0</v>
      </c>
      <c r="AA17" s="62">
        <f t="shared" si="21"/>
        <v>0</v>
      </c>
      <c r="AB17" s="63">
        <f t="shared" si="22"/>
        <v>0</v>
      </c>
      <c r="AC17" s="69"/>
      <c r="AD17" s="70"/>
      <c r="AE17" s="70"/>
      <c r="AF17" s="62">
        <f t="shared" si="23"/>
        <v>0</v>
      </c>
      <c r="AG17" s="62">
        <f t="shared" si="24"/>
        <v>0</v>
      </c>
      <c r="AH17" s="89">
        <v>7814</v>
      </c>
      <c r="AI17" s="66">
        <v>4.0199999999999996</v>
      </c>
      <c r="AJ17" s="66">
        <v>8.09</v>
      </c>
      <c r="AK17" s="62">
        <f t="shared" si="25"/>
        <v>314.12279999999993</v>
      </c>
      <c r="AL17" s="72">
        <f t="shared" si="26"/>
        <v>632.15260000000001</v>
      </c>
      <c r="AM17" s="73">
        <f t="shared" si="27"/>
        <v>-0.11999999999989086</v>
      </c>
      <c r="AN17" s="74">
        <f t="shared" si="28"/>
        <v>-0.13775199999997767</v>
      </c>
      <c r="AO17" s="74">
        <f t="shared" si="29"/>
        <v>-0.27516800000000785</v>
      </c>
      <c r="AP17" s="75">
        <f t="shared" si="30"/>
        <v>-4.8419694765957348E-4</v>
      </c>
      <c r="AQ17" s="76">
        <f t="shared" si="31"/>
        <v>-144.18869490665901</v>
      </c>
      <c r="AR17" s="90">
        <f t="shared" si="14"/>
        <v>-0.11999999999989086</v>
      </c>
    </row>
    <row r="18" spans="1:48" x14ac:dyDescent="0.25">
      <c r="A18" t="str">
        <f t="shared" si="15"/>
        <v>46181M</v>
      </c>
      <c r="B18" s="51">
        <f t="shared" si="33"/>
        <v>46181</v>
      </c>
      <c r="C18" s="52" t="s">
        <v>87</v>
      </c>
      <c r="D18" s="91">
        <v>7814</v>
      </c>
      <c r="E18" s="62">
        <v>4.0199999999999996</v>
      </c>
      <c r="F18" s="62">
        <v>8.09</v>
      </c>
      <c r="G18" s="62">
        <f t="shared" si="16"/>
        <v>314.12279999999993</v>
      </c>
      <c r="H18" s="63">
        <f t="shared" si="17"/>
        <v>632.15260000000001</v>
      </c>
      <c r="I18" s="203">
        <v>3976.3</v>
      </c>
      <c r="J18" s="203">
        <v>4095.5890000000004</v>
      </c>
      <c r="K18" s="203">
        <v>4.24</v>
      </c>
      <c r="L18" s="203">
        <v>8.19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8"/>
        <v>4095.5890000000004</v>
      </c>
      <c r="S18" s="62">
        <f t="shared" si="19"/>
        <v>173.65297360000002</v>
      </c>
      <c r="T18" s="63">
        <f t="shared" si="20"/>
        <v>335.42873910000003</v>
      </c>
      <c r="U18" s="64" t="s">
        <v>168</v>
      </c>
      <c r="V18" s="65" t="s">
        <v>424</v>
      </c>
      <c r="W18" s="66" t="s">
        <v>225</v>
      </c>
      <c r="X18" s="67">
        <v>9860</v>
      </c>
      <c r="Y18" s="68">
        <v>4.2</v>
      </c>
      <c r="Z18" s="68">
        <v>8.18</v>
      </c>
      <c r="AA18" s="62">
        <f t="shared" si="21"/>
        <v>414.12</v>
      </c>
      <c r="AB18" s="63">
        <f t="shared" si="22"/>
        <v>806.548</v>
      </c>
      <c r="AC18" s="69">
        <v>9850</v>
      </c>
      <c r="AD18" s="70">
        <v>4.0999999999999996</v>
      </c>
      <c r="AE18" s="70">
        <v>8.0399999999999974</v>
      </c>
      <c r="AF18" s="62">
        <f t="shared" si="23"/>
        <v>403.84999999999997</v>
      </c>
      <c r="AG18" s="62">
        <f t="shared" si="24"/>
        <v>791.93999999999971</v>
      </c>
      <c r="AH18" s="89">
        <v>2051</v>
      </c>
      <c r="AI18" s="66">
        <v>4.0999999999999996</v>
      </c>
      <c r="AJ18" s="66">
        <v>8.1199999999999992</v>
      </c>
      <c r="AK18" s="62">
        <f t="shared" si="25"/>
        <v>84.090999999999994</v>
      </c>
      <c r="AL18" s="72">
        <f t="shared" si="26"/>
        <v>166.54119999999998</v>
      </c>
      <c r="AM18" s="73">
        <f t="shared" si="27"/>
        <v>8.5889999999999418</v>
      </c>
      <c r="AN18" s="74">
        <f t="shared" si="28"/>
        <v>-0.16522639999998034</v>
      </c>
      <c r="AO18" s="74">
        <f t="shared" si="29"/>
        <v>9.100139100000348</v>
      </c>
      <c r="AP18" s="75">
        <f t="shared" si="30"/>
        <v>1.7551038422913608E-2</v>
      </c>
      <c r="AQ18" s="76">
        <f t="shared" si="31"/>
        <v>2649.2571790301135</v>
      </c>
      <c r="AR18" s="90">
        <f>(D18+J18+O18)-(X18+AH18)</f>
        <v>-1.4110000000000582</v>
      </c>
    </row>
    <row r="19" spans="1:48" x14ac:dyDescent="0.25">
      <c r="A19" t="str">
        <f t="shared" si="15"/>
        <v>46181E</v>
      </c>
      <c r="B19" s="51">
        <f t="shared" si="33"/>
        <v>46181</v>
      </c>
      <c r="C19" s="52" t="s">
        <v>88</v>
      </c>
      <c r="D19" s="91">
        <v>2051</v>
      </c>
      <c r="E19" s="62">
        <v>4.0999999999999996</v>
      </c>
      <c r="F19" s="62">
        <v>8.1199999999999992</v>
      </c>
      <c r="G19" s="62">
        <f t="shared" si="16"/>
        <v>84.090999999999994</v>
      </c>
      <c r="H19" s="63">
        <f t="shared" si="17"/>
        <v>166.54119999999998</v>
      </c>
      <c r="I19" s="203">
        <v>4264.8999999999996</v>
      </c>
      <c r="J19" s="203">
        <v>4392.8469999999998</v>
      </c>
      <c r="K19" s="203">
        <v>4.01</v>
      </c>
      <c r="L19" s="203">
        <v>8.2100000000000009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8"/>
        <v>4392.8469999999998</v>
      </c>
      <c r="S19" s="62">
        <f t="shared" si="19"/>
        <v>176.15316469999996</v>
      </c>
      <c r="T19" s="63">
        <f t="shared" si="20"/>
        <v>360.65273869999999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21"/>
        <v>0</v>
      </c>
      <c r="AB19" s="63">
        <f t="shared" si="22"/>
        <v>0</v>
      </c>
      <c r="AC19" s="69"/>
      <c r="AD19" s="70"/>
      <c r="AE19" s="70"/>
      <c r="AF19" s="62">
        <f t="shared" si="23"/>
        <v>0</v>
      </c>
      <c r="AG19" s="62">
        <f t="shared" si="24"/>
        <v>0</v>
      </c>
      <c r="AH19" s="89">
        <v>6444</v>
      </c>
      <c r="AI19" s="66">
        <v>4.04</v>
      </c>
      <c r="AJ19" s="66">
        <v>8.18</v>
      </c>
      <c r="AK19" s="62">
        <f t="shared" si="25"/>
        <v>260.33760000000001</v>
      </c>
      <c r="AL19" s="72">
        <f t="shared" si="26"/>
        <v>527.11919999999998</v>
      </c>
      <c r="AM19" s="73">
        <f t="shared" si="27"/>
        <v>-0.15300000000024738</v>
      </c>
      <c r="AN19" s="74">
        <f t="shared" si="28"/>
        <v>-9.3435300000066945E-2</v>
      </c>
      <c r="AO19" s="74">
        <f t="shared" si="29"/>
        <v>7.4738700000011704E-2</v>
      </c>
      <c r="AP19" s="75">
        <f t="shared" si="30"/>
        <v>-3.4829348711769856E-5</v>
      </c>
      <c r="AQ19" s="76">
        <f t="shared" si="31"/>
        <v>-19.57674064502655</v>
      </c>
      <c r="AR19" s="90">
        <f>(D19+J19+O19)-(X19+AH19)</f>
        <v>-0.15300000000024738</v>
      </c>
    </row>
    <row r="20" spans="1:48" x14ac:dyDescent="0.25">
      <c r="A20" t="str">
        <f t="shared" si="15"/>
        <v>46182M</v>
      </c>
      <c r="B20" s="51">
        <f t="shared" si="33"/>
        <v>46182</v>
      </c>
      <c r="C20" s="52" t="s">
        <v>87</v>
      </c>
      <c r="D20" s="91">
        <v>6444</v>
      </c>
      <c r="E20" s="62">
        <v>4.04</v>
      </c>
      <c r="F20" s="62">
        <v>8.18</v>
      </c>
      <c r="G20" s="62">
        <f t="shared" si="16"/>
        <v>260.33760000000001</v>
      </c>
      <c r="H20" s="63">
        <f t="shared" si="17"/>
        <v>527.11919999999998</v>
      </c>
      <c r="I20" s="203">
        <v>3618.6</v>
      </c>
      <c r="J20" s="203">
        <v>3727.1579999999999</v>
      </c>
      <c r="K20" s="203">
        <v>4.1900000000000004</v>
      </c>
      <c r="L20" s="203">
        <v>8.27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8"/>
        <v>3727.1579999999999</v>
      </c>
      <c r="S20" s="62">
        <f t="shared" si="19"/>
        <v>156.16792020000003</v>
      </c>
      <c r="T20" s="63">
        <f t="shared" si="20"/>
        <v>308.23596659999998</v>
      </c>
      <c r="U20" s="64" t="s">
        <v>168</v>
      </c>
      <c r="V20" s="65" t="s">
        <v>425</v>
      </c>
      <c r="W20" s="66" t="s">
        <v>227</v>
      </c>
      <c r="X20" s="67">
        <v>9870</v>
      </c>
      <c r="Y20" s="68">
        <v>4.25</v>
      </c>
      <c r="Z20" s="68">
        <v>8.26</v>
      </c>
      <c r="AA20" s="62">
        <f t="shared" si="21"/>
        <v>419.47500000000002</v>
      </c>
      <c r="AB20" s="63">
        <f t="shared" si="22"/>
        <v>815.26199999999994</v>
      </c>
      <c r="AC20" s="69">
        <v>9850</v>
      </c>
      <c r="AD20" s="70">
        <v>4.2</v>
      </c>
      <c r="AE20" s="70">
        <v>8.25</v>
      </c>
      <c r="AF20" s="62">
        <f t="shared" si="23"/>
        <v>413.70000000000005</v>
      </c>
      <c r="AG20" s="62">
        <f t="shared" si="24"/>
        <v>812.625</v>
      </c>
      <c r="AH20" s="89">
        <v>302</v>
      </c>
      <c r="AI20" s="66">
        <v>4.09</v>
      </c>
      <c r="AJ20" s="66">
        <v>8.2100000000000009</v>
      </c>
      <c r="AK20" s="62">
        <f t="shared" si="25"/>
        <v>12.351799999999999</v>
      </c>
      <c r="AL20" s="72">
        <f t="shared" si="26"/>
        <v>24.794200000000004</v>
      </c>
      <c r="AM20" s="73">
        <f t="shared" si="27"/>
        <v>19.157999999999447</v>
      </c>
      <c r="AN20" s="74">
        <f t="shared" si="28"/>
        <v>-9.5462798000000095</v>
      </c>
      <c r="AO20" s="74">
        <f t="shared" si="29"/>
        <v>-2.0640334000000422</v>
      </c>
      <c r="AP20" s="75">
        <f t="shared" si="30"/>
        <v>-2.500046517698536E-2</v>
      </c>
      <c r="AQ20" s="76">
        <f t="shared" si="31"/>
        <v>-4903.1306207473508</v>
      </c>
      <c r="AR20" s="90">
        <f>(D20+J20+O20)-(X20+AH20)</f>
        <v>-0.84200000000055297</v>
      </c>
    </row>
    <row r="21" spans="1:48" x14ac:dyDescent="0.25">
      <c r="A21" t="str">
        <f t="shared" si="15"/>
        <v>46182E</v>
      </c>
      <c r="B21" s="51">
        <f t="shared" si="33"/>
        <v>46182</v>
      </c>
      <c r="C21" s="52" t="s">
        <v>88</v>
      </c>
      <c r="D21" s="91">
        <v>302</v>
      </c>
      <c r="E21" s="62">
        <v>4.09</v>
      </c>
      <c r="F21" s="62">
        <v>8.2100000000000009</v>
      </c>
      <c r="G21" s="62">
        <f t="shared" si="16"/>
        <v>12.351799999999999</v>
      </c>
      <c r="H21" s="63">
        <f t="shared" si="17"/>
        <v>24.794200000000004</v>
      </c>
      <c r="I21" s="203">
        <v>4265</v>
      </c>
      <c r="J21" s="203">
        <v>4392.95</v>
      </c>
      <c r="K21" s="203">
        <v>4.04</v>
      </c>
      <c r="L21" s="203">
        <v>8.2200000000000006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8"/>
        <v>4392.95</v>
      </c>
      <c r="S21" s="62">
        <f t="shared" si="19"/>
        <v>177.47517999999999</v>
      </c>
      <c r="T21" s="63">
        <f t="shared" si="20"/>
        <v>361.10049000000004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21"/>
        <v>0</v>
      </c>
      <c r="AB21" s="63">
        <f t="shared" si="22"/>
        <v>0</v>
      </c>
      <c r="AC21" s="69"/>
      <c r="AD21" s="70"/>
      <c r="AE21" s="70"/>
      <c r="AF21" s="62">
        <f t="shared" si="23"/>
        <v>0</v>
      </c>
      <c r="AG21" s="62">
        <f t="shared" si="24"/>
        <v>0</v>
      </c>
      <c r="AH21" s="89">
        <v>4695</v>
      </c>
      <c r="AI21" s="66">
        <v>4.04</v>
      </c>
      <c r="AJ21" s="66">
        <v>8.2200000000000006</v>
      </c>
      <c r="AK21" s="62">
        <f t="shared" si="25"/>
        <v>189.678</v>
      </c>
      <c r="AL21" s="72">
        <f t="shared" si="26"/>
        <v>385.92900000000003</v>
      </c>
      <c r="AM21" s="73">
        <f t="shared" si="27"/>
        <v>-5.0000000000181899E-2</v>
      </c>
      <c r="AN21" s="74">
        <f t="shared" si="28"/>
        <v>0.14897999999999456</v>
      </c>
      <c r="AO21" s="74">
        <f t="shared" si="29"/>
        <v>-3.4310000000004948E-2</v>
      </c>
      <c r="AP21" s="75">
        <f t="shared" si="30"/>
        <v>2.129134425994208E-4</v>
      </c>
      <c r="AQ21" s="76">
        <f t="shared" si="31"/>
        <v>56.610543733329408</v>
      </c>
      <c r="AR21" s="90">
        <f>(D21+J21+O21)-(X21+AH21)</f>
        <v>-5.0000000000181899E-2</v>
      </c>
    </row>
    <row r="22" spans="1:48" x14ac:dyDescent="0.25">
      <c r="A22" t="str">
        <f t="shared" si="15"/>
        <v>46183M</v>
      </c>
      <c r="B22" s="51">
        <f t="shared" si="33"/>
        <v>46183</v>
      </c>
      <c r="C22" s="52" t="s">
        <v>87</v>
      </c>
      <c r="D22" s="91">
        <v>4695</v>
      </c>
      <c r="E22" s="62">
        <v>4.04</v>
      </c>
      <c r="F22" s="62">
        <v>8.2200000000000006</v>
      </c>
      <c r="G22" s="62">
        <f t="shared" si="16"/>
        <v>189.678</v>
      </c>
      <c r="H22" s="63">
        <f t="shared" si="17"/>
        <v>385.92900000000003</v>
      </c>
      <c r="I22" s="203">
        <v>3442.2</v>
      </c>
      <c r="J22" s="203">
        <v>3545.4659999999999</v>
      </c>
      <c r="K22" s="203">
        <v>4.13</v>
      </c>
      <c r="L22" s="203">
        <v>8.24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8"/>
        <v>3545.4659999999999</v>
      </c>
      <c r="S22" s="62">
        <f t="shared" si="19"/>
        <v>146.4277458</v>
      </c>
      <c r="T22" s="63">
        <f t="shared" si="20"/>
        <v>292.14639840000001</v>
      </c>
      <c r="U22" s="64" t="s">
        <v>168</v>
      </c>
      <c r="V22" s="65" t="s">
        <v>426</v>
      </c>
      <c r="W22" s="66" t="s">
        <v>159</v>
      </c>
      <c r="X22" s="67">
        <v>5930</v>
      </c>
      <c r="Y22" s="68">
        <v>4.2</v>
      </c>
      <c r="Z22" s="68">
        <v>8.25</v>
      </c>
      <c r="AA22" s="62">
        <f t="shared" si="21"/>
        <v>249.06</v>
      </c>
      <c r="AB22" s="63">
        <f t="shared" si="22"/>
        <v>489.22500000000002</v>
      </c>
      <c r="AC22" s="226">
        <v>5930</v>
      </c>
      <c r="AD22" s="227">
        <v>4.2</v>
      </c>
      <c r="AE22" s="227">
        <v>8.25</v>
      </c>
      <c r="AF22" s="62">
        <f t="shared" si="23"/>
        <v>249.06</v>
      </c>
      <c r="AG22" s="62">
        <f t="shared" si="24"/>
        <v>489.22500000000002</v>
      </c>
      <c r="AH22" s="89">
        <v>2312</v>
      </c>
      <c r="AI22" s="66">
        <v>4.08</v>
      </c>
      <c r="AJ22" s="66">
        <v>8.23</v>
      </c>
      <c r="AK22" s="62">
        <f t="shared" si="25"/>
        <v>94.329600000000013</v>
      </c>
      <c r="AL22" s="72">
        <f t="shared" si="26"/>
        <v>190.27760000000001</v>
      </c>
      <c r="AM22" s="73">
        <f t="shared" si="27"/>
        <v>-1.5339999999996508</v>
      </c>
      <c r="AN22" s="74">
        <f t="shared" si="28"/>
        <v>-7.2838541999999933</v>
      </c>
      <c r="AO22" s="74">
        <f t="shared" si="29"/>
        <v>-1.4272015999999894</v>
      </c>
      <c r="AP22" s="75">
        <f t="shared" si="30"/>
        <v>-1.9862219228381005E-2</v>
      </c>
      <c r="AQ22" s="76">
        <f t="shared" si="31"/>
        <v>-3696.9183690926607</v>
      </c>
      <c r="AR22" s="90">
        <f t="shared" si="14"/>
        <v>-1.5339999999996508</v>
      </c>
      <c r="AT22" s="83"/>
      <c r="AU22" s="83"/>
    </row>
    <row r="23" spans="1:48" x14ac:dyDescent="0.25">
      <c r="A23" t="str">
        <f t="shared" si="15"/>
        <v>46183E</v>
      </c>
      <c r="B23" s="51">
        <f t="shared" si="33"/>
        <v>46183</v>
      </c>
      <c r="C23" s="52" t="s">
        <v>88</v>
      </c>
      <c r="D23" s="91">
        <v>2312</v>
      </c>
      <c r="E23" s="62">
        <v>4.08</v>
      </c>
      <c r="F23" s="62">
        <v>8.23</v>
      </c>
      <c r="G23" s="62">
        <f t="shared" si="16"/>
        <v>94.329600000000013</v>
      </c>
      <c r="H23" s="63">
        <f t="shared" si="17"/>
        <v>190.27760000000001</v>
      </c>
      <c r="I23" s="203">
        <v>4209.8</v>
      </c>
      <c r="J23" s="203">
        <v>4336.0940000000001</v>
      </c>
      <c r="K23" s="203">
        <v>3.9</v>
      </c>
      <c r="L23" s="203">
        <v>8.2100000000000009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8"/>
        <v>4336.0940000000001</v>
      </c>
      <c r="S23" s="62">
        <f t="shared" si="19"/>
        <v>169.10766599999999</v>
      </c>
      <c r="T23" s="63">
        <f t="shared" si="20"/>
        <v>355.99331740000002</v>
      </c>
      <c r="U23" s="64" t="s">
        <v>167</v>
      </c>
      <c r="V23" s="65" t="s">
        <v>167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21"/>
        <v>0</v>
      </c>
      <c r="AB23" s="63">
        <f t="shared" si="22"/>
        <v>0</v>
      </c>
      <c r="AC23" s="69"/>
      <c r="AD23" s="70"/>
      <c r="AE23" s="70"/>
      <c r="AF23" s="62">
        <f t="shared" si="23"/>
        <v>0</v>
      </c>
      <c r="AG23" s="62">
        <f t="shared" si="24"/>
        <v>0</v>
      </c>
      <c r="AH23" s="89">
        <v>6649</v>
      </c>
      <c r="AI23" s="66">
        <v>3.96</v>
      </c>
      <c r="AJ23" s="84">
        <v>8.2200000000000006</v>
      </c>
      <c r="AK23" s="62">
        <f t="shared" si="25"/>
        <v>263.30039999999997</v>
      </c>
      <c r="AL23" s="72">
        <f t="shared" si="26"/>
        <v>546.54780000000005</v>
      </c>
      <c r="AM23" s="73">
        <f t="shared" si="27"/>
        <v>-0.90599999999994907</v>
      </c>
      <c r="AN23" s="74">
        <f t="shared" si="28"/>
        <v>0.13686600000005456</v>
      </c>
      <c r="AO23" s="74">
        <f t="shared" si="29"/>
        <v>-0.27688260000002174</v>
      </c>
      <c r="AP23" s="75">
        <f t="shared" si="30"/>
        <v>-2.6664699634224145E-4</v>
      </c>
      <c r="AQ23" s="76">
        <f t="shared" si="31"/>
        <v>-21.423062583982016</v>
      </c>
      <c r="AR23" s="90">
        <f t="shared" si="14"/>
        <v>-0.90599999999994907</v>
      </c>
      <c r="AU23" s="83"/>
    </row>
    <row r="24" spans="1:48" x14ac:dyDescent="0.25">
      <c r="A24" t="str">
        <f t="shared" si="15"/>
        <v>46184M</v>
      </c>
      <c r="B24" s="51">
        <f t="shared" si="33"/>
        <v>46184</v>
      </c>
      <c r="C24" s="52" t="s">
        <v>87</v>
      </c>
      <c r="D24" s="91">
        <v>6649</v>
      </c>
      <c r="E24" s="62">
        <v>3.96</v>
      </c>
      <c r="F24" s="62">
        <v>8.2200000000000006</v>
      </c>
      <c r="G24" s="62">
        <f t="shared" si="16"/>
        <v>263.30039999999997</v>
      </c>
      <c r="H24" s="63">
        <f t="shared" si="17"/>
        <v>546.54780000000005</v>
      </c>
      <c r="I24" s="203">
        <v>3806.3</v>
      </c>
      <c r="J24" s="203">
        <v>3920.4890000000005</v>
      </c>
      <c r="K24" s="203">
        <v>4.37</v>
      </c>
      <c r="L24" s="203">
        <v>8.35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8"/>
        <v>3920.4890000000005</v>
      </c>
      <c r="S24" s="62">
        <f t="shared" si="19"/>
        <v>171.32536930000003</v>
      </c>
      <c r="T24" s="63">
        <f t="shared" si="20"/>
        <v>327.36083150000002</v>
      </c>
      <c r="U24" s="64" t="s">
        <v>170</v>
      </c>
      <c r="V24" s="65" t="s">
        <v>427</v>
      </c>
      <c r="W24" s="66" t="s">
        <v>227</v>
      </c>
      <c r="X24" s="67">
        <v>10070</v>
      </c>
      <c r="Y24" s="68">
        <v>4.1500000000000004</v>
      </c>
      <c r="Z24" s="68">
        <v>8.24</v>
      </c>
      <c r="AA24" s="62">
        <f t="shared" si="21"/>
        <v>417.90500000000003</v>
      </c>
      <c r="AB24" s="63">
        <f t="shared" si="22"/>
        <v>829.76800000000003</v>
      </c>
      <c r="AC24" s="226">
        <v>10070</v>
      </c>
      <c r="AD24" s="227">
        <v>4.1500000000000004</v>
      </c>
      <c r="AE24" s="227">
        <v>8.24</v>
      </c>
      <c r="AF24" s="62">
        <f t="shared" si="23"/>
        <v>417.90500000000003</v>
      </c>
      <c r="AG24" s="62">
        <f t="shared" si="24"/>
        <v>829.76800000000003</v>
      </c>
      <c r="AH24" s="89">
        <v>501</v>
      </c>
      <c r="AI24" s="66">
        <v>4.1100000000000003</v>
      </c>
      <c r="AJ24" s="66">
        <v>8.27</v>
      </c>
      <c r="AK24" s="62">
        <f t="shared" si="25"/>
        <v>20.591100000000001</v>
      </c>
      <c r="AL24" s="72">
        <f t="shared" si="26"/>
        <v>41.432699999999997</v>
      </c>
      <c r="AM24" s="73">
        <f t="shared" si="27"/>
        <v>-1.510999999998603</v>
      </c>
      <c r="AN24" s="74">
        <f t="shared" si="28"/>
        <v>-3.8703307000000287</v>
      </c>
      <c r="AO24" s="74">
        <f t="shared" si="29"/>
        <v>2.7079315000000435</v>
      </c>
      <c r="AP24" s="75">
        <f t="shared" si="30"/>
        <v>-2.3309231298865832E-3</v>
      </c>
      <c r="AQ24" s="76">
        <f t="shared" si="31"/>
        <v>-927.01846809366646</v>
      </c>
      <c r="AR24" s="90">
        <f t="shared" si="14"/>
        <v>-1.510999999998603</v>
      </c>
      <c r="AT24" s="77"/>
      <c r="AU24" s="77"/>
      <c r="AV24" s="77"/>
    </row>
    <row r="25" spans="1:48" x14ac:dyDescent="0.25">
      <c r="A25" t="str">
        <f t="shared" si="15"/>
        <v>46184E</v>
      </c>
      <c r="B25" s="51">
        <f t="shared" si="33"/>
        <v>46184</v>
      </c>
      <c r="C25" s="52" t="s">
        <v>88</v>
      </c>
      <c r="D25" s="91">
        <v>501</v>
      </c>
      <c r="E25" s="62">
        <v>4.1100000000000003</v>
      </c>
      <c r="F25" s="62">
        <v>8.27</v>
      </c>
      <c r="G25" s="62">
        <f t="shared" si="16"/>
        <v>20.591100000000001</v>
      </c>
      <c r="H25" s="63">
        <f t="shared" si="17"/>
        <v>41.432699999999997</v>
      </c>
      <c r="I25" s="203">
        <v>4845.5</v>
      </c>
      <c r="J25" s="203">
        <v>4990.8649999999998</v>
      </c>
      <c r="K25" s="203">
        <v>4.1900000000000004</v>
      </c>
      <c r="L25" s="203">
        <v>8.35</v>
      </c>
      <c r="M25" s="58" t="s">
        <v>159</v>
      </c>
      <c r="N25" s="58" t="s">
        <v>224</v>
      </c>
      <c r="O25" s="59">
        <v>1870</v>
      </c>
      <c r="P25" s="56">
        <v>4.2</v>
      </c>
      <c r="Q25" s="60">
        <v>8.1999999999999993</v>
      </c>
      <c r="R25" s="61">
        <f t="shared" si="18"/>
        <v>6860.8649999999998</v>
      </c>
      <c r="S25" s="62">
        <f t="shared" si="19"/>
        <v>287.65724350000005</v>
      </c>
      <c r="T25" s="63">
        <f t="shared" si="20"/>
        <v>570.07722749999994</v>
      </c>
      <c r="U25" s="64" t="s">
        <v>167</v>
      </c>
      <c r="V25" s="65" t="s">
        <v>187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21"/>
        <v>0</v>
      </c>
      <c r="AB25" s="63">
        <f t="shared" si="22"/>
        <v>0</v>
      </c>
      <c r="AC25" s="69"/>
      <c r="AD25" s="70"/>
      <c r="AE25" s="70"/>
      <c r="AF25" s="62">
        <f t="shared" si="23"/>
        <v>0</v>
      </c>
      <c r="AG25" s="62">
        <f t="shared" si="24"/>
        <v>0</v>
      </c>
      <c r="AH25" s="89">
        <v>7368</v>
      </c>
      <c r="AI25" s="66">
        <v>4.1900000000000004</v>
      </c>
      <c r="AJ25" s="66">
        <v>8.31</v>
      </c>
      <c r="AK25" s="62">
        <f t="shared" si="25"/>
        <v>308.71920000000006</v>
      </c>
      <c r="AL25" s="72">
        <f t="shared" si="26"/>
        <v>612.2808</v>
      </c>
      <c r="AM25" s="73">
        <f t="shared" si="27"/>
        <v>-6.1350000000002183</v>
      </c>
      <c r="AN25" s="74">
        <f t="shared" si="28"/>
        <v>-0.47085650000002488</v>
      </c>
      <c r="AO25" s="74">
        <f t="shared" si="29"/>
        <v>-0.77087250000010954</v>
      </c>
      <c r="AP25" s="75">
        <f t="shared" si="30"/>
        <v>-1.4476846180059078E-3</v>
      </c>
      <c r="AQ25" s="76">
        <f t="shared" si="31"/>
        <v>-442.07377406504395</v>
      </c>
      <c r="AR25" s="90">
        <f t="shared" si="14"/>
        <v>-6.1350000000002183</v>
      </c>
    </row>
    <row r="26" spans="1:48" x14ac:dyDescent="0.25">
      <c r="A26" t="str">
        <f t="shared" si="15"/>
        <v>46185M</v>
      </c>
      <c r="B26" s="51">
        <f t="shared" si="33"/>
        <v>46185</v>
      </c>
      <c r="C26" s="52" t="s">
        <v>87</v>
      </c>
      <c r="D26" s="91"/>
      <c r="E26" s="62"/>
      <c r="F26" s="62"/>
      <c r="G26" s="62">
        <f t="shared" si="16"/>
        <v>0</v>
      </c>
      <c r="H26" s="63">
        <f t="shared" si="17"/>
        <v>0</v>
      </c>
      <c r="I26" s="203"/>
      <c r="J26" s="203"/>
      <c r="K26" s="203"/>
      <c r="L26" s="203"/>
      <c r="M26" s="58"/>
      <c r="N26" s="58"/>
      <c r="O26" s="59"/>
      <c r="P26" s="56"/>
      <c r="Q26" s="60"/>
      <c r="R26" s="61">
        <f t="shared" si="18"/>
        <v>0</v>
      </c>
      <c r="S26" s="62">
        <f t="shared" si="19"/>
        <v>0</v>
      </c>
      <c r="T26" s="63">
        <f t="shared" si="20"/>
        <v>0</v>
      </c>
      <c r="U26" s="64"/>
      <c r="V26" s="65"/>
      <c r="W26" s="66"/>
      <c r="X26" s="67"/>
      <c r="Y26" s="68"/>
      <c r="Z26" s="68"/>
      <c r="AA26" s="62">
        <f t="shared" si="21"/>
        <v>0</v>
      </c>
      <c r="AB26" s="63">
        <f t="shared" si="22"/>
        <v>0</v>
      </c>
      <c r="AC26" s="69"/>
      <c r="AD26" s="70"/>
      <c r="AE26" s="70"/>
      <c r="AF26" s="62">
        <f t="shared" si="23"/>
        <v>0</v>
      </c>
      <c r="AG26" s="62">
        <f t="shared" si="24"/>
        <v>0</v>
      </c>
      <c r="AH26" s="89"/>
      <c r="AI26" s="66"/>
      <c r="AJ26" s="66"/>
      <c r="AK26" s="62">
        <f t="shared" si="25"/>
        <v>0</v>
      </c>
      <c r="AL26" s="72">
        <f t="shared" si="26"/>
        <v>0</v>
      </c>
      <c r="AM26" s="73">
        <f t="shared" si="27"/>
        <v>0</v>
      </c>
      <c r="AN26" s="74">
        <f t="shared" si="28"/>
        <v>0</v>
      </c>
      <c r="AO26" s="74">
        <f t="shared" si="29"/>
        <v>0</v>
      </c>
      <c r="AP26" s="75" t="e">
        <f t="shared" si="30"/>
        <v>#DIV/0!</v>
      </c>
      <c r="AQ26" s="76">
        <f t="shared" si="31"/>
        <v>0</v>
      </c>
      <c r="AR26" s="90">
        <f t="shared" si="14"/>
        <v>0</v>
      </c>
    </row>
    <row r="27" spans="1:48" x14ac:dyDescent="0.25">
      <c r="A27" t="str">
        <f t="shared" si="15"/>
        <v>46185E</v>
      </c>
      <c r="B27" s="51">
        <f t="shared" si="33"/>
        <v>46185</v>
      </c>
      <c r="C27" s="52" t="s">
        <v>88</v>
      </c>
      <c r="D27" s="91"/>
      <c r="E27" s="62"/>
      <c r="F27" s="62"/>
      <c r="G27" s="62">
        <f t="shared" si="16"/>
        <v>0</v>
      </c>
      <c r="H27" s="63">
        <f t="shared" si="17"/>
        <v>0</v>
      </c>
      <c r="I27" s="203"/>
      <c r="J27" s="203"/>
      <c r="K27" s="203"/>
      <c r="L27" s="203"/>
      <c r="M27" s="58"/>
      <c r="N27" s="58"/>
      <c r="O27" s="59"/>
      <c r="P27" s="56"/>
      <c r="Q27" s="60"/>
      <c r="R27" s="61">
        <f t="shared" si="18"/>
        <v>0</v>
      </c>
      <c r="S27" s="62">
        <f t="shared" si="19"/>
        <v>0</v>
      </c>
      <c r="T27" s="63">
        <f t="shared" si="20"/>
        <v>0</v>
      </c>
      <c r="U27" s="64"/>
      <c r="V27" s="65"/>
      <c r="W27" s="66"/>
      <c r="X27" s="67"/>
      <c r="Y27" s="68"/>
      <c r="Z27" s="68"/>
      <c r="AA27" s="62">
        <f t="shared" si="21"/>
        <v>0</v>
      </c>
      <c r="AB27" s="63">
        <f t="shared" si="22"/>
        <v>0</v>
      </c>
      <c r="AC27" s="69"/>
      <c r="AD27" s="70"/>
      <c r="AE27" s="70"/>
      <c r="AF27" s="62">
        <f t="shared" si="23"/>
        <v>0</v>
      </c>
      <c r="AG27" s="62">
        <f t="shared" si="24"/>
        <v>0</v>
      </c>
      <c r="AH27" s="89"/>
      <c r="AI27" s="66"/>
      <c r="AJ27" s="66"/>
      <c r="AK27" s="62">
        <f t="shared" si="25"/>
        <v>0</v>
      </c>
      <c r="AL27" s="72">
        <f t="shared" si="26"/>
        <v>0</v>
      </c>
      <c r="AM27" s="73">
        <f t="shared" si="27"/>
        <v>0</v>
      </c>
      <c r="AN27" s="74">
        <f t="shared" si="28"/>
        <v>0</v>
      </c>
      <c r="AO27" s="74">
        <f t="shared" si="29"/>
        <v>0</v>
      </c>
      <c r="AP27" s="75" t="e">
        <f t="shared" si="30"/>
        <v>#DIV/0!</v>
      </c>
      <c r="AQ27" s="76">
        <f t="shared" si="31"/>
        <v>0</v>
      </c>
      <c r="AR27" s="90">
        <f t="shared" si="14"/>
        <v>0</v>
      </c>
    </row>
    <row r="28" spans="1:48" x14ac:dyDescent="0.25">
      <c r="A28" t="str">
        <f t="shared" si="15"/>
        <v>46186M</v>
      </c>
      <c r="B28" s="51">
        <f t="shared" si="33"/>
        <v>46186</v>
      </c>
      <c r="C28" s="52" t="s">
        <v>87</v>
      </c>
      <c r="D28" s="91"/>
      <c r="E28" s="62"/>
      <c r="F28" s="62"/>
      <c r="G28" s="62">
        <f t="shared" si="16"/>
        <v>0</v>
      </c>
      <c r="H28" s="63">
        <f t="shared" si="17"/>
        <v>0</v>
      </c>
      <c r="I28" s="203"/>
      <c r="J28" s="203"/>
      <c r="K28" s="203"/>
      <c r="L28" s="203"/>
      <c r="M28" s="58"/>
      <c r="N28" s="58"/>
      <c r="O28" s="59"/>
      <c r="P28" s="56"/>
      <c r="Q28" s="60"/>
      <c r="R28" s="61">
        <f t="shared" si="18"/>
        <v>0</v>
      </c>
      <c r="S28" s="62">
        <f t="shared" si="19"/>
        <v>0</v>
      </c>
      <c r="T28" s="63">
        <f t="shared" si="20"/>
        <v>0</v>
      </c>
      <c r="U28" s="64"/>
      <c r="V28" s="65"/>
      <c r="W28" s="66"/>
      <c r="X28" s="67"/>
      <c r="Y28" s="68"/>
      <c r="Z28" s="68"/>
      <c r="AA28" s="62">
        <f t="shared" si="21"/>
        <v>0</v>
      </c>
      <c r="AB28" s="63">
        <f t="shared" si="22"/>
        <v>0</v>
      </c>
      <c r="AC28" s="69"/>
      <c r="AD28" s="70"/>
      <c r="AE28" s="70"/>
      <c r="AF28" s="62">
        <f t="shared" si="23"/>
        <v>0</v>
      </c>
      <c r="AG28" s="62">
        <f t="shared" si="24"/>
        <v>0</v>
      </c>
      <c r="AH28" s="89"/>
      <c r="AI28" s="66"/>
      <c r="AJ28" s="66"/>
      <c r="AK28" s="62">
        <f t="shared" si="25"/>
        <v>0</v>
      </c>
      <c r="AL28" s="72">
        <f t="shared" si="26"/>
        <v>0</v>
      </c>
      <c r="AM28" s="73">
        <f t="shared" si="27"/>
        <v>0</v>
      </c>
      <c r="AN28" s="74">
        <f t="shared" si="28"/>
        <v>0</v>
      </c>
      <c r="AO28" s="74">
        <f t="shared" si="29"/>
        <v>0</v>
      </c>
      <c r="AP28" s="75" t="e">
        <f t="shared" si="30"/>
        <v>#DIV/0!</v>
      </c>
      <c r="AQ28" s="76">
        <f t="shared" si="31"/>
        <v>0</v>
      </c>
      <c r="AR28" s="90">
        <f t="shared" si="14"/>
        <v>0</v>
      </c>
    </row>
    <row r="29" spans="1:48" x14ac:dyDescent="0.25">
      <c r="A29" t="str">
        <f t="shared" si="15"/>
        <v>46186E</v>
      </c>
      <c r="B29" s="51">
        <f t="shared" si="33"/>
        <v>46186</v>
      </c>
      <c r="C29" s="52" t="s">
        <v>88</v>
      </c>
      <c r="D29" s="91"/>
      <c r="E29" s="62"/>
      <c r="F29" s="62"/>
      <c r="G29" s="62">
        <f t="shared" si="16"/>
        <v>0</v>
      </c>
      <c r="H29" s="63">
        <f t="shared" si="17"/>
        <v>0</v>
      </c>
      <c r="I29" s="203"/>
      <c r="J29" s="203"/>
      <c r="K29" s="203"/>
      <c r="L29" s="203"/>
      <c r="M29" s="58"/>
      <c r="N29" s="58"/>
      <c r="O29" s="59"/>
      <c r="P29" s="56"/>
      <c r="Q29" s="60"/>
      <c r="R29" s="61">
        <f t="shared" si="18"/>
        <v>0</v>
      </c>
      <c r="S29" s="62">
        <f t="shared" si="19"/>
        <v>0</v>
      </c>
      <c r="T29" s="63">
        <f t="shared" si="20"/>
        <v>0</v>
      </c>
      <c r="U29" s="64"/>
      <c r="V29" s="65"/>
      <c r="W29" s="66"/>
      <c r="X29" s="67"/>
      <c r="Y29" s="68"/>
      <c r="Z29" s="68"/>
      <c r="AA29" s="62">
        <f t="shared" si="21"/>
        <v>0</v>
      </c>
      <c r="AB29" s="63">
        <f t="shared" si="22"/>
        <v>0</v>
      </c>
      <c r="AC29" s="69"/>
      <c r="AD29" s="70"/>
      <c r="AE29" s="70"/>
      <c r="AF29" s="62">
        <f t="shared" si="23"/>
        <v>0</v>
      </c>
      <c r="AG29" s="62">
        <f t="shared" si="24"/>
        <v>0</v>
      </c>
      <c r="AH29" s="89"/>
      <c r="AI29" s="66"/>
      <c r="AJ29" s="66"/>
      <c r="AK29" s="62">
        <f t="shared" si="25"/>
        <v>0</v>
      </c>
      <c r="AL29" s="72">
        <f t="shared" si="26"/>
        <v>0</v>
      </c>
      <c r="AM29" s="73">
        <f t="shared" si="27"/>
        <v>0</v>
      </c>
      <c r="AN29" s="74">
        <f t="shared" si="28"/>
        <v>0</v>
      </c>
      <c r="AO29" s="74">
        <f t="shared" si="29"/>
        <v>0</v>
      </c>
      <c r="AP29" s="75" t="e">
        <f t="shared" si="30"/>
        <v>#DIV/0!</v>
      </c>
      <c r="AQ29" s="76">
        <f t="shared" si="31"/>
        <v>0</v>
      </c>
      <c r="AR29" s="90">
        <f t="shared" si="14"/>
        <v>0</v>
      </c>
    </row>
    <row r="30" spans="1:48" x14ac:dyDescent="0.25">
      <c r="A30" t="str">
        <f t="shared" si="15"/>
        <v>46187M</v>
      </c>
      <c r="B30" s="51">
        <f t="shared" si="33"/>
        <v>46187</v>
      </c>
      <c r="C30" s="52" t="s">
        <v>87</v>
      </c>
      <c r="D30" s="91"/>
      <c r="E30" s="62"/>
      <c r="F30" s="62"/>
      <c r="G30" s="62">
        <f t="shared" si="16"/>
        <v>0</v>
      </c>
      <c r="H30" s="63">
        <f t="shared" si="17"/>
        <v>0</v>
      </c>
      <c r="I30" s="203"/>
      <c r="J30" s="203"/>
      <c r="K30" s="203"/>
      <c r="L30" s="203"/>
      <c r="M30" s="58"/>
      <c r="N30" s="58"/>
      <c r="O30" s="59"/>
      <c r="P30" s="56"/>
      <c r="Q30" s="60"/>
      <c r="R30" s="61">
        <f t="shared" si="18"/>
        <v>0</v>
      </c>
      <c r="S30" s="62">
        <f t="shared" si="19"/>
        <v>0</v>
      </c>
      <c r="T30" s="63">
        <f t="shared" si="20"/>
        <v>0</v>
      </c>
      <c r="U30" s="64"/>
      <c r="V30" s="65"/>
      <c r="W30" s="66"/>
      <c r="X30" s="67"/>
      <c r="Y30" s="68"/>
      <c r="Z30" s="68"/>
      <c r="AA30" s="62">
        <f t="shared" si="21"/>
        <v>0</v>
      </c>
      <c r="AB30" s="63">
        <f t="shared" si="22"/>
        <v>0</v>
      </c>
      <c r="AC30" s="69"/>
      <c r="AD30" s="70"/>
      <c r="AE30" s="70"/>
      <c r="AF30" s="62">
        <f t="shared" si="23"/>
        <v>0</v>
      </c>
      <c r="AG30" s="62">
        <f t="shared" si="24"/>
        <v>0</v>
      </c>
      <c r="AH30" s="89"/>
      <c r="AI30" s="66"/>
      <c r="AJ30" s="66"/>
      <c r="AK30" s="62">
        <f t="shared" si="25"/>
        <v>0</v>
      </c>
      <c r="AL30" s="72">
        <f t="shared" si="26"/>
        <v>0</v>
      </c>
      <c r="AM30" s="73">
        <f t="shared" si="27"/>
        <v>0</v>
      </c>
      <c r="AN30" s="74">
        <f t="shared" si="28"/>
        <v>0</v>
      </c>
      <c r="AO30" s="74">
        <f t="shared" si="29"/>
        <v>0</v>
      </c>
      <c r="AP30" s="75" t="e">
        <f t="shared" si="30"/>
        <v>#DIV/0!</v>
      </c>
      <c r="AQ30" s="76">
        <f t="shared" si="31"/>
        <v>0</v>
      </c>
      <c r="AR30" s="90">
        <f t="shared" si="14"/>
        <v>0</v>
      </c>
    </row>
    <row r="31" spans="1:48" x14ac:dyDescent="0.25">
      <c r="A31" t="str">
        <f t="shared" si="15"/>
        <v>46187E</v>
      </c>
      <c r="B31" s="51">
        <f t="shared" si="33"/>
        <v>46187</v>
      </c>
      <c r="C31" s="52" t="s">
        <v>88</v>
      </c>
      <c r="D31" s="91"/>
      <c r="E31" s="62"/>
      <c r="F31" s="62"/>
      <c r="G31" s="62">
        <f t="shared" si="16"/>
        <v>0</v>
      </c>
      <c r="H31" s="63">
        <f t="shared" si="17"/>
        <v>0</v>
      </c>
      <c r="I31" s="203"/>
      <c r="J31" s="203"/>
      <c r="K31" s="203"/>
      <c r="L31" s="203"/>
      <c r="M31" s="58"/>
      <c r="N31" s="58"/>
      <c r="O31" s="59"/>
      <c r="P31" s="56"/>
      <c r="Q31" s="60"/>
      <c r="R31" s="61">
        <f t="shared" si="18"/>
        <v>0</v>
      </c>
      <c r="S31" s="62">
        <f t="shared" si="19"/>
        <v>0</v>
      </c>
      <c r="T31" s="63">
        <f t="shared" si="20"/>
        <v>0</v>
      </c>
      <c r="U31" s="64"/>
      <c r="V31" s="65"/>
      <c r="W31" s="66"/>
      <c r="X31" s="67"/>
      <c r="Y31" s="68"/>
      <c r="Z31" s="68"/>
      <c r="AA31" s="62">
        <f t="shared" si="21"/>
        <v>0</v>
      </c>
      <c r="AB31" s="63">
        <f t="shared" si="22"/>
        <v>0</v>
      </c>
      <c r="AC31" s="69"/>
      <c r="AD31" s="70"/>
      <c r="AE31" s="70"/>
      <c r="AF31" s="62">
        <f t="shared" si="23"/>
        <v>0</v>
      </c>
      <c r="AG31" s="62">
        <f t="shared" si="24"/>
        <v>0</v>
      </c>
      <c r="AH31" s="89"/>
      <c r="AI31" s="66"/>
      <c r="AJ31" s="66"/>
      <c r="AK31" s="62">
        <f t="shared" si="25"/>
        <v>0</v>
      </c>
      <c r="AL31" s="72">
        <f t="shared" si="26"/>
        <v>0</v>
      </c>
      <c r="AM31" s="73">
        <f t="shared" si="27"/>
        <v>0</v>
      </c>
      <c r="AN31" s="74">
        <f t="shared" si="28"/>
        <v>0</v>
      </c>
      <c r="AO31" s="74">
        <f t="shared" si="29"/>
        <v>0</v>
      </c>
      <c r="AP31" s="75" t="e">
        <f t="shared" si="30"/>
        <v>#DIV/0!</v>
      </c>
      <c r="AQ31" s="76">
        <f t="shared" si="31"/>
        <v>0</v>
      </c>
      <c r="AR31" s="90">
        <f t="shared" si="14"/>
        <v>0</v>
      </c>
    </row>
    <row r="32" spans="1:48" x14ac:dyDescent="0.25">
      <c r="A32" t="str">
        <f t="shared" si="15"/>
        <v>46188M</v>
      </c>
      <c r="B32" s="51">
        <f t="shared" si="33"/>
        <v>46188</v>
      </c>
      <c r="C32" s="52" t="s">
        <v>87</v>
      </c>
      <c r="D32" s="91"/>
      <c r="E32" s="62"/>
      <c r="F32" s="62"/>
      <c r="G32" s="62">
        <f t="shared" si="16"/>
        <v>0</v>
      </c>
      <c r="H32" s="63">
        <f t="shared" si="17"/>
        <v>0</v>
      </c>
      <c r="I32" s="203"/>
      <c r="J32" s="203"/>
      <c r="K32" s="203"/>
      <c r="L32" s="203"/>
      <c r="M32" s="58"/>
      <c r="N32" s="57"/>
      <c r="O32" s="59"/>
      <c r="P32" s="56"/>
      <c r="Q32" s="60"/>
      <c r="R32" s="61">
        <f t="shared" si="18"/>
        <v>0</v>
      </c>
      <c r="S32" s="62">
        <f t="shared" si="19"/>
        <v>0</v>
      </c>
      <c r="T32" s="63">
        <f t="shared" si="20"/>
        <v>0</v>
      </c>
      <c r="U32" s="64"/>
      <c r="V32" s="65"/>
      <c r="W32" s="66"/>
      <c r="X32" s="67"/>
      <c r="Y32" s="68"/>
      <c r="Z32" s="68"/>
      <c r="AA32" s="62">
        <f t="shared" si="21"/>
        <v>0</v>
      </c>
      <c r="AB32" s="63">
        <f t="shared" si="22"/>
        <v>0</v>
      </c>
      <c r="AC32" s="69"/>
      <c r="AD32" s="70"/>
      <c r="AE32" s="70"/>
      <c r="AF32" s="62">
        <f t="shared" si="23"/>
        <v>0</v>
      </c>
      <c r="AG32" s="62">
        <f t="shared" si="24"/>
        <v>0</v>
      </c>
      <c r="AH32" s="89"/>
      <c r="AI32" s="66"/>
      <c r="AJ32" s="66"/>
      <c r="AK32" s="62">
        <f t="shared" si="25"/>
        <v>0</v>
      </c>
      <c r="AL32" s="72">
        <f t="shared" si="26"/>
        <v>0</v>
      </c>
      <c r="AM32" s="73">
        <f t="shared" si="27"/>
        <v>0</v>
      </c>
      <c r="AN32" s="74">
        <f t="shared" si="28"/>
        <v>0</v>
      </c>
      <c r="AO32" s="74">
        <f t="shared" si="29"/>
        <v>0</v>
      </c>
      <c r="AP32" s="75" t="e">
        <f t="shared" si="30"/>
        <v>#DIV/0!</v>
      </c>
      <c r="AQ32" s="76">
        <f t="shared" si="31"/>
        <v>0</v>
      </c>
      <c r="AR32" s="90">
        <f t="shared" si="14"/>
        <v>0</v>
      </c>
    </row>
    <row r="33" spans="1:44" x14ac:dyDescent="0.25">
      <c r="A33" t="str">
        <f t="shared" si="15"/>
        <v>46188E</v>
      </c>
      <c r="B33" s="51">
        <f t="shared" si="33"/>
        <v>46188</v>
      </c>
      <c r="C33" s="52" t="s">
        <v>88</v>
      </c>
      <c r="D33" s="91"/>
      <c r="E33" s="62"/>
      <c r="F33" s="62"/>
      <c r="G33" s="62">
        <f t="shared" si="16"/>
        <v>0</v>
      </c>
      <c r="H33" s="63">
        <f t="shared" si="17"/>
        <v>0</v>
      </c>
      <c r="I33" s="203"/>
      <c r="J33" s="203"/>
      <c r="K33" s="203"/>
      <c r="L33" s="203"/>
      <c r="M33" s="58"/>
      <c r="N33" s="58"/>
      <c r="O33" s="59"/>
      <c r="P33" s="56"/>
      <c r="Q33" s="60"/>
      <c r="R33" s="61">
        <f t="shared" si="18"/>
        <v>0</v>
      </c>
      <c r="S33" s="62">
        <f t="shared" si="19"/>
        <v>0</v>
      </c>
      <c r="T33" s="63">
        <f t="shared" si="20"/>
        <v>0</v>
      </c>
      <c r="U33" s="64"/>
      <c r="V33" s="65"/>
      <c r="W33" s="66"/>
      <c r="X33" s="67"/>
      <c r="Y33" s="68"/>
      <c r="Z33" s="68"/>
      <c r="AA33" s="62">
        <f t="shared" si="21"/>
        <v>0</v>
      </c>
      <c r="AB33" s="63">
        <f t="shared" si="22"/>
        <v>0</v>
      </c>
      <c r="AC33" s="69"/>
      <c r="AD33" s="70"/>
      <c r="AE33" s="70"/>
      <c r="AF33" s="62">
        <f t="shared" si="23"/>
        <v>0</v>
      </c>
      <c r="AG33" s="62">
        <f t="shared" si="24"/>
        <v>0</v>
      </c>
      <c r="AH33" s="89"/>
      <c r="AI33" s="66"/>
      <c r="AJ33" s="66"/>
      <c r="AK33" s="62">
        <f t="shared" si="25"/>
        <v>0</v>
      </c>
      <c r="AL33" s="72">
        <f t="shared" si="26"/>
        <v>0</v>
      </c>
      <c r="AM33" s="73">
        <f t="shared" si="27"/>
        <v>0</v>
      </c>
      <c r="AN33" s="74">
        <f t="shared" si="28"/>
        <v>0</v>
      </c>
      <c r="AO33" s="74">
        <f t="shared" si="29"/>
        <v>0</v>
      </c>
      <c r="AP33" s="75" t="e">
        <f t="shared" si="30"/>
        <v>#DIV/0!</v>
      </c>
      <c r="AQ33" s="76">
        <f t="shared" si="31"/>
        <v>0</v>
      </c>
      <c r="AR33" s="90">
        <f t="shared" si="14"/>
        <v>0</v>
      </c>
    </row>
    <row r="34" spans="1:44" x14ac:dyDescent="0.25">
      <c r="A34" t="str">
        <f t="shared" si="15"/>
        <v>46189M</v>
      </c>
      <c r="B34" s="51">
        <f t="shared" si="33"/>
        <v>46189</v>
      </c>
      <c r="C34" s="52" t="s">
        <v>87</v>
      </c>
      <c r="D34" s="91"/>
      <c r="E34" s="62"/>
      <c r="F34" s="62"/>
      <c r="G34" s="62">
        <f t="shared" si="16"/>
        <v>0</v>
      </c>
      <c r="H34" s="63">
        <f t="shared" si="17"/>
        <v>0</v>
      </c>
      <c r="I34" s="203"/>
      <c r="J34" s="203"/>
      <c r="K34" s="203"/>
      <c r="L34" s="203"/>
      <c r="M34" s="58"/>
      <c r="N34" s="58"/>
      <c r="O34" s="59"/>
      <c r="P34" s="56"/>
      <c r="Q34" s="60"/>
      <c r="R34" s="61">
        <f t="shared" si="18"/>
        <v>0</v>
      </c>
      <c r="S34" s="62">
        <f t="shared" si="19"/>
        <v>0</v>
      </c>
      <c r="T34" s="63">
        <f t="shared" si="20"/>
        <v>0</v>
      </c>
      <c r="U34" s="64"/>
      <c r="V34" s="65"/>
      <c r="W34" s="66"/>
      <c r="X34" s="67"/>
      <c r="Y34" s="68"/>
      <c r="Z34" s="68"/>
      <c r="AA34" s="62">
        <f t="shared" si="21"/>
        <v>0</v>
      </c>
      <c r="AB34" s="63">
        <f t="shared" si="22"/>
        <v>0</v>
      </c>
      <c r="AC34" s="69"/>
      <c r="AD34" s="70"/>
      <c r="AE34" s="70"/>
      <c r="AF34" s="62">
        <f t="shared" si="23"/>
        <v>0</v>
      </c>
      <c r="AG34" s="62">
        <f t="shared" si="24"/>
        <v>0</v>
      </c>
      <c r="AH34" s="89"/>
      <c r="AI34" s="66"/>
      <c r="AJ34" s="66"/>
      <c r="AK34" s="62">
        <f t="shared" si="25"/>
        <v>0</v>
      </c>
      <c r="AL34" s="72">
        <f t="shared" si="26"/>
        <v>0</v>
      </c>
      <c r="AM34" s="73">
        <f t="shared" si="27"/>
        <v>0</v>
      </c>
      <c r="AN34" s="74">
        <f t="shared" si="28"/>
        <v>0</v>
      </c>
      <c r="AO34" s="74">
        <f t="shared" si="29"/>
        <v>0</v>
      </c>
      <c r="AP34" s="75" t="e">
        <f t="shared" si="30"/>
        <v>#DIV/0!</v>
      </c>
      <c r="AQ34" s="76">
        <f t="shared" si="31"/>
        <v>0</v>
      </c>
      <c r="AR34" s="90">
        <f t="shared" si="14"/>
        <v>0</v>
      </c>
    </row>
    <row r="35" spans="1:44" x14ac:dyDescent="0.25">
      <c r="A35" t="str">
        <f t="shared" si="15"/>
        <v>46189E</v>
      </c>
      <c r="B35" s="51">
        <f t="shared" si="33"/>
        <v>46189</v>
      </c>
      <c r="C35" s="52" t="s">
        <v>88</v>
      </c>
      <c r="D35" s="91"/>
      <c r="E35" s="62"/>
      <c r="F35" s="62"/>
      <c r="G35" s="62">
        <f t="shared" si="16"/>
        <v>0</v>
      </c>
      <c r="H35" s="63">
        <f t="shared" si="17"/>
        <v>0</v>
      </c>
      <c r="I35" s="203"/>
      <c r="J35" s="203"/>
      <c r="K35" s="203"/>
      <c r="L35" s="203"/>
      <c r="M35" s="58"/>
      <c r="N35" s="58"/>
      <c r="O35" s="59"/>
      <c r="P35" s="56"/>
      <c r="Q35" s="60"/>
      <c r="R35" s="61">
        <f t="shared" si="18"/>
        <v>0</v>
      </c>
      <c r="S35" s="62">
        <f t="shared" si="19"/>
        <v>0</v>
      </c>
      <c r="T35" s="63">
        <f t="shared" si="20"/>
        <v>0</v>
      </c>
      <c r="U35" s="64"/>
      <c r="V35" s="65"/>
      <c r="W35" s="66"/>
      <c r="X35" s="67"/>
      <c r="Y35" s="68"/>
      <c r="Z35" s="68"/>
      <c r="AA35" s="62">
        <f t="shared" si="21"/>
        <v>0</v>
      </c>
      <c r="AB35" s="63">
        <f t="shared" si="22"/>
        <v>0</v>
      </c>
      <c r="AC35" s="69"/>
      <c r="AD35" s="70"/>
      <c r="AE35" s="70"/>
      <c r="AF35" s="62">
        <f t="shared" si="23"/>
        <v>0</v>
      </c>
      <c r="AG35" s="62">
        <f t="shared" si="24"/>
        <v>0</v>
      </c>
      <c r="AH35" s="89"/>
      <c r="AI35" s="66"/>
      <c r="AJ35" s="66"/>
      <c r="AK35" s="62">
        <f t="shared" si="25"/>
        <v>0</v>
      </c>
      <c r="AL35" s="72">
        <f t="shared" si="26"/>
        <v>0</v>
      </c>
      <c r="AM35" s="73">
        <f t="shared" si="27"/>
        <v>0</v>
      </c>
      <c r="AN35" s="74">
        <f t="shared" si="28"/>
        <v>0</v>
      </c>
      <c r="AO35" s="74">
        <f t="shared" si="29"/>
        <v>0</v>
      </c>
      <c r="AP35" s="75" t="e">
        <f t="shared" si="30"/>
        <v>#DIV/0!</v>
      </c>
      <c r="AQ35" s="76">
        <f t="shared" si="31"/>
        <v>0</v>
      </c>
      <c r="AR35" s="90">
        <f t="shared" si="14"/>
        <v>0</v>
      </c>
    </row>
    <row r="36" spans="1:44" x14ac:dyDescent="0.25">
      <c r="A36" t="str">
        <f t="shared" si="15"/>
        <v>46190M</v>
      </c>
      <c r="B36" s="51">
        <f t="shared" si="33"/>
        <v>46190</v>
      </c>
      <c r="C36" s="52" t="s">
        <v>87</v>
      </c>
      <c r="D36" s="91"/>
      <c r="E36" s="62"/>
      <c r="F36" s="62"/>
      <c r="G36" s="62">
        <f t="shared" si="16"/>
        <v>0</v>
      </c>
      <c r="H36" s="63">
        <f t="shared" si="17"/>
        <v>0</v>
      </c>
      <c r="I36" s="203"/>
      <c r="J36" s="203"/>
      <c r="K36" s="203"/>
      <c r="L36" s="203"/>
      <c r="M36" s="58"/>
      <c r="N36" s="58"/>
      <c r="O36" s="59"/>
      <c r="P36" s="56"/>
      <c r="Q36" s="60"/>
      <c r="R36" s="61">
        <f t="shared" si="18"/>
        <v>0</v>
      </c>
      <c r="S36" s="62">
        <f t="shared" si="19"/>
        <v>0</v>
      </c>
      <c r="T36" s="63">
        <f t="shared" si="20"/>
        <v>0</v>
      </c>
      <c r="U36" s="64"/>
      <c r="V36" s="85"/>
      <c r="W36" s="66"/>
      <c r="X36" s="67"/>
      <c r="Y36" s="68"/>
      <c r="Z36" s="68"/>
      <c r="AA36" s="62">
        <f t="shared" si="21"/>
        <v>0</v>
      </c>
      <c r="AB36" s="63">
        <f t="shared" si="22"/>
        <v>0</v>
      </c>
      <c r="AC36" s="69"/>
      <c r="AD36" s="70"/>
      <c r="AE36" s="70"/>
      <c r="AF36" s="62">
        <f t="shared" si="23"/>
        <v>0</v>
      </c>
      <c r="AG36" s="62">
        <f t="shared" si="24"/>
        <v>0</v>
      </c>
      <c r="AH36" s="89"/>
      <c r="AI36" s="66"/>
      <c r="AJ36" s="66"/>
      <c r="AK36" s="62">
        <f t="shared" si="25"/>
        <v>0</v>
      </c>
      <c r="AL36" s="72">
        <f t="shared" si="26"/>
        <v>0</v>
      </c>
      <c r="AM36" s="73">
        <f t="shared" si="27"/>
        <v>0</v>
      </c>
      <c r="AN36" s="74">
        <f t="shared" si="28"/>
        <v>0</v>
      </c>
      <c r="AO36" s="74">
        <f t="shared" si="29"/>
        <v>0</v>
      </c>
      <c r="AP36" s="75" t="e">
        <f t="shared" si="30"/>
        <v>#DIV/0!</v>
      </c>
      <c r="AQ36" s="76">
        <f t="shared" si="31"/>
        <v>0</v>
      </c>
      <c r="AR36" s="90">
        <f t="shared" si="14"/>
        <v>0</v>
      </c>
    </row>
    <row r="37" spans="1:44" x14ac:dyDescent="0.25">
      <c r="A37" t="str">
        <f t="shared" si="15"/>
        <v>46190E</v>
      </c>
      <c r="B37" s="51">
        <f t="shared" si="33"/>
        <v>46190</v>
      </c>
      <c r="C37" s="52" t="s">
        <v>88</v>
      </c>
      <c r="D37" s="91"/>
      <c r="E37" s="62"/>
      <c r="F37" s="62"/>
      <c r="G37" s="62">
        <f t="shared" si="16"/>
        <v>0</v>
      </c>
      <c r="H37" s="63">
        <f t="shared" si="17"/>
        <v>0</v>
      </c>
      <c r="I37" s="203"/>
      <c r="J37" s="203"/>
      <c r="K37" s="203"/>
      <c r="L37" s="203"/>
      <c r="M37" s="58"/>
      <c r="N37" s="58"/>
      <c r="O37" s="59"/>
      <c r="P37" s="56"/>
      <c r="Q37" s="60"/>
      <c r="R37" s="61">
        <f t="shared" si="18"/>
        <v>0</v>
      </c>
      <c r="S37" s="62">
        <f t="shared" si="19"/>
        <v>0</v>
      </c>
      <c r="T37" s="63">
        <f t="shared" si="20"/>
        <v>0</v>
      </c>
      <c r="U37" s="64"/>
      <c r="V37" s="65"/>
      <c r="W37" s="66"/>
      <c r="X37" s="67"/>
      <c r="Y37" s="68"/>
      <c r="Z37" s="68"/>
      <c r="AA37" s="62">
        <f t="shared" si="21"/>
        <v>0</v>
      </c>
      <c r="AB37" s="63">
        <f t="shared" si="22"/>
        <v>0</v>
      </c>
      <c r="AC37" s="69"/>
      <c r="AD37" s="70"/>
      <c r="AE37" s="70"/>
      <c r="AF37" s="62">
        <f t="shared" si="23"/>
        <v>0</v>
      </c>
      <c r="AG37" s="62">
        <f t="shared" si="24"/>
        <v>0</v>
      </c>
      <c r="AH37" s="89"/>
      <c r="AI37" s="66"/>
      <c r="AJ37" s="66"/>
      <c r="AK37" s="62">
        <f t="shared" si="25"/>
        <v>0</v>
      </c>
      <c r="AL37" s="72">
        <f t="shared" si="26"/>
        <v>0</v>
      </c>
      <c r="AM37" s="73">
        <f t="shared" si="27"/>
        <v>0</v>
      </c>
      <c r="AN37" s="74">
        <f t="shared" si="28"/>
        <v>0</v>
      </c>
      <c r="AO37" s="74">
        <f t="shared" si="29"/>
        <v>0</v>
      </c>
      <c r="AP37" s="75" t="e">
        <f t="shared" si="30"/>
        <v>#DIV/0!</v>
      </c>
      <c r="AQ37" s="76">
        <f t="shared" si="31"/>
        <v>0</v>
      </c>
      <c r="AR37" s="90">
        <f t="shared" si="14"/>
        <v>0</v>
      </c>
    </row>
    <row r="38" spans="1:44" x14ac:dyDescent="0.25">
      <c r="A38" t="str">
        <f t="shared" si="15"/>
        <v>46191M</v>
      </c>
      <c r="B38" s="51">
        <f t="shared" si="33"/>
        <v>46191</v>
      </c>
      <c r="C38" s="52" t="s">
        <v>87</v>
      </c>
      <c r="D38" s="91"/>
      <c r="E38" s="62"/>
      <c r="F38" s="62"/>
      <c r="G38" s="62">
        <f t="shared" si="16"/>
        <v>0</v>
      </c>
      <c r="H38" s="63">
        <f t="shared" si="17"/>
        <v>0</v>
      </c>
      <c r="I38" s="203"/>
      <c r="J38" s="203"/>
      <c r="K38" s="203"/>
      <c r="L38" s="203"/>
      <c r="M38" s="58"/>
      <c r="N38" s="58"/>
      <c r="O38" s="59"/>
      <c r="P38" s="56"/>
      <c r="Q38" s="60"/>
      <c r="R38" s="61">
        <f t="shared" si="18"/>
        <v>0</v>
      </c>
      <c r="S38" s="62">
        <f t="shared" si="19"/>
        <v>0</v>
      </c>
      <c r="T38" s="63">
        <f t="shared" si="20"/>
        <v>0</v>
      </c>
      <c r="U38" s="64"/>
      <c r="V38" s="65"/>
      <c r="W38" s="66"/>
      <c r="X38" s="67"/>
      <c r="Y38" s="68"/>
      <c r="Z38" s="68"/>
      <c r="AA38" s="62">
        <f t="shared" si="21"/>
        <v>0</v>
      </c>
      <c r="AB38" s="63">
        <f t="shared" si="22"/>
        <v>0</v>
      </c>
      <c r="AC38" s="69"/>
      <c r="AD38" s="70"/>
      <c r="AE38" s="70"/>
      <c r="AF38" s="62">
        <f t="shared" si="23"/>
        <v>0</v>
      </c>
      <c r="AG38" s="62">
        <f t="shared" si="24"/>
        <v>0</v>
      </c>
      <c r="AH38" s="89"/>
      <c r="AI38" s="71"/>
      <c r="AJ38" s="71"/>
      <c r="AK38" s="62">
        <f t="shared" si="25"/>
        <v>0</v>
      </c>
      <c r="AL38" s="72">
        <f t="shared" si="26"/>
        <v>0</v>
      </c>
      <c r="AM38" s="73">
        <f t="shared" si="27"/>
        <v>0</v>
      </c>
      <c r="AN38" s="74">
        <f t="shared" si="28"/>
        <v>0</v>
      </c>
      <c r="AO38" s="74">
        <f t="shared" si="29"/>
        <v>0</v>
      </c>
      <c r="AP38" s="75" t="e">
        <f t="shared" si="30"/>
        <v>#DIV/0!</v>
      </c>
      <c r="AQ38" s="76">
        <f t="shared" si="31"/>
        <v>0</v>
      </c>
      <c r="AR38" s="90">
        <f t="shared" si="14"/>
        <v>0</v>
      </c>
    </row>
    <row r="39" spans="1:44" x14ac:dyDescent="0.25">
      <c r="A39" t="str">
        <f t="shared" si="15"/>
        <v>46191E</v>
      </c>
      <c r="B39" s="51">
        <f t="shared" si="33"/>
        <v>46191</v>
      </c>
      <c r="C39" s="52" t="s">
        <v>88</v>
      </c>
      <c r="D39" s="91"/>
      <c r="E39" s="62"/>
      <c r="F39" s="62"/>
      <c r="G39" s="62">
        <f t="shared" si="16"/>
        <v>0</v>
      </c>
      <c r="H39" s="63">
        <f t="shared" si="17"/>
        <v>0</v>
      </c>
      <c r="I39" s="203"/>
      <c r="J39" s="203"/>
      <c r="K39" s="203"/>
      <c r="L39" s="203"/>
      <c r="M39" s="58"/>
      <c r="N39" s="58"/>
      <c r="O39" s="59"/>
      <c r="P39" s="56"/>
      <c r="Q39" s="60"/>
      <c r="R39" s="61">
        <f t="shared" si="18"/>
        <v>0</v>
      </c>
      <c r="S39" s="62">
        <f t="shared" si="19"/>
        <v>0</v>
      </c>
      <c r="T39" s="63">
        <f t="shared" si="20"/>
        <v>0</v>
      </c>
      <c r="U39" s="64"/>
      <c r="V39" s="65"/>
      <c r="W39" s="66"/>
      <c r="X39" s="67"/>
      <c r="Y39" s="68"/>
      <c r="Z39" s="68"/>
      <c r="AA39" s="62">
        <f t="shared" si="21"/>
        <v>0</v>
      </c>
      <c r="AB39" s="63">
        <f t="shared" si="22"/>
        <v>0</v>
      </c>
      <c r="AC39" s="69"/>
      <c r="AD39" s="70"/>
      <c r="AE39" s="70"/>
      <c r="AF39" s="62">
        <f t="shared" si="23"/>
        <v>0</v>
      </c>
      <c r="AG39" s="62">
        <f t="shared" si="24"/>
        <v>0</v>
      </c>
      <c r="AH39" s="89"/>
      <c r="AI39" s="66"/>
      <c r="AJ39" s="66"/>
      <c r="AK39" s="62">
        <f t="shared" si="25"/>
        <v>0</v>
      </c>
      <c r="AL39" s="72">
        <f t="shared" si="26"/>
        <v>0</v>
      </c>
      <c r="AM39" s="73">
        <f t="shared" si="27"/>
        <v>0</v>
      </c>
      <c r="AN39" s="74">
        <f t="shared" si="28"/>
        <v>0</v>
      </c>
      <c r="AO39" s="74">
        <f t="shared" si="29"/>
        <v>0</v>
      </c>
      <c r="AP39" s="75" t="e">
        <f t="shared" si="30"/>
        <v>#DIV/0!</v>
      </c>
      <c r="AQ39" s="76">
        <f t="shared" si="31"/>
        <v>0</v>
      </c>
      <c r="AR39" s="90">
        <f t="shared" si="14"/>
        <v>0</v>
      </c>
    </row>
    <row r="40" spans="1:44" x14ac:dyDescent="0.25">
      <c r="A40" t="str">
        <f t="shared" si="15"/>
        <v>46192M</v>
      </c>
      <c r="B40" s="51">
        <f t="shared" si="33"/>
        <v>46192</v>
      </c>
      <c r="C40" s="52" t="s">
        <v>87</v>
      </c>
      <c r="D40" s="91"/>
      <c r="E40" s="62"/>
      <c r="F40" s="62"/>
      <c r="G40" s="62">
        <f t="shared" si="16"/>
        <v>0</v>
      </c>
      <c r="H40" s="63">
        <f t="shared" si="17"/>
        <v>0</v>
      </c>
      <c r="I40" s="203"/>
      <c r="J40" s="203"/>
      <c r="K40" s="203"/>
      <c r="L40" s="203"/>
      <c r="M40" s="58"/>
      <c r="N40" s="58"/>
      <c r="O40" s="59"/>
      <c r="P40" s="56"/>
      <c r="Q40" s="60"/>
      <c r="R40" s="61">
        <f t="shared" si="18"/>
        <v>0</v>
      </c>
      <c r="S40" s="62">
        <f t="shared" si="19"/>
        <v>0</v>
      </c>
      <c r="T40" s="63">
        <f t="shared" si="20"/>
        <v>0</v>
      </c>
      <c r="U40" s="64"/>
      <c r="V40" s="65"/>
      <c r="W40" s="66"/>
      <c r="X40" s="67"/>
      <c r="Y40" s="68"/>
      <c r="Z40" s="68"/>
      <c r="AA40" s="62">
        <f t="shared" si="21"/>
        <v>0</v>
      </c>
      <c r="AB40" s="63">
        <f t="shared" si="22"/>
        <v>0</v>
      </c>
      <c r="AC40" s="69"/>
      <c r="AD40" s="70"/>
      <c r="AE40" s="70"/>
      <c r="AF40" s="62">
        <f t="shared" si="23"/>
        <v>0</v>
      </c>
      <c r="AG40" s="62">
        <f t="shared" si="24"/>
        <v>0</v>
      </c>
      <c r="AH40" s="89"/>
      <c r="AI40" s="66"/>
      <c r="AJ40" s="66"/>
      <c r="AK40" s="62">
        <f t="shared" si="25"/>
        <v>0</v>
      </c>
      <c r="AL40" s="72">
        <f t="shared" si="26"/>
        <v>0</v>
      </c>
      <c r="AM40" s="73">
        <f t="shared" si="27"/>
        <v>0</v>
      </c>
      <c r="AN40" s="74">
        <f t="shared" si="28"/>
        <v>0</v>
      </c>
      <c r="AO40" s="74">
        <f t="shared" si="29"/>
        <v>0</v>
      </c>
      <c r="AP40" s="75" t="e">
        <f t="shared" si="30"/>
        <v>#DIV/0!</v>
      </c>
      <c r="AQ40" s="76">
        <f t="shared" si="31"/>
        <v>0</v>
      </c>
      <c r="AR40" s="90">
        <f t="shared" si="14"/>
        <v>0</v>
      </c>
    </row>
    <row r="41" spans="1:44" x14ac:dyDescent="0.25">
      <c r="A41" t="str">
        <f t="shared" si="15"/>
        <v>46192E</v>
      </c>
      <c r="B41" s="51">
        <f t="shared" si="33"/>
        <v>46192</v>
      </c>
      <c r="C41" s="52" t="s">
        <v>88</v>
      </c>
      <c r="D41" s="91"/>
      <c r="E41" s="62"/>
      <c r="F41" s="62"/>
      <c r="G41" s="62">
        <f t="shared" si="16"/>
        <v>0</v>
      </c>
      <c r="H41" s="63">
        <f t="shared" si="17"/>
        <v>0</v>
      </c>
      <c r="I41" s="203"/>
      <c r="J41" s="203"/>
      <c r="K41" s="203"/>
      <c r="L41" s="203"/>
      <c r="M41" s="58"/>
      <c r="N41" s="58"/>
      <c r="O41" s="59"/>
      <c r="P41" s="56"/>
      <c r="Q41" s="60"/>
      <c r="R41" s="61">
        <f t="shared" si="18"/>
        <v>0</v>
      </c>
      <c r="S41" s="62">
        <f t="shared" si="19"/>
        <v>0</v>
      </c>
      <c r="T41" s="63">
        <f t="shared" si="20"/>
        <v>0</v>
      </c>
      <c r="U41" s="64"/>
      <c r="V41" s="65"/>
      <c r="W41" s="66"/>
      <c r="X41" s="67"/>
      <c r="Y41" s="68"/>
      <c r="Z41" s="68"/>
      <c r="AA41" s="62">
        <f t="shared" si="21"/>
        <v>0</v>
      </c>
      <c r="AB41" s="63">
        <f t="shared" si="22"/>
        <v>0</v>
      </c>
      <c r="AC41" s="69"/>
      <c r="AD41" s="70"/>
      <c r="AE41" s="70"/>
      <c r="AF41" s="62">
        <f t="shared" si="23"/>
        <v>0</v>
      </c>
      <c r="AG41" s="62">
        <f t="shared" si="24"/>
        <v>0</v>
      </c>
      <c r="AH41" s="89"/>
      <c r="AI41" s="71"/>
      <c r="AJ41" s="71"/>
      <c r="AK41" s="62">
        <f t="shared" si="25"/>
        <v>0</v>
      </c>
      <c r="AL41" s="72">
        <f t="shared" si="26"/>
        <v>0</v>
      </c>
      <c r="AM41" s="73">
        <f t="shared" si="27"/>
        <v>0</v>
      </c>
      <c r="AN41" s="74">
        <f t="shared" si="28"/>
        <v>0</v>
      </c>
      <c r="AO41" s="74">
        <f t="shared" si="29"/>
        <v>0</v>
      </c>
      <c r="AP41" s="75" t="e">
        <f t="shared" si="30"/>
        <v>#DIV/0!</v>
      </c>
      <c r="AQ41" s="76">
        <f t="shared" si="31"/>
        <v>0</v>
      </c>
      <c r="AR41" s="90">
        <f t="shared" si="14"/>
        <v>0</v>
      </c>
    </row>
    <row r="42" spans="1:44" x14ac:dyDescent="0.25">
      <c r="A42" t="str">
        <f t="shared" si="15"/>
        <v>46193M</v>
      </c>
      <c r="B42" s="51">
        <f t="shared" si="33"/>
        <v>46193</v>
      </c>
      <c r="C42" s="52" t="s">
        <v>87</v>
      </c>
      <c r="D42" s="91"/>
      <c r="E42" s="62"/>
      <c r="F42" s="62"/>
      <c r="G42" s="62">
        <f t="shared" si="16"/>
        <v>0</v>
      </c>
      <c r="H42" s="63">
        <f t="shared" si="17"/>
        <v>0</v>
      </c>
      <c r="I42" s="203"/>
      <c r="J42" s="203"/>
      <c r="K42" s="203"/>
      <c r="L42" s="203"/>
      <c r="M42" s="58"/>
      <c r="N42" s="58"/>
      <c r="O42" s="59"/>
      <c r="P42" s="56"/>
      <c r="Q42" s="60"/>
      <c r="R42" s="61">
        <f t="shared" si="18"/>
        <v>0</v>
      </c>
      <c r="S42" s="62">
        <f t="shared" si="19"/>
        <v>0</v>
      </c>
      <c r="T42" s="63">
        <f t="shared" si="20"/>
        <v>0</v>
      </c>
      <c r="U42" s="64"/>
      <c r="V42" s="65"/>
      <c r="W42" s="66"/>
      <c r="X42" s="67"/>
      <c r="Y42" s="68"/>
      <c r="Z42" s="68"/>
      <c r="AA42" s="62">
        <f t="shared" si="21"/>
        <v>0</v>
      </c>
      <c r="AB42" s="63">
        <f t="shared" si="22"/>
        <v>0</v>
      </c>
      <c r="AC42" s="69"/>
      <c r="AD42" s="70"/>
      <c r="AE42" s="70"/>
      <c r="AF42" s="62">
        <f t="shared" si="23"/>
        <v>0</v>
      </c>
      <c r="AG42" s="62">
        <f t="shared" si="24"/>
        <v>0</v>
      </c>
      <c r="AH42" s="89"/>
      <c r="AI42" s="66"/>
      <c r="AJ42" s="66"/>
      <c r="AK42" s="62">
        <f t="shared" si="25"/>
        <v>0</v>
      </c>
      <c r="AL42" s="72">
        <f t="shared" si="26"/>
        <v>0</v>
      </c>
      <c r="AM42" s="73">
        <f t="shared" si="27"/>
        <v>0</v>
      </c>
      <c r="AN42" s="74">
        <f t="shared" si="28"/>
        <v>0</v>
      </c>
      <c r="AO42" s="74">
        <f t="shared" si="29"/>
        <v>0</v>
      </c>
      <c r="AP42" s="75" t="e">
        <f t="shared" si="30"/>
        <v>#DIV/0!</v>
      </c>
      <c r="AQ42" s="76">
        <f t="shared" si="31"/>
        <v>0</v>
      </c>
      <c r="AR42" s="90">
        <f t="shared" si="14"/>
        <v>0</v>
      </c>
    </row>
    <row r="43" spans="1:44" x14ac:dyDescent="0.25">
      <c r="A43" t="str">
        <f t="shared" si="15"/>
        <v>46193E</v>
      </c>
      <c r="B43" s="51">
        <f t="shared" si="33"/>
        <v>46193</v>
      </c>
      <c r="C43" s="52" t="s">
        <v>88</v>
      </c>
      <c r="D43" s="91"/>
      <c r="E43" s="62"/>
      <c r="F43" s="62"/>
      <c r="G43" s="62">
        <f t="shared" si="16"/>
        <v>0</v>
      </c>
      <c r="H43" s="63">
        <f t="shared" si="17"/>
        <v>0</v>
      </c>
      <c r="I43" s="203"/>
      <c r="J43" s="203"/>
      <c r="K43" s="203"/>
      <c r="L43" s="203"/>
      <c r="M43" s="58"/>
      <c r="N43" s="58"/>
      <c r="O43" s="59"/>
      <c r="P43" s="56"/>
      <c r="Q43" s="60"/>
      <c r="R43" s="61">
        <f t="shared" si="18"/>
        <v>0</v>
      </c>
      <c r="S43" s="62">
        <f t="shared" si="19"/>
        <v>0</v>
      </c>
      <c r="T43" s="63">
        <f t="shared" si="20"/>
        <v>0</v>
      </c>
      <c r="U43" s="64"/>
      <c r="V43" s="65"/>
      <c r="W43" s="66"/>
      <c r="X43" s="67"/>
      <c r="Y43" s="68"/>
      <c r="Z43" s="68"/>
      <c r="AA43" s="62">
        <f t="shared" si="21"/>
        <v>0</v>
      </c>
      <c r="AB43" s="63">
        <f t="shared" si="22"/>
        <v>0</v>
      </c>
      <c r="AC43" s="69"/>
      <c r="AD43" s="70"/>
      <c r="AE43" s="70"/>
      <c r="AF43" s="62">
        <f t="shared" si="23"/>
        <v>0</v>
      </c>
      <c r="AG43" s="62">
        <f t="shared" si="24"/>
        <v>0</v>
      </c>
      <c r="AH43" s="89"/>
      <c r="AI43" s="71"/>
      <c r="AJ43" s="71"/>
      <c r="AK43" s="62">
        <f t="shared" si="25"/>
        <v>0</v>
      </c>
      <c r="AL43" s="72">
        <f t="shared" si="26"/>
        <v>0</v>
      </c>
      <c r="AM43" s="73">
        <f t="shared" si="27"/>
        <v>0</v>
      </c>
      <c r="AN43" s="74">
        <f t="shared" si="28"/>
        <v>0</v>
      </c>
      <c r="AO43" s="74">
        <f t="shared" si="29"/>
        <v>0</v>
      </c>
      <c r="AP43" s="75" t="e">
        <f t="shared" si="30"/>
        <v>#DIV/0!</v>
      </c>
      <c r="AQ43" s="76">
        <f t="shared" si="31"/>
        <v>0</v>
      </c>
      <c r="AR43" s="90">
        <f t="shared" si="14"/>
        <v>0</v>
      </c>
    </row>
    <row r="44" spans="1:44" x14ac:dyDescent="0.25">
      <c r="A44" t="str">
        <f t="shared" si="15"/>
        <v>46194M</v>
      </c>
      <c r="B44" s="51">
        <f t="shared" si="33"/>
        <v>46194</v>
      </c>
      <c r="C44" s="52" t="s">
        <v>87</v>
      </c>
      <c r="D44" s="91"/>
      <c r="E44" s="62"/>
      <c r="F44" s="62"/>
      <c r="G44" s="62">
        <f t="shared" si="16"/>
        <v>0</v>
      </c>
      <c r="H44" s="63">
        <f t="shared" si="17"/>
        <v>0</v>
      </c>
      <c r="I44" s="203"/>
      <c r="J44" s="203"/>
      <c r="K44" s="203"/>
      <c r="L44" s="203"/>
      <c r="M44" s="58"/>
      <c r="N44" s="58"/>
      <c r="O44" s="59"/>
      <c r="P44" s="56"/>
      <c r="Q44" s="60"/>
      <c r="R44" s="61">
        <f t="shared" si="18"/>
        <v>0</v>
      </c>
      <c r="S44" s="62">
        <f t="shared" si="19"/>
        <v>0</v>
      </c>
      <c r="T44" s="63">
        <f t="shared" si="20"/>
        <v>0</v>
      </c>
      <c r="U44" s="64"/>
      <c r="V44" s="65"/>
      <c r="W44" s="66"/>
      <c r="X44" s="67"/>
      <c r="Y44" s="68"/>
      <c r="Z44" s="68"/>
      <c r="AA44" s="62">
        <f t="shared" si="21"/>
        <v>0</v>
      </c>
      <c r="AB44" s="63">
        <f t="shared" si="22"/>
        <v>0</v>
      </c>
      <c r="AC44" s="69"/>
      <c r="AD44" s="70"/>
      <c r="AE44" s="70"/>
      <c r="AF44" s="62">
        <f t="shared" si="23"/>
        <v>0</v>
      </c>
      <c r="AG44" s="62">
        <f t="shared" si="24"/>
        <v>0</v>
      </c>
      <c r="AH44" s="89"/>
      <c r="AI44" s="66"/>
      <c r="AJ44" s="66"/>
      <c r="AK44" s="62">
        <f t="shared" si="25"/>
        <v>0</v>
      </c>
      <c r="AL44" s="72">
        <f t="shared" si="26"/>
        <v>0</v>
      </c>
      <c r="AM44" s="73">
        <f t="shared" si="27"/>
        <v>0</v>
      </c>
      <c r="AN44" s="74">
        <f t="shared" si="28"/>
        <v>0</v>
      </c>
      <c r="AO44" s="74">
        <f t="shared" si="29"/>
        <v>0</v>
      </c>
      <c r="AP44" s="75" t="e">
        <f t="shared" si="30"/>
        <v>#DIV/0!</v>
      </c>
      <c r="AQ44" s="76">
        <f t="shared" si="31"/>
        <v>0</v>
      </c>
      <c r="AR44" s="90">
        <f t="shared" si="14"/>
        <v>0</v>
      </c>
    </row>
    <row r="45" spans="1:44" x14ac:dyDescent="0.25">
      <c r="A45" t="str">
        <f t="shared" si="15"/>
        <v>46194E</v>
      </c>
      <c r="B45" s="51">
        <f t="shared" si="33"/>
        <v>46194</v>
      </c>
      <c r="C45" s="52" t="s">
        <v>88</v>
      </c>
      <c r="D45" s="91"/>
      <c r="E45" s="62"/>
      <c r="F45" s="62"/>
      <c r="G45" s="62">
        <f t="shared" si="16"/>
        <v>0</v>
      </c>
      <c r="H45" s="63">
        <f t="shared" si="17"/>
        <v>0</v>
      </c>
      <c r="I45" s="203"/>
      <c r="J45" s="203"/>
      <c r="K45" s="203"/>
      <c r="L45" s="203"/>
      <c r="M45" s="58"/>
      <c r="N45" s="58"/>
      <c r="O45" s="59"/>
      <c r="P45" s="56"/>
      <c r="Q45" s="60"/>
      <c r="R45" s="61">
        <f t="shared" si="18"/>
        <v>0</v>
      </c>
      <c r="S45" s="62">
        <f t="shared" si="19"/>
        <v>0</v>
      </c>
      <c r="T45" s="63">
        <f t="shared" si="20"/>
        <v>0</v>
      </c>
      <c r="U45" s="64"/>
      <c r="V45" s="65"/>
      <c r="W45" s="66"/>
      <c r="X45" s="67"/>
      <c r="Y45" s="68"/>
      <c r="Z45" s="68"/>
      <c r="AA45" s="62">
        <f t="shared" si="21"/>
        <v>0</v>
      </c>
      <c r="AB45" s="63">
        <f t="shared" si="22"/>
        <v>0</v>
      </c>
      <c r="AC45" s="69"/>
      <c r="AD45" s="70"/>
      <c r="AE45" s="70"/>
      <c r="AF45" s="62">
        <f t="shared" si="23"/>
        <v>0</v>
      </c>
      <c r="AG45" s="62">
        <f t="shared" si="24"/>
        <v>0</v>
      </c>
      <c r="AH45" s="89"/>
      <c r="AI45" s="71"/>
      <c r="AJ45" s="71"/>
      <c r="AK45" s="62">
        <f t="shared" si="25"/>
        <v>0</v>
      </c>
      <c r="AL45" s="72">
        <f t="shared" si="26"/>
        <v>0</v>
      </c>
      <c r="AM45" s="73">
        <f t="shared" si="27"/>
        <v>0</v>
      </c>
      <c r="AN45" s="74">
        <f t="shared" si="28"/>
        <v>0</v>
      </c>
      <c r="AO45" s="74">
        <f t="shared" si="29"/>
        <v>0</v>
      </c>
      <c r="AP45" s="75" t="e">
        <f t="shared" si="30"/>
        <v>#DIV/0!</v>
      </c>
      <c r="AQ45" s="76">
        <f t="shared" si="31"/>
        <v>0</v>
      </c>
      <c r="AR45" s="90">
        <f t="shared" si="14"/>
        <v>0</v>
      </c>
    </row>
    <row r="46" spans="1:44" x14ac:dyDescent="0.25">
      <c r="A46" t="str">
        <f t="shared" si="15"/>
        <v>46195M</v>
      </c>
      <c r="B46" s="51">
        <f t="shared" si="33"/>
        <v>46195</v>
      </c>
      <c r="C46" s="52" t="s">
        <v>87</v>
      </c>
      <c r="D46" s="91"/>
      <c r="E46" s="62"/>
      <c r="F46" s="62"/>
      <c r="G46" s="62">
        <f t="shared" si="16"/>
        <v>0</v>
      </c>
      <c r="H46" s="63">
        <f t="shared" si="17"/>
        <v>0</v>
      </c>
      <c r="I46" s="203"/>
      <c r="J46" s="203"/>
      <c r="K46" s="203"/>
      <c r="L46" s="203"/>
      <c r="M46" s="58"/>
      <c r="N46" s="58"/>
      <c r="O46" s="59"/>
      <c r="P46" s="56"/>
      <c r="Q46" s="60"/>
      <c r="R46" s="61">
        <f t="shared" si="18"/>
        <v>0</v>
      </c>
      <c r="S46" s="62">
        <f t="shared" si="19"/>
        <v>0</v>
      </c>
      <c r="T46" s="63">
        <f t="shared" si="20"/>
        <v>0</v>
      </c>
      <c r="U46" s="64"/>
      <c r="V46" s="65"/>
      <c r="W46" s="66"/>
      <c r="X46" s="67"/>
      <c r="Y46" s="68"/>
      <c r="Z46" s="68"/>
      <c r="AA46" s="62">
        <f t="shared" si="21"/>
        <v>0</v>
      </c>
      <c r="AB46" s="63">
        <f t="shared" si="22"/>
        <v>0</v>
      </c>
      <c r="AC46" s="69"/>
      <c r="AD46" s="70"/>
      <c r="AE46" s="70"/>
      <c r="AF46" s="62">
        <f t="shared" si="23"/>
        <v>0</v>
      </c>
      <c r="AG46" s="62">
        <f t="shared" si="24"/>
        <v>0</v>
      </c>
      <c r="AH46" s="89"/>
      <c r="AI46" s="66"/>
      <c r="AJ46" s="66"/>
      <c r="AK46" s="62">
        <f t="shared" si="25"/>
        <v>0</v>
      </c>
      <c r="AL46" s="72">
        <f t="shared" si="26"/>
        <v>0</v>
      </c>
      <c r="AM46" s="73">
        <f t="shared" si="27"/>
        <v>0</v>
      </c>
      <c r="AN46" s="74">
        <f t="shared" si="28"/>
        <v>0</v>
      </c>
      <c r="AO46" s="74">
        <f t="shared" si="29"/>
        <v>0</v>
      </c>
      <c r="AP46" s="75" t="e">
        <f t="shared" si="30"/>
        <v>#DIV/0!</v>
      </c>
      <c r="AQ46" s="76">
        <f t="shared" si="31"/>
        <v>0</v>
      </c>
      <c r="AR46" s="90">
        <f t="shared" si="14"/>
        <v>0</v>
      </c>
    </row>
    <row r="47" spans="1:44" x14ac:dyDescent="0.25">
      <c r="A47" t="str">
        <f t="shared" si="15"/>
        <v>46195E</v>
      </c>
      <c r="B47" s="51">
        <f t="shared" si="33"/>
        <v>46195</v>
      </c>
      <c r="C47" s="52" t="s">
        <v>88</v>
      </c>
      <c r="D47" s="91"/>
      <c r="E47" s="62"/>
      <c r="F47" s="62"/>
      <c r="G47" s="62">
        <f t="shared" si="16"/>
        <v>0</v>
      </c>
      <c r="H47" s="63">
        <f t="shared" si="17"/>
        <v>0</v>
      </c>
      <c r="I47" s="203"/>
      <c r="J47" s="203"/>
      <c r="K47" s="203"/>
      <c r="L47" s="203"/>
      <c r="M47" s="58"/>
      <c r="N47" s="58"/>
      <c r="O47" s="59"/>
      <c r="P47" s="56"/>
      <c r="Q47" s="60"/>
      <c r="R47" s="61">
        <f t="shared" si="18"/>
        <v>0</v>
      </c>
      <c r="S47" s="62">
        <f t="shared" si="19"/>
        <v>0</v>
      </c>
      <c r="T47" s="63">
        <f t="shared" si="20"/>
        <v>0</v>
      </c>
      <c r="U47" s="64"/>
      <c r="V47" s="65"/>
      <c r="W47" s="66"/>
      <c r="X47" s="67"/>
      <c r="Y47" s="68"/>
      <c r="Z47" s="68"/>
      <c r="AA47" s="62">
        <f t="shared" si="21"/>
        <v>0</v>
      </c>
      <c r="AB47" s="63">
        <f t="shared" si="22"/>
        <v>0</v>
      </c>
      <c r="AC47" s="69"/>
      <c r="AD47" s="70"/>
      <c r="AE47" s="70"/>
      <c r="AF47" s="62">
        <f t="shared" si="23"/>
        <v>0</v>
      </c>
      <c r="AG47" s="62">
        <f t="shared" si="24"/>
        <v>0</v>
      </c>
      <c r="AH47" s="89"/>
      <c r="AI47" s="66"/>
      <c r="AJ47" s="66"/>
      <c r="AK47" s="62">
        <f t="shared" si="25"/>
        <v>0</v>
      </c>
      <c r="AL47" s="72">
        <f t="shared" si="26"/>
        <v>0</v>
      </c>
      <c r="AM47" s="73">
        <f t="shared" si="27"/>
        <v>0</v>
      </c>
      <c r="AN47" s="74">
        <f t="shared" si="28"/>
        <v>0</v>
      </c>
      <c r="AO47" s="74">
        <f t="shared" si="29"/>
        <v>0</v>
      </c>
      <c r="AP47" s="75" t="e">
        <f t="shared" si="30"/>
        <v>#DIV/0!</v>
      </c>
      <c r="AQ47" s="76">
        <f t="shared" si="31"/>
        <v>0</v>
      </c>
      <c r="AR47" s="90">
        <f t="shared" si="14"/>
        <v>0</v>
      </c>
    </row>
    <row r="48" spans="1:44" x14ac:dyDescent="0.25">
      <c r="A48" t="str">
        <f t="shared" si="15"/>
        <v>46196M</v>
      </c>
      <c r="B48" s="51">
        <f t="shared" si="33"/>
        <v>46196</v>
      </c>
      <c r="C48" s="52" t="s">
        <v>87</v>
      </c>
      <c r="D48" s="91"/>
      <c r="E48" s="62"/>
      <c r="F48" s="62"/>
      <c r="G48" s="62">
        <f t="shared" si="16"/>
        <v>0</v>
      </c>
      <c r="H48" s="63">
        <f t="shared" si="17"/>
        <v>0</v>
      </c>
      <c r="I48" s="203"/>
      <c r="J48" s="203"/>
      <c r="K48" s="203"/>
      <c r="L48" s="203"/>
      <c r="M48" s="58"/>
      <c r="N48" s="58"/>
      <c r="O48" s="59"/>
      <c r="P48" s="56"/>
      <c r="Q48" s="60"/>
      <c r="R48" s="61">
        <f t="shared" si="18"/>
        <v>0</v>
      </c>
      <c r="S48" s="62">
        <f t="shared" si="19"/>
        <v>0</v>
      </c>
      <c r="T48" s="63">
        <f t="shared" si="20"/>
        <v>0</v>
      </c>
      <c r="U48" s="64"/>
      <c r="V48" s="65"/>
      <c r="W48" s="66"/>
      <c r="X48" s="67"/>
      <c r="Y48" s="68"/>
      <c r="Z48" s="68"/>
      <c r="AA48" s="62">
        <f t="shared" si="21"/>
        <v>0</v>
      </c>
      <c r="AB48" s="63">
        <f t="shared" si="22"/>
        <v>0</v>
      </c>
      <c r="AC48" s="69"/>
      <c r="AD48" s="70"/>
      <c r="AE48" s="70"/>
      <c r="AF48" s="62">
        <f t="shared" si="23"/>
        <v>0</v>
      </c>
      <c r="AG48" s="62">
        <f t="shared" si="24"/>
        <v>0</v>
      </c>
      <c r="AH48" s="89"/>
      <c r="AI48" s="71"/>
      <c r="AJ48" s="71"/>
      <c r="AK48" s="62">
        <f t="shared" si="25"/>
        <v>0</v>
      </c>
      <c r="AL48" s="72">
        <f t="shared" si="26"/>
        <v>0</v>
      </c>
      <c r="AM48" s="73">
        <f t="shared" si="27"/>
        <v>0</v>
      </c>
      <c r="AN48" s="74">
        <f t="shared" si="28"/>
        <v>0</v>
      </c>
      <c r="AO48" s="74">
        <f t="shared" si="29"/>
        <v>0</v>
      </c>
      <c r="AP48" s="75" t="e">
        <f t="shared" si="30"/>
        <v>#DIV/0!</v>
      </c>
      <c r="AQ48" s="76">
        <f t="shared" si="31"/>
        <v>0</v>
      </c>
      <c r="AR48" s="90">
        <f t="shared" si="14"/>
        <v>0</v>
      </c>
    </row>
    <row r="49" spans="1:44" x14ac:dyDescent="0.25">
      <c r="A49" t="str">
        <f t="shared" si="15"/>
        <v>46196E</v>
      </c>
      <c r="B49" s="51">
        <f t="shared" si="33"/>
        <v>46196</v>
      </c>
      <c r="C49" s="52" t="s">
        <v>88</v>
      </c>
      <c r="D49" s="91"/>
      <c r="E49" s="62"/>
      <c r="F49" s="62"/>
      <c r="G49" s="62">
        <f t="shared" si="16"/>
        <v>0</v>
      </c>
      <c r="H49" s="63">
        <f t="shared" si="17"/>
        <v>0</v>
      </c>
      <c r="I49" s="203"/>
      <c r="J49" s="203"/>
      <c r="K49" s="203"/>
      <c r="L49" s="203"/>
      <c r="M49" s="58"/>
      <c r="N49" s="58"/>
      <c r="O49" s="59"/>
      <c r="P49" s="56"/>
      <c r="Q49" s="60"/>
      <c r="R49" s="61">
        <f t="shared" si="18"/>
        <v>0</v>
      </c>
      <c r="S49" s="62">
        <f t="shared" si="19"/>
        <v>0</v>
      </c>
      <c r="T49" s="63">
        <f t="shared" si="20"/>
        <v>0</v>
      </c>
      <c r="U49" s="64"/>
      <c r="V49" s="65"/>
      <c r="W49" s="66"/>
      <c r="X49" s="67"/>
      <c r="Y49" s="68"/>
      <c r="Z49" s="68"/>
      <c r="AA49" s="62">
        <f t="shared" si="21"/>
        <v>0</v>
      </c>
      <c r="AB49" s="63">
        <f t="shared" si="22"/>
        <v>0</v>
      </c>
      <c r="AC49" s="69"/>
      <c r="AD49" s="70"/>
      <c r="AE49" s="70"/>
      <c r="AF49" s="62">
        <f t="shared" si="23"/>
        <v>0</v>
      </c>
      <c r="AG49" s="62">
        <f t="shared" si="24"/>
        <v>0</v>
      </c>
      <c r="AH49" s="89"/>
      <c r="AI49" s="66"/>
      <c r="AJ49" s="66"/>
      <c r="AK49" s="62">
        <f t="shared" si="25"/>
        <v>0</v>
      </c>
      <c r="AL49" s="72">
        <f t="shared" si="26"/>
        <v>0</v>
      </c>
      <c r="AM49" s="73">
        <f t="shared" si="27"/>
        <v>0</v>
      </c>
      <c r="AN49" s="74">
        <f t="shared" si="28"/>
        <v>0</v>
      </c>
      <c r="AO49" s="74">
        <f t="shared" si="29"/>
        <v>0</v>
      </c>
      <c r="AP49" s="75" t="e">
        <f t="shared" si="30"/>
        <v>#DIV/0!</v>
      </c>
      <c r="AQ49" s="76">
        <f t="shared" si="31"/>
        <v>0</v>
      </c>
      <c r="AR49" s="90">
        <f t="shared" si="14"/>
        <v>0</v>
      </c>
    </row>
    <row r="50" spans="1:44" x14ac:dyDescent="0.25">
      <c r="A50" t="str">
        <f t="shared" si="15"/>
        <v>46197M</v>
      </c>
      <c r="B50" s="51">
        <f t="shared" si="33"/>
        <v>46197</v>
      </c>
      <c r="C50" s="52" t="s">
        <v>87</v>
      </c>
      <c r="D50" s="91"/>
      <c r="E50" s="62"/>
      <c r="F50" s="62"/>
      <c r="G50" s="62">
        <f t="shared" si="16"/>
        <v>0</v>
      </c>
      <c r="H50" s="63">
        <f t="shared" si="17"/>
        <v>0</v>
      </c>
      <c r="I50" s="203"/>
      <c r="J50" s="203"/>
      <c r="K50" s="203"/>
      <c r="L50" s="203"/>
      <c r="M50" s="58"/>
      <c r="N50" s="58"/>
      <c r="O50" s="59"/>
      <c r="P50" s="56"/>
      <c r="Q50" s="60"/>
      <c r="R50" s="61">
        <f t="shared" si="18"/>
        <v>0</v>
      </c>
      <c r="S50" s="62">
        <f t="shared" si="19"/>
        <v>0</v>
      </c>
      <c r="T50" s="63">
        <f t="shared" si="20"/>
        <v>0</v>
      </c>
      <c r="U50" s="64"/>
      <c r="V50" s="65"/>
      <c r="W50" s="66"/>
      <c r="X50" s="67"/>
      <c r="Y50" s="68"/>
      <c r="Z50" s="68"/>
      <c r="AA50" s="62">
        <f t="shared" si="21"/>
        <v>0</v>
      </c>
      <c r="AB50" s="63">
        <f t="shared" si="22"/>
        <v>0</v>
      </c>
      <c r="AC50" s="69"/>
      <c r="AD50" s="70"/>
      <c r="AE50" s="70"/>
      <c r="AF50" s="62">
        <f t="shared" si="23"/>
        <v>0</v>
      </c>
      <c r="AG50" s="62">
        <f t="shared" si="24"/>
        <v>0</v>
      </c>
      <c r="AH50" s="89"/>
      <c r="AI50" s="71"/>
      <c r="AJ50" s="71"/>
      <c r="AK50" s="62">
        <f t="shared" si="25"/>
        <v>0</v>
      </c>
      <c r="AL50" s="72">
        <f t="shared" si="26"/>
        <v>0</v>
      </c>
      <c r="AM50" s="73">
        <f t="shared" si="27"/>
        <v>0</v>
      </c>
      <c r="AN50" s="74">
        <f t="shared" si="28"/>
        <v>0</v>
      </c>
      <c r="AO50" s="74">
        <f t="shared" si="29"/>
        <v>0</v>
      </c>
      <c r="AP50" s="75" t="e">
        <f t="shared" si="30"/>
        <v>#DIV/0!</v>
      </c>
      <c r="AQ50" s="76">
        <f t="shared" si="31"/>
        <v>0</v>
      </c>
      <c r="AR50" s="90">
        <f t="shared" ref="AR50:AR62" si="34">(D50+J50+O50)-(X50+AH50)</f>
        <v>0</v>
      </c>
    </row>
    <row r="51" spans="1:44" x14ac:dyDescent="0.25">
      <c r="A51" t="str">
        <f t="shared" si="15"/>
        <v>46197E</v>
      </c>
      <c r="B51" s="51">
        <f t="shared" si="33"/>
        <v>46197</v>
      </c>
      <c r="C51" s="52" t="s">
        <v>88</v>
      </c>
      <c r="D51" s="91"/>
      <c r="E51" s="62"/>
      <c r="F51" s="62"/>
      <c r="G51" s="62">
        <f t="shared" si="16"/>
        <v>0</v>
      </c>
      <c r="H51" s="63">
        <f t="shared" si="17"/>
        <v>0</v>
      </c>
      <c r="I51" s="203"/>
      <c r="J51" s="203"/>
      <c r="K51" s="203"/>
      <c r="L51" s="203"/>
      <c r="M51" s="58"/>
      <c r="N51" s="58"/>
      <c r="O51" s="59"/>
      <c r="P51" s="56"/>
      <c r="Q51" s="60"/>
      <c r="R51" s="61">
        <f t="shared" si="18"/>
        <v>0</v>
      </c>
      <c r="S51" s="62">
        <f t="shared" si="19"/>
        <v>0</v>
      </c>
      <c r="T51" s="63">
        <f t="shared" si="20"/>
        <v>0</v>
      </c>
      <c r="U51" s="64"/>
      <c r="V51" s="85"/>
      <c r="W51" s="66"/>
      <c r="X51" s="67"/>
      <c r="Y51" s="68"/>
      <c r="Z51" s="68"/>
      <c r="AA51" s="62">
        <f t="shared" si="21"/>
        <v>0</v>
      </c>
      <c r="AB51" s="63">
        <f t="shared" si="22"/>
        <v>0</v>
      </c>
      <c r="AC51" s="69"/>
      <c r="AD51" s="70"/>
      <c r="AE51" s="70"/>
      <c r="AF51" s="62">
        <f t="shared" si="23"/>
        <v>0</v>
      </c>
      <c r="AG51" s="62">
        <f t="shared" si="24"/>
        <v>0</v>
      </c>
      <c r="AH51" s="89"/>
      <c r="AI51" s="66"/>
      <c r="AJ51" s="66"/>
      <c r="AK51" s="62">
        <f t="shared" si="25"/>
        <v>0</v>
      </c>
      <c r="AL51" s="72">
        <f t="shared" si="26"/>
        <v>0</v>
      </c>
      <c r="AM51" s="73">
        <f t="shared" si="27"/>
        <v>0</v>
      </c>
      <c r="AN51" s="74">
        <f t="shared" si="28"/>
        <v>0</v>
      </c>
      <c r="AO51" s="74">
        <f t="shared" si="29"/>
        <v>0</v>
      </c>
      <c r="AP51" s="75" t="e">
        <f t="shared" si="30"/>
        <v>#DIV/0!</v>
      </c>
      <c r="AQ51" s="76">
        <f t="shared" si="31"/>
        <v>0</v>
      </c>
      <c r="AR51" s="90">
        <f t="shared" si="34"/>
        <v>0</v>
      </c>
    </row>
    <row r="52" spans="1:44" x14ac:dyDescent="0.25">
      <c r="A52" t="str">
        <f t="shared" si="15"/>
        <v>46198M</v>
      </c>
      <c r="B52" s="51">
        <f t="shared" si="33"/>
        <v>46198</v>
      </c>
      <c r="C52" s="52" t="s">
        <v>87</v>
      </c>
      <c r="D52" s="91"/>
      <c r="E52" s="62"/>
      <c r="F52" s="62"/>
      <c r="G52" s="62">
        <f t="shared" si="16"/>
        <v>0</v>
      </c>
      <c r="H52" s="63">
        <f t="shared" si="17"/>
        <v>0</v>
      </c>
      <c r="I52" s="119"/>
      <c r="J52" s="119"/>
      <c r="K52" s="203"/>
      <c r="L52" s="203"/>
      <c r="M52" s="58"/>
      <c r="N52" s="58"/>
      <c r="O52" s="59"/>
      <c r="P52" s="56"/>
      <c r="Q52" s="60"/>
      <c r="R52" s="61">
        <f t="shared" si="18"/>
        <v>0</v>
      </c>
      <c r="S52" s="62">
        <f t="shared" si="19"/>
        <v>0</v>
      </c>
      <c r="T52" s="63">
        <f t="shared" si="20"/>
        <v>0</v>
      </c>
      <c r="U52" s="64"/>
      <c r="V52" s="65"/>
      <c r="W52" s="66"/>
      <c r="X52" s="67"/>
      <c r="Y52" s="68"/>
      <c r="Z52" s="68"/>
      <c r="AA52" s="62">
        <f t="shared" si="21"/>
        <v>0</v>
      </c>
      <c r="AB52" s="63">
        <f t="shared" si="22"/>
        <v>0</v>
      </c>
      <c r="AC52" s="69"/>
      <c r="AD52" s="70"/>
      <c r="AE52" s="70"/>
      <c r="AF52" s="62">
        <f t="shared" si="23"/>
        <v>0</v>
      </c>
      <c r="AG52" s="62">
        <f t="shared" si="24"/>
        <v>0</v>
      </c>
      <c r="AH52" s="89"/>
      <c r="AI52" s="66"/>
      <c r="AJ52" s="66"/>
      <c r="AK52" s="62">
        <f t="shared" si="25"/>
        <v>0</v>
      </c>
      <c r="AL52" s="72">
        <f t="shared" si="26"/>
        <v>0</v>
      </c>
      <c r="AM52" s="73">
        <f t="shared" si="27"/>
        <v>0</v>
      </c>
      <c r="AN52" s="74">
        <f t="shared" si="28"/>
        <v>0</v>
      </c>
      <c r="AO52" s="74">
        <f t="shared" si="29"/>
        <v>0</v>
      </c>
      <c r="AP52" s="75" t="e">
        <f t="shared" si="30"/>
        <v>#DIV/0!</v>
      </c>
      <c r="AQ52" s="76">
        <f t="shared" si="31"/>
        <v>0</v>
      </c>
      <c r="AR52" s="90">
        <f t="shared" si="34"/>
        <v>0</v>
      </c>
    </row>
    <row r="53" spans="1:44" x14ac:dyDescent="0.25">
      <c r="A53" t="str">
        <f t="shared" si="15"/>
        <v>46198E</v>
      </c>
      <c r="B53" s="51">
        <f t="shared" si="33"/>
        <v>46198</v>
      </c>
      <c r="C53" s="52" t="s">
        <v>88</v>
      </c>
      <c r="D53" s="91"/>
      <c r="E53" s="62"/>
      <c r="F53" s="62"/>
      <c r="G53" s="62">
        <f t="shared" si="16"/>
        <v>0</v>
      </c>
      <c r="H53" s="63">
        <f t="shared" si="17"/>
        <v>0</v>
      </c>
      <c r="I53" s="119"/>
      <c r="J53" s="119"/>
      <c r="K53" s="203"/>
      <c r="L53" s="203"/>
      <c r="M53" s="58"/>
      <c r="N53" s="58"/>
      <c r="O53" s="59"/>
      <c r="P53" s="56"/>
      <c r="Q53" s="60"/>
      <c r="R53" s="61">
        <f t="shared" si="18"/>
        <v>0</v>
      </c>
      <c r="S53" s="62">
        <f t="shared" si="19"/>
        <v>0</v>
      </c>
      <c r="T53" s="63">
        <f t="shared" si="20"/>
        <v>0</v>
      </c>
      <c r="U53" s="64"/>
      <c r="V53" s="65"/>
      <c r="W53" s="66"/>
      <c r="X53" s="67"/>
      <c r="Y53" s="68"/>
      <c r="Z53" s="68"/>
      <c r="AA53" s="62">
        <f t="shared" si="21"/>
        <v>0</v>
      </c>
      <c r="AB53" s="63">
        <f t="shared" si="22"/>
        <v>0</v>
      </c>
      <c r="AC53" s="69"/>
      <c r="AD53" s="70"/>
      <c r="AE53" s="70"/>
      <c r="AF53" s="62">
        <f t="shared" si="23"/>
        <v>0</v>
      </c>
      <c r="AG53" s="62">
        <f t="shared" si="24"/>
        <v>0</v>
      </c>
      <c r="AH53" s="89"/>
      <c r="AI53" s="66"/>
      <c r="AJ53" s="66"/>
      <c r="AK53" s="62">
        <f t="shared" si="25"/>
        <v>0</v>
      </c>
      <c r="AL53" s="72">
        <f t="shared" si="26"/>
        <v>0</v>
      </c>
      <c r="AM53" s="73">
        <f t="shared" si="27"/>
        <v>0</v>
      </c>
      <c r="AN53" s="74">
        <f t="shared" si="28"/>
        <v>0</v>
      </c>
      <c r="AO53" s="74">
        <f t="shared" si="29"/>
        <v>0</v>
      </c>
      <c r="AP53" s="75" t="e">
        <f t="shared" si="30"/>
        <v>#DIV/0!</v>
      </c>
      <c r="AQ53" s="76">
        <f t="shared" si="31"/>
        <v>0</v>
      </c>
      <c r="AR53" s="90">
        <f t="shared" si="34"/>
        <v>0</v>
      </c>
    </row>
    <row r="54" spans="1:44" x14ac:dyDescent="0.25">
      <c r="A54" t="str">
        <f t="shared" si="15"/>
        <v>46199M</v>
      </c>
      <c r="B54" s="51">
        <f t="shared" si="33"/>
        <v>46199</v>
      </c>
      <c r="C54" s="52" t="s">
        <v>87</v>
      </c>
      <c r="D54" s="91"/>
      <c r="E54" s="62"/>
      <c r="F54" s="62"/>
      <c r="G54" s="62">
        <f t="shared" si="16"/>
        <v>0</v>
      </c>
      <c r="H54" s="63">
        <f t="shared" si="17"/>
        <v>0</v>
      </c>
      <c r="I54" s="119"/>
      <c r="J54" s="119"/>
      <c r="K54" s="203"/>
      <c r="L54" s="203"/>
      <c r="M54" s="58"/>
      <c r="N54" s="58"/>
      <c r="O54" s="59"/>
      <c r="P54" s="56"/>
      <c r="Q54" s="60"/>
      <c r="R54" s="61">
        <f t="shared" si="18"/>
        <v>0</v>
      </c>
      <c r="S54" s="62">
        <f t="shared" si="19"/>
        <v>0</v>
      </c>
      <c r="T54" s="63">
        <f t="shared" si="20"/>
        <v>0</v>
      </c>
      <c r="U54" s="64"/>
      <c r="V54" s="65"/>
      <c r="W54" s="66"/>
      <c r="X54" s="67"/>
      <c r="Y54" s="68"/>
      <c r="Z54" s="68"/>
      <c r="AA54" s="62">
        <f t="shared" si="21"/>
        <v>0</v>
      </c>
      <c r="AB54" s="63">
        <f t="shared" si="22"/>
        <v>0</v>
      </c>
      <c r="AC54" s="69"/>
      <c r="AD54" s="70"/>
      <c r="AE54" s="70"/>
      <c r="AF54" s="62">
        <f t="shared" si="23"/>
        <v>0</v>
      </c>
      <c r="AG54" s="62">
        <f t="shared" si="24"/>
        <v>0</v>
      </c>
      <c r="AH54" s="89"/>
      <c r="AI54" s="66"/>
      <c r="AJ54" s="66"/>
      <c r="AK54" s="62">
        <f t="shared" si="25"/>
        <v>0</v>
      </c>
      <c r="AL54" s="72">
        <f t="shared" si="26"/>
        <v>0</v>
      </c>
      <c r="AM54" s="73">
        <f t="shared" si="27"/>
        <v>0</v>
      </c>
      <c r="AN54" s="74">
        <f t="shared" si="28"/>
        <v>0</v>
      </c>
      <c r="AO54" s="74">
        <f t="shared" si="29"/>
        <v>0</v>
      </c>
      <c r="AP54" s="75" t="e">
        <f t="shared" si="30"/>
        <v>#DIV/0!</v>
      </c>
      <c r="AQ54" s="76">
        <f t="shared" si="31"/>
        <v>0</v>
      </c>
      <c r="AR54" s="90">
        <f t="shared" si="34"/>
        <v>0</v>
      </c>
    </row>
    <row r="55" spans="1:44" x14ac:dyDescent="0.25">
      <c r="A55" t="str">
        <f t="shared" si="15"/>
        <v>46199E</v>
      </c>
      <c r="B55" s="51">
        <f t="shared" si="33"/>
        <v>46199</v>
      </c>
      <c r="C55" s="52" t="s">
        <v>88</v>
      </c>
      <c r="D55" s="91"/>
      <c r="E55" s="62"/>
      <c r="F55" s="62"/>
      <c r="G55" s="62">
        <f t="shared" si="16"/>
        <v>0</v>
      </c>
      <c r="H55" s="63">
        <f t="shared" si="17"/>
        <v>0</v>
      </c>
      <c r="I55" s="119"/>
      <c r="J55" s="119"/>
      <c r="K55" s="203"/>
      <c r="L55" s="203"/>
      <c r="M55" s="58"/>
      <c r="N55" s="58"/>
      <c r="O55" s="59"/>
      <c r="P55" s="56"/>
      <c r="Q55" s="60"/>
      <c r="R55" s="61">
        <f t="shared" si="18"/>
        <v>0</v>
      </c>
      <c r="S55" s="62">
        <f t="shared" si="19"/>
        <v>0</v>
      </c>
      <c r="T55" s="63">
        <f t="shared" si="20"/>
        <v>0</v>
      </c>
      <c r="U55" s="64"/>
      <c r="V55" s="65"/>
      <c r="W55" s="66"/>
      <c r="X55" s="67"/>
      <c r="Y55" s="68"/>
      <c r="Z55" s="68"/>
      <c r="AA55" s="62">
        <f t="shared" si="21"/>
        <v>0</v>
      </c>
      <c r="AB55" s="63">
        <f t="shared" si="22"/>
        <v>0</v>
      </c>
      <c r="AC55" s="69"/>
      <c r="AD55" s="70"/>
      <c r="AE55" s="70"/>
      <c r="AF55" s="62">
        <f t="shared" si="23"/>
        <v>0</v>
      </c>
      <c r="AG55" s="62">
        <f t="shared" si="24"/>
        <v>0</v>
      </c>
      <c r="AH55" s="89"/>
      <c r="AI55" s="66"/>
      <c r="AJ55" s="66"/>
      <c r="AK55" s="62">
        <f t="shared" si="25"/>
        <v>0</v>
      </c>
      <c r="AL55" s="72">
        <f t="shared" si="26"/>
        <v>0</v>
      </c>
      <c r="AM55" s="73">
        <f t="shared" si="27"/>
        <v>0</v>
      </c>
      <c r="AN55" s="74">
        <f t="shared" si="28"/>
        <v>0</v>
      </c>
      <c r="AO55" s="74">
        <f t="shared" si="29"/>
        <v>0</v>
      </c>
      <c r="AP55" s="75" t="e">
        <f t="shared" si="30"/>
        <v>#DIV/0!</v>
      </c>
      <c r="AQ55" s="76">
        <f t="shared" si="31"/>
        <v>0</v>
      </c>
      <c r="AR55" s="90">
        <f t="shared" si="34"/>
        <v>0</v>
      </c>
    </row>
    <row r="56" spans="1:44" x14ac:dyDescent="0.25">
      <c r="A56" t="str">
        <f t="shared" si="15"/>
        <v>46200M</v>
      </c>
      <c r="B56" s="51">
        <f t="shared" si="33"/>
        <v>46200</v>
      </c>
      <c r="C56" s="52" t="s">
        <v>87</v>
      </c>
      <c r="D56" s="91"/>
      <c r="E56" s="62"/>
      <c r="F56" s="62"/>
      <c r="G56" s="62">
        <f t="shared" si="16"/>
        <v>0</v>
      </c>
      <c r="H56" s="63">
        <f t="shared" si="17"/>
        <v>0</v>
      </c>
      <c r="I56" s="119"/>
      <c r="J56" s="119"/>
      <c r="K56" s="203"/>
      <c r="L56" s="203"/>
      <c r="M56" s="58"/>
      <c r="N56" s="58"/>
      <c r="O56" s="59"/>
      <c r="P56" s="56"/>
      <c r="Q56" s="60"/>
      <c r="R56" s="61">
        <f t="shared" si="18"/>
        <v>0</v>
      </c>
      <c r="S56" s="62">
        <f t="shared" si="19"/>
        <v>0</v>
      </c>
      <c r="T56" s="63">
        <f t="shared" si="20"/>
        <v>0</v>
      </c>
      <c r="U56" s="64"/>
      <c r="V56" s="65"/>
      <c r="W56" s="66"/>
      <c r="X56" s="67"/>
      <c r="Y56" s="68"/>
      <c r="Z56" s="68"/>
      <c r="AA56" s="62">
        <f t="shared" si="21"/>
        <v>0</v>
      </c>
      <c r="AB56" s="63">
        <f t="shared" si="22"/>
        <v>0</v>
      </c>
      <c r="AC56" s="69"/>
      <c r="AD56" s="70"/>
      <c r="AE56" s="70"/>
      <c r="AF56" s="62">
        <f t="shared" si="23"/>
        <v>0</v>
      </c>
      <c r="AG56" s="62">
        <f t="shared" si="24"/>
        <v>0</v>
      </c>
      <c r="AH56" s="89"/>
      <c r="AI56" s="66"/>
      <c r="AJ56" s="66"/>
      <c r="AK56" s="62">
        <f t="shared" si="25"/>
        <v>0</v>
      </c>
      <c r="AL56" s="72">
        <f t="shared" si="26"/>
        <v>0</v>
      </c>
      <c r="AM56" s="73">
        <f t="shared" si="27"/>
        <v>0</v>
      </c>
      <c r="AN56" s="74">
        <f t="shared" si="28"/>
        <v>0</v>
      </c>
      <c r="AO56" s="74">
        <f t="shared" si="29"/>
        <v>0</v>
      </c>
      <c r="AP56" s="75" t="e">
        <f t="shared" si="30"/>
        <v>#DIV/0!</v>
      </c>
      <c r="AQ56" s="76">
        <f t="shared" si="31"/>
        <v>0</v>
      </c>
      <c r="AR56" s="90">
        <f t="shared" si="34"/>
        <v>0</v>
      </c>
    </row>
    <row r="57" spans="1:44" x14ac:dyDescent="0.25">
      <c r="A57" t="str">
        <f t="shared" si="15"/>
        <v>46200E</v>
      </c>
      <c r="B57" s="51">
        <f t="shared" si="33"/>
        <v>46200</v>
      </c>
      <c r="C57" s="52" t="s">
        <v>88</v>
      </c>
      <c r="D57" s="91"/>
      <c r="E57" s="62"/>
      <c r="F57" s="62"/>
      <c r="G57" s="62">
        <f t="shared" si="16"/>
        <v>0</v>
      </c>
      <c r="H57" s="63">
        <f t="shared" si="17"/>
        <v>0</v>
      </c>
      <c r="I57" s="119"/>
      <c r="J57" s="119"/>
      <c r="K57" s="203"/>
      <c r="L57" s="203"/>
      <c r="M57" s="58"/>
      <c r="N57" s="58"/>
      <c r="O57" s="59"/>
      <c r="P57" s="56"/>
      <c r="Q57" s="60"/>
      <c r="R57" s="61">
        <f t="shared" si="18"/>
        <v>0</v>
      </c>
      <c r="S57" s="62">
        <f t="shared" si="19"/>
        <v>0</v>
      </c>
      <c r="T57" s="63">
        <f t="shared" si="20"/>
        <v>0</v>
      </c>
      <c r="U57" s="64"/>
      <c r="V57" s="65"/>
      <c r="W57" s="66"/>
      <c r="X57" s="67"/>
      <c r="Y57" s="68"/>
      <c r="Z57" s="68"/>
      <c r="AA57" s="62">
        <f t="shared" si="21"/>
        <v>0</v>
      </c>
      <c r="AB57" s="63">
        <f t="shared" si="22"/>
        <v>0</v>
      </c>
      <c r="AC57" s="69"/>
      <c r="AD57" s="70"/>
      <c r="AE57" s="70"/>
      <c r="AF57" s="62">
        <f t="shared" si="23"/>
        <v>0</v>
      </c>
      <c r="AG57" s="62">
        <f t="shared" si="24"/>
        <v>0</v>
      </c>
      <c r="AH57" s="89"/>
      <c r="AI57" s="66"/>
      <c r="AJ57" s="66"/>
      <c r="AK57" s="62">
        <f t="shared" si="25"/>
        <v>0</v>
      </c>
      <c r="AL57" s="72">
        <f t="shared" si="26"/>
        <v>0</v>
      </c>
      <c r="AM57" s="73">
        <f t="shared" si="27"/>
        <v>0</v>
      </c>
      <c r="AN57" s="74">
        <f t="shared" si="28"/>
        <v>0</v>
      </c>
      <c r="AO57" s="74">
        <f t="shared" si="29"/>
        <v>0</v>
      </c>
      <c r="AP57" s="75" t="e">
        <f t="shared" si="30"/>
        <v>#DIV/0!</v>
      </c>
      <c r="AQ57" s="76">
        <f t="shared" si="31"/>
        <v>0</v>
      </c>
      <c r="AR57" s="90">
        <f t="shared" si="34"/>
        <v>0</v>
      </c>
    </row>
    <row r="58" spans="1:44" x14ac:dyDescent="0.25">
      <c r="A58" t="str">
        <f t="shared" si="15"/>
        <v>46201M</v>
      </c>
      <c r="B58" s="51">
        <f t="shared" si="33"/>
        <v>46201</v>
      </c>
      <c r="C58" s="52" t="s">
        <v>87</v>
      </c>
      <c r="D58" s="91"/>
      <c r="E58" s="62"/>
      <c r="F58" s="62"/>
      <c r="G58" s="62">
        <f t="shared" si="16"/>
        <v>0</v>
      </c>
      <c r="H58" s="63">
        <f t="shared" si="17"/>
        <v>0</v>
      </c>
      <c r="I58" s="119"/>
      <c r="J58" s="119"/>
      <c r="K58" s="203"/>
      <c r="L58" s="203"/>
      <c r="M58" s="58"/>
      <c r="N58" s="58"/>
      <c r="O58" s="59"/>
      <c r="P58" s="56"/>
      <c r="Q58" s="60"/>
      <c r="R58" s="61">
        <f t="shared" si="18"/>
        <v>0</v>
      </c>
      <c r="S58" s="62">
        <f t="shared" si="19"/>
        <v>0</v>
      </c>
      <c r="T58" s="63">
        <f t="shared" si="20"/>
        <v>0</v>
      </c>
      <c r="U58" s="64"/>
      <c r="V58" s="65"/>
      <c r="W58" s="66"/>
      <c r="X58" s="67"/>
      <c r="Y58" s="68"/>
      <c r="Z58" s="68"/>
      <c r="AA58" s="62">
        <f t="shared" si="21"/>
        <v>0</v>
      </c>
      <c r="AB58" s="63">
        <f t="shared" si="22"/>
        <v>0</v>
      </c>
      <c r="AC58" s="69"/>
      <c r="AD58" s="70"/>
      <c r="AE58" s="70"/>
      <c r="AF58" s="62">
        <f t="shared" si="23"/>
        <v>0</v>
      </c>
      <c r="AG58" s="62">
        <f t="shared" si="24"/>
        <v>0</v>
      </c>
      <c r="AH58" s="89"/>
      <c r="AI58" s="66"/>
      <c r="AJ58" s="66"/>
      <c r="AK58" s="62">
        <f t="shared" si="25"/>
        <v>0</v>
      </c>
      <c r="AL58" s="72">
        <f t="shared" si="26"/>
        <v>0</v>
      </c>
      <c r="AM58" s="73">
        <f t="shared" si="27"/>
        <v>0</v>
      </c>
      <c r="AN58" s="74">
        <f t="shared" si="28"/>
        <v>0</v>
      </c>
      <c r="AO58" s="74">
        <f t="shared" si="29"/>
        <v>0</v>
      </c>
      <c r="AP58" s="75" t="e">
        <f t="shared" si="30"/>
        <v>#DIV/0!</v>
      </c>
      <c r="AQ58" s="76">
        <f t="shared" si="31"/>
        <v>0</v>
      </c>
      <c r="AR58" s="90">
        <f t="shared" si="34"/>
        <v>0</v>
      </c>
    </row>
    <row r="59" spans="1:44" x14ac:dyDescent="0.25">
      <c r="A59" t="str">
        <f t="shared" si="15"/>
        <v>46201E</v>
      </c>
      <c r="B59" s="51">
        <f t="shared" si="33"/>
        <v>46201</v>
      </c>
      <c r="C59" s="52" t="s">
        <v>88</v>
      </c>
      <c r="D59" s="91"/>
      <c r="E59" s="62"/>
      <c r="F59" s="62"/>
      <c r="G59" s="62">
        <f t="shared" si="16"/>
        <v>0</v>
      </c>
      <c r="H59" s="63">
        <f t="shared" si="17"/>
        <v>0</v>
      </c>
      <c r="I59" s="119"/>
      <c r="J59" s="119"/>
      <c r="K59" s="203"/>
      <c r="L59" s="203"/>
      <c r="M59" s="58"/>
      <c r="N59" s="58"/>
      <c r="O59" s="59"/>
      <c r="P59" s="56"/>
      <c r="Q59" s="60"/>
      <c r="R59" s="61">
        <f t="shared" si="18"/>
        <v>0</v>
      </c>
      <c r="S59" s="62">
        <f t="shared" si="19"/>
        <v>0</v>
      </c>
      <c r="T59" s="63">
        <f t="shared" si="20"/>
        <v>0</v>
      </c>
      <c r="U59" s="64"/>
      <c r="V59" s="65"/>
      <c r="W59" s="66"/>
      <c r="X59" s="67"/>
      <c r="Y59" s="68"/>
      <c r="Z59" s="68"/>
      <c r="AA59" s="62">
        <f t="shared" si="21"/>
        <v>0</v>
      </c>
      <c r="AB59" s="63">
        <f t="shared" si="22"/>
        <v>0</v>
      </c>
      <c r="AC59" s="69"/>
      <c r="AD59" s="70"/>
      <c r="AE59" s="70"/>
      <c r="AF59" s="62">
        <f t="shared" si="23"/>
        <v>0</v>
      </c>
      <c r="AG59" s="62">
        <f t="shared" si="24"/>
        <v>0</v>
      </c>
      <c r="AH59" s="89"/>
      <c r="AI59" s="66"/>
      <c r="AJ59" s="66"/>
      <c r="AK59" s="62">
        <f t="shared" si="25"/>
        <v>0</v>
      </c>
      <c r="AL59" s="72">
        <f t="shared" si="26"/>
        <v>0</v>
      </c>
      <c r="AM59" s="73">
        <f t="shared" si="27"/>
        <v>0</v>
      </c>
      <c r="AN59" s="74">
        <f t="shared" si="28"/>
        <v>0</v>
      </c>
      <c r="AO59" s="74">
        <f t="shared" si="29"/>
        <v>0</v>
      </c>
      <c r="AP59" s="75" t="e">
        <f t="shared" si="30"/>
        <v>#DIV/0!</v>
      </c>
      <c r="AQ59" s="76">
        <f t="shared" si="31"/>
        <v>0</v>
      </c>
      <c r="AR59" s="90">
        <f t="shared" si="34"/>
        <v>0</v>
      </c>
    </row>
    <row r="60" spans="1:44" x14ac:dyDescent="0.25">
      <c r="A60" t="str">
        <f t="shared" si="15"/>
        <v>46202M</v>
      </c>
      <c r="B60" s="51">
        <f t="shared" si="33"/>
        <v>46202</v>
      </c>
      <c r="C60" s="52" t="s">
        <v>87</v>
      </c>
      <c r="D60" s="91"/>
      <c r="E60" s="62"/>
      <c r="F60" s="62"/>
      <c r="G60" s="62">
        <f t="shared" si="16"/>
        <v>0</v>
      </c>
      <c r="H60" s="63">
        <f t="shared" si="17"/>
        <v>0</v>
      </c>
      <c r="I60" s="119"/>
      <c r="J60" s="119"/>
      <c r="K60" s="203"/>
      <c r="L60" s="203"/>
      <c r="M60" s="58"/>
      <c r="N60" s="58"/>
      <c r="O60" s="59"/>
      <c r="P60" s="56"/>
      <c r="Q60" s="60"/>
      <c r="R60" s="61">
        <f t="shared" si="18"/>
        <v>0</v>
      </c>
      <c r="S60" s="62">
        <f t="shared" si="19"/>
        <v>0</v>
      </c>
      <c r="T60" s="63">
        <f t="shared" si="20"/>
        <v>0</v>
      </c>
      <c r="U60" s="64"/>
      <c r="V60" s="65"/>
      <c r="W60" s="66"/>
      <c r="X60" s="67"/>
      <c r="Y60" s="68"/>
      <c r="Z60" s="68"/>
      <c r="AA60" s="62">
        <f t="shared" si="21"/>
        <v>0</v>
      </c>
      <c r="AB60" s="63">
        <f t="shared" si="22"/>
        <v>0</v>
      </c>
      <c r="AC60" s="69"/>
      <c r="AD60" s="70"/>
      <c r="AE60" s="70"/>
      <c r="AF60" s="62">
        <f t="shared" si="23"/>
        <v>0</v>
      </c>
      <c r="AG60" s="62">
        <f t="shared" si="24"/>
        <v>0</v>
      </c>
      <c r="AH60" s="89"/>
      <c r="AI60" s="66"/>
      <c r="AJ60" s="66"/>
      <c r="AK60" s="62">
        <f t="shared" si="25"/>
        <v>0</v>
      </c>
      <c r="AL60" s="72">
        <f t="shared" si="26"/>
        <v>0</v>
      </c>
      <c r="AM60" s="73">
        <f t="shared" si="27"/>
        <v>0</v>
      </c>
      <c r="AN60" s="74">
        <f t="shared" si="28"/>
        <v>0</v>
      </c>
      <c r="AO60" s="74">
        <f t="shared" si="29"/>
        <v>0</v>
      </c>
      <c r="AP60" s="75" t="e">
        <f t="shared" si="30"/>
        <v>#DIV/0!</v>
      </c>
      <c r="AQ60" s="76">
        <f t="shared" si="31"/>
        <v>0</v>
      </c>
      <c r="AR60" s="90">
        <f t="shared" si="34"/>
        <v>0</v>
      </c>
    </row>
    <row r="61" spans="1:44" x14ac:dyDescent="0.25">
      <c r="A61" t="str">
        <f t="shared" si="15"/>
        <v>46202E</v>
      </c>
      <c r="B61" s="51">
        <f t="shared" si="33"/>
        <v>46202</v>
      </c>
      <c r="C61" s="52" t="s">
        <v>88</v>
      </c>
      <c r="D61" s="91"/>
      <c r="E61" s="62"/>
      <c r="F61" s="62"/>
      <c r="G61" s="62">
        <f t="shared" si="16"/>
        <v>0</v>
      </c>
      <c r="H61" s="63">
        <f t="shared" si="17"/>
        <v>0</v>
      </c>
      <c r="I61" s="119"/>
      <c r="J61" s="119"/>
      <c r="K61" s="203"/>
      <c r="L61" s="203"/>
      <c r="M61" s="58"/>
      <c r="N61" s="58"/>
      <c r="O61" s="59"/>
      <c r="P61" s="56"/>
      <c r="Q61" s="60"/>
      <c r="R61" s="61">
        <f t="shared" si="18"/>
        <v>0</v>
      </c>
      <c r="S61" s="62">
        <f t="shared" si="19"/>
        <v>0</v>
      </c>
      <c r="T61" s="63">
        <f t="shared" si="20"/>
        <v>0</v>
      </c>
      <c r="U61" s="64"/>
      <c r="V61" s="65"/>
      <c r="W61" s="66"/>
      <c r="X61" s="67"/>
      <c r="Y61" s="68"/>
      <c r="Z61" s="68"/>
      <c r="AA61" s="62">
        <f t="shared" si="21"/>
        <v>0</v>
      </c>
      <c r="AB61" s="63">
        <f t="shared" si="22"/>
        <v>0</v>
      </c>
      <c r="AC61" s="69"/>
      <c r="AD61" s="70"/>
      <c r="AE61" s="70"/>
      <c r="AF61" s="62">
        <f t="shared" si="23"/>
        <v>0</v>
      </c>
      <c r="AG61" s="62">
        <f t="shared" si="24"/>
        <v>0</v>
      </c>
      <c r="AH61" s="89"/>
      <c r="AI61" s="66"/>
      <c r="AJ61" s="66"/>
      <c r="AK61" s="62">
        <f t="shared" si="25"/>
        <v>0</v>
      </c>
      <c r="AL61" s="72">
        <f t="shared" si="26"/>
        <v>0</v>
      </c>
      <c r="AM61" s="73">
        <f t="shared" si="27"/>
        <v>0</v>
      </c>
      <c r="AN61" s="74">
        <f t="shared" si="28"/>
        <v>0</v>
      </c>
      <c r="AO61" s="74">
        <f t="shared" si="29"/>
        <v>0</v>
      </c>
      <c r="AP61" s="75" t="e">
        <f t="shared" si="30"/>
        <v>#DIV/0!</v>
      </c>
      <c r="AQ61" s="76">
        <f t="shared" si="31"/>
        <v>0</v>
      </c>
      <c r="AR61" s="90">
        <f t="shared" si="34"/>
        <v>0</v>
      </c>
    </row>
    <row r="62" spans="1:44" x14ac:dyDescent="0.25">
      <c r="A62" t="str">
        <f t="shared" si="15"/>
        <v>46203M</v>
      </c>
      <c r="B62" s="51">
        <f t="shared" si="33"/>
        <v>46203</v>
      </c>
      <c r="C62" s="52" t="s">
        <v>87</v>
      </c>
      <c r="D62" s="91"/>
      <c r="E62" s="62"/>
      <c r="F62" s="62"/>
      <c r="G62" s="62">
        <f t="shared" si="16"/>
        <v>0</v>
      </c>
      <c r="H62" s="63">
        <f t="shared" si="17"/>
        <v>0</v>
      </c>
      <c r="I62" s="119"/>
      <c r="J62" s="119"/>
      <c r="K62" s="203"/>
      <c r="L62" s="203"/>
      <c r="M62" s="58"/>
      <c r="N62" s="58"/>
      <c r="O62" s="59"/>
      <c r="P62" s="56"/>
      <c r="Q62" s="60"/>
      <c r="R62" s="61">
        <f t="shared" si="18"/>
        <v>0</v>
      </c>
      <c r="S62" s="62">
        <f t="shared" si="19"/>
        <v>0</v>
      </c>
      <c r="T62" s="63">
        <f t="shared" si="20"/>
        <v>0</v>
      </c>
      <c r="U62" s="64"/>
      <c r="V62" s="65"/>
      <c r="W62" s="66"/>
      <c r="X62" s="67"/>
      <c r="Y62" s="68"/>
      <c r="Z62" s="68"/>
      <c r="AA62" s="62">
        <f t="shared" si="21"/>
        <v>0</v>
      </c>
      <c r="AB62" s="63">
        <f t="shared" si="22"/>
        <v>0</v>
      </c>
      <c r="AC62" s="69"/>
      <c r="AD62" s="70"/>
      <c r="AE62" s="70"/>
      <c r="AF62" s="62">
        <f t="shared" si="23"/>
        <v>0</v>
      </c>
      <c r="AG62" s="62">
        <f t="shared" si="24"/>
        <v>0</v>
      </c>
      <c r="AH62" s="89"/>
      <c r="AI62" s="66"/>
      <c r="AJ62" s="66"/>
      <c r="AK62" s="62">
        <f t="shared" si="25"/>
        <v>0</v>
      </c>
      <c r="AL62" s="72">
        <f t="shared" si="26"/>
        <v>0</v>
      </c>
      <c r="AM62" s="73">
        <f t="shared" si="27"/>
        <v>0</v>
      </c>
      <c r="AN62" s="74">
        <f t="shared" si="28"/>
        <v>0</v>
      </c>
      <c r="AO62" s="74">
        <f t="shared" si="29"/>
        <v>0</v>
      </c>
      <c r="AP62" s="75" t="e">
        <f t="shared" si="30"/>
        <v>#DIV/0!</v>
      </c>
      <c r="AQ62" s="76">
        <f t="shared" si="31"/>
        <v>0</v>
      </c>
      <c r="AR62" s="90">
        <f t="shared" si="34"/>
        <v>0</v>
      </c>
    </row>
    <row r="63" spans="1:44" x14ac:dyDescent="0.25">
      <c r="A63" t="str">
        <f t="shared" si="15"/>
        <v>46203E</v>
      </c>
      <c r="B63" s="51">
        <f t="shared" si="33"/>
        <v>46203</v>
      </c>
      <c r="C63" s="52" t="s">
        <v>88</v>
      </c>
      <c r="D63" s="91"/>
      <c r="E63" s="62"/>
      <c r="F63" s="62"/>
      <c r="G63" s="62">
        <f t="shared" si="16"/>
        <v>0</v>
      </c>
      <c r="H63" s="63">
        <f t="shared" si="17"/>
        <v>0</v>
      </c>
      <c r="I63" s="119"/>
      <c r="J63" s="119"/>
      <c r="K63" s="203"/>
      <c r="L63" s="203"/>
      <c r="M63" s="58"/>
      <c r="N63" s="58"/>
      <c r="O63" s="59"/>
      <c r="P63" s="56"/>
      <c r="Q63" s="60"/>
      <c r="R63" s="61">
        <f t="shared" si="18"/>
        <v>0</v>
      </c>
      <c r="S63" s="62">
        <f t="shared" si="19"/>
        <v>0</v>
      </c>
      <c r="T63" s="63">
        <f t="shared" si="20"/>
        <v>0</v>
      </c>
      <c r="U63" s="64"/>
      <c r="V63" s="65"/>
      <c r="W63" s="66"/>
      <c r="X63" s="67"/>
      <c r="Y63" s="68"/>
      <c r="Z63" s="68"/>
      <c r="AA63" s="62">
        <f t="shared" si="21"/>
        <v>0</v>
      </c>
      <c r="AB63" s="63">
        <f t="shared" si="22"/>
        <v>0</v>
      </c>
      <c r="AC63" s="69"/>
      <c r="AD63" s="70"/>
      <c r="AE63" s="70"/>
      <c r="AF63" s="62">
        <f t="shared" si="23"/>
        <v>0</v>
      </c>
      <c r="AG63" s="62">
        <f t="shared" si="24"/>
        <v>0</v>
      </c>
      <c r="AH63" s="89"/>
      <c r="AI63" s="66"/>
      <c r="AJ63" s="66"/>
      <c r="AK63" s="62">
        <f t="shared" si="25"/>
        <v>0</v>
      </c>
      <c r="AL63" s="72">
        <f t="shared" si="26"/>
        <v>0</v>
      </c>
      <c r="AM63" s="73">
        <f t="shared" si="27"/>
        <v>0</v>
      </c>
      <c r="AN63" s="74">
        <f t="shared" si="28"/>
        <v>0</v>
      </c>
      <c r="AO63" s="74">
        <f t="shared" si="29"/>
        <v>0</v>
      </c>
      <c r="AP63" s="75" t="e">
        <f t="shared" si="30"/>
        <v>#DIV/0!</v>
      </c>
      <c r="AQ63" s="76">
        <f t="shared" si="31"/>
        <v>0</v>
      </c>
      <c r="AR63" s="90">
        <v>0</v>
      </c>
    </row>
    <row r="64" spans="1:44" x14ac:dyDescent="0.25">
      <c r="A64" t="str">
        <f t="shared" si="15"/>
        <v>46204M</v>
      </c>
      <c r="B64" s="51">
        <f t="shared" si="33"/>
        <v>46204</v>
      </c>
      <c r="C64" s="52" t="s">
        <v>87</v>
      </c>
      <c r="D64" s="91"/>
      <c r="E64" s="62"/>
      <c r="F64" s="62"/>
      <c r="G64" s="62">
        <f t="shared" si="16"/>
        <v>0</v>
      </c>
      <c r="H64" s="63">
        <f t="shared" si="17"/>
        <v>0</v>
      </c>
      <c r="I64" s="119"/>
      <c r="J64" s="119"/>
      <c r="K64" s="203"/>
      <c r="L64" s="203"/>
      <c r="M64" s="57"/>
      <c r="N64" s="58"/>
      <c r="O64" s="59"/>
      <c r="P64" s="56"/>
      <c r="Q64" s="60"/>
      <c r="R64" s="61">
        <f t="shared" si="18"/>
        <v>0</v>
      </c>
      <c r="S64" s="62">
        <f t="shared" si="19"/>
        <v>0</v>
      </c>
      <c r="T64" s="63">
        <f t="shared" si="20"/>
        <v>0</v>
      </c>
      <c r="U64" s="64"/>
      <c r="V64" s="65"/>
      <c r="W64" s="66"/>
      <c r="X64" s="67"/>
      <c r="Y64" s="68"/>
      <c r="Z64" s="68"/>
      <c r="AA64" s="62">
        <f t="shared" si="21"/>
        <v>0</v>
      </c>
      <c r="AB64" s="63">
        <f t="shared" si="22"/>
        <v>0</v>
      </c>
      <c r="AC64" s="69"/>
      <c r="AD64" s="70"/>
      <c r="AE64" s="70"/>
      <c r="AF64" s="62">
        <f t="shared" si="23"/>
        <v>0</v>
      </c>
      <c r="AG64" s="62">
        <f t="shared" si="24"/>
        <v>0</v>
      </c>
      <c r="AH64" s="89"/>
      <c r="AI64" s="71"/>
      <c r="AJ64" s="71"/>
      <c r="AK64" s="62">
        <f t="shared" si="25"/>
        <v>0</v>
      </c>
      <c r="AL64" s="72">
        <f t="shared" si="26"/>
        <v>0</v>
      </c>
      <c r="AM64" s="73">
        <f t="shared" si="27"/>
        <v>0</v>
      </c>
      <c r="AN64" s="74">
        <f t="shared" si="28"/>
        <v>0</v>
      </c>
      <c r="AO64" s="74">
        <f t="shared" si="29"/>
        <v>0</v>
      </c>
      <c r="AP64" s="75" t="e">
        <f t="shared" si="30"/>
        <v>#DIV/0!</v>
      </c>
      <c r="AQ64" s="76">
        <f t="shared" si="31"/>
        <v>0</v>
      </c>
      <c r="AR64" s="90">
        <f t="shared" si="14"/>
        <v>0</v>
      </c>
    </row>
    <row r="65" spans="1:44" x14ac:dyDescent="0.25">
      <c r="A65" t="str">
        <f t="shared" si="15"/>
        <v>46204E</v>
      </c>
      <c r="B65" s="51">
        <f t="shared" si="33"/>
        <v>46204</v>
      </c>
      <c r="C65" s="52" t="s">
        <v>88</v>
      </c>
      <c r="D65" s="91"/>
      <c r="E65" s="62"/>
      <c r="F65" s="62"/>
      <c r="G65" s="62">
        <f t="shared" si="16"/>
        <v>0</v>
      </c>
      <c r="H65" s="63">
        <f t="shared" si="17"/>
        <v>0</v>
      </c>
      <c r="I65" s="119"/>
      <c r="J65" s="119"/>
      <c r="K65" s="203"/>
      <c r="L65" s="203"/>
      <c r="M65" s="57"/>
      <c r="N65" s="58"/>
      <c r="O65" s="59"/>
      <c r="P65" s="56"/>
      <c r="Q65" s="60"/>
      <c r="R65" s="61">
        <f t="shared" si="18"/>
        <v>0</v>
      </c>
      <c r="S65" s="62">
        <f t="shared" si="19"/>
        <v>0</v>
      </c>
      <c r="T65" s="63">
        <f t="shared" si="20"/>
        <v>0</v>
      </c>
      <c r="U65" s="64"/>
      <c r="V65" s="65"/>
      <c r="W65" s="66"/>
      <c r="X65" s="67"/>
      <c r="Y65" s="68"/>
      <c r="Z65" s="68"/>
      <c r="AA65" s="62">
        <f t="shared" si="21"/>
        <v>0</v>
      </c>
      <c r="AB65" s="63">
        <f t="shared" si="22"/>
        <v>0</v>
      </c>
      <c r="AC65" s="69"/>
      <c r="AD65" s="70"/>
      <c r="AE65" s="70"/>
      <c r="AF65" s="62">
        <f t="shared" si="23"/>
        <v>0</v>
      </c>
      <c r="AG65" s="62">
        <f t="shared" si="24"/>
        <v>0</v>
      </c>
      <c r="AH65" s="89"/>
      <c r="AI65" s="71"/>
      <c r="AJ65" s="71"/>
      <c r="AK65" s="62">
        <f t="shared" si="25"/>
        <v>0</v>
      </c>
      <c r="AL65" s="72">
        <f t="shared" si="26"/>
        <v>0</v>
      </c>
      <c r="AM65" s="73">
        <f t="shared" si="27"/>
        <v>0</v>
      </c>
      <c r="AN65" s="74">
        <f t="shared" si="28"/>
        <v>0</v>
      </c>
      <c r="AO65" s="74">
        <f t="shared" si="29"/>
        <v>0</v>
      </c>
      <c r="AP65" s="75" t="e">
        <f t="shared" si="30"/>
        <v>#DIV/0!</v>
      </c>
      <c r="AQ65" s="76">
        <f t="shared" si="31"/>
        <v>0</v>
      </c>
      <c r="AR65" s="90">
        <f t="shared" si="14"/>
        <v>0</v>
      </c>
    </row>
    <row r="66" spans="1:44" x14ac:dyDescent="0.25">
      <c r="J66" s="83">
        <f>SUM(J4:J65)</f>
        <v>91062.093999999997</v>
      </c>
      <c r="R66" s="83">
        <f>SUM(R4:R65)</f>
        <v>105389.094</v>
      </c>
      <c r="S66" s="83">
        <f t="shared" ref="S66:T66" si="35">SUM(S4:S65)</f>
        <v>4266.7119659</v>
      </c>
      <c r="T66" s="83">
        <f t="shared" si="35"/>
        <v>8628.534230199999</v>
      </c>
      <c r="AH66" s="90"/>
      <c r="AI66" s="77"/>
      <c r="AJ66" s="77"/>
      <c r="AM66" s="83">
        <f>-SUM(AM4:AM65)</f>
        <v>218.90599999999904</v>
      </c>
      <c r="AN66" s="83">
        <f>-SUM(AN4:AN65)</f>
        <v>76.667234100000073</v>
      </c>
      <c r="AO66" s="83">
        <f>-SUM(AO4:AO65)</f>
        <v>-8.1414302000003715</v>
      </c>
      <c r="AQ66" s="127">
        <f>-SUM(AQ4:AQ65)</f>
        <v>31980.175105776259</v>
      </c>
    </row>
    <row r="67" spans="1:44" x14ac:dyDescent="0.25">
      <c r="X67" s="90"/>
      <c r="Y67" s="77"/>
      <c r="Z67" s="77"/>
      <c r="AH67" s="90"/>
      <c r="AI67" s="77"/>
      <c r="AJ67" s="77"/>
    </row>
    <row r="68" spans="1:44" x14ac:dyDescent="0.25">
      <c r="AH68" s="90"/>
      <c r="AI68" s="90"/>
      <c r="AJ68" s="90"/>
    </row>
    <row r="69" spans="1:44" x14ac:dyDescent="0.25">
      <c r="V69" s="194">
        <v>4640</v>
      </c>
      <c r="W69" s="195">
        <v>4.9000000000000004</v>
      </c>
      <c r="X69" s="195">
        <v>8.39</v>
      </c>
      <c r="Y69" s="90">
        <f>+V69*W69%</f>
        <v>227.36</v>
      </c>
      <c r="Z69" s="90">
        <f>+V69*X69%</f>
        <v>389.29599999999999</v>
      </c>
      <c r="AH69" s="90"/>
      <c r="AI69" s="90"/>
      <c r="AJ69" s="90"/>
    </row>
    <row r="70" spans="1:44" x14ac:dyDescent="0.25">
      <c r="V70" s="59">
        <v>5300</v>
      </c>
      <c r="W70" s="56">
        <v>4.3</v>
      </c>
      <c r="X70" s="60">
        <v>8.52</v>
      </c>
      <c r="Y70" s="90">
        <f>+V70*W70%</f>
        <v>227.89999999999998</v>
      </c>
      <c r="Z70" s="90">
        <f>+V70*X70%</f>
        <v>451.56</v>
      </c>
    </row>
    <row r="71" spans="1:44" x14ac:dyDescent="0.25">
      <c r="V71">
        <f>SUM(V69:V70)</f>
        <v>9940</v>
      </c>
      <c r="W71">
        <f>+Y71/V71%</f>
        <v>4.580080482897384</v>
      </c>
      <c r="X71">
        <f>+Z71/V71%</f>
        <v>8.4593158953722334</v>
      </c>
      <c r="Y71" s="90">
        <f>SUM(Y69:Y70)</f>
        <v>455.26</v>
      </c>
      <c r="Z71" s="90">
        <f>SUM(Z69:Z70)</f>
        <v>840.85599999999999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06" priority="2" operator="lessThan">
      <formula>0.1</formula>
    </cfRule>
    <cfRule type="cellIs" dxfId="105" priority="3" operator="greaterThan">
      <formula>0.1</formula>
    </cfRule>
  </conditionalFormatting>
  <conditionalFormatting sqref="AP1:AQ1">
    <cfRule type="cellIs" dxfId="104" priority="1" operator="lessThan">
      <formula>1</formula>
    </cfRule>
  </conditionalFormatting>
  <conditionalFormatting sqref="AQ4:AQ65">
    <cfRule type="cellIs" dxfId="103" priority="12" operator="lessThan">
      <formula>0</formula>
    </cfRule>
    <cfRule type="cellIs" dxfId="102" priority="13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71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W25" sqref="W25"/>
    </sheetView>
  </sheetViews>
  <sheetFormatPr defaultRowHeight="15" x14ac:dyDescent="0.25"/>
  <cols>
    <col min="1" max="1" width="5.28515625" customWidth="1"/>
    <col min="2" max="2" width="9.7109375" customWidth="1"/>
    <col min="3" max="3" width="4.7109375" bestFit="1" customWidth="1"/>
    <col min="4" max="4" width="7.5703125" bestFit="1" customWidth="1"/>
    <col min="5" max="5" width="5" bestFit="1" customWidth="1"/>
    <col min="6" max="6" width="5.5703125" bestFit="1" customWidth="1"/>
    <col min="7" max="7" width="6.5703125" bestFit="1" customWidth="1"/>
    <col min="8" max="8" width="7.5703125" bestFit="1" customWidth="1"/>
    <col min="9" max="9" width="7.42578125" customWidth="1"/>
    <col min="10" max="10" width="8" customWidth="1"/>
    <col min="11" max="11" width="6.140625" customWidth="1"/>
    <col min="12" max="12" width="5.7109375" customWidth="1"/>
    <col min="13" max="13" width="5.28515625" bestFit="1" customWidth="1"/>
    <col min="14" max="14" width="9.5703125" bestFit="1" customWidth="1"/>
    <col min="15" max="15" width="7.7109375" bestFit="1" customWidth="1"/>
    <col min="16" max="17" width="5" bestFit="1" customWidth="1"/>
    <col min="18" max="18" width="7.5703125" customWidth="1"/>
    <col min="19" max="19" width="6.140625" customWidth="1"/>
    <col min="20" max="20" width="7.5703125" bestFit="1" customWidth="1"/>
    <col min="21" max="21" width="6.7109375" bestFit="1" customWidth="1"/>
    <col min="22" max="22" width="7.140625" bestFit="1" customWidth="1"/>
    <col min="23" max="23" width="8.85546875" customWidth="1"/>
    <col min="24" max="24" width="6.42578125" customWidth="1"/>
    <col min="25" max="26" width="5" bestFit="1" customWidth="1"/>
    <col min="27" max="27" width="6.42578125" bestFit="1" customWidth="1"/>
    <col min="28" max="28" width="7.5703125" bestFit="1" customWidth="1"/>
    <col min="29" max="29" width="8.5703125" bestFit="1" customWidth="1"/>
    <col min="30" max="31" width="5" customWidth="1"/>
    <col min="32" max="32" width="6.42578125" bestFit="1" customWidth="1"/>
    <col min="33" max="33" width="7.5703125" bestFit="1" customWidth="1"/>
    <col min="34" max="34" width="7" bestFit="1" customWidth="1"/>
    <col min="35" max="35" width="5" bestFit="1" customWidth="1"/>
    <col min="36" max="37" width="6.5703125" bestFit="1" customWidth="1"/>
    <col min="38" max="38" width="7.5703125" bestFit="1" customWidth="1"/>
    <col min="39" max="39" width="7.28515625" bestFit="1" customWidth="1"/>
    <col min="40" max="41" width="6.42578125" bestFit="1" customWidth="1"/>
    <col min="42" max="42" width="8.28515625" bestFit="1" customWidth="1"/>
    <col min="43" max="43" width="10.140625" bestFit="1" customWidth="1"/>
    <col min="44" max="44" width="5.7109375" bestFit="1" customWidth="1"/>
    <col min="45" max="49" width="8.7109375" bestFit="1" customWidth="1"/>
  </cols>
  <sheetData>
    <row r="1" spans="1:44" ht="15.75" thickBot="1" x14ac:dyDescent="0.3">
      <c r="B1" s="43" t="s">
        <v>137</v>
      </c>
      <c r="C1" s="44"/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59" t="s">
        <v>64</v>
      </c>
      <c r="C2" s="261" t="s">
        <v>65</v>
      </c>
      <c r="D2" s="263" t="s">
        <v>66</v>
      </c>
      <c r="E2" s="263"/>
      <c r="F2" s="263"/>
      <c r="G2" s="263"/>
      <c r="H2" s="264"/>
      <c r="I2" s="255" t="s">
        <v>67</v>
      </c>
      <c r="J2" s="256"/>
      <c r="K2" s="256"/>
      <c r="L2" s="257"/>
      <c r="M2" s="255" t="s">
        <v>68</v>
      </c>
      <c r="N2" s="265"/>
      <c r="O2" s="256"/>
      <c r="P2" s="256"/>
      <c r="Q2" s="257"/>
      <c r="R2" s="265" t="s">
        <v>69</v>
      </c>
      <c r="S2" s="256"/>
      <c r="T2" s="257"/>
      <c r="U2" s="252" t="s">
        <v>70</v>
      </c>
      <c r="V2" s="253"/>
      <c r="W2" s="253"/>
      <c r="X2" s="253"/>
      <c r="Y2" s="253"/>
      <c r="Z2" s="253"/>
      <c r="AA2" s="253"/>
      <c r="AB2" s="254"/>
      <c r="AC2" s="255" t="s">
        <v>71</v>
      </c>
      <c r="AD2" s="256"/>
      <c r="AE2" s="256"/>
      <c r="AF2" s="256"/>
      <c r="AG2" s="257"/>
      <c r="AH2" s="255" t="s">
        <v>72</v>
      </c>
      <c r="AI2" s="256"/>
      <c r="AJ2" s="256"/>
      <c r="AK2" s="256"/>
      <c r="AL2" s="258"/>
      <c r="AM2" s="252" t="s">
        <v>73</v>
      </c>
      <c r="AN2" s="253"/>
      <c r="AO2" s="253"/>
      <c r="AP2" s="253"/>
      <c r="AQ2" s="254"/>
    </row>
    <row r="3" spans="1:44" x14ac:dyDescent="0.25">
      <c r="B3" s="260"/>
      <c r="C3" s="26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87">
        <v>0</v>
      </c>
      <c r="E4" s="88">
        <v>0</v>
      </c>
      <c r="F4" s="88">
        <v>0</v>
      </c>
      <c r="G4" s="62">
        <f t="shared" ref="G4:G65" si="0">+D4*E4%</f>
        <v>0</v>
      </c>
      <c r="H4" s="63">
        <f t="shared" ref="H4:H65" si="1">+D4*F4%</f>
        <v>0</v>
      </c>
      <c r="I4" s="203">
        <v>3293.8</v>
      </c>
      <c r="J4" s="203">
        <v>3392.6140000000005</v>
      </c>
      <c r="K4" s="203">
        <v>4.094116218349626</v>
      </c>
      <c r="L4" s="203">
        <v>8.1930991559900423</v>
      </c>
      <c r="M4" s="57">
        <v>0</v>
      </c>
      <c r="N4" s="58">
        <v>0</v>
      </c>
      <c r="O4" s="59">
        <v>0</v>
      </c>
      <c r="P4" s="56">
        <v>0</v>
      </c>
      <c r="Q4" s="60">
        <v>0</v>
      </c>
      <c r="R4" s="61">
        <f t="shared" ref="R4:R65" si="2">+J4+O4</f>
        <v>3392.6140000000005</v>
      </c>
      <c r="S4" s="62">
        <f t="shared" ref="S4:S65" si="3">+J4*K4%+O4*P4%</f>
        <v>138.89756</v>
      </c>
      <c r="T4" s="63">
        <f t="shared" ref="T4:T65" si="4">+J4*L4%+O4*Q4%</f>
        <v>277.96022900000008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:AA65" si="5">X4*Y4%</f>
        <v>0</v>
      </c>
      <c r="AB4" s="63">
        <f t="shared" ref="AB4:AB65" si="6">X4*Z4%</f>
        <v>0</v>
      </c>
      <c r="AC4" s="69"/>
      <c r="AD4" s="70"/>
      <c r="AE4" s="70"/>
      <c r="AF4" s="62">
        <f t="shared" ref="AF4:AF65" si="7">AC4*AD4%</f>
        <v>0</v>
      </c>
      <c r="AG4" s="62">
        <f t="shared" ref="AG4:AG65" si="8">AC4*AE4%</f>
        <v>0</v>
      </c>
      <c r="AH4" s="89">
        <v>3393</v>
      </c>
      <c r="AI4" s="66">
        <v>4.09</v>
      </c>
      <c r="AJ4" s="66">
        <v>8.19</v>
      </c>
      <c r="AK4" s="62">
        <f t="shared" ref="AK4:AK65" si="9">AH4*AI4%</f>
        <v>138.77369999999999</v>
      </c>
      <c r="AL4" s="72">
        <f t="shared" ref="AL4:AL65" si="10">AH4*AJ4%</f>
        <v>277.88670000000002</v>
      </c>
      <c r="AM4" s="73">
        <f t="shared" ref="AM4:AM65" si="11">+D4+R4-AC4-AH4</f>
        <v>-0.38599999999951251</v>
      </c>
      <c r="AN4" s="74">
        <f t="shared" ref="AN4:AO19" si="12">+G4+S4-AF4-AK4</f>
        <v>0.12386000000000763</v>
      </c>
      <c r="AO4" s="74">
        <f t="shared" si="12"/>
        <v>7.352900000006457E-2</v>
      </c>
      <c r="AP4" s="75">
        <f t="shared" ref="AP4:AP65" si="13">(AN4+AO4)/(S4+T4)</f>
        <v>4.735164010575131E-4</v>
      </c>
      <c r="AQ4" s="76">
        <f t="shared" ref="AQ4:AQ65" si="14">($AP$1*AN4+$AQ$1*AO4)</f>
        <v>77.607261526689427</v>
      </c>
      <c r="AR4" s="90">
        <f t="shared" ref="AR4:AR65" si="15">(D4+J4+O4)-(X4+AH4)</f>
        <v>-0.38599999999951251</v>
      </c>
    </row>
    <row r="5" spans="1:44" x14ac:dyDescent="0.25">
      <c r="A5" t="str">
        <f t="shared" ref="A5:A65" si="16">CONCATENATE(B5,C5)</f>
        <v>46174E</v>
      </c>
      <c r="B5" s="51">
        <f>+B4</f>
        <v>46174</v>
      </c>
      <c r="C5" s="52" t="s">
        <v>88</v>
      </c>
      <c r="D5" s="91">
        <v>3393</v>
      </c>
      <c r="E5" s="62">
        <v>4.09</v>
      </c>
      <c r="F5" s="62">
        <v>8.19</v>
      </c>
      <c r="G5" s="62">
        <f t="shared" si="0"/>
        <v>138.77369999999999</v>
      </c>
      <c r="H5" s="63">
        <f t="shared" si="1"/>
        <v>277.88670000000002</v>
      </c>
      <c r="I5" s="203">
        <v>2696.2999999999993</v>
      </c>
      <c r="J5" s="203">
        <v>2777.1889999999994</v>
      </c>
      <c r="K5" s="203">
        <v>3.5424841449393609</v>
      </c>
      <c r="L5" s="203">
        <v>8.2520528131142683</v>
      </c>
      <c r="M5" s="57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si="2"/>
        <v>2777.1889999999994</v>
      </c>
      <c r="S5" s="62">
        <f t="shared" si="3"/>
        <v>98.381479999999968</v>
      </c>
      <c r="T5" s="63">
        <f t="shared" si="4"/>
        <v>229.17510299999998</v>
      </c>
      <c r="U5" s="64" t="s">
        <v>175</v>
      </c>
      <c r="V5" s="65" t="s">
        <v>231</v>
      </c>
      <c r="W5" s="66" t="s">
        <v>225</v>
      </c>
      <c r="X5" s="67">
        <v>3410</v>
      </c>
      <c r="Y5" s="68">
        <v>4.1500000000000004</v>
      </c>
      <c r="Z5" s="68">
        <v>8.18</v>
      </c>
      <c r="AA5" s="62">
        <f t="shared" si="5"/>
        <v>141.51500000000001</v>
      </c>
      <c r="AB5" s="63">
        <f t="shared" si="6"/>
        <v>278.93799999999999</v>
      </c>
      <c r="AC5" s="69">
        <v>3360</v>
      </c>
      <c r="AD5" s="70">
        <v>4.05</v>
      </c>
      <c r="AE5" s="70">
        <v>7.91</v>
      </c>
      <c r="AF5" s="62">
        <f t="shared" si="7"/>
        <v>136.08000000000001</v>
      </c>
      <c r="AG5" s="62">
        <f t="shared" si="8"/>
        <v>265.77600000000001</v>
      </c>
      <c r="AH5" s="89">
        <v>2761</v>
      </c>
      <c r="AI5" s="66">
        <v>3.84</v>
      </c>
      <c r="AJ5" s="66">
        <v>8.2200000000000006</v>
      </c>
      <c r="AK5" s="62">
        <f t="shared" si="9"/>
        <v>106.02239999999999</v>
      </c>
      <c r="AL5" s="72">
        <f t="shared" si="10"/>
        <v>226.95420000000001</v>
      </c>
      <c r="AM5" s="73">
        <f t="shared" si="11"/>
        <v>49.188999999999396</v>
      </c>
      <c r="AN5" s="74">
        <f t="shared" si="12"/>
        <v>-4.9472200000000299</v>
      </c>
      <c r="AO5" s="74">
        <f t="shared" si="12"/>
        <v>14.331602999999973</v>
      </c>
      <c r="AP5" s="75">
        <f t="shared" si="13"/>
        <v>2.8649654707137866E-2</v>
      </c>
      <c r="AQ5" s="76">
        <f t="shared" si="14"/>
        <v>2068.2100716199793</v>
      </c>
      <c r="AR5" s="90">
        <f t="shared" si="15"/>
        <v>-0.8110000000006039</v>
      </c>
    </row>
    <row r="6" spans="1:44" x14ac:dyDescent="0.25">
      <c r="A6" t="str">
        <f t="shared" si="16"/>
        <v>46175M</v>
      </c>
      <c r="B6" s="51">
        <f>+B4+1</f>
        <v>46175</v>
      </c>
      <c r="C6" s="52" t="s">
        <v>87</v>
      </c>
      <c r="D6" s="91">
        <v>2761</v>
      </c>
      <c r="E6" s="62">
        <v>3.84</v>
      </c>
      <c r="F6" s="62">
        <v>8.2200000000000006</v>
      </c>
      <c r="G6" s="62">
        <f t="shared" si="0"/>
        <v>106.02239999999999</v>
      </c>
      <c r="H6" s="63">
        <f t="shared" si="1"/>
        <v>226.95420000000001</v>
      </c>
      <c r="I6" s="203">
        <v>3101.6</v>
      </c>
      <c r="J6" s="203">
        <v>3194.6480000000001</v>
      </c>
      <c r="K6" s="203">
        <v>4.0556454733041001</v>
      </c>
      <c r="L6" s="203">
        <v>8.173071962857879</v>
      </c>
      <c r="M6" s="57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2"/>
        <v>3194.6480000000001</v>
      </c>
      <c r="S6" s="62">
        <f t="shared" si="3"/>
        <v>129.56359699999999</v>
      </c>
      <c r="T6" s="63">
        <f t="shared" si="4"/>
        <v>261.10088000000002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f t="shared" si="5"/>
        <v>0</v>
      </c>
      <c r="AB6" s="63">
        <f t="shared" si="6"/>
        <v>0</v>
      </c>
      <c r="AC6" s="69"/>
      <c r="AD6" s="70"/>
      <c r="AE6" s="70"/>
      <c r="AF6" s="62">
        <f t="shared" si="7"/>
        <v>0</v>
      </c>
      <c r="AG6" s="62">
        <f t="shared" si="8"/>
        <v>0</v>
      </c>
      <c r="AH6" s="89">
        <v>5957</v>
      </c>
      <c r="AI6" s="66">
        <v>3.96</v>
      </c>
      <c r="AJ6" s="66">
        <v>8.19</v>
      </c>
      <c r="AK6" s="62">
        <f t="shared" si="9"/>
        <v>235.89719999999997</v>
      </c>
      <c r="AL6" s="72">
        <f t="shared" si="10"/>
        <v>487.87830000000002</v>
      </c>
      <c r="AM6" s="73">
        <f t="shared" si="11"/>
        <v>-1.3519999999998618</v>
      </c>
      <c r="AN6" s="74">
        <f t="shared" si="12"/>
        <v>-0.31120300000000611</v>
      </c>
      <c r="AO6" s="74">
        <f t="shared" si="12"/>
        <v>0.17678000000000793</v>
      </c>
      <c r="AP6" s="75">
        <f t="shared" si="13"/>
        <v>-3.4408810607061712E-4</v>
      </c>
      <c r="AQ6" s="76">
        <f t="shared" si="14"/>
        <v>-86.796598863333713</v>
      </c>
      <c r="AR6" s="90">
        <f t="shared" si="15"/>
        <v>-1.3519999999998618</v>
      </c>
    </row>
    <row r="7" spans="1:44" x14ac:dyDescent="0.25">
      <c r="A7" t="str">
        <f t="shared" si="16"/>
        <v>46175E</v>
      </c>
      <c r="B7" s="51">
        <f>+B5+1</f>
        <v>46175</v>
      </c>
      <c r="C7" s="52" t="s">
        <v>88</v>
      </c>
      <c r="D7" s="91">
        <v>5957</v>
      </c>
      <c r="E7" s="62">
        <v>3.96</v>
      </c>
      <c r="F7" s="62">
        <v>8.19</v>
      </c>
      <c r="G7" s="62">
        <f t="shared" si="0"/>
        <v>235.89719999999997</v>
      </c>
      <c r="H7" s="63">
        <f t="shared" si="1"/>
        <v>487.87830000000002</v>
      </c>
      <c r="I7" s="203">
        <v>1478.6000000000004</v>
      </c>
      <c r="J7" s="203">
        <v>1522.9580000000003</v>
      </c>
      <c r="K7" s="203">
        <v>4.084032192614635</v>
      </c>
      <c r="L7" s="203">
        <v>8.3095901528472869</v>
      </c>
      <c r="M7" s="57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2"/>
        <v>1522.9580000000003</v>
      </c>
      <c r="S7" s="62">
        <f t="shared" si="3"/>
        <v>62.198095000000009</v>
      </c>
      <c r="T7" s="63">
        <f t="shared" si="4"/>
        <v>126.551568</v>
      </c>
      <c r="U7" s="64" t="s">
        <v>232</v>
      </c>
      <c r="V7" s="65" t="s">
        <v>233</v>
      </c>
      <c r="W7" s="66" t="s">
        <v>227</v>
      </c>
      <c r="X7" s="67">
        <v>5000</v>
      </c>
      <c r="Y7" s="68">
        <v>3.75</v>
      </c>
      <c r="Z7" s="68">
        <v>8.2899999999999991</v>
      </c>
      <c r="AA7" s="62">
        <f t="shared" si="5"/>
        <v>187.5</v>
      </c>
      <c r="AB7" s="63">
        <f t="shared" si="6"/>
        <v>414.49999999999994</v>
      </c>
      <c r="AC7" s="69">
        <v>4990</v>
      </c>
      <c r="AD7" s="70">
        <v>3.7</v>
      </c>
      <c r="AE7" s="70">
        <v>8.15</v>
      </c>
      <c r="AF7" s="62">
        <f t="shared" si="7"/>
        <v>184.63000000000002</v>
      </c>
      <c r="AG7" s="62">
        <f t="shared" si="8"/>
        <v>406.685</v>
      </c>
      <c r="AH7" s="89">
        <v>2481</v>
      </c>
      <c r="AI7" s="66">
        <v>3.98</v>
      </c>
      <c r="AJ7" s="66">
        <v>8.2100000000000009</v>
      </c>
      <c r="AK7" s="62">
        <f t="shared" si="9"/>
        <v>98.743800000000007</v>
      </c>
      <c r="AL7" s="72">
        <f t="shared" si="10"/>
        <v>203.69010000000003</v>
      </c>
      <c r="AM7" s="73">
        <f t="shared" si="11"/>
        <v>8.9580000000005384</v>
      </c>
      <c r="AN7" s="74">
        <f t="shared" si="12"/>
        <v>14.721494999999933</v>
      </c>
      <c r="AO7" s="74">
        <f t="shared" si="12"/>
        <v>4.0547680000000241</v>
      </c>
      <c r="AP7" s="75">
        <f t="shared" si="13"/>
        <v>9.9477067675611999E-2</v>
      </c>
      <c r="AQ7" s="76">
        <f t="shared" si="14"/>
        <v>7822.1102557033109</v>
      </c>
      <c r="AR7" s="90">
        <f t="shared" si="15"/>
        <v>-1.0419999999994616</v>
      </c>
    </row>
    <row r="8" spans="1:44" x14ac:dyDescent="0.25">
      <c r="A8" t="str">
        <f t="shared" si="16"/>
        <v>46176M</v>
      </c>
      <c r="B8" s="51">
        <f>+B6+1</f>
        <v>46176</v>
      </c>
      <c r="C8" s="52" t="s">
        <v>87</v>
      </c>
      <c r="D8" s="91">
        <v>2481</v>
      </c>
      <c r="E8" s="62">
        <v>3.98</v>
      </c>
      <c r="F8" s="62">
        <v>8.2100000000000009</v>
      </c>
      <c r="G8" s="62">
        <f t="shared" si="0"/>
        <v>98.743800000000007</v>
      </c>
      <c r="H8" s="63">
        <f t="shared" si="1"/>
        <v>203.69010000000003</v>
      </c>
      <c r="I8" s="203">
        <v>807.9</v>
      </c>
      <c r="J8" s="203">
        <v>832.13699999999994</v>
      </c>
      <c r="K8" s="203">
        <v>4.6610595370714183</v>
      </c>
      <c r="L8" s="203">
        <v>8.3896521846763168</v>
      </c>
      <c r="M8" s="57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2"/>
        <v>832.13699999999994</v>
      </c>
      <c r="S8" s="62">
        <f t="shared" si="3"/>
        <v>38.786400999999991</v>
      </c>
      <c r="T8" s="63">
        <f t="shared" si="4"/>
        <v>69.813399999999959</v>
      </c>
      <c r="U8" s="64" t="s">
        <v>171</v>
      </c>
      <c r="V8" s="65" t="s">
        <v>234</v>
      </c>
      <c r="W8" s="66" t="s">
        <v>227</v>
      </c>
      <c r="X8" s="67">
        <v>3100</v>
      </c>
      <c r="Y8" s="68">
        <v>4.05</v>
      </c>
      <c r="Z8" s="68">
        <v>7.97</v>
      </c>
      <c r="AA8" s="62">
        <f t="shared" si="5"/>
        <v>125.55</v>
      </c>
      <c r="AB8" s="63">
        <f t="shared" si="6"/>
        <v>247.06999999999996</v>
      </c>
      <c r="AC8" s="69">
        <v>3060</v>
      </c>
      <c r="AD8" s="70">
        <v>4</v>
      </c>
      <c r="AE8" s="70">
        <v>7.96</v>
      </c>
      <c r="AF8" s="62">
        <f t="shared" si="7"/>
        <v>122.4</v>
      </c>
      <c r="AG8" s="62">
        <f t="shared" si="8"/>
        <v>243.57600000000002</v>
      </c>
      <c r="AH8" s="89">
        <v>400</v>
      </c>
      <c r="AI8" s="66">
        <v>4.1500000000000004</v>
      </c>
      <c r="AJ8" s="66">
        <v>8.26</v>
      </c>
      <c r="AK8" s="62">
        <f t="shared" si="9"/>
        <v>16.600000000000001</v>
      </c>
      <c r="AL8" s="72">
        <f t="shared" si="10"/>
        <v>33.04</v>
      </c>
      <c r="AM8" s="73">
        <f t="shared" si="11"/>
        <v>-146.86300000000028</v>
      </c>
      <c r="AN8" s="74">
        <f t="shared" si="12"/>
        <v>-1.4697990000000019</v>
      </c>
      <c r="AO8" s="74">
        <f t="shared" si="12"/>
        <v>-3.1125000000000469</v>
      </c>
      <c r="AP8" s="75">
        <f t="shared" si="13"/>
        <v>-4.2194359085428255E-2</v>
      </c>
      <c r="AQ8" s="76">
        <f t="shared" si="14"/>
        <v>-1591.2957190900149</v>
      </c>
      <c r="AR8" s="90">
        <f t="shared" si="15"/>
        <v>-186.86300000000028</v>
      </c>
    </row>
    <row r="9" spans="1:44" x14ac:dyDescent="0.25">
      <c r="A9" t="str">
        <f t="shared" si="16"/>
        <v>46176E</v>
      </c>
      <c r="B9" s="51">
        <f t="shared" ref="B9:B65" si="17">+B7+1</f>
        <v>46176</v>
      </c>
      <c r="C9" s="52" t="s">
        <v>88</v>
      </c>
      <c r="D9" s="91">
        <v>400</v>
      </c>
      <c r="E9" s="62">
        <v>4.1500000000000004</v>
      </c>
      <c r="F9" s="62">
        <v>8.26</v>
      </c>
      <c r="G9" s="62">
        <f t="shared" si="0"/>
        <v>16.600000000000001</v>
      </c>
      <c r="H9" s="63">
        <f t="shared" si="1"/>
        <v>33.04</v>
      </c>
      <c r="I9" s="203">
        <v>5444.3000000000011</v>
      </c>
      <c r="J9" s="203">
        <v>5607.6290000000008</v>
      </c>
      <c r="K9" s="203">
        <v>3.7320665650313174</v>
      </c>
      <c r="L9" s="203">
        <v>8.0834211928071547</v>
      </c>
      <c r="M9" s="57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2"/>
        <v>5607.6290000000008</v>
      </c>
      <c r="S9" s="62">
        <f t="shared" si="3"/>
        <v>209.28044700000004</v>
      </c>
      <c r="T9" s="63">
        <f t="shared" si="4"/>
        <v>453.28827100000001</v>
      </c>
      <c r="U9" s="64" t="s">
        <v>168</v>
      </c>
      <c r="V9" s="65" t="s">
        <v>235</v>
      </c>
      <c r="W9" s="66" t="s">
        <v>236</v>
      </c>
      <c r="X9" s="67">
        <v>6290</v>
      </c>
      <c r="Y9" s="68">
        <v>4</v>
      </c>
      <c r="Z9" s="68">
        <v>8.09</v>
      </c>
      <c r="AA9" s="62">
        <f t="shared" si="5"/>
        <v>251.6</v>
      </c>
      <c r="AB9" s="63">
        <f t="shared" si="6"/>
        <v>508.86099999999999</v>
      </c>
      <c r="AC9" s="69">
        <v>6200</v>
      </c>
      <c r="AD9" s="70">
        <v>3.85</v>
      </c>
      <c r="AE9" s="70">
        <v>8.07</v>
      </c>
      <c r="AF9" s="62">
        <f t="shared" si="7"/>
        <v>238.7</v>
      </c>
      <c r="AG9" s="62">
        <f t="shared" si="8"/>
        <v>500.34000000000003</v>
      </c>
      <c r="AH9" s="89">
        <v>0</v>
      </c>
      <c r="AI9" s="66">
        <v>0</v>
      </c>
      <c r="AJ9" s="66">
        <v>0</v>
      </c>
      <c r="AK9" s="62">
        <f t="shared" si="9"/>
        <v>0</v>
      </c>
      <c r="AL9" s="72">
        <f t="shared" si="10"/>
        <v>0</v>
      </c>
      <c r="AM9" s="73">
        <f t="shared" si="11"/>
        <v>-192.37099999999919</v>
      </c>
      <c r="AN9" s="74">
        <f t="shared" si="12"/>
        <v>-12.819552999999956</v>
      </c>
      <c r="AO9" s="74">
        <f t="shared" si="12"/>
        <v>-14.011729000000003</v>
      </c>
      <c r="AP9" s="75">
        <f t="shared" si="13"/>
        <v>-4.0495847858606507E-2</v>
      </c>
      <c r="AQ9" s="76">
        <f t="shared" si="14"/>
        <v>-9948.1623808233162</v>
      </c>
      <c r="AR9" s="90">
        <f t="shared" si="15"/>
        <v>-282.37099999999919</v>
      </c>
    </row>
    <row r="10" spans="1:44" x14ac:dyDescent="0.25">
      <c r="A10" t="str">
        <f t="shared" si="16"/>
        <v>46177M</v>
      </c>
      <c r="B10" s="51">
        <f t="shared" si="17"/>
        <v>46177</v>
      </c>
      <c r="C10" s="52" t="s">
        <v>87</v>
      </c>
      <c r="D10" s="91">
        <v>0</v>
      </c>
      <c r="E10" s="62">
        <v>0</v>
      </c>
      <c r="F10" s="62">
        <v>0</v>
      </c>
      <c r="G10" s="62">
        <f t="shared" si="0"/>
        <v>0</v>
      </c>
      <c r="H10" s="63">
        <f t="shared" si="1"/>
        <v>0</v>
      </c>
      <c r="I10" s="203">
        <v>5358.5</v>
      </c>
      <c r="J10" s="203">
        <v>5519.2550000000001</v>
      </c>
      <c r="K10" s="203">
        <v>3.6109974806382388</v>
      </c>
      <c r="L10" s="203">
        <v>8.0503387141924065</v>
      </c>
      <c r="M10" s="57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2"/>
        <v>5519.2550000000001</v>
      </c>
      <c r="S10" s="62">
        <f t="shared" si="3"/>
        <v>199.30015900000004</v>
      </c>
      <c r="T10" s="63">
        <f t="shared" si="4"/>
        <v>444.31872200000009</v>
      </c>
      <c r="U10" s="64" t="s">
        <v>167</v>
      </c>
      <c r="V10" s="65" t="s">
        <v>224</v>
      </c>
      <c r="W10" s="66" t="s">
        <v>236</v>
      </c>
      <c r="X10" s="67">
        <v>3222</v>
      </c>
      <c r="Y10" s="68">
        <v>3.6</v>
      </c>
      <c r="Z10" s="68">
        <v>8</v>
      </c>
      <c r="AA10" s="62">
        <f t="shared" si="5"/>
        <v>115.99200000000002</v>
      </c>
      <c r="AB10" s="63">
        <f t="shared" si="6"/>
        <v>257.76</v>
      </c>
      <c r="AC10" s="69">
        <v>3222</v>
      </c>
      <c r="AD10" s="70">
        <v>3.6</v>
      </c>
      <c r="AE10" s="70">
        <v>8</v>
      </c>
      <c r="AF10" s="62">
        <f t="shared" si="7"/>
        <v>115.99200000000002</v>
      </c>
      <c r="AG10" s="62">
        <f t="shared" si="8"/>
        <v>257.76</v>
      </c>
      <c r="AH10" s="89">
        <v>2298</v>
      </c>
      <c r="AI10" s="66">
        <v>3.61</v>
      </c>
      <c r="AJ10" s="66">
        <v>8.0500000000000007</v>
      </c>
      <c r="AK10" s="62">
        <f t="shared" si="9"/>
        <v>82.957800000000006</v>
      </c>
      <c r="AL10" s="72">
        <f t="shared" si="10"/>
        <v>184.989</v>
      </c>
      <c r="AM10" s="73">
        <f t="shared" si="11"/>
        <v>-0.74499999999989086</v>
      </c>
      <c r="AN10" s="74">
        <f t="shared" si="12"/>
        <v>0.35035900000001163</v>
      </c>
      <c r="AO10" s="74">
        <f t="shared" si="12"/>
        <v>1.5697220000000982</v>
      </c>
      <c r="AP10" s="75">
        <f t="shared" si="13"/>
        <v>2.9832577270213884E-3</v>
      </c>
      <c r="AQ10" s="76">
        <f t="shared" si="14"/>
        <v>627.05559403670134</v>
      </c>
      <c r="AR10" s="90">
        <f t="shared" si="15"/>
        <v>-0.74499999999989086</v>
      </c>
    </row>
    <row r="11" spans="1:44" x14ac:dyDescent="0.25">
      <c r="A11" t="str">
        <f t="shared" si="16"/>
        <v>46177E</v>
      </c>
      <c r="B11" s="51">
        <f t="shared" si="17"/>
        <v>46177</v>
      </c>
      <c r="C11" s="52" t="s">
        <v>88</v>
      </c>
      <c r="D11" s="91">
        <v>2298</v>
      </c>
      <c r="E11" s="62">
        <v>3.61</v>
      </c>
      <c r="F11" s="62">
        <v>8.0500000000000007</v>
      </c>
      <c r="G11" s="62">
        <f t="shared" si="0"/>
        <v>82.957800000000006</v>
      </c>
      <c r="H11" s="63">
        <f t="shared" si="1"/>
        <v>184.989</v>
      </c>
      <c r="I11" s="203">
        <v>4968.6000000000004</v>
      </c>
      <c r="J11" s="203">
        <v>5117.6580000000004</v>
      </c>
      <c r="K11" s="203">
        <v>3.9713641669685629</v>
      </c>
      <c r="L11" s="203">
        <v>8.0935917562291202</v>
      </c>
      <c r="M11" s="57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2"/>
        <v>5117.6580000000004</v>
      </c>
      <c r="S11" s="62">
        <f t="shared" si="3"/>
        <v>203.24083600000003</v>
      </c>
      <c r="T11" s="63">
        <f t="shared" si="4"/>
        <v>414.20234600000009</v>
      </c>
      <c r="U11" s="64" t="s">
        <v>172</v>
      </c>
      <c r="V11" s="65" t="s">
        <v>237</v>
      </c>
      <c r="W11" s="66" t="s">
        <v>236</v>
      </c>
      <c r="X11" s="67">
        <v>3130</v>
      </c>
      <c r="Y11" s="68">
        <v>3.95</v>
      </c>
      <c r="Z11" s="68">
        <v>8.01</v>
      </c>
      <c r="AA11" s="62">
        <f t="shared" si="5"/>
        <v>123.63500000000001</v>
      </c>
      <c r="AB11" s="63">
        <f t="shared" si="6"/>
        <v>250.71300000000002</v>
      </c>
      <c r="AC11" s="69">
        <v>3130</v>
      </c>
      <c r="AD11" s="70">
        <v>3.9</v>
      </c>
      <c r="AE11" s="70">
        <v>7.94</v>
      </c>
      <c r="AF11" s="62">
        <f t="shared" si="7"/>
        <v>122.07</v>
      </c>
      <c r="AG11" s="62">
        <f t="shared" si="8"/>
        <v>248.52199999999999</v>
      </c>
      <c r="AH11" s="89">
        <v>4287</v>
      </c>
      <c r="AI11" s="66">
        <v>3.86</v>
      </c>
      <c r="AJ11" s="66">
        <v>8.08</v>
      </c>
      <c r="AK11" s="62">
        <f t="shared" si="9"/>
        <v>165.47819999999999</v>
      </c>
      <c r="AL11" s="72">
        <f t="shared" si="10"/>
        <v>346.38959999999997</v>
      </c>
      <c r="AM11" s="73">
        <f t="shared" si="11"/>
        <v>-1.3419999999996435</v>
      </c>
      <c r="AN11" s="74">
        <f t="shared" si="12"/>
        <v>-1.3495639999999582</v>
      </c>
      <c r="AO11" s="74">
        <f t="shared" si="12"/>
        <v>4.2797460000001024</v>
      </c>
      <c r="AP11" s="75">
        <f t="shared" si="13"/>
        <v>4.7456706712815299E-3</v>
      </c>
      <c r="AQ11" s="76">
        <f t="shared" si="14"/>
        <v>674.98107600004948</v>
      </c>
      <c r="AR11" s="90">
        <f t="shared" si="15"/>
        <v>-1.3419999999996435</v>
      </c>
    </row>
    <row r="12" spans="1:44" x14ac:dyDescent="0.25">
      <c r="A12" t="str">
        <f t="shared" si="16"/>
        <v>46178M</v>
      </c>
      <c r="B12" s="51">
        <f t="shared" si="17"/>
        <v>46178</v>
      </c>
      <c r="C12" s="52" t="s">
        <v>87</v>
      </c>
      <c r="D12" s="91">
        <v>4287</v>
      </c>
      <c r="E12" s="62">
        <v>3.86</v>
      </c>
      <c r="F12" s="62">
        <v>8.08</v>
      </c>
      <c r="G12" s="62">
        <f t="shared" si="0"/>
        <v>165.47819999999999</v>
      </c>
      <c r="H12" s="63">
        <f t="shared" si="1"/>
        <v>346.38959999999997</v>
      </c>
      <c r="I12" s="203">
        <v>4315.5</v>
      </c>
      <c r="J12" s="203">
        <v>4444.9650000000001</v>
      </c>
      <c r="K12" s="203">
        <v>4.0199999999999996</v>
      </c>
      <c r="L12" s="203">
        <v>8.07</v>
      </c>
      <c r="M12" s="57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2"/>
        <v>4444.9650000000001</v>
      </c>
      <c r="S12" s="62">
        <f t="shared" si="3"/>
        <v>178.68759299999996</v>
      </c>
      <c r="T12" s="63">
        <f t="shared" si="4"/>
        <v>358.70867550000003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5"/>
        <v>0</v>
      </c>
      <c r="AB12" s="63">
        <f t="shared" si="6"/>
        <v>0</v>
      </c>
      <c r="AC12" s="69"/>
      <c r="AD12" s="70"/>
      <c r="AE12" s="70"/>
      <c r="AF12" s="62">
        <f t="shared" si="7"/>
        <v>0</v>
      </c>
      <c r="AG12" s="62">
        <f t="shared" si="8"/>
        <v>0</v>
      </c>
      <c r="AH12" s="89">
        <v>8733</v>
      </c>
      <c r="AI12" s="66">
        <v>3.94</v>
      </c>
      <c r="AJ12" s="66">
        <v>8.08</v>
      </c>
      <c r="AK12" s="62">
        <f t="shared" si="9"/>
        <v>344.08019999999999</v>
      </c>
      <c r="AL12" s="72">
        <f t="shared" si="10"/>
        <v>705.62639999999999</v>
      </c>
      <c r="AM12" s="73">
        <f t="shared" si="11"/>
        <v>-1.0349999999998545</v>
      </c>
      <c r="AN12" s="74">
        <f t="shared" si="12"/>
        <v>8.5592999999960284E-2</v>
      </c>
      <c r="AO12" s="74">
        <f t="shared" si="12"/>
        <v>-0.52812449999998989</v>
      </c>
      <c r="AP12" s="75">
        <f t="shared" si="13"/>
        <v>-8.2347333976702075E-4</v>
      </c>
      <c r="AQ12" s="76">
        <f t="shared" si="14"/>
        <v>-119.63002590001483</v>
      </c>
      <c r="AR12" s="90">
        <f t="shared" si="15"/>
        <v>-1.0349999999998545</v>
      </c>
    </row>
    <row r="13" spans="1:44" x14ac:dyDescent="0.25">
      <c r="A13" t="str">
        <f t="shared" si="16"/>
        <v>46178E</v>
      </c>
      <c r="B13" s="51">
        <f t="shared" si="17"/>
        <v>46178</v>
      </c>
      <c r="C13" s="52" t="s">
        <v>88</v>
      </c>
      <c r="D13" s="91">
        <v>8733</v>
      </c>
      <c r="E13" s="62">
        <v>3.94</v>
      </c>
      <c r="F13" s="62">
        <v>8.08</v>
      </c>
      <c r="G13" s="62">
        <f t="shared" si="0"/>
        <v>344.08019999999999</v>
      </c>
      <c r="H13" s="63">
        <f t="shared" si="1"/>
        <v>705.62639999999999</v>
      </c>
      <c r="I13" s="203">
        <v>4212.1000000000004</v>
      </c>
      <c r="J13" s="203">
        <v>4338.4630000000006</v>
      </c>
      <c r="K13" s="203">
        <v>3.59</v>
      </c>
      <c r="L13" s="203">
        <v>8.11</v>
      </c>
      <c r="M13" s="57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2"/>
        <v>4338.4630000000006</v>
      </c>
      <c r="S13" s="62">
        <f t="shared" si="3"/>
        <v>155.75082170000002</v>
      </c>
      <c r="T13" s="63">
        <f t="shared" si="4"/>
        <v>351.84934930000003</v>
      </c>
      <c r="U13" s="64" t="s">
        <v>256</v>
      </c>
      <c r="V13" s="65" t="s">
        <v>348</v>
      </c>
      <c r="W13" s="66" t="s">
        <v>225</v>
      </c>
      <c r="X13" s="67">
        <v>10100</v>
      </c>
      <c r="Y13" s="68">
        <v>3.95</v>
      </c>
      <c r="Z13" s="68">
        <v>8.08</v>
      </c>
      <c r="AA13" s="62">
        <f t="shared" si="5"/>
        <v>398.95</v>
      </c>
      <c r="AB13" s="63">
        <f t="shared" si="6"/>
        <v>816.07999999999993</v>
      </c>
      <c r="AC13" s="69">
        <v>10100</v>
      </c>
      <c r="AD13" s="70">
        <v>3.85</v>
      </c>
      <c r="AE13" s="70">
        <v>7.99</v>
      </c>
      <c r="AF13" s="62">
        <f t="shared" si="7"/>
        <v>388.85</v>
      </c>
      <c r="AG13" s="62">
        <f t="shared" si="8"/>
        <v>806.99</v>
      </c>
      <c r="AH13" s="89">
        <v>2973</v>
      </c>
      <c r="AI13" s="66">
        <v>3.82</v>
      </c>
      <c r="AJ13" s="66">
        <v>8.09</v>
      </c>
      <c r="AK13" s="62">
        <f t="shared" si="9"/>
        <v>113.56859999999999</v>
      </c>
      <c r="AL13" s="72">
        <f t="shared" si="10"/>
        <v>240.51570000000001</v>
      </c>
      <c r="AM13" s="73">
        <f t="shared" si="11"/>
        <v>-1.5370000000002619</v>
      </c>
      <c r="AN13" s="74">
        <f t="shared" si="12"/>
        <v>-2.5875783000000041</v>
      </c>
      <c r="AO13" s="74">
        <f t="shared" si="12"/>
        <v>9.9700492999999426</v>
      </c>
      <c r="AP13" s="75">
        <f t="shared" si="13"/>
        <v>1.4543870198971895E-2</v>
      </c>
      <c r="AQ13" s="76">
        <f t="shared" si="14"/>
        <v>1822.1801128556478</v>
      </c>
      <c r="AR13" s="90">
        <f t="shared" si="15"/>
        <v>-1.5370000000002619</v>
      </c>
    </row>
    <row r="14" spans="1:44" x14ac:dyDescent="0.25">
      <c r="A14" t="str">
        <f t="shared" si="16"/>
        <v>46179M</v>
      </c>
      <c r="B14" s="51">
        <f t="shared" si="17"/>
        <v>46179</v>
      </c>
      <c r="C14" s="52" t="s">
        <v>87</v>
      </c>
      <c r="D14" s="91">
        <v>2973</v>
      </c>
      <c r="E14" s="62">
        <v>3.82</v>
      </c>
      <c r="F14" s="62">
        <v>8.09</v>
      </c>
      <c r="G14" s="62">
        <f t="shared" si="0"/>
        <v>113.56859999999999</v>
      </c>
      <c r="H14" s="63">
        <f t="shared" si="1"/>
        <v>240.51570000000001</v>
      </c>
      <c r="I14" s="203">
        <v>2141.4</v>
      </c>
      <c r="J14" s="203">
        <v>2205.6420000000003</v>
      </c>
      <c r="K14" s="203">
        <v>3.71</v>
      </c>
      <c r="L14" s="203">
        <v>8.1</v>
      </c>
      <c r="M14" s="57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2"/>
        <v>2205.6420000000003</v>
      </c>
      <c r="S14" s="62">
        <f t="shared" si="3"/>
        <v>81.829318200000017</v>
      </c>
      <c r="T14" s="63">
        <f t="shared" si="4"/>
        <v>178.65700200000003</v>
      </c>
      <c r="U14" s="64" t="s">
        <v>167</v>
      </c>
      <c r="V14" s="65" t="s">
        <v>187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5"/>
        <v>0</v>
      </c>
      <c r="AB14" s="63">
        <f t="shared" si="6"/>
        <v>0</v>
      </c>
      <c r="AC14" s="69"/>
      <c r="AD14" s="70"/>
      <c r="AE14" s="70"/>
      <c r="AF14" s="62">
        <f t="shared" si="7"/>
        <v>0</v>
      </c>
      <c r="AG14" s="62">
        <f t="shared" si="8"/>
        <v>0</v>
      </c>
      <c r="AH14" s="89">
        <v>5180</v>
      </c>
      <c r="AI14" s="66">
        <v>3.77</v>
      </c>
      <c r="AJ14" s="66">
        <v>8.09</v>
      </c>
      <c r="AK14" s="62">
        <f t="shared" si="9"/>
        <v>195.28599999999997</v>
      </c>
      <c r="AL14" s="72">
        <f t="shared" si="10"/>
        <v>419.06200000000001</v>
      </c>
      <c r="AM14" s="73">
        <f t="shared" si="11"/>
        <v>-1.3580000000001746</v>
      </c>
      <c r="AN14" s="74">
        <f t="shared" si="12"/>
        <v>0.1119182000000194</v>
      </c>
      <c r="AO14" s="74">
        <f t="shared" si="12"/>
        <v>0.11070200000006025</v>
      </c>
      <c r="AP14" s="75">
        <f t="shared" si="13"/>
        <v>8.5463297968643053E-4</v>
      </c>
      <c r="AQ14" s="76">
        <f t="shared" si="14"/>
        <v>83.371355708693414</v>
      </c>
      <c r="AR14" s="90">
        <f t="shared" si="15"/>
        <v>-1.3580000000001746</v>
      </c>
    </row>
    <row r="15" spans="1:44" x14ac:dyDescent="0.25">
      <c r="A15" t="str">
        <f t="shared" si="16"/>
        <v>46179E</v>
      </c>
      <c r="B15" s="51">
        <f t="shared" si="17"/>
        <v>46179</v>
      </c>
      <c r="C15" s="52" t="s">
        <v>88</v>
      </c>
      <c r="D15" s="91">
        <v>5180</v>
      </c>
      <c r="E15" s="62">
        <v>3.77</v>
      </c>
      <c r="F15" s="62">
        <v>8.09</v>
      </c>
      <c r="G15" s="62">
        <f t="shared" si="0"/>
        <v>195.28599999999997</v>
      </c>
      <c r="H15" s="63">
        <f t="shared" si="1"/>
        <v>419.06200000000001</v>
      </c>
      <c r="I15" s="203">
        <v>3467.5</v>
      </c>
      <c r="J15" s="203">
        <v>3571.5250000000001</v>
      </c>
      <c r="K15" s="203">
        <v>4.0999999999999996</v>
      </c>
      <c r="L15" s="203">
        <v>8.09</v>
      </c>
      <c r="M15" s="57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2"/>
        <v>3571.5250000000001</v>
      </c>
      <c r="S15" s="62">
        <f t="shared" si="3"/>
        <v>146.432525</v>
      </c>
      <c r="T15" s="63">
        <f t="shared" si="4"/>
        <v>288.9363725</v>
      </c>
      <c r="U15" s="64" t="s">
        <v>170</v>
      </c>
      <c r="V15" s="65" t="s">
        <v>349</v>
      </c>
      <c r="W15" s="66" t="s">
        <v>227</v>
      </c>
      <c r="X15" s="67">
        <v>4870</v>
      </c>
      <c r="Y15" s="68">
        <v>3.95</v>
      </c>
      <c r="Z15" s="68">
        <v>8.26</v>
      </c>
      <c r="AA15" s="62">
        <f t="shared" si="5"/>
        <v>192.36500000000001</v>
      </c>
      <c r="AB15" s="63">
        <f t="shared" si="6"/>
        <v>402.26199999999994</v>
      </c>
      <c r="AC15" s="69">
        <v>4910</v>
      </c>
      <c r="AD15" s="70">
        <v>3.9</v>
      </c>
      <c r="AE15" s="70">
        <v>8.25</v>
      </c>
      <c r="AF15" s="62">
        <f t="shared" si="7"/>
        <v>191.49</v>
      </c>
      <c r="AG15" s="62">
        <f t="shared" si="8"/>
        <v>405.07500000000005</v>
      </c>
      <c r="AH15" s="89">
        <v>3883</v>
      </c>
      <c r="AI15" s="66">
        <v>3.9</v>
      </c>
      <c r="AJ15" s="66">
        <v>8.09</v>
      </c>
      <c r="AK15" s="62">
        <f t="shared" si="9"/>
        <v>151.43700000000001</v>
      </c>
      <c r="AL15" s="72">
        <f t="shared" si="10"/>
        <v>314.13470000000001</v>
      </c>
      <c r="AM15" s="73">
        <f t="shared" si="11"/>
        <v>-41.475000000000364</v>
      </c>
      <c r="AN15" s="74">
        <f t="shared" si="12"/>
        <v>-1.2084750000000213</v>
      </c>
      <c r="AO15" s="74">
        <f t="shared" si="12"/>
        <v>-11.211327500000095</v>
      </c>
      <c r="AP15" s="75">
        <f t="shared" si="13"/>
        <v>-2.8527078005153358E-2</v>
      </c>
      <c r="AQ15" s="76">
        <f t="shared" si="14"/>
        <v>-3897.7478642667056</v>
      </c>
      <c r="AR15" s="90">
        <f t="shared" si="15"/>
        <v>-1.4750000000003638</v>
      </c>
    </row>
    <row r="16" spans="1:44" x14ac:dyDescent="0.25">
      <c r="A16" t="str">
        <f t="shared" si="16"/>
        <v>46180M</v>
      </c>
      <c r="B16" s="51">
        <f t="shared" si="17"/>
        <v>46180</v>
      </c>
      <c r="C16" s="52" t="s">
        <v>87</v>
      </c>
      <c r="D16" s="91">
        <v>3883</v>
      </c>
      <c r="E16" s="62">
        <v>3.9</v>
      </c>
      <c r="F16" s="62">
        <v>8.09</v>
      </c>
      <c r="G16" s="62">
        <f t="shared" si="0"/>
        <v>151.43700000000001</v>
      </c>
      <c r="H16" s="63">
        <f t="shared" si="1"/>
        <v>314.13470000000001</v>
      </c>
      <c r="I16" s="203">
        <v>691.9</v>
      </c>
      <c r="J16" s="203">
        <v>712.65700000000004</v>
      </c>
      <c r="K16" s="203">
        <v>4.58</v>
      </c>
      <c r="L16" s="203">
        <v>8.36</v>
      </c>
      <c r="M16" s="57" t="s">
        <v>264</v>
      </c>
      <c r="N16" s="58" t="s">
        <v>347</v>
      </c>
      <c r="O16" s="59">
        <v>3089</v>
      </c>
      <c r="P16" s="56">
        <v>4.3499999999999996</v>
      </c>
      <c r="Q16" s="60">
        <v>8.0299999999999994</v>
      </c>
      <c r="R16" s="61">
        <f t="shared" si="2"/>
        <v>3801.6570000000002</v>
      </c>
      <c r="S16" s="62">
        <f t="shared" si="3"/>
        <v>167.01119059999999</v>
      </c>
      <c r="T16" s="63">
        <f t="shared" si="4"/>
        <v>307.62482519999998</v>
      </c>
      <c r="U16" s="64" t="s">
        <v>175</v>
      </c>
      <c r="V16" s="65" t="s">
        <v>350</v>
      </c>
      <c r="W16" s="66" t="s">
        <v>227</v>
      </c>
      <c r="X16" s="67">
        <v>7130</v>
      </c>
      <c r="Y16" s="68">
        <v>4.3499999999999996</v>
      </c>
      <c r="Z16" s="68">
        <v>8.3800000000000008</v>
      </c>
      <c r="AA16" s="62">
        <f t="shared" si="5"/>
        <v>310.15499999999997</v>
      </c>
      <c r="AB16" s="63">
        <f t="shared" si="6"/>
        <v>597.49400000000014</v>
      </c>
      <c r="AC16" s="69">
        <v>7160</v>
      </c>
      <c r="AD16" s="70">
        <v>4.3000000000000007</v>
      </c>
      <c r="AE16" s="70">
        <v>8.2700000000000014</v>
      </c>
      <c r="AF16" s="62">
        <f t="shared" si="7"/>
        <v>307.88000000000005</v>
      </c>
      <c r="AG16" s="62">
        <f t="shared" si="8"/>
        <v>592.13200000000006</v>
      </c>
      <c r="AH16" s="89">
        <v>561</v>
      </c>
      <c r="AI16" s="66">
        <v>4.1399999999999997</v>
      </c>
      <c r="AJ16" s="66">
        <v>8.08</v>
      </c>
      <c r="AK16" s="62">
        <f t="shared" si="9"/>
        <v>23.2254</v>
      </c>
      <c r="AL16" s="72">
        <f t="shared" si="10"/>
        <v>45.328800000000001</v>
      </c>
      <c r="AM16" s="73">
        <f t="shared" si="11"/>
        <v>-36.342999999999847</v>
      </c>
      <c r="AN16" s="74">
        <f t="shared" si="12"/>
        <v>-12.657209400000077</v>
      </c>
      <c r="AO16" s="74">
        <f t="shared" si="12"/>
        <v>-15.701274800000078</v>
      </c>
      <c r="AP16" s="75">
        <f t="shared" si="13"/>
        <v>-5.9747855737837072E-2</v>
      </c>
      <c r="AQ16" s="76">
        <f t="shared" si="14"/>
        <v>-10380.920718732727</v>
      </c>
      <c r="AR16" s="90">
        <f t="shared" si="15"/>
        <v>-6.3429999999998472</v>
      </c>
    </row>
    <row r="17" spans="1:48" x14ac:dyDescent="0.25">
      <c r="A17" t="str">
        <f t="shared" si="16"/>
        <v>46180E</v>
      </c>
      <c r="B17" s="51">
        <f t="shared" si="17"/>
        <v>46180</v>
      </c>
      <c r="C17" s="52" t="s">
        <v>88</v>
      </c>
      <c r="D17" s="91">
        <v>561</v>
      </c>
      <c r="E17" s="62">
        <v>4.1399999999999997</v>
      </c>
      <c r="F17" s="62">
        <v>8.08</v>
      </c>
      <c r="G17" s="62">
        <f t="shared" si="0"/>
        <v>23.2254</v>
      </c>
      <c r="H17" s="63">
        <f t="shared" si="1"/>
        <v>45.328800000000001</v>
      </c>
      <c r="I17" s="203">
        <v>1306.9000000000001</v>
      </c>
      <c r="J17" s="203">
        <v>1346.1070000000002</v>
      </c>
      <c r="K17" s="203">
        <v>4.1500000000000004</v>
      </c>
      <c r="L17" s="203">
        <v>8.36</v>
      </c>
      <c r="M17" s="57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2"/>
        <v>1346.1070000000002</v>
      </c>
      <c r="S17" s="62">
        <f t="shared" si="3"/>
        <v>55.86344050000001</v>
      </c>
      <c r="T17" s="63">
        <f t="shared" si="4"/>
        <v>112.53454520000001</v>
      </c>
      <c r="U17" s="64" t="s">
        <v>167</v>
      </c>
      <c r="V17" s="65" t="s">
        <v>167</v>
      </c>
      <c r="W17" s="66" t="s">
        <v>167</v>
      </c>
      <c r="X17" s="67">
        <v>0</v>
      </c>
      <c r="Y17" s="68">
        <v>0</v>
      </c>
      <c r="Z17" s="68">
        <v>0</v>
      </c>
      <c r="AA17" s="62">
        <f t="shared" si="5"/>
        <v>0</v>
      </c>
      <c r="AB17" s="63">
        <f t="shared" si="6"/>
        <v>0</v>
      </c>
      <c r="AC17" s="69"/>
      <c r="AD17" s="70"/>
      <c r="AE17" s="70"/>
      <c r="AF17" s="62">
        <f t="shared" si="7"/>
        <v>0</v>
      </c>
      <c r="AG17" s="62">
        <f t="shared" si="8"/>
        <v>0</v>
      </c>
      <c r="AH17" s="89">
        <v>1908</v>
      </c>
      <c r="AI17" s="66">
        <v>4.1500000000000004</v>
      </c>
      <c r="AJ17" s="66">
        <v>8.2799999999999994</v>
      </c>
      <c r="AK17" s="62">
        <f t="shared" si="9"/>
        <v>79.182000000000002</v>
      </c>
      <c r="AL17" s="72">
        <f t="shared" si="10"/>
        <v>157.98239999999998</v>
      </c>
      <c r="AM17" s="73">
        <f t="shared" si="11"/>
        <v>-0.89299999999980173</v>
      </c>
      <c r="AN17" s="74">
        <f t="shared" si="12"/>
        <v>-9.3159499999998729E-2</v>
      </c>
      <c r="AO17" s="74">
        <f t="shared" si="12"/>
        <v>-0.11905479999995805</v>
      </c>
      <c r="AP17" s="75">
        <f t="shared" si="13"/>
        <v>-1.2601950024391339E-3</v>
      </c>
      <c r="AQ17" s="76">
        <f t="shared" si="14"/>
        <v>-77.450157990320207</v>
      </c>
      <c r="AR17" s="90">
        <f t="shared" si="15"/>
        <v>-0.89299999999980173</v>
      </c>
    </row>
    <row r="18" spans="1:48" x14ac:dyDescent="0.25">
      <c r="A18" t="str">
        <f t="shared" si="16"/>
        <v>46181M</v>
      </c>
      <c r="B18" s="51">
        <f t="shared" si="17"/>
        <v>46181</v>
      </c>
      <c r="C18" s="52" t="s">
        <v>87</v>
      </c>
      <c r="D18" s="91">
        <v>1908</v>
      </c>
      <c r="E18" s="62">
        <v>4.1500000000000004</v>
      </c>
      <c r="F18" s="62">
        <v>8.2799999999999994</v>
      </c>
      <c r="G18" s="62">
        <f t="shared" si="0"/>
        <v>79.182000000000002</v>
      </c>
      <c r="H18" s="63">
        <f t="shared" si="1"/>
        <v>157.98239999999998</v>
      </c>
      <c r="I18" s="203">
        <v>3875.2</v>
      </c>
      <c r="J18" s="203">
        <v>3991.4560000000001</v>
      </c>
      <c r="K18" s="203">
        <v>4.2</v>
      </c>
      <c r="L18" s="203">
        <v>8.07</v>
      </c>
      <c r="M18" s="57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2"/>
        <v>3991.4560000000001</v>
      </c>
      <c r="S18" s="62">
        <f t="shared" si="3"/>
        <v>167.64115200000001</v>
      </c>
      <c r="T18" s="63">
        <f t="shared" si="4"/>
        <v>322.11049920000005</v>
      </c>
      <c r="U18" s="64" t="s">
        <v>167</v>
      </c>
      <c r="V18" s="65" t="s">
        <v>224</v>
      </c>
      <c r="W18" s="66" t="s">
        <v>236</v>
      </c>
      <c r="X18" s="67">
        <v>3035</v>
      </c>
      <c r="Y18" s="68">
        <v>4.0999999999999996</v>
      </c>
      <c r="Z18" s="68">
        <v>8</v>
      </c>
      <c r="AA18" s="62">
        <f t="shared" si="5"/>
        <v>124.43499999999999</v>
      </c>
      <c r="AB18" s="63">
        <f t="shared" si="6"/>
        <v>242.8</v>
      </c>
      <c r="AC18" s="69">
        <v>3035</v>
      </c>
      <c r="AD18" s="70">
        <v>4.0999999999999996</v>
      </c>
      <c r="AE18" s="70">
        <v>8</v>
      </c>
      <c r="AF18" s="62">
        <f t="shared" si="7"/>
        <v>124.43499999999999</v>
      </c>
      <c r="AG18" s="62">
        <f t="shared" si="8"/>
        <v>242.8</v>
      </c>
      <c r="AH18" s="89">
        <v>2866</v>
      </c>
      <c r="AI18" s="66">
        <v>4.18</v>
      </c>
      <c r="AJ18" s="66">
        <v>8.14</v>
      </c>
      <c r="AK18" s="62">
        <f t="shared" si="9"/>
        <v>119.79879999999999</v>
      </c>
      <c r="AL18" s="72">
        <f t="shared" si="10"/>
        <v>233.29239999999999</v>
      </c>
      <c r="AM18" s="73">
        <f t="shared" si="11"/>
        <v>-1.543999999999869</v>
      </c>
      <c r="AN18" s="74">
        <f t="shared" si="12"/>
        <v>2.5893520000000194</v>
      </c>
      <c r="AO18" s="74">
        <f t="shared" si="12"/>
        <v>4.0004992000000357</v>
      </c>
      <c r="AP18" s="75">
        <f t="shared" si="13"/>
        <v>1.3455495624881426E-2</v>
      </c>
      <c r="AQ18" s="76">
        <f t="shared" si="14"/>
        <v>2359.628736901353</v>
      </c>
      <c r="AR18" s="90">
        <f>(D18+J18+O18)-(X18+AH18)</f>
        <v>-1.543999999999869</v>
      </c>
    </row>
    <row r="19" spans="1:48" x14ac:dyDescent="0.25">
      <c r="A19" t="str">
        <f t="shared" si="16"/>
        <v>46181E</v>
      </c>
      <c r="B19" s="51">
        <f t="shared" si="17"/>
        <v>46181</v>
      </c>
      <c r="C19" s="52" t="s">
        <v>88</v>
      </c>
      <c r="D19" s="91">
        <v>2866</v>
      </c>
      <c r="E19" s="62">
        <v>4.18</v>
      </c>
      <c r="F19" s="62">
        <v>8.14</v>
      </c>
      <c r="G19" s="62">
        <f t="shared" si="0"/>
        <v>119.79879999999999</v>
      </c>
      <c r="H19" s="63">
        <f t="shared" si="1"/>
        <v>233.29239999999999</v>
      </c>
      <c r="I19" s="203">
        <v>3571.5</v>
      </c>
      <c r="J19" s="203">
        <v>3678.645</v>
      </c>
      <c r="K19" s="203">
        <v>3.71</v>
      </c>
      <c r="L19" s="203">
        <v>8.14</v>
      </c>
      <c r="M19" s="57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2"/>
        <v>3678.645</v>
      </c>
      <c r="S19" s="62">
        <f t="shared" si="3"/>
        <v>136.47772950000001</v>
      </c>
      <c r="T19" s="63">
        <f t="shared" si="4"/>
        <v>299.44170300000002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5"/>
        <v>0</v>
      </c>
      <c r="AB19" s="63">
        <f t="shared" si="6"/>
        <v>0</v>
      </c>
      <c r="AC19" s="69"/>
      <c r="AD19" s="70"/>
      <c r="AE19" s="70"/>
      <c r="AF19" s="62">
        <f t="shared" si="7"/>
        <v>0</v>
      </c>
      <c r="AG19" s="62">
        <f t="shared" si="8"/>
        <v>0</v>
      </c>
      <c r="AH19" s="89">
        <v>6546</v>
      </c>
      <c r="AI19" s="66">
        <v>3.92</v>
      </c>
      <c r="AJ19" s="66">
        <v>8.14</v>
      </c>
      <c r="AK19" s="62">
        <f t="shared" si="9"/>
        <v>256.60320000000002</v>
      </c>
      <c r="AL19" s="72">
        <f t="shared" si="10"/>
        <v>532.84439999999995</v>
      </c>
      <c r="AM19" s="73">
        <f t="shared" si="11"/>
        <v>-1.3549999999995634</v>
      </c>
      <c r="AN19" s="74">
        <f t="shared" si="12"/>
        <v>-0.32667050000003428</v>
      </c>
      <c r="AO19" s="74">
        <f t="shared" si="12"/>
        <v>-0.11029699999994591</v>
      </c>
      <c r="AP19" s="75">
        <f t="shared" si="13"/>
        <v>-1.0024042688208908E-3</v>
      </c>
      <c r="AQ19" s="76">
        <f t="shared" si="14"/>
        <v>-179.65460500166589</v>
      </c>
      <c r="AR19" s="90">
        <f>(D19+J19+O19)-(X19+AH19)</f>
        <v>-1.3549999999995634</v>
      </c>
    </row>
    <row r="20" spans="1:48" x14ac:dyDescent="0.25">
      <c r="A20" t="str">
        <f t="shared" si="16"/>
        <v>46182M</v>
      </c>
      <c r="B20" s="51">
        <f t="shared" si="17"/>
        <v>46182</v>
      </c>
      <c r="C20" s="52" t="s">
        <v>87</v>
      </c>
      <c r="D20" s="91">
        <v>6546</v>
      </c>
      <c r="E20" s="62">
        <v>3.92</v>
      </c>
      <c r="F20" s="62">
        <v>8.14</v>
      </c>
      <c r="G20" s="62">
        <f t="shared" si="0"/>
        <v>256.60320000000002</v>
      </c>
      <c r="H20" s="63">
        <f t="shared" si="1"/>
        <v>532.84439999999995</v>
      </c>
      <c r="I20" s="203">
        <v>776.4</v>
      </c>
      <c r="J20" s="203">
        <v>799.69200000000001</v>
      </c>
      <c r="K20" s="203">
        <v>4.57</v>
      </c>
      <c r="L20" s="203">
        <v>8.42</v>
      </c>
      <c r="M20" s="57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2"/>
        <v>799.69200000000001</v>
      </c>
      <c r="S20" s="62">
        <f t="shared" si="3"/>
        <v>36.545924400000004</v>
      </c>
      <c r="T20" s="63">
        <f t="shared" si="4"/>
        <v>67.334066399999998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5"/>
        <v>0</v>
      </c>
      <c r="AB20" s="63">
        <f t="shared" si="6"/>
        <v>0</v>
      </c>
      <c r="AC20" s="69"/>
      <c r="AD20" s="70"/>
      <c r="AE20" s="70"/>
      <c r="AF20" s="62">
        <f t="shared" si="7"/>
        <v>0</v>
      </c>
      <c r="AG20" s="62">
        <f t="shared" si="8"/>
        <v>0</v>
      </c>
      <c r="AH20" s="89">
        <v>7346</v>
      </c>
      <c r="AI20" s="66">
        <v>3.99</v>
      </c>
      <c r="AJ20" s="66">
        <v>8.17</v>
      </c>
      <c r="AK20" s="62">
        <f t="shared" si="9"/>
        <v>293.10540000000003</v>
      </c>
      <c r="AL20" s="72">
        <f t="shared" si="10"/>
        <v>600.16819999999996</v>
      </c>
      <c r="AM20" s="73">
        <f t="shared" si="11"/>
        <v>-0.30799999999999272</v>
      </c>
      <c r="AN20" s="74">
        <f t="shared" ref="AN20:AO65" si="18">+G20+S20-AF20-AK20</f>
        <v>4.3724399999973684E-2</v>
      </c>
      <c r="AO20" s="74">
        <f t="shared" si="18"/>
        <v>1.0266399999977693E-2</v>
      </c>
      <c r="AP20" s="75">
        <f t="shared" si="13"/>
        <v>5.197420560413775E-4</v>
      </c>
      <c r="AQ20" s="76">
        <f t="shared" si="14"/>
        <v>22.700780153314845</v>
      </c>
      <c r="AR20" s="90">
        <f>(D20+J20+O20)-(X20+AH20)</f>
        <v>-0.30799999999999272</v>
      </c>
    </row>
    <row r="21" spans="1:48" x14ac:dyDescent="0.25">
      <c r="A21" t="str">
        <f t="shared" si="16"/>
        <v>46182E</v>
      </c>
      <c r="B21" s="51">
        <f t="shared" si="17"/>
        <v>46182</v>
      </c>
      <c r="C21" s="52" t="s">
        <v>88</v>
      </c>
      <c r="D21" s="91">
        <v>7346</v>
      </c>
      <c r="E21" s="62">
        <v>3.99</v>
      </c>
      <c r="F21" s="62">
        <v>8.17</v>
      </c>
      <c r="G21" s="62">
        <f t="shared" si="0"/>
        <v>293.10540000000003</v>
      </c>
      <c r="H21" s="63">
        <f t="shared" si="1"/>
        <v>600.16819999999996</v>
      </c>
      <c r="I21" s="203">
        <v>1845.4</v>
      </c>
      <c r="J21" s="203">
        <v>1900.7620000000002</v>
      </c>
      <c r="K21" s="203">
        <v>4.26</v>
      </c>
      <c r="L21" s="203">
        <v>8.25</v>
      </c>
      <c r="M21" s="57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2"/>
        <v>1900.7620000000002</v>
      </c>
      <c r="S21" s="62">
        <f t="shared" si="3"/>
        <v>80.972461200000012</v>
      </c>
      <c r="T21" s="63">
        <f t="shared" si="4"/>
        <v>156.81286500000002</v>
      </c>
      <c r="U21" s="64" t="s">
        <v>170</v>
      </c>
      <c r="V21" s="65" t="s">
        <v>429</v>
      </c>
      <c r="W21" s="66" t="s">
        <v>227</v>
      </c>
      <c r="X21" s="67">
        <v>4870</v>
      </c>
      <c r="Y21" s="68">
        <v>3.85</v>
      </c>
      <c r="Z21" s="68">
        <v>8.06</v>
      </c>
      <c r="AA21" s="62">
        <f t="shared" si="5"/>
        <v>187.495</v>
      </c>
      <c r="AB21" s="63">
        <f t="shared" si="6"/>
        <v>392.52200000000005</v>
      </c>
      <c r="AC21" s="69">
        <v>4840</v>
      </c>
      <c r="AD21" s="70">
        <v>3.8</v>
      </c>
      <c r="AE21" s="70">
        <v>8.0399999999999991</v>
      </c>
      <c r="AF21" s="62">
        <f t="shared" si="7"/>
        <v>183.92</v>
      </c>
      <c r="AG21" s="62">
        <f t="shared" si="8"/>
        <v>389.13599999999991</v>
      </c>
      <c r="AH21" s="89">
        <v>4378</v>
      </c>
      <c r="AI21" s="66">
        <v>4.05</v>
      </c>
      <c r="AJ21" s="66">
        <v>8.19</v>
      </c>
      <c r="AK21" s="62">
        <f t="shared" si="9"/>
        <v>177.309</v>
      </c>
      <c r="AL21" s="72">
        <f t="shared" si="10"/>
        <v>358.5582</v>
      </c>
      <c r="AM21" s="73">
        <f t="shared" si="11"/>
        <v>28.762000000000626</v>
      </c>
      <c r="AN21" s="74">
        <f t="shared" si="18"/>
        <v>12.848861200000044</v>
      </c>
      <c r="AO21" s="74">
        <f t="shared" si="18"/>
        <v>9.2868650000000343</v>
      </c>
      <c r="AP21" s="75">
        <f t="shared" si="13"/>
        <v>9.3091220361435717E-2</v>
      </c>
      <c r="AQ21" s="76">
        <f t="shared" si="14"/>
        <v>8547.2933260586979</v>
      </c>
      <c r="AR21" s="90">
        <f>(D21+J21+O21)-(X21+AH21)</f>
        <v>-1.2379999999993743</v>
      </c>
    </row>
    <row r="22" spans="1:48" x14ac:dyDescent="0.25">
      <c r="A22" t="str">
        <f t="shared" si="16"/>
        <v>46183M</v>
      </c>
      <c r="B22" s="51">
        <f t="shared" si="17"/>
        <v>46183</v>
      </c>
      <c r="C22" s="52" t="s">
        <v>87</v>
      </c>
      <c r="D22" s="91">
        <v>4378</v>
      </c>
      <c r="E22" s="62">
        <v>4.05</v>
      </c>
      <c r="F22" s="62">
        <v>8.19</v>
      </c>
      <c r="G22" s="62">
        <f t="shared" si="0"/>
        <v>177.309</v>
      </c>
      <c r="H22" s="63">
        <f t="shared" si="1"/>
        <v>358.5582</v>
      </c>
      <c r="I22" s="203">
        <v>838.1</v>
      </c>
      <c r="J22" s="203">
        <v>863.24300000000005</v>
      </c>
      <c r="K22" s="203">
        <v>4.4400000000000004</v>
      </c>
      <c r="L22" s="203">
        <v>8.42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2"/>
        <v>863.24300000000005</v>
      </c>
      <c r="S22" s="62">
        <f t="shared" si="3"/>
        <v>38.327989200000005</v>
      </c>
      <c r="T22" s="63">
        <f t="shared" si="4"/>
        <v>72.6850606</v>
      </c>
      <c r="U22" s="64" t="s">
        <v>167</v>
      </c>
      <c r="V22" s="65" t="s">
        <v>167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5"/>
        <v>0</v>
      </c>
      <c r="AB22" s="63">
        <f t="shared" si="6"/>
        <v>0</v>
      </c>
      <c r="AC22" s="69"/>
      <c r="AD22" s="70"/>
      <c r="AE22" s="70"/>
      <c r="AF22" s="62">
        <f t="shared" si="7"/>
        <v>0</v>
      </c>
      <c r="AG22" s="62">
        <f t="shared" si="8"/>
        <v>0</v>
      </c>
      <c r="AH22" s="89">
        <v>5243</v>
      </c>
      <c r="AI22" s="66">
        <v>4.1100000000000003</v>
      </c>
      <c r="AJ22" s="66">
        <v>8.23</v>
      </c>
      <c r="AK22" s="62">
        <f t="shared" si="9"/>
        <v>215.48730000000003</v>
      </c>
      <c r="AL22" s="72">
        <f t="shared" si="10"/>
        <v>431.49889999999999</v>
      </c>
      <c r="AM22" s="73">
        <f t="shared" si="11"/>
        <v>-1.7569999999996071</v>
      </c>
      <c r="AN22" s="74">
        <f t="shared" si="18"/>
        <v>0.1496891999999832</v>
      </c>
      <c r="AO22" s="74">
        <f t="shared" si="18"/>
        <v>-0.25563940000000684</v>
      </c>
      <c r="AP22" s="75">
        <f t="shared" si="13"/>
        <v>-9.5439410223304788E-4</v>
      </c>
      <c r="AQ22" s="76">
        <f t="shared" si="14"/>
        <v>-9.3090765973429228</v>
      </c>
      <c r="AR22" s="90">
        <f t="shared" si="15"/>
        <v>-1.7569999999996071</v>
      </c>
      <c r="AT22" s="83"/>
      <c r="AU22" s="83"/>
    </row>
    <row r="23" spans="1:48" x14ac:dyDescent="0.25">
      <c r="A23" t="str">
        <f t="shared" si="16"/>
        <v>46183E</v>
      </c>
      <c r="B23" s="51">
        <f t="shared" si="17"/>
        <v>46183</v>
      </c>
      <c r="C23" s="52" t="s">
        <v>88</v>
      </c>
      <c r="D23" s="91">
        <v>5243</v>
      </c>
      <c r="E23" s="62">
        <v>4.1100000000000003</v>
      </c>
      <c r="F23" s="62">
        <v>8.23</v>
      </c>
      <c r="G23" s="62">
        <f t="shared" si="0"/>
        <v>215.48730000000003</v>
      </c>
      <c r="H23" s="63">
        <f t="shared" si="1"/>
        <v>431.49889999999999</v>
      </c>
      <c r="I23" s="203">
        <v>7988.7</v>
      </c>
      <c r="J23" s="203">
        <v>8228.3610000000008</v>
      </c>
      <c r="K23" s="203">
        <v>3.94</v>
      </c>
      <c r="L23" s="203">
        <v>8.02</v>
      </c>
      <c r="M23" s="58" t="s">
        <v>236</v>
      </c>
      <c r="N23" s="58" t="s">
        <v>428</v>
      </c>
      <c r="O23" s="59">
        <v>5930</v>
      </c>
      <c r="P23" s="56">
        <v>4.1500000000000004</v>
      </c>
      <c r="Q23" s="60">
        <v>8.23</v>
      </c>
      <c r="R23" s="61">
        <f t="shared" si="2"/>
        <v>14158.361000000001</v>
      </c>
      <c r="S23" s="62">
        <f t="shared" si="3"/>
        <v>570.29242339999996</v>
      </c>
      <c r="T23" s="63">
        <f t="shared" si="4"/>
        <v>1147.9535522000001</v>
      </c>
      <c r="U23" s="64" t="s">
        <v>430</v>
      </c>
      <c r="V23" s="65" t="s">
        <v>431</v>
      </c>
      <c r="W23" s="66" t="s">
        <v>225</v>
      </c>
      <c r="X23" s="67">
        <v>15770</v>
      </c>
      <c r="Y23" s="68">
        <v>4.21</v>
      </c>
      <c r="Z23" s="68">
        <v>8.25</v>
      </c>
      <c r="AA23" s="62">
        <f t="shared" si="5"/>
        <v>663.91700000000003</v>
      </c>
      <c r="AB23" s="63">
        <f t="shared" si="6"/>
        <v>1301.0250000000001</v>
      </c>
      <c r="AC23" s="226">
        <v>15770</v>
      </c>
      <c r="AD23" s="227">
        <v>4.21</v>
      </c>
      <c r="AE23" s="227">
        <v>8.25</v>
      </c>
      <c r="AF23" s="62">
        <f t="shared" si="7"/>
        <v>663.91700000000003</v>
      </c>
      <c r="AG23" s="62">
        <f t="shared" si="8"/>
        <v>1301.0250000000001</v>
      </c>
      <c r="AH23" s="89">
        <v>3752</v>
      </c>
      <c r="AI23" s="66">
        <v>4.05</v>
      </c>
      <c r="AJ23" s="84">
        <v>8.14</v>
      </c>
      <c r="AK23" s="62">
        <f t="shared" si="9"/>
        <v>151.95600000000002</v>
      </c>
      <c r="AL23" s="72">
        <f t="shared" si="10"/>
        <v>305.4128</v>
      </c>
      <c r="AM23" s="73">
        <f t="shared" si="11"/>
        <v>-120.63899999999921</v>
      </c>
      <c r="AN23" s="74">
        <f t="shared" si="18"/>
        <v>-30.093276600000081</v>
      </c>
      <c r="AO23" s="74">
        <f t="shared" si="18"/>
        <v>-26.985347799999943</v>
      </c>
      <c r="AP23" s="75">
        <f t="shared" si="13"/>
        <v>-3.3219122995512065E-2</v>
      </c>
      <c r="AQ23" s="76">
        <f t="shared" si="14"/>
        <v>-21585.167785771355</v>
      </c>
      <c r="AR23" s="90">
        <f t="shared" si="15"/>
        <v>-120.63899999999921</v>
      </c>
      <c r="AU23" s="83"/>
    </row>
    <row r="24" spans="1:48" x14ac:dyDescent="0.25">
      <c r="A24" t="str">
        <f t="shared" si="16"/>
        <v>46184M</v>
      </c>
      <c r="B24" s="51">
        <f t="shared" si="17"/>
        <v>46184</v>
      </c>
      <c r="C24" s="52" t="s">
        <v>87</v>
      </c>
      <c r="D24" s="91">
        <v>3752</v>
      </c>
      <c r="E24" s="62">
        <v>4.05</v>
      </c>
      <c r="F24" s="62">
        <v>8.14</v>
      </c>
      <c r="G24" s="62">
        <f t="shared" si="0"/>
        <v>151.95600000000002</v>
      </c>
      <c r="H24" s="63">
        <f t="shared" si="1"/>
        <v>305.4128</v>
      </c>
      <c r="I24" s="203">
        <v>3994.7</v>
      </c>
      <c r="J24" s="203">
        <v>4114.5410000000002</v>
      </c>
      <c r="K24" s="203">
        <v>4.0999999999999996</v>
      </c>
      <c r="L24" s="203">
        <v>8.08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2"/>
        <v>4114.5410000000002</v>
      </c>
      <c r="S24" s="62">
        <f t="shared" si="3"/>
        <v>168.696181</v>
      </c>
      <c r="T24" s="63">
        <f t="shared" si="4"/>
        <v>332.45491279999999</v>
      </c>
      <c r="U24" s="64" t="s">
        <v>169</v>
      </c>
      <c r="V24" s="65" t="s">
        <v>432</v>
      </c>
      <c r="W24" s="66" t="s">
        <v>227</v>
      </c>
      <c r="X24" s="67">
        <v>5900</v>
      </c>
      <c r="Y24" s="68">
        <v>3.93</v>
      </c>
      <c r="Z24" s="68">
        <v>8.26</v>
      </c>
      <c r="AA24" s="62">
        <f t="shared" si="5"/>
        <v>231.87</v>
      </c>
      <c r="AB24" s="63">
        <f t="shared" si="6"/>
        <v>487.34</v>
      </c>
      <c r="AC24" s="226">
        <v>5900</v>
      </c>
      <c r="AD24" s="227">
        <v>3.93</v>
      </c>
      <c r="AE24" s="227">
        <v>8.26</v>
      </c>
      <c r="AF24" s="62">
        <f t="shared" si="7"/>
        <v>231.87</v>
      </c>
      <c r="AG24" s="62">
        <f t="shared" si="8"/>
        <v>487.34</v>
      </c>
      <c r="AH24" s="89">
        <v>1967</v>
      </c>
      <c r="AI24" s="66">
        <v>4.08</v>
      </c>
      <c r="AJ24" s="66">
        <v>8.11</v>
      </c>
      <c r="AK24" s="62">
        <f t="shared" si="9"/>
        <v>80.253600000000006</v>
      </c>
      <c r="AL24" s="72">
        <f t="shared" si="10"/>
        <v>159.52369999999999</v>
      </c>
      <c r="AM24" s="73">
        <f t="shared" si="11"/>
        <v>-0.45899999999983265</v>
      </c>
      <c r="AN24" s="74">
        <f t="shared" si="18"/>
        <v>8.5285810000000311</v>
      </c>
      <c r="AO24" s="74">
        <f t="shared" si="18"/>
        <v>-8.9959872000000303</v>
      </c>
      <c r="AP24" s="75">
        <f t="shared" si="13"/>
        <v>-9.3266522967329335E-4</v>
      </c>
      <c r="AQ24" s="76">
        <f t="shared" si="14"/>
        <v>1136.3062207420048</v>
      </c>
      <c r="AR24" s="90">
        <f t="shared" si="15"/>
        <v>-0.45899999999983265</v>
      </c>
      <c r="AT24" s="77"/>
      <c r="AU24" s="77"/>
      <c r="AV24" s="77"/>
    </row>
    <row r="25" spans="1:48" x14ac:dyDescent="0.25">
      <c r="A25" t="str">
        <f t="shared" si="16"/>
        <v>46184E</v>
      </c>
      <c r="B25" s="51">
        <f t="shared" si="17"/>
        <v>46184</v>
      </c>
      <c r="C25" s="52" t="s">
        <v>88</v>
      </c>
      <c r="D25" s="91">
        <v>1967</v>
      </c>
      <c r="E25" s="62">
        <v>4.08</v>
      </c>
      <c r="F25" s="62">
        <v>8.11</v>
      </c>
      <c r="G25" s="62">
        <f t="shared" si="0"/>
        <v>80.253600000000006</v>
      </c>
      <c r="H25" s="63">
        <f t="shared" si="1"/>
        <v>159.52369999999999</v>
      </c>
      <c r="I25" s="203">
        <v>4928.6000000000004</v>
      </c>
      <c r="J25" s="203">
        <v>5076.4580000000005</v>
      </c>
      <c r="K25" s="203">
        <v>3.95</v>
      </c>
      <c r="L25" s="203">
        <v>8.14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2"/>
        <v>5076.4580000000005</v>
      </c>
      <c r="S25" s="62">
        <f t="shared" si="3"/>
        <v>200.52009100000004</v>
      </c>
      <c r="T25" s="63">
        <f t="shared" si="4"/>
        <v>413.22368120000004</v>
      </c>
      <c r="U25" s="64" t="s">
        <v>175</v>
      </c>
      <c r="V25" s="65" t="s">
        <v>433</v>
      </c>
      <c r="W25" s="66" t="s">
        <v>434</v>
      </c>
      <c r="X25" s="67">
        <v>5350</v>
      </c>
      <c r="Y25" s="68">
        <v>4.04</v>
      </c>
      <c r="Z25" s="68">
        <v>8.24</v>
      </c>
      <c r="AA25" s="62">
        <f t="shared" si="5"/>
        <v>216.14</v>
      </c>
      <c r="AB25" s="63">
        <f t="shared" si="6"/>
        <v>440.84000000000003</v>
      </c>
      <c r="AC25" s="226">
        <v>5350</v>
      </c>
      <c r="AD25" s="227">
        <v>4.04</v>
      </c>
      <c r="AE25" s="227">
        <v>8.24</v>
      </c>
      <c r="AF25" s="62">
        <f t="shared" si="7"/>
        <v>216.14</v>
      </c>
      <c r="AG25" s="62">
        <f t="shared" si="8"/>
        <v>440.84000000000003</v>
      </c>
      <c r="AH25" s="89">
        <v>1694</v>
      </c>
      <c r="AI25" s="66">
        <v>3.99</v>
      </c>
      <c r="AJ25" s="66">
        <v>8.1300000000000008</v>
      </c>
      <c r="AK25" s="62">
        <f t="shared" si="9"/>
        <v>67.590600000000009</v>
      </c>
      <c r="AL25" s="72">
        <f t="shared" si="10"/>
        <v>137.72220000000002</v>
      </c>
      <c r="AM25" s="73">
        <f t="shared" si="11"/>
        <v>-0.54199999999946158</v>
      </c>
      <c r="AN25" s="74">
        <f t="shared" si="18"/>
        <v>-2.9569089999999534</v>
      </c>
      <c r="AO25" s="74">
        <f t="shared" si="18"/>
        <v>-5.8148187999999834</v>
      </c>
      <c r="AP25" s="75">
        <f t="shared" si="13"/>
        <v>-1.4292165879838049E-2</v>
      </c>
      <c r="AQ25" s="76">
        <f t="shared" si="14"/>
        <v>-3067.6062241953077</v>
      </c>
      <c r="AR25" s="90">
        <f t="shared" si="15"/>
        <v>-0.54199999999946158</v>
      </c>
    </row>
    <row r="26" spans="1:48" x14ac:dyDescent="0.25">
      <c r="A26" t="str">
        <f t="shared" si="16"/>
        <v>46185M</v>
      </c>
      <c r="B26" s="51">
        <f t="shared" si="17"/>
        <v>46185</v>
      </c>
      <c r="C26" s="52" t="s">
        <v>87</v>
      </c>
      <c r="D26" s="91"/>
      <c r="E26" s="62"/>
      <c r="F26" s="62"/>
      <c r="G26" s="62">
        <f t="shared" si="0"/>
        <v>0</v>
      </c>
      <c r="H26" s="63">
        <f t="shared" si="1"/>
        <v>0</v>
      </c>
      <c r="I26" s="203"/>
      <c r="J26" s="203"/>
      <c r="K26" s="203"/>
      <c r="L26" s="203"/>
      <c r="M26" s="58"/>
      <c r="N26" s="58"/>
      <c r="O26" s="59"/>
      <c r="P26" s="56"/>
      <c r="Q26" s="60"/>
      <c r="R26" s="61">
        <f t="shared" si="2"/>
        <v>0</v>
      </c>
      <c r="S26" s="62">
        <f t="shared" si="3"/>
        <v>0</v>
      </c>
      <c r="T26" s="63">
        <f t="shared" si="4"/>
        <v>0</v>
      </c>
      <c r="U26" s="64"/>
      <c r="V26" s="65"/>
      <c r="W26" s="66"/>
      <c r="X26" s="67"/>
      <c r="Y26" s="68"/>
      <c r="Z26" s="68"/>
      <c r="AA26" s="62">
        <f t="shared" si="5"/>
        <v>0</v>
      </c>
      <c r="AB26" s="63">
        <f t="shared" si="6"/>
        <v>0</v>
      </c>
      <c r="AC26" s="69"/>
      <c r="AD26" s="70"/>
      <c r="AE26" s="70"/>
      <c r="AF26" s="62">
        <f t="shared" si="7"/>
        <v>0</v>
      </c>
      <c r="AG26" s="62">
        <f t="shared" si="8"/>
        <v>0</v>
      </c>
      <c r="AH26" s="89"/>
      <c r="AI26" s="66"/>
      <c r="AJ26" s="66"/>
      <c r="AK26" s="62">
        <f t="shared" si="9"/>
        <v>0</v>
      </c>
      <c r="AL26" s="72">
        <f t="shared" si="10"/>
        <v>0</v>
      </c>
      <c r="AM26" s="73">
        <f t="shared" si="11"/>
        <v>0</v>
      </c>
      <c r="AN26" s="74">
        <f t="shared" si="18"/>
        <v>0</v>
      </c>
      <c r="AO26" s="74">
        <f t="shared" si="18"/>
        <v>0</v>
      </c>
      <c r="AP26" s="75" t="e">
        <f t="shared" si="13"/>
        <v>#DIV/0!</v>
      </c>
      <c r="AQ26" s="76">
        <f t="shared" si="14"/>
        <v>0</v>
      </c>
      <c r="AR26" s="90">
        <f t="shared" si="15"/>
        <v>0</v>
      </c>
    </row>
    <row r="27" spans="1:48" x14ac:dyDescent="0.25">
      <c r="A27" t="str">
        <f t="shared" si="16"/>
        <v>46185E</v>
      </c>
      <c r="B27" s="51">
        <f t="shared" si="17"/>
        <v>46185</v>
      </c>
      <c r="C27" s="52" t="s">
        <v>88</v>
      </c>
      <c r="D27" s="91"/>
      <c r="E27" s="62"/>
      <c r="F27" s="62"/>
      <c r="G27" s="62">
        <f t="shared" si="0"/>
        <v>0</v>
      </c>
      <c r="H27" s="63">
        <f t="shared" si="1"/>
        <v>0</v>
      </c>
      <c r="I27" s="203"/>
      <c r="J27" s="203"/>
      <c r="K27" s="203"/>
      <c r="L27" s="203"/>
      <c r="M27" s="58"/>
      <c r="N27" s="58"/>
      <c r="O27" s="59"/>
      <c r="P27" s="56"/>
      <c r="Q27" s="60"/>
      <c r="R27" s="61">
        <f t="shared" si="2"/>
        <v>0</v>
      </c>
      <c r="S27" s="62">
        <f t="shared" si="3"/>
        <v>0</v>
      </c>
      <c r="T27" s="63">
        <f t="shared" si="4"/>
        <v>0</v>
      </c>
      <c r="U27" s="64"/>
      <c r="V27" s="65"/>
      <c r="W27" s="66"/>
      <c r="X27" s="67"/>
      <c r="Y27" s="68"/>
      <c r="Z27" s="68"/>
      <c r="AA27" s="62">
        <f t="shared" si="5"/>
        <v>0</v>
      </c>
      <c r="AB27" s="63">
        <f t="shared" si="6"/>
        <v>0</v>
      </c>
      <c r="AC27" s="69"/>
      <c r="AD27" s="70"/>
      <c r="AE27" s="70"/>
      <c r="AF27" s="62">
        <f t="shared" si="7"/>
        <v>0</v>
      </c>
      <c r="AG27" s="62">
        <f t="shared" si="8"/>
        <v>0</v>
      </c>
      <c r="AH27" s="89"/>
      <c r="AI27" s="66"/>
      <c r="AJ27" s="66"/>
      <c r="AK27" s="62">
        <f t="shared" si="9"/>
        <v>0</v>
      </c>
      <c r="AL27" s="72">
        <f t="shared" si="10"/>
        <v>0</v>
      </c>
      <c r="AM27" s="73">
        <f t="shared" si="11"/>
        <v>0</v>
      </c>
      <c r="AN27" s="74">
        <f t="shared" si="18"/>
        <v>0</v>
      </c>
      <c r="AO27" s="74">
        <f t="shared" si="18"/>
        <v>0</v>
      </c>
      <c r="AP27" s="75" t="e">
        <f t="shared" si="13"/>
        <v>#DIV/0!</v>
      </c>
      <c r="AQ27" s="76">
        <f t="shared" si="14"/>
        <v>0</v>
      </c>
      <c r="AR27" s="90">
        <f t="shared" si="15"/>
        <v>0</v>
      </c>
    </row>
    <row r="28" spans="1:48" x14ac:dyDescent="0.25">
      <c r="A28" t="str">
        <f t="shared" si="16"/>
        <v>46186M</v>
      </c>
      <c r="B28" s="51">
        <f t="shared" si="17"/>
        <v>46186</v>
      </c>
      <c r="C28" s="52" t="s">
        <v>87</v>
      </c>
      <c r="D28" s="91"/>
      <c r="E28" s="62"/>
      <c r="F28" s="62"/>
      <c r="G28" s="62">
        <f t="shared" si="0"/>
        <v>0</v>
      </c>
      <c r="H28" s="63">
        <f t="shared" si="1"/>
        <v>0</v>
      </c>
      <c r="I28" s="203"/>
      <c r="J28" s="203"/>
      <c r="K28" s="203"/>
      <c r="L28" s="203"/>
      <c r="M28" s="58"/>
      <c r="N28" s="58"/>
      <c r="O28" s="59"/>
      <c r="P28" s="56"/>
      <c r="Q28" s="60"/>
      <c r="R28" s="61">
        <f t="shared" si="2"/>
        <v>0</v>
      </c>
      <c r="S28" s="62">
        <f t="shared" si="3"/>
        <v>0</v>
      </c>
      <c r="T28" s="63">
        <f t="shared" si="4"/>
        <v>0</v>
      </c>
      <c r="U28" s="64"/>
      <c r="V28" s="65"/>
      <c r="W28" s="66"/>
      <c r="X28" s="67"/>
      <c r="Y28" s="68"/>
      <c r="Z28" s="68"/>
      <c r="AA28" s="62">
        <f t="shared" si="5"/>
        <v>0</v>
      </c>
      <c r="AB28" s="63">
        <f t="shared" si="6"/>
        <v>0</v>
      </c>
      <c r="AC28" s="69"/>
      <c r="AD28" s="70"/>
      <c r="AE28" s="70"/>
      <c r="AF28" s="62">
        <f t="shared" si="7"/>
        <v>0</v>
      </c>
      <c r="AG28" s="63">
        <f t="shared" si="8"/>
        <v>0</v>
      </c>
      <c r="AH28" s="89"/>
      <c r="AI28" s="66"/>
      <c r="AJ28" s="66"/>
      <c r="AK28" s="62">
        <f t="shared" si="9"/>
        <v>0</v>
      </c>
      <c r="AL28" s="72">
        <f t="shared" si="10"/>
        <v>0</v>
      </c>
      <c r="AM28" s="73">
        <f t="shared" si="11"/>
        <v>0</v>
      </c>
      <c r="AN28" s="74">
        <f t="shared" si="18"/>
        <v>0</v>
      </c>
      <c r="AO28" s="74">
        <f t="shared" si="18"/>
        <v>0</v>
      </c>
      <c r="AP28" s="75" t="e">
        <f t="shared" si="13"/>
        <v>#DIV/0!</v>
      </c>
      <c r="AQ28" s="76">
        <f t="shared" si="14"/>
        <v>0</v>
      </c>
      <c r="AR28" s="90">
        <f t="shared" si="15"/>
        <v>0</v>
      </c>
    </row>
    <row r="29" spans="1:48" x14ac:dyDescent="0.25">
      <c r="A29" t="str">
        <f t="shared" si="16"/>
        <v>46186E</v>
      </c>
      <c r="B29" s="51">
        <f t="shared" si="17"/>
        <v>46186</v>
      </c>
      <c r="C29" s="52" t="s">
        <v>88</v>
      </c>
      <c r="D29" s="91"/>
      <c r="E29" s="62"/>
      <c r="F29" s="62"/>
      <c r="G29" s="62">
        <f t="shared" si="0"/>
        <v>0</v>
      </c>
      <c r="H29" s="63">
        <f t="shared" si="1"/>
        <v>0</v>
      </c>
      <c r="I29" s="203"/>
      <c r="J29" s="203"/>
      <c r="K29" s="203"/>
      <c r="L29" s="203"/>
      <c r="M29" s="58"/>
      <c r="N29" s="58"/>
      <c r="O29" s="59"/>
      <c r="P29" s="56"/>
      <c r="Q29" s="60"/>
      <c r="R29" s="61">
        <f t="shared" si="2"/>
        <v>0</v>
      </c>
      <c r="S29" s="62">
        <f t="shared" si="3"/>
        <v>0</v>
      </c>
      <c r="T29" s="63">
        <f t="shared" si="4"/>
        <v>0</v>
      </c>
      <c r="U29" s="64"/>
      <c r="V29" s="65"/>
      <c r="W29" s="66"/>
      <c r="X29" s="67"/>
      <c r="Y29" s="68"/>
      <c r="Z29" s="68"/>
      <c r="AA29" s="62">
        <f t="shared" si="5"/>
        <v>0</v>
      </c>
      <c r="AB29" s="63">
        <f t="shared" si="6"/>
        <v>0</v>
      </c>
      <c r="AC29" s="69"/>
      <c r="AD29" s="70"/>
      <c r="AE29" s="70"/>
      <c r="AF29" s="62">
        <f t="shared" si="7"/>
        <v>0</v>
      </c>
      <c r="AG29" s="63">
        <f t="shared" si="8"/>
        <v>0</v>
      </c>
      <c r="AH29" s="89"/>
      <c r="AI29" s="66"/>
      <c r="AJ29" s="66"/>
      <c r="AK29" s="62">
        <f t="shared" si="9"/>
        <v>0</v>
      </c>
      <c r="AL29" s="72">
        <f t="shared" si="10"/>
        <v>0</v>
      </c>
      <c r="AM29" s="73">
        <f t="shared" si="11"/>
        <v>0</v>
      </c>
      <c r="AN29" s="74">
        <f t="shared" si="18"/>
        <v>0</v>
      </c>
      <c r="AO29" s="74">
        <f t="shared" si="18"/>
        <v>0</v>
      </c>
      <c r="AP29" s="75" t="e">
        <f t="shared" si="13"/>
        <v>#DIV/0!</v>
      </c>
      <c r="AQ29" s="76">
        <f t="shared" si="14"/>
        <v>0</v>
      </c>
      <c r="AR29" s="90">
        <f t="shared" si="15"/>
        <v>0</v>
      </c>
    </row>
    <row r="30" spans="1:48" x14ac:dyDescent="0.25">
      <c r="A30" t="str">
        <f t="shared" si="16"/>
        <v>46187M</v>
      </c>
      <c r="B30" s="51">
        <f t="shared" si="17"/>
        <v>46187</v>
      </c>
      <c r="C30" s="52" t="s">
        <v>87</v>
      </c>
      <c r="D30" s="91"/>
      <c r="E30" s="62"/>
      <c r="F30" s="62"/>
      <c r="G30" s="62">
        <f t="shared" si="0"/>
        <v>0</v>
      </c>
      <c r="H30" s="63">
        <f t="shared" si="1"/>
        <v>0</v>
      </c>
      <c r="I30" s="203"/>
      <c r="J30" s="203"/>
      <c r="K30" s="203"/>
      <c r="L30" s="203"/>
      <c r="M30" s="58"/>
      <c r="N30" s="58"/>
      <c r="O30" s="59"/>
      <c r="P30" s="56"/>
      <c r="Q30" s="60"/>
      <c r="R30" s="61">
        <f t="shared" si="2"/>
        <v>0</v>
      </c>
      <c r="S30" s="62">
        <f t="shared" si="3"/>
        <v>0</v>
      </c>
      <c r="T30" s="63">
        <f t="shared" si="4"/>
        <v>0</v>
      </c>
      <c r="U30" s="64"/>
      <c r="V30" s="65"/>
      <c r="W30" s="66"/>
      <c r="X30" s="67"/>
      <c r="Y30" s="68"/>
      <c r="Z30" s="68"/>
      <c r="AA30" s="62">
        <f t="shared" si="5"/>
        <v>0</v>
      </c>
      <c r="AB30" s="63">
        <f t="shared" si="6"/>
        <v>0</v>
      </c>
      <c r="AC30" s="69"/>
      <c r="AD30" s="70"/>
      <c r="AE30" s="70"/>
      <c r="AF30" s="62">
        <f t="shared" si="7"/>
        <v>0</v>
      </c>
      <c r="AG30" s="63">
        <f t="shared" si="8"/>
        <v>0</v>
      </c>
      <c r="AH30" s="89"/>
      <c r="AI30" s="66"/>
      <c r="AJ30" s="66"/>
      <c r="AK30" s="62">
        <f t="shared" si="9"/>
        <v>0</v>
      </c>
      <c r="AL30" s="72">
        <f t="shared" si="10"/>
        <v>0</v>
      </c>
      <c r="AM30" s="73">
        <f t="shared" si="11"/>
        <v>0</v>
      </c>
      <c r="AN30" s="74">
        <f t="shared" si="18"/>
        <v>0</v>
      </c>
      <c r="AO30" s="74">
        <f t="shared" si="18"/>
        <v>0</v>
      </c>
      <c r="AP30" s="75" t="e">
        <f t="shared" si="13"/>
        <v>#DIV/0!</v>
      </c>
      <c r="AQ30" s="76">
        <f t="shared" si="14"/>
        <v>0</v>
      </c>
      <c r="AR30" s="90">
        <f t="shared" si="15"/>
        <v>0</v>
      </c>
    </row>
    <row r="31" spans="1:48" x14ac:dyDescent="0.25">
      <c r="A31" t="str">
        <f t="shared" si="16"/>
        <v>46187E</v>
      </c>
      <c r="B31" s="51">
        <f t="shared" si="17"/>
        <v>46187</v>
      </c>
      <c r="C31" s="52" t="s">
        <v>88</v>
      </c>
      <c r="D31" s="91"/>
      <c r="E31" s="62"/>
      <c r="F31" s="62"/>
      <c r="G31" s="62">
        <f t="shared" si="0"/>
        <v>0</v>
      </c>
      <c r="H31" s="63">
        <f t="shared" si="1"/>
        <v>0</v>
      </c>
      <c r="I31" s="203"/>
      <c r="J31" s="203"/>
      <c r="K31" s="203"/>
      <c r="L31" s="203"/>
      <c r="M31" s="58"/>
      <c r="N31" s="58"/>
      <c r="O31" s="59"/>
      <c r="P31" s="56"/>
      <c r="Q31" s="60"/>
      <c r="R31" s="61">
        <f t="shared" si="2"/>
        <v>0</v>
      </c>
      <c r="S31" s="62">
        <f t="shared" si="3"/>
        <v>0</v>
      </c>
      <c r="T31" s="63">
        <f t="shared" si="4"/>
        <v>0</v>
      </c>
      <c r="U31" s="64"/>
      <c r="V31" s="65"/>
      <c r="W31" s="66"/>
      <c r="X31" s="67"/>
      <c r="Y31" s="68"/>
      <c r="Z31" s="68"/>
      <c r="AA31" s="62">
        <f t="shared" si="5"/>
        <v>0</v>
      </c>
      <c r="AB31" s="63">
        <f t="shared" si="6"/>
        <v>0</v>
      </c>
      <c r="AC31" s="69"/>
      <c r="AD31" s="70"/>
      <c r="AE31" s="70"/>
      <c r="AF31" s="62">
        <f t="shared" si="7"/>
        <v>0</v>
      </c>
      <c r="AG31" s="63">
        <f t="shared" si="8"/>
        <v>0</v>
      </c>
      <c r="AH31" s="89"/>
      <c r="AI31" s="66"/>
      <c r="AJ31" s="66"/>
      <c r="AK31" s="62">
        <f t="shared" si="9"/>
        <v>0</v>
      </c>
      <c r="AL31" s="72">
        <f t="shared" si="10"/>
        <v>0</v>
      </c>
      <c r="AM31" s="73">
        <f t="shared" si="11"/>
        <v>0</v>
      </c>
      <c r="AN31" s="74">
        <f t="shared" si="18"/>
        <v>0</v>
      </c>
      <c r="AO31" s="74">
        <f t="shared" si="18"/>
        <v>0</v>
      </c>
      <c r="AP31" s="75" t="e">
        <f t="shared" si="13"/>
        <v>#DIV/0!</v>
      </c>
      <c r="AQ31" s="76">
        <f t="shared" si="14"/>
        <v>0</v>
      </c>
      <c r="AR31" s="90">
        <f t="shared" si="15"/>
        <v>0</v>
      </c>
    </row>
    <row r="32" spans="1:48" x14ac:dyDescent="0.25">
      <c r="A32" t="str">
        <f t="shared" si="16"/>
        <v>46188M</v>
      </c>
      <c r="B32" s="51">
        <f t="shared" si="17"/>
        <v>46188</v>
      </c>
      <c r="C32" s="52" t="s">
        <v>87</v>
      </c>
      <c r="D32" s="91"/>
      <c r="E32" s="62"/>
      <c r="F32" s="62"/>
      <c r="G32" s="62">
        <f t="shared" si="0"/>
        <v>0</v>
      </c>
      <c r="H32" s="63">
        <f t="shared" si="1"/>
        <v>0</v>
      </c>
      <c r="I32" s="203"/>
      <c r="J32" s="203"/>
      <c r="K32" s="203"/>
      <c r="L32" s="203"/>
      <c r="M32" s="58"/>
      <c r="N32" s="57"/>
      <c r="O32" s="59"/>
      <c r="P32" s="56"/>
      <c r="Q32" s="60"/>
      <c r="R32" s="61">
        <f t="shared" si="2"/>
        <v>0</v>
      </c>
      <c r="S32" s="62">
        <f t="shared" si="3"/>
        <v>0</v>
      </c>
      <c r="T32" s="63">
        <f t="shared" si="4"/>
        <v>0</v>
      </c>
      <c r="U32" s="64"/>
      <c r="V32" s="65"/>
      <c r="W32" s="66"/>
      <c r="X32" s="67"/>
      <c r="Y32" s="68"/>
      <c r="Z32" s="68"/>
      <c r="AA32" s="62">
        <f t="shared" si="5"/>
        <v>0</v>
      </c>
      <c r="AB32" s="63">
        <f t="shared" si="6"/>
        <v>0</v>
      </c>
      <c r="AC32" s="69"/>
      <c r="AD32" s="70"/>
      <c r="AE32" s="70"/>
      <c r="AF32" s="62">
        <f t="shared" si="7"/>
        <v>0</v>
      </c>
      <c r="AG32" s="63">
        <f t="shared" si="8"/>
        <v>0</v>
      </c>
      <c r="AH32" s="89"/>
      <c r="AI32" s="66"/>
      <c r="AJ32" s="66"/>
      <c r="AK32" s="62">
        <f t="shared" si="9"/>
        <v>0</v>
      </c>
      <c r="AL32" s="72">
        <f t="shared" si="10"/>
        <v>0</v>
      </c>
      <c r="AM32" s="73">
        <f t="shared" si="11"/>
        <v>0</v>
      </c>
      <c r="AN32" s="74">
        <f t="shared" si="18"/>
        <v>0</v>
      </c>
      <c r="AO32" s="74">
        <f t="shared" si="18"/>
        <v>0</v>
      </c>
      <c r="AP32" s="75" t="e">
        <f t="shared" si="13"/>
        <v>#DIV/0!</v>
      </c>
      <c r="AQ32" s="76">
        <f t="shared" si="14"/>
        <v>0</v>
      </c>
      <c r="AR32" s="90">
        <f t="shared" si="15"/>
        <v>0</v>
      </c>
    </row>
    <row r="33" spans="1:44" x14ac:dyDescent="0.25">
      <c r="A33" t="str">
        <f t="shared" si="16"/>
        <v>46188E</v>
      </c>
      <c r="B33" s="51">
        <f t="shared" si="17"/>
        <v>46188</v>
      </c>
      <c r="C33" s="52" t="s">
        <v>88</v>
      </c>
      <c r="D33" s="91"/>
      <c r="E33" s="62"/>
      <c r="F33" s="62"/>
      <c r="G33" s="62">
        <f t="shared" si="0"/>
        <v>0</v>
      </c>
      <c r="H33" s="63">
        <f t="shared" si="1"/>
        <v>0</v>
      </c>
      <c r="I33" s="203"/>
      <c r="J33" s="203"/>
      <c r="K33" s="203"/>
      <c r="L33" s="203"/>
      <c r="M33" s="58"/>
      <c r="N33" s="58"/>
      <c r="O33" s="59"/>
      <c r="P33" s="56"/>
      <c r="Q33" s="60"/>
      <c r="R33" s="61">
        <f t="shared" si="2"/>
        <v>0</v>
      </c>
      <c r="S33" s="62">
        <f t="shared" si="3"/>
        <v>0</v>
      </c>
      <c r="T33" s="63">
        <f t="shared" si="4"/>
        <v>0</v>
      </c>
      <c r="U33" s="64"/>
      <c r="V33" s="65"/>
      <c r="W33" s="66"/>
      <c r="X33" s="67"/>
      <c r="Y33" s="68"/>
      <c r="Z33" s="68"/>
      <c r="AA33" s="62">
        <f t="shared" si="5"/>
        <v>0</v>
      </c>
      <c r="AB33" s="63">
        <f t="shared" si="6"/>
        <v>0</v>
      </c>
      <c r="AC33" s="69"/>
      <c r="AD33" s="70"/>
      <c r="AE33" s="70"/>
      <c r="AF33" s="62">
        <f t="shared" si="7"/>
        <v>0</v>
      </c>
      <c r="AG33" s="63">
        <f t="shared" si="8"/>
        <v>0</v>
      </c>
      <c r="AH33" s="89"/>
      <c r="AI33" s="66"/>
      <c r="AJ33" s="66"/>
      <c r="AK33" s="62">
        <f t="shared" si="9"/>
        <v>0</v>
      </c>
      <c r="AL33" s="72">
        <f t="shared" si="10"/>
        <v>0</v>
      </c>
      <c r="AM33" s="73">
        <f t="shared" si="11"/>
        <v>0</v>
      </c>
      <c r="AN33" s="74">
        <f t="shared" si="18"/>
        <v>0</v>
      </c>
      <c r="AO33" s="74">
        <f t="shared" si="18"/>
        <v>0</v>
      </c>
      <c r="AP33" s="75" t="e">
        <f t="shared" si="13"/>
        <v>#DIV/0!</v>
      </c>
      <c r="AQ33" s="76">
        <f t="shared" si="14"/>
        <v>0</v>
      </c>
      <c r="AR33" s="90">
        <f t="shared" si="15"/>
        <v>0</v>
      </c>
    </row>
    <row r="34" spans="1:44" x14ac:dyDescent="0.25">
      <c r="A34" t="str">
        <f t="shared" si="16"/>
        <v>46189M</v>
      </c>
      <c r="B34" s="51">
        <f t="shared" si="17"/>
        <v>46189</v>
      </c>
      <c r="C34" s="52" t="s">
        <v>87</v>
      </c>
      <c r="D34" s="91"/>
      <c r="E34" s="62"/>
      <c r="F34" s="62"/>
      <c r="G34" s="62">
        <f t="shared" si="0"/>
        <v>0</v>
      </c>
      <c r="H34" s="63">
        <f t="shared" si="1"/>
        <v>0</v>
      </c>
      <c r="I34" s="203"/>
      <c r="J34" s="203"/>
      <c r="K34" s="203"/>
      <c r="L34" s="203"/>
      <c r="M34" s="58"/>
      <c r="N34" s="58"/>
      <c r="O34" s="59"/>
      <c r="P34" s="56"/>
      <c r="Q34" s="60"/>
      <c r="R34" s="61">
        <f t="shared" si="2"/>
        <v>0</v>
      </c>
      <c r="S34" s="62">
        <f t="shared" si="3"/>
        <v>0</v>
      </c>
      <c r="T34" s="63">
        <f t="shared" si="4"/>
        <v>0</v>
      </c>
      <c r="U34" s="64"/>
      <c r="V34" s="65"/>
      <c r="W34" s="66"/>
      <c r="X34" s="67"/>
      <c r="Y34" s="68"/>
      <c r="Z34" s="68"/>
      <c r="AA34" s="62">
        <f t="shared" si="5"/>
        <v>0</v>
      </c>
      <c r="AB34" s="63">
        <f t="shared" si="6"/>
        <v>0</v>
      </c>
      <c r="AC34" s="69"/>
      <c r="AD34" s="70"/>
      <c r="AE34" s="70"/>
      <c r="AF34" s="62">
        <f t="shared" si="7"/>
        <v>0</v>
      </c>
      <c r="AG34" s="63">
        <f t="shared" si="8"/>
        <v>0</v>
      </c>
      <c r="AH34" s="89"/>
      <c r="AI34" s="66"/>
      <c r="AJ34" s="66"/>
      <c r="AK34" s="62">
        <f t="shared" si="9"/>
        <v>0</v>
      </c>
      <c r="AL34" s="72">
        <f t="shared" si="10"/>
        <v>0</v>
      </c>
      <c r="AM34" s="73">
        <f t="shared" si="11"/>
        <v>0</v>
      </c>
      <c r="AN34" s="74">
        <f t="shared" si="18"/>
        <v>0</v>
      </c>
      <c r="AO34" s="74">
        <f t="shared" si="18"/>
        <v>0</v>
      </c>
      <c r="AP34" s="75" t="e">
        <f t="shared" si="13"/>
        <v>#DIV/0!</v>
      </c>
      <c r="AQ34" s="76">
        <f t="shared" si="14"/>
        <v>0</v>
      </c>
      <c r="AR34" s="90">
        <f t="shared" si="15"/>
        <v>0</v>
      </c>
    </row>
    <row r="35" spans="1:44" x14ac:dyDescent="0.25">
      <c r="A35" t="str">
        <f t="shared" si="16"/>
        <v>46189E</v>
      </c>
      <c r="B35" s="51">
        <f t="shared" si="17"/>
        <v>46189</v>
      </c>
      <c r="C35" s="52" t="s">
        <v>88</v>
      </c>
      <c r="D35" s="91"/>
      <c r="E35" s="62"/>
      <c r="F35" s="62"/>
      <c r="G35" s="62">
        <f t="shared" si="0"/>
        <v>0</v>
      </c>
      <c r="H35" s="63">
        <f t="shared" si="1"/>
        <v>0</v>
      </c>
      <c r="I35" s="203"/>
      <c r="J35" s="203"/>
      <c r="K35" s="203"/>
      <c r="L35" s="203"/>
      <c r="M35" s="58"/>
      <c r="N35" s="58"/>
      <c r="O35" s="59"/>
      <c r="P35" s="56"/>
      <c r="Q35" s="60"/>
      <c r="R35" s="61">
        <f t="shared" si="2"/>
        <v>0</v>
      </c>
      <c r="S35" s="62">
        <f t="shared" si="3"/>
        <v>0</v>
      </c>
      <c r="T35" s="63">
        <f t="shared" si="4"/>
        <v>0</v>
      </c>
      <c r="U35" s="64"/>
      <c r="V35" s="65"/>
      <c r="W35" s="66"/>
      <c r="X35" s="67"/>
      <c r="Y35" s="68"/>
      <c r="Z35" s="68"/>
      <c r="AA35" s="62">
        <f t="shared" si="5"/>
        <v>0</v>
      </c>
      <c r="AB35" s="63">
        <f t="shared" si="6"/>
        <v>0</v>
      </c>
      <c r="AC35" s="69"/>
      <c r="AD35" s="70"/>
      <c r="AE35" s="70"/>
      <c r="AF35" s="62">
        <f t="shared" si="7"/>
        <v>0</v>
      </c>
      <c r="AG35" s="63">
        <f t="shared" si="8"/>
        <v>0</v>
      </c>
      <c r="AH35" s="89"/>
      <c r="AI35" s="66"/>
      <c r="AJ35" s="66"/>
      <c r="AK35" s="62">
        <f t="shared" si="9"/>
        <v>0</v>
      </c>
      <c r="AL35" s="72">
        <f t="shared" si="10"/>
        <v>0</v>
      </c>
      <c r="AM35" s="73">
        <f t="shared" si="11"/>
        <v>0</v>
      </c>
      <c r="AN35" s="74">
        <f t="shared" si="18"/>
        <v>0</v>
      </c>
      <c r="AO35" s="74">
        <f t="shared" si="18"/>
        <v>0</v>
      </c>
      <c r="AP35" s="75" t="e">
        <f t="shared" si="13"/>
        <v>#DIV/0!</v>
      </c>
      <c r="AQ35" s="76">
        <f t="shared" si="14"/>
        <v>0</v>
      </c>
      <c r="AR35" s="90">
        <f t="shared" si="15"/>
        <v>0</v>
      </c>
    </row>
    <row r="36" spans="1:44" x14ac:dyDescent="0.25">
      <c r="A36" t="str">
        <f t="shared" si="16"/>
        <v>46190M</v>
      </c>
      <c r="B36" s="51">
        <f t="shared" si="17"/>
        <v>46190</v>
      </c>
      <c r="C36" s="52" t="s">
        <v>87</v>
      </c>
      <c r="D36" s="91"/>
      <c r="E36" s="62"/>
      <c r="F36" s="62"/>
      <c r="G36" s="62">
        <f t="shared" si="0"/>
        <v>0</v>
      </c>
      <c r="H36" s="63">
        <f t="shared" si="1"/>
        <v>0</v>
      </c>
      <c r="I36" s="203"/>
      <c r="J36" s="203"/>
      <c r="K36" s="203"/>
      <c r="L36" s="203"/>
      <c r="M36" s="58"/>
      <c r="N36" s="58"/>
      <c r="O36" s="59"/>
      <c r="P36" s="56"/>
      <c r="Q36" s="60"/>
      <c r="R36" s="61">
        <f t="shared" si="2"/>
        <v>0</v>
      </c>
      <c r="S36" s="62">
        <f t="shared" si="3"/>
        <v>0</v>
      </c>
      <c r="T36" s="63">
        <f t="shared" si="4"/>
        <v>0</v>
      </c>
      <c r="U36" s="64"/>
      <c r="V36" s="85"/>
      <c r="W36" s="66"/>
      <c r="X36" s="67"/>
      <c r="Y36" s="68"/>
      <c r="Z36" s="68"/>
      <c r="AA36" s="62">
        <f t="shared" si="5"/>
        <v>0</v>
      </c>
      <c r="AB36" s="63">
        <f t="shared" si="6"/>
        <v>0</v>
      </c>
      <c r="AC36" s="69"/>
      <c r="AD36" s="70"/>
      <c r="AE36" s="70"/>
      <c r="AF36" s="62">
        <f t="shared" si="7"/>
        <v>0</v>
      </c>
      <c r="AG36" s="63">
        <f t="shared" si="8"/>
        <v>0</v>
      </c>
      <c r="AH36" s="89"/>
      <c r="AI36" s="66"/>
      <c r="AJ36" s="66"/>
      <c r="AK36" s="62">
        <f t="shared" si="9"/>
        <v>0</v>
      </c>
      <c r="AL36" s="72">
        <f t="shared" si="10"/>
        <v>0</v>
      </c>
      <c r="AM36" s="73">
        <f t="shared" si="11"/>
        <v>0</v>
      </c>
      <c r="AN36" s="74">
        <f t="shared" si="18"/>
        <v>0</v>
      </c>
      <c r="AO36" s="74">
        <f t="shared" si="18"/>
        <v>0</v>
      </c>
      <c r="AP36" s="75" t="e">
        <f t="shared" si="13"/>
        <v>#DIV/0!</v>
      </c>
      <c r="AQ36" s="76">
        <f t="shared" si="14"/>
        <v>0</v>
      </c>
      <c r="AR36" s="90">
        <f t="shared" si="15"/>
        <v>0</v>
      </c>
    </row>
    <row r="37" spans="1:44" x14ac:dyDescent="0.25">
      <c r="A37" t="str">
        <f t="shared" si="16"/>
        <v>46190E</v>
      </c>
      <c r="B37" s="51">
        <f t="shared" si="17"/>
        <v>46190</v>
      </c>
      <c r="C37" s="52" t="s">
        <v>88</v>
      </c>
      <c r="D37" s="91"/>
      <c r="E37" s="62"/>
      <c r="F37" s="62"/>
      <c r="G37" s="62">
        <f t="shared" si="0"/>
        <v>0</v>
      </c>
      <c r="H37" s="63">
        <f t="shared" si="1"/>
        <v>0</v>
      </c>
      <c r="I37" s="203"/>
      <c r="J37" s="203"/>
      <c r="K37" s="203"/>
      <c r="L37" s="203"/>
      <c r="M37" s="58"/>
      <c r="N37" s="58"/>
      <c r="O37" s="59"/>
      <c r="P37" s="56"/>
      <c r="Q37" s="60"/>
      <c r="R37" s="61">
        <f t="shared" si="2"/>
        <v>0</v>
      </c>
      <c r="S37" s="62">
        <f t="shared" si="3"/>
        <v>0</v>
      </c>
      <c r="T37" s="63">
        <f t="shared" si="4"/>
        <v>0</v>
      </c>
      <c r="U37" s="64"/>
      <c r="V37" s="65"/>
      <c r="W37" s="66"/>
      <c r="X37" s="67"/>
      <c r="Y37" s="68"/>
      <c r="Z37" s="68"/>
      <c r="AA37" s="62">
        <f t="shared" si="5"/>
        <v>0</v>
      </c>
      <c r="AB37" s="63">
        <f t="shared" si="6"/>
        <v>0</v>
      </c>
      <c r="AC37" s="69"/>
      <c r="AD37" s="70"/>
      <c r="AE37" s="70"/>
      <c r="AF37" s="62">
        <f t="shared" si="7"/>
        <v>0</v>
      </c>
      <c r="AG37" s="63">
        <f t="shared" si="8"/>
        <v>0</v>
      </c>
      <c r="AH37" s="89"/>
      <c r="AI37" s="66"/>
      <c r="AJ37" s="66"/>
      <c r="AK37" s="62">
        <f t="shared" si="9"/>
        <v>0</v>
      </c>
      <c r="AL37" s="72">
        <f t="shared" si="10"/>
        <v>0</v>
      </c>
      <c r="AM37" s="73">
        <f t="shared" si="11"/>
        <v>0</v>
      </c>
      <c r="AN37" s="74">
        <f t="shared" si="18"/>
        <v>0</v>
      </c>
      <c r="AO37" s="74">
        <f t="shared" si="18"/>
        <v>0</v>
      </c>
      <c r="AP37" s="75" t="e">
        <f t="shared" si="13"/>
        <v>#DIV/0!</v>
      </c>
      <c r="AQ37" s="76">
        <f t="shared" si="14"/>
        <v>0</v>
      </c>
      <c r="AR37" s="90">
        <f t="shared" si="15"/>
        <v>0</v>
      </c>
    </row>
    <row r="38" spans="1:44" x14ac:dyDescent="0.25">
      <c r="A38" t="str">
        <f t="shared" si="16"/>
        <v>46191M</v>
      </c>
      <c r="B38" s="51">
        <f t="shared" si="17"/>
        <v>46191</v>
      </c>
      <c r="C38" s="52" t="s">
        <v>87</v>
      </c>
      <c r="D38" s="91"/>
      <c r="E38" s="62"/>
      <c r="F38" s="62"/>
      <c r="G38" s="62">
        <f t="shared" si="0"/>
        <v>0</v>
      </c>
      <c r="H38" s="63">
        <f t="shared" si="1"/>
        <v>0</v>
      </c>
      <c r="I38" s="203"/>
      <c r="J38" s="203"/>
      <c r="K38" s="203"/>
      <c r="L38" s="203"/>
      <c r="M38" s="58"/>
      <c r="N38" s="58"/>
      <c r="O38" s="59"/>
      <c r="P38" s="56"/>
      <c r="Q38" s="60"/>
      <c r="R38" s="61">
        <f t="shared" si="2"/>
        <v>0</v>
      </c>
      <c r="S38" s="62">
        <f t="shared" si="3"/>
        <v>0</v>
      </c>
      <c r="T38" s="63">
        <f t="shared" si="4"/>
        <v>0</v>
      </c>
      <c r="U38" s="64"/>
      <c r="V38" s="65"/>
      <c r="W38" s="66"/>
      <c r="X38" s="67"/>
      <c r="Y38" s="68"/>
      <c r="Z38" s="68"/>
      <c r="AA38" s="62">
        <f t="shared" si="5"/>
        <v>0</v>
      </c>
      <c r="AB38" s="63">
        <f t="shared" si="6"/>
        <v>0</v>
      </c>
      <c r="AC38" s="69"/>
      <c r="AD38" s="70"/>
      <c r="AE38" s="70"/>
      <c r="AF38" s="62">
        <f t="shared" si="7"/>
        <v>0</v>
      </c>
      <c r="AG38" s="63">
        <f t="shared" si="8"/>
        <v>0</v>
      </c>
      <c r="AH38" s="89"/>
      <c r="AI38" s="71"/>
      <c r="AJ38" s="71"/>
      <c r="AK38" s="62">
        <f t="shared" si="9"/>
        <v>0</v>
      </c>
      <c r="AL38" s="72">
        <f t="shared" si="10"/>
        <v>0</v>
      </c>
      <c r="AM38" s="73">
        <f t="shared" si="11"/>
        <v>0</v>
      </c>
      <c r="AN38" s="74">
        <f t="shared" si="18"/>
        <v>0</v>
      </c>
      <c r="AO38" s="74">
        <f t="shared" si="18"/>
        <v>0</v>
      </c>
      <c r="AP38" s="75" t="e">
        <f t="shared" si="13"/>
        <v>#DIV/0!</v>
      </c>
      <c r="AQ38" s="76">
        <f t="shared" si="14"/>
        <v>0</v>
      </c>
      <c r="AR38" s="90">
        <f t="shared" si="15"/>
        <v>0</v>
      </c>
    </row>
    <row r="39" spans="1:44" x14ac:dyDescent="0.25">
      <c r="A39" t="str">
        <f t="shared" si="16"/>
        <v>46191E</v>
      </c>
      <c r="B39" s="51">
        <f t="shared" si="17"/>
        <v>46191</v>
      </c>
      <c r="C39" s="52" t="s">
        <v>88</v>
      </c>
      <c r="D39" s="91"/>
      <c r="E39" s="62"/>
      <c r="F39" s="62"/>
      <c r="G39" s="62">
        <f t="shared" si="0"/>
        <v>0</v>
      </c>
      <c r="H39" s="63">
        <f t="shared" si="1"/>
        <v>0</v>
      </c>
      <c r="I39" s="203"/>
      <c r="J39" s="203"/>
      <c r="K39" s="203"/>
      <c r="L39" s="203"/>
      <c r="M39" s="58"/>
      <c r="N39" s="58"/>
      <c r="O39" s="59"/>
      <c r="P39" s="56"/>
      <c r="Q39" s="60"/>
      <c r="R39" s="61">
        <f t="shared" si="2"/>
        <v>0</v>
      </c>
      <c r="S39" s="62">
        <f t="shared" si="3"/>
        <v>0</v>
      </c>
      <c r="T39" s="63">
        <f t="shared" si="4"/>
        <v>0</v>
      </c>
      <c r="U39" s="64"/>
      <c r="V39" s="65"/>
      <c r="W39" s="66"/>
      <c r="X39" s="67"/>
      <c r="Y39" s="68"/>
      <c r="Z39" s="68"/>
      <c r="AA39" s="62">
        <f t="shared" si="5"/>
        <v>0</v>
      </c>
      <c r="AB39" s="63">
        <f t="shared" si="6"/>
        <v>0</v>
      </c>
      <c r="AC39" s="69"/>
      <c r="AD39" s="70"/>
      <c r="AE39" s="70"/>
      <c r="AF39" s="62">
        <f t="shared" si="7"/>
        <v>0</v>
      </c>
      <c r="AG39" s="63">
        <f t="shared" si="8"/>
        <v>0</v>
      </c>
      <c r="AH39" s="89"/>
      <c r="AI39" s="66"/>
      <c r="AJ39" s="66"/>
      <c r="AK39" s="62">
        <f t="shared" si="9"/>
        <v>0</v>
      </c>
      <c r="AL39" s="72">
        <f t="shared" si="10"/>
        <v>0</v>
      </c>
      <c r="AM39" s="73">
        <f t="shared" si="11"/>
        <v>0</v>
      </c>
      <c r="AN39" s="74">
        <f t="shared" si="18"/>
        <v>0</v>
      </c>
      <c r="AO39" s="74">
        <f t="shared" si="18"/>
        <v>0</v>
      </c>
      <c r="AP39" s="75" t="e">
        <f t="shared" si="13"/>
        <v>#DIV/0!</v>
      </c>
      <c r="AQ39" s="76">
        <f t="shared" si="14"/>
        <v>0</v>
      </c>
      <c r="AR39" s="90">
        <f t="shared" si="15"/>
        <v>0</v>
      </c>
    </row>
    <row r="40" spans="1:44" x14ac:dyDescent="0.25">
      <c r="A40" t="str">
        <f t="shared" si="16"/>
        <v>46192M</v>
      </c>
      <c r="B40" s="51">
        <f t="shared" si="17"/>
        <v>46192</v>
      </c>
      <c r="C40" s="52" t="s">
        <v>87</v>
      </c>
      <c r="D40" s="91"/>
      <c r="E40" s="62"/>
      <c r="F40" s="62"/>
      <c r="G40" s="62">
        <f t="shared" si="0"/>
        <v>0</v>
      </c>
      <c r="H40" s="63">
        <f t="shared" si="1"/>
        <v>0</v>
      </c>
      <c r="I40" s="203"/>
      <c r="J40" s="203"/>
      <c r="K40" s="203"/>
      <c r="L40" s="203"/>
      <c r="M40" s="58"/>
      <c r="N40" s="58"/>
      <c r="O40" s="59"/>
      <c r="P40" s="56"/>
      <c r="Q40" s="60"/>
      <c r="R40" s="61">
        <f t="shared" si="2"/>
        <v>0</v>
      </c>
      <c r="S40" s="62">
        <f t="shared" si="3"/>
        <v>0</v>
      </c>
      <c r="T40" s="63">
        <f t="shared" si="4"/>
        <v>0</v>
      </c>
      <c r="U40" s="64"/>
      <c r="V40" s="65"/>
      <c r="W40" s="66"/>
      <c r="X40" s="67"/>
      <c r="Y40" s="68"/>
      <c r="Z40" s="68"/>
      <c r="AA40" s="62">
        <f t="shared" si="5"/>
        <v>0</v>
      </c>
      <c r="AB40" s="63">
        <f t="shared" si="6"/>
        <v>0</v>
      </c>
      <c r="AC40" s="69"/>
      <c r="AD40" s="70"/>
      <c r="AE40" s="70"/>
      <c r="AF40" s="62">
        <f t="shared" si="7"/>
        <v>0</v>
      </c>
      <c r="AG40" s="63">
        <f t="shared" si="8"/>
        <v>0</v>
      </c>
      <c r="AH40" s="89"/>
      <c r="AI40" s="66"/>
      <c r="AJ40" s="66"/>
      <c r="AK40" s="62">
        <f t="shared" si="9"/>
        <v>0</v>
      </c>
      <c r="AL40" s="72">
        <f t="shared" si="10"/>
        <v>0</v>
      </c>
      <c r="AM40" s="73">
        <f t="shared" si="11"/>
        <v>0</v>
      </c>
      <c r="AN40" s="74">
        <f t="shared" si="18"/>
        <v>0</v>
      </c>
      <c r="AO40" s="74">
        <f t="shared" si="18"/>
        <v>0</v>
      </c>
      <c r="AP40" s="75" t="e">
        <f t="shared" si="13"/>
        <v>#DIV/0!</v>
      </c>
      <c r="AQ40" s="76">
        <f t="shared" si="14"/>
        <v>0</v>
      </c>
      <c r="AR40" s="90">
        <f t="shared" si="15"/>
        <v>0</v>
      </c>
    </row>
    <row r="41" spans="1:44" x14ac:dyDescent="0.25">
      <c r="A41" t="str">
        <f t="shared" si="16"/>
        <v>46192E</v>
      </c>
      <c r="B41" s="51">
        <f t="shared" si="17"/>
        <v>46192</v>
      </c>
      <c r="C41" s="52" t="s">
        <v>88</v>
      </c>
      <c r="D41" s="91"/>
      <c r="E41" s="62"/>
      <c r="F41" s="62"/>
      <c r="G41" s="62">
        <f t="shared" si="0"/>
        <v>0</v>
      </c>
      <c r="H41" s="63">
        <f t="shared" si="1"/>
        <v>0</v>
      </c>
      <c r="I41" s="203"/>
      <c r="J41" s="203"/>
      <c r="K41" s="203"/>
      <c r="L41" s="203"/>
      <c r="M41" s="58"/>
      <c r="N41" s="58"/>
      <c r="O41" s="59"/>
      <c r="P41" s="56"/>
      <c r="Q41" s="60"/>
      <c r="R41" s="61">
        <f t="shared" si="2"/>
        <v>0</v>
      </c>
      <c r="S41" s="62">
        <f t="shared" si="3"/>
        <v>0</v>
      </c>
      <c r="T41" s="63">
        <f t="shared" si="4"/>
        <v>0</v>
      </c>
      <c r="U41" s="64"/>
      <c r="V41" s="65"/>
      <c r="W41" s="66"/>
      <c r="X41" s="67"/>
      <c r="Y41" s="68"/>
      <c r="Z41" s="68"/>
      <c r="AA41" s="62">
        <f t="shared" si="5"/>
        <v>0</v>
      </c>
      <c r="AB41" s="63">
        <f t="shared" si="6"/>
        <v>0</v>
      </c>
      <c r="AC41" s="69"/>
      <c r="AD41" s="70"/>
      <c r="AE41" s="70"/>
      <c r="AF41" s="62">
        <f t="shared" si="7"/>
        <v>0</v>
      </c>
      <c r="AG41" s="63">
        <f t="shared" si="8"/>
        <v>0</v>
      </c>
      <c r="AH41" s="89"/>
      <c r="AI41" s="71"/>
      <c r="AJ41" s="71"/>
      <c r="AK41" s="62">
        <f t="shared" si="9"/>
        <v>0</v>
      </c>
      <c r="AL41" s="72">
        <f t="shared" si="10"/>
        <v>0</v>
      </c>
      <c r="AM41" s="73">
        <f t="shared" si="11"/>
        <v>0</v>
      </c>
      <c r="AN41" s="74">
        <f t="shared" si="18"/>
        <v>0</v>
      </c>
      <c r="AO41" s="74">
        <f t="shared" si="18"/>
        <v>0</v>
      </c>
      <c r="AP41" s="75" t="e">
        <f t="shared" si="13"/>
        <v>#DIV/0!</v>
      </c>
      <c r="AQ41" s="76">
        <f t="shared" si="14"/>
        <v>0</v>
      </c>
      <c r="AR41" s="90">
        <f t="shared" si="15"/>
        <v>0</v>
      </c>
    </row>
    <row r="42" spans="1:44" x14ac:dyDescent="0.25">
      <c r="A42" t="str">
        <f t="shared" si="16"/>
        <v>46193M</v>
      </c>
      <c r="B42" s="51">
        <f t="shared" si="17"/>
        <v>46193</v>
      </c>
      <c r="C42" s="52" t="s">
        <v>87</v>
      </c>
      <c r="D42" s="91"/>
      <c r="E42" s="62"/>
      <c r="F42" s="62"/>
      <c r="G42" s="62">
        <f t="shared" si="0"/>
        <v>0</v>
      </c>
      <c r="H42" s="63">
        <f t="shared" si="1"/>
        <v>0</v>
      </c>
      <c r="I42" s="203"/>
      <c r="J42" s="203"/>
      <c r="K42" s="203"/>
      <c r="L42" s="203"/>
      <c r="M42" s="58"/>
      <c r="N42" s="58"/>
      <c r="O42" s="59"/>
      <c r="P42" s="56"/>
      <c r="Q42" s="60"/>
      <c r="R42" s="61">
        <f t="shared" si="2"/>
        <v>0</v>
      </c>
      <c r="S42" s="62">
        <f t="shared" si="3"/>
        <v>0</v>
      </c>
      <c r="T42" s="63">
        <f t="shared" si="4"/>
        <v>0</v>
      </c>
      <c r="U42" s="64"/>
      <c r="V42" s="65"/>
      <c r="W42" s="66"/>
      <c r="X42" s="67"/>
      <c r="Y42" s="68"/>
      <c r="Z42" s="68"/>
      <c r="AA42" s="62">
        <f t="shared" si="5"/>
        <v>0</v>
      </c>
      <c r="AB42" s="63">
        <f t="shared" si="6"/>
        <v>0</v>
      </c>
      <c r="AC42" s="69"/>
      <c r="AD42" s="70"/>
      <c r="AE42" s="70"/>
      <c r="AF42" s="62">
        <f t="shared" si="7"/>
        <v>0</v>
      </c>
      <c r="AG42" s="63">
        <f t="shared" si="8"/>
        <v>0</v>
      </c>
      <c r="AH42" s="89"/>
      <c r="AI42" s="66"/>
      <c r="AJ42" s="66"/>
      <c r="AK42" s="62">
        <f t="shared" si="9"/>
        <v>0</v>
      </c>
      <c r="AL42" s="72">
        <f t="shared" si="10"/>
        <v>0</v>
      </c>
      <c r="AM42" s="73">
        <f t="shared" si="11"/>
        <v>0</v>
      </c>
      <c r="AN42" s="74">
        <f t="shared" si="18"/>
        <v>0</v>
      </c>
      <c r="AO42" s="74">
        <f t="shared" si="18"/>
        <v>0</v>
      </c>
      <c r="AP42" s="75" t="e">
        <f t="shared" si="13"/>
        <v>#DIV/0!</v>
      </c>
      <c r="AQ42" s="76">
        <f t="shared" si="14"/>
        <v>0</v>
      </c>
      <c r="AR42" s="90">
        <f t="shared" si="15"/>
        <v>0</v>
      </c>
    </row>
    <row r="43" spans="1:44" x14ac:dyDescent="0.25">
      <c r="A43" t="str">
        <f t="shared" si="16"/>
        <v>46193E</v>
      </c>
      <c r="B43" s="51">
        <f t="shared" si="17"/>
        <v>46193</v>
      </c>
      <c r="C43" s="52" t="s">
        <v>88</v>
      </c>
      <c r="D43" s="91"/>
      <c r="E43" s="62"/>
      <c r="F43" s="62"/>
      <c r="G43" s="62">
        <f t="shared" si="0"/>
        <v>0</v>
      </c>
      <c r="H43" s="63">
        <f t="shared" si="1"/>
        <v>0</v>
      </c>
      <c r="I43" s="203"/>
      <c r="J43" s="203"/>
      <c r="K43" s="203"/>
      <c r="L43" s="203"/>
      <c r="M43" s="58"/>
      <c r="N43" s="58"/>
      <c r="O43" s="59"/>
      <c r="P43" s="56"/>
      <c r="Q43" s="60"/>
      <c r="R43" s="61">
        <f t="shared" si="2"/>
        <v>0</v>
      </c>
      <c r="S43" s="62">
        <f t="shared" si="3"/>
        <v>0</v>
      </c>
      <c r="T43" s="63">
        <f t="shared" si="4"/>
        <v>0</v>
      </c>
      <c r="U43" s="64"/>
      <c r="V43" s="65"/>
      <c r="W43" s="66"/>
      <c r="X43" s="67"/>
      <c r="Y43" s="68"/>
      <c r="Z43" s="68"/>
      <c r="AA43" s="62">
        <f t="shared" si="5"/>
        <v>0</v>
      </c>
      <c r="AB43" s="63">
        <f t="shared" si="6"/>
        <v>0</v>
      </c>
      <c r="AC43" s="69"/>
      <c r="AD43" s="70"/>
      <c r="AE43" s="70"/>
      <c r="AF43" s="62">
        <f t="shared" si="7"/>
        <v>0</v>
      </c>
      <c r="AG43" s="63">
        <f t="shared" si="8"/>
        <v>0</v>
      </c>
      <c r="AH43" s="89"/>
      <c r="AI43" s="71"/>
      <c r="AJ43" s="71"/>
      <c r="AK43" s="62">
        <f t="shared" si="9"/>
        <v>0</v>
      </c>
      <c r="AL43" s="72">
        <f t="shared" si="10"/>
        <v>0</v>
      </c>
      <c r="AM43" s="73">
        <f t="shared" si="11"/>
        <v>0</v>
      </c>
      <c r="AN43" s="74">
        <f t="shared" si="18"/>
        <v>0</v>
      </c>
      <c r="AO43" s="74">
        <f t="shared" si="18"/>
        <v>0</v>
      </c>
      <c r="AP43" s="75" t="e">
        <f t="shared" si="13"/>
        <v>#DIV/0!</v>
      </c>
      <c r="AQ43" s="76">
        <f t="shared" si="14"/>
        <v>0</v>
      </c>
      <c r="AR43" s="90">
        <f t="shared" si="15"/>
        <v>0</v>
      </c>
    </row>
    <row r="44" spans="1:44" x14ac:dyDescent="0.25">
      <c r="A44" t="str">
        <f t="shared" si="16"/>
        <v>46194M</v>
      </c>
      <c r="B44" s="51">
        <f t="shared" si="17"/>
        <v>46194</v>
      </c>
      <c r="C44" s="52" t="s">
        <v>87</v>
      </c>
      <c r="D44" s="91"/>
      <c r="E44" s="62"/>
      <c r="F44" s="62"/>
      <c r="G44" s="62">
        <f t="shared" si="0"/>
        <v>0</v>
      </c>
      <c r="H44" s="63">
        <f t="shared" si="1"/>
        <v>0</v>
      </c>
      <c r="I44" s="203"/>
      <c r="J44" s="203"/>
      <c r="K44" s="203"/>
      <c r="L44" s="203"/>
      <c r="M44" s="58"/>
      <c r="N44" s="58"/>
      <c r="O44" s="59"/>
      <c r="P44" s="56"/>
      <c r="Q44" s="60"/>
      <c r="R44" s="61">
        <f t="shared" si="2"/>
        <v>0</v>
      </c>
      <c r="S44" s="62">
        <f t="shared" si="3"/>
        <v>0</v>
      </c>
      <c r="T44" s="63">
        <f t="shared" si="4"/>
        <v>0</v>
      </c>
      <c r="U44" s="64"/>
      <c r="V44" s="65"/>
      <c r="W44" s="66"/>
      <c r="X44" s="67"/>
      <c r="Y44" s="68"/>
      <c r="Z44" s="68"/>
      <c r="AA44" s="62">
        <f t="shared" si="5"/>
        <v>0</v>
      </c>
      <c r="AB44" s="63">
        <f t="shared" si="6"/>
        <v>0</v>
      </c>
      <c r="AC44" s="69"/>
      <c r="AD44" s="70"/>
      <c r="AE44" s="70"/>
      <c r="AF44" s="62">
        <f t="shared" si="7"/>
        <v>0</v>
      </c>
      <c r="AG44" s="63">
        <f t="shared" si="8"/>
        <v>0</v>
      </c>
      <c r="AH44" s="89"/>
      <c r="AI44" s="66"/>
      <c r="AJ44" s="66"/>
      <c r="AK44" s="62">
        <f t="shared" si="9"/>
        <v>0</v>
      </c>
      <c r="AL44" s="72">
        <f t="shared" si="10"/>
        <v>0</v>
      </c>
      <c r="AM44" s="73">
        <f t="shared" si="11"/>
        <v>0</v>
      </c>
      <c r="AN44" s="74">
        <f t="shared" si="18"/>
        <v>0</v>
      </c>
      <c r="AO44" s="74">
        <f t="shared" si="18"/>
        <v>0</v>
      </c>
      <c r="AP44" s="75" t="e">
        <f t="shared" si="13"/>
        <v>#DIV/0!</v>
      </c>
      <c r="AQ44" s="76">
        <f t="shared" si="14"/>
        <v>0</v>
      </c>
      <c r="AR44" s="90">
        <f t="shared" si="15"/>
        <v>0</v>
      </c>
    </row>
    <row r="45" spans="1:44" x14ac:dyDescent="0.25">
      <c r="A45" t="str">
        <f t="shared" si="16"/>
        <v>46194E</v>
      </c>
      <c r="B45" s="51">
        <f t="shared" si="17"/>
        <v>46194</v>
      </c>
      <c r="C45" s="52" t="s">
        <v>88</v>
      </c>
      <c r="D45" s="91"/>
      <c r="E45" s="62"/>
      <c r="F45" s="62"/>
      <c r="G45" s="62">
        <f t="shared" si="0"/>
        <v>0</v>
      </c>
      <c r="H45" s="63">
        <f t="shared" si="1"/>
        <v>0</v>
      </c>
      <c r="I45" s="203"/>
      <c r="J45" s="203"/>
      <c r="K45" s="203"/>
      <c r="L45" s="203"/>
      <c r="M45" s="58"/>
      <c r="N45" s="58"/>
      <c r="O45" s="59"/>
      <c r="P45" s="56"/>
      <c r="Q45" s="60"/>
      <c r="R45" s="61">
        <f t="shared" si="2"/>
        <v>0</v>
      </c>
      <c r="S45" s="62">
        <f t="shared" si="3"/>
        <v>0</v>
      </c>
      <c r="T45" s="63">
        <f t="shared" si="4"/>
        <v>0</v>
      </c>
      <c r="U45" s="64"/>
      <c r="V45" s="65"/>
      <c r="W45" s="66"/>
      <c r="X45" s="67"/>
      <c r="Y45" s="68"/>
      <c r="Z45" s="68"/>
      <c r="AA45" s="62">
        <f t="shared" si="5"/>
        <v>0</v>
      </c>
      <c r="AB45" s="63">
        <f t="shared" si="6"/>
        <v>0</v>
      </c>
      <c r="AC45" s="69"/>
      <c r="AD45" s="70"/>
      <c r="AE45" s="70"/>
      <c r="AF45" s="62">
        <f t="shared" si="7"/>
        <v>0</v>
      </c>
      <c r="AG45" s="63">
        <f t="shared" si="8"/>
        <v>0</v>
      </c>
      <c r="AH45" s="89"/>
      <c r="AI45" s="71"/>
      <c r="AJ45" s="71"/>
      <c r="AK45" s="62">
        <f t="shared" si="9"/>
        <v>0</v>
      </c>
      <c r="AL45" s="72">
        <f t="shared" si="10"/>
        <v>0</v>
      </c>
      <c r="AM45" s="73">
        <f t="shared" si="11"/>
        <v>0</v>
      </c>
      <c r="AN45" s="74">
        <f t="shared" si="18"/>
        <v>0</v>
      </c>
      <c r="AO45" s="74">
        <f t="shared" si="18"/>
        <v>0</v>
      </c>
      <c r="AP45" s="75" t="e">
        <f t="shared" si="13"/>
        <v>#DIV/0!</v>
      </c>
      <c r="AQ45" s="76">
        <f t="shared" si="14"/>
        <v>0</v>
      </c>
      <c r="AR45" s="90">
        <f t="shared" si="15"/>
        <v>0</v>
      </c>
    </row>
    <row r="46" spans="1:44" x14ac:dyDescent="0.25">
      <c r="A46" t="str">
        <f t="shared" si="16"/>
        <v>46195M</v>
      </c>
      <c r="B46" s="51">
        <f t="shared" si="17"/>
        <v>46195</v>
      </c>
      <c r="C46" s="52" t="s">
        <v>87</v>
      </c>
      <c r="D46" s="91"/>
      <c r="E46" s="62"/>
      <c r="F46" s="62"/>
      <c r="G46" s="62">
        <f t="shared" si="0"/>
        <v>0</v>
      </c>
      <c r="H46" s="63">
        <f t="shared" si="1"/>
        <v>0</v>
      </c>
      <c r="I46" s="203"/>
      <c r="J46" s="203"/>
      <c r="K46" s="203"/>
      <c r="L46" s="203"/>
      <c r="M46" s="58"/>
      <c r="N46" s="58"/>
      <c r="O46" s="59"/>
      <c r="P46" s="56"/>
      <c r="Q46" s="60"/>
      <c r="R46" s="61">
        <f t="shared" si="2"/>
        <v>0</v>
      </c>
      <c r="S46" s="62">
        <f t="shared" si="3"/>
        <v>0</v>
      </c>
      <c r="T46" s="63">
        <f t="shared" si="4"/>
        <v>0</v>
      </c>
      <c r="U46" s="64"/>
      <c r="V46" s="65"/>
      <c r="W46" s="66"/>
      <c r="X46" s="67"/>
      <c r="Y46" s="68"/>
      <c r="Z46" s="68"/>
      <c r="AA46" s="62">
        <f t="shared" si="5"/>
        <v>0</v>
      </c>
      <c r="AB46" s="63">
        <f t="shared" si="6"/>
        <v>0</v>
      </c>
      <c r="AC46" s="69"/>
      <c r="AD46" s="70"/>
      <c r="AE46" s="70"/>
      <c r="AF46" s="62">
        <f t="shared" si="7"/>
        <v>0</v>
      </c>
      <c r="AG46" s="63">
        <f t="shared" si="8"/>
        <v>0</v>
      </c>
      <c r="AH46" s="89"/>
      <c r="AI46" s="66"/>
      <c r="AJ46" s="66"/>
      <c r="AK46" s="62">
        <f t="shared" si="9"/>
        <v>0</v>
      </c>
      <c r="AL46" s="72">
        <f t="shared" si="10"/>
        <v>0</v>
      </c>
      <c r="AM46" s="73">
        <f t="shared" si="11"/>
        <v>0</v>
      </c>
      <c r="AN46" s="74">
        <f t="shared" si="18"/>
        <v>0</v>
      </c>
      <c r="AO46" s="74">
        <f t="shared" si="18"/>
        <v>0</v>
      </c>
      <c r="AP46" s="75" t="e">
        <f t="shared" si="13"/>
        <v>#DIV/0!</v>
      </c>
      <c r="AQ46" s="76">
        <f t="shared" si="14"/>
        <v>0</v>
      </c>
      <c r="AR46" s="90">
        <f t="shared" si="15"/>
        <v>0</v>
      </c>
    </row>
    <row r="47" spans="1:44" x14ac:dyDescent="0.25">
      <c r="A47" t="str">
        <f t="shared" si="16"/>
        <v>46195E</v>
      </c>
      <c r="B47" s="51">
        <f t="shared" si="17"/>
        <v>46195</v>
      </c>
      <c r="C47" s="52" t="s">
        <v>88</v>
      </c>
      <c r="D47" s="91"/>
      <c r="E47" s="62"/>
      <c r="F47" s="62"/>
      <c r="G47" s="62">
        <f t="shared" si="0"/>
        <v>0</v>
      </c>
      <c r="H47" s="63">
        <f t="shared" si="1"/>
        <v>0</v>
      </c>
      <c r="I47" s="203"/>
      <c r="J47" s="203"/>
      <c r="K47" s="203"/>
      <c r="L47" s="203"/>
      <c r="M47" s="58"/>
      <c r="N47" s="58"/>
      <c r="O47" s="59"/>
      <c r="P47" s="56"/>
      <c r="Q47" s="60"/>
      <c r="R47" s="61">
        <f t="shared" si="2"/>
        <v>0</v>
      </c>
      <c r="S47" s="62">
        <f t="shared" si="3"/>
        <v>0</v>
      </c>
      <c r="T47" s="63">
        <f t="shared" si="4"/>
        <v>0</v>
      </c>
      <c r="U47" s="64"/>
      <c r="V47" s="65"/>
      <c r="W47" s="66"/>
      <c r="X47" s="67"/>
      <c r="Y47" s="68"/>
      <c r="Z47" s="68"/>
      <c r="AA47" s="62">
        <f t="shared" si="5"/>
        <v>0</v>
      </c>
      <c r="AB47" s="63">
        <f t="shared" si="6"/>
        <v>0</v>
      </c>
      <c r="AC47" s="69"/>
      <c r="AD47" s="70"/>
      <c r="AE47" s="70"/>
      <c r="AF47" s="62">
        <f t="shared" si="7"/>
        <v>0</v>
      </c>
      <c r="AG47" s="63">
        <f t="shared" si="8"/>
        <v>0</v>
      </c>
      <c r="AH47" s="89"/>
      <c r="AI47" s="66"/>
      <c r="AJ47" s="66"/>
      <c r="AK47" s="62">
        <f t="shared" si="9"/>
        <v>0</v>
      </c>
      <c r="AL47" s="72">
        <f t="shared" si="10"/>
        <v>0</v>
      </c>
      <c r="AM47" s="73">
        <f t="shared" si="11"/>
        <v>0</v>
      </c>
      <c r="AN47" s="74">
        <f t="shared" si="18"/>
        <v>0</v>
      </c>
      <c r="AO47" s="74">
        <f t="shared" si="18"/>
        <v>0</v>
      </c>
      <c r="AP47" s="75" t="e">
        <f t="shared" si="13"/>
        <v>#DIV/0!</v>
      </c>
      <c r="AQ47" s="76">
        <f t="shared" si="14"/>
        <v>0</v>
      </c>
      <c r="AR47" s="90">
        <f t="shared" si="15"/>
        <v>0</v>
      </c>
    </row>
    <row r="48" spans="1:44" x14ac:dyDescent="0.25">
      <c r="A48" t="str">
        <f t="shared" si="16"/>
        <v>46196M</v>
      </c>
      <c r="B48" s="51">
        <f t="shared" si="17"/>
        <v>46196</v>
      </c>
      <c r="C48" s="52" t="s">
        <v>87</v>
      </c>
      <c r="D48" s="91"/>
      <c r="E48" s="62"/>
      <c r="F48" s="62"/>
      <c r="G48" s="62">
        <f t="shared" si="0"/>
        <v>0</v>
      </c>
      <c r="H48" s="63">
        <f t="shared" si="1"/>
        <v>0</v>
      </c>
      <c r="I48" s="203"/>
      <c r="J48" s="203"/>
      <c r="K48" s="203"/>
      <c r="L48" s="203"/>
      <c r="M48" s="58"/>
      <c r="N48" s="58"/>
      <c r="O48" s="59"/>
      <c r="P48" s="56"/>
      <c r="Q48" s="60"/>
      <c r="R48" s="61">
        <f t="shared" si="2"/>
        <v>0</v>
      </c>
      <c r="S48" s="62">
        <f t="shared" si="3"/>
        <v>0</v>
      </c>
      <c r="T48" s="63">
        <f t="shared" si="4"/>
        <v>0</v>
      </c>
      <c r="U48" s="64"/>
      <c r="V48" s="65"/>
      <c r="W48" s="66"/>
      <c r="X48" s="67"/>
      <c r="Y48" s="68"/>
      <c r="Z48" s="68"/>
      <c r="AA48" s="62">
        <f t="shared" si="5"/>
        <v>0</v>
      </c>
      <c r="AB48" s="63">
        <f t="shared" si="6"/>
        <v>0</v>
      </c>
      <c r="AC48" s="69"/>
      <c r="AD48" s="70"/>
      <c r="AE48" s="70"/>
      <c r="AF48" s="62">
        <f t="shared" si="7"/>
        <v>0</v>
      </c>
      <c r="AG48" s="63">
        <f t="shared" si="8"/>
        <v>0</v>
      </c>
      <c r="AH48" s="89"/>
      <c r="AI48" s="71"/>
      <c r="AJ48" s="71"/>
      <c r="AK48" s="62">
        <f t="shared" si="9"/>
        <v>0</v>
      </c>
      <c r="AL48" s="72">
        <f t="shared" si="10"/>
        <v>0</v>
      </c>
      <c r="AM48" s="73">
        <f t="shared" si="11"/>
        <v>0</v>
      </c>
      <c r="AN48" s="74">
        <f t="shared" si="18"/>
        <v>0</v>
      </c>
      <c r="AO48" s="74">
        <f t="shared" si="18"/>
        <v>0</v>
      </c>
      <c r="AP48" s="75" t="e">
        <f t="shared" si="13"/>
        <v>#DIV/0!</v>
      </c>
      <c r="AQ48" s="76">
        <f t="shared" si="14"/>
        <v>0</v>
      </c>
      <c r="AR48" s="90">
        <f t="shared" si="15"/>
        <v>0</v>
      </c>
    </row>
    <row r="49" spans="1:44" x14ac:dyDescent="0.25">
      <c r="A49" t="str">
        <f t="shared" si="16"/>
        <v>46196E</v>
      </c>
      <c r="B49" s="51">
        <f t="shared" si="17"/>
        <v>46196</v>
      </c>
      <c r="C49" s="52" t="s">
        <v>88</v>
      </c>
      <c r="D49" s="91"/>
      <c r="E49" s="62"/>
      <c r="F49" s="62"/>
      <c r="G49" s="62">
        <f t="shared" si="0"/>
        <v>0</v>
      </c>
      <c r="H49" s="63">
        <f t="shared" si="1"/>
        <v>0</v>
      </c>
      <c r="I49" s="203"/>
      <c r="J49" s="203"/>
      <c r="K49" s="203"/>
      <c r="L49" s="203"/>
      <c r="M49" s="58"/>
      <c r="N49" s="58"/>
      <c r="O49" s="59"/>
      <c r="P49" s="56"/>
      <c r="Q49" s="60"/>
      <c r="R49" s="61">
        <f t="shared" si="2"/>
        <v>0</v>
      </c>
      <c r="S49" s="62">
        <f t="shared" si="3"/>
        <v>0</v>
      </c>
      <c r="T49" s="63">
        <f t="shared" si="4"/>
        <v>0</v>
      </c>
      <c r="U49" s="64"/>
      <c r="V49" s="65"/>
      <c r="W49" s="66"/>
      <c r="X49" s="67"/>
      <c r="Y49" s="68"/>
      <c r="Z49" s="68"/>
      <c r="AA49" s="62">
        <f t="shared" si="5"/>
        <v>0</v>
      </c>
      <c r="AB49" s="63">
        <f t="shared" si="6"/>
        <v>0</v>
      </c>
      <c r="AC49" s="69"/>
      <c r="AD49" s="70"/>
      <c r="AE49" s="70"/>
      <c r="AF49" s="62">
        <f t="shared" si="7"/>
        <v>0</v>
      </c>
      <c r="AG49" s="63">
        <f t="shared" si="8"/>
        <v>0</v>
      </c>
      <c r="AH49" s="89"/>
      <c r="AI49" s="66"/>
      <c r="AJ49" s="66"/>
      <c r="AK49" s="62">
        <f t="shared" si="9"/>
        <v>0</v>
      </c>
      <c r="AL49" s="72">
        <f t="shared" si="10"/>
        <v>0</v>
      </c>
      <c r="AM49" s="73">
        <f t="shared" si="11"/>
        <v>0</v>
      </c>
      <c r="AN49" s="74">
        <f t="shared" si="18"/>
        <v>0</v>
      </c>
      <c r="AO49" s="74">
        <f t="shared" si="18"/>
        <v>0</v>
      </c>
      <c r="AP49" s="75" t="e">
        <f t="shared" si="13"/>
        <v>#DIV/0!</v>
      </c>
      <c r="AQ49" s="76">
        <f t="shared" si="14"/>
        <v>0</v>
      </c>
      <c r="AR49" s="90">
        <f t="shared" si="15"/>
        <v>0</v>
      </c>
    </row>
    <row r="50" spans="1:44" x14ac:dyDescent="0.25">
      <c r="A50" t="str">
        <f t="shared" si="16"/>
        <v>46197M</v>
      </c>
      <c r="B50" s="51">
        <f t="shared" si="17"/>
        <v>46197</v>
      </c>
      <c r="C50" s="52" t="s">
        <v>87</v>
      </c>
      <c r="D50" s="91"/>
      <c r="E50" s="62"/>
      <c r="F50" s="62"/>
      <c r="G50" s="62">
        <f t="shared" si="0"/>
        <v>0</v>
      </c>
      <c r="H50" s="63">
        <f t="shared" si="1"/>
        <v>0</v>
      </c>
      <c r="I50" s="203"/>
      <c r="J50" s="203"/>
      <c r="K50" s="203"/>
      <c r="L50" s="203"/>
      <c r="M50" s="58"/>
      <c r="N50" s="58"/>
      <c r="O50" s="59"/>
      <c r="P50" s="56"/>
      <c r="Q50" s="60"/>
      <c r="R50" s="61">
        <f t="shared" si="2"/>
        <v>0</v>
      </c>
      <c r="S50" s="62">
        <f t="shared" si="3"/>
        <v>0</v>
      </c>
      <c r="T50" s="63">
        <f t="shared" si="4"/>
        <v>0</v>
      </c>
      <c r="U50" s="64"/>
      <c r="V50" s="65"/>
      <c r="W50" s="66"/>
      <c r="X50" s="67"/>
      <c r="Y50" s="68"/>
      <c r="Z50" s="68"/>
      <c r="AA50" s="62">
        <f t="shared" si="5"/>
        <v>0</v>
      </c>
      <c r="AB50" s="63">
        <f t="shared" si="6"/>
        <v>0</v>
      </c>
      <c r="AC50" s="69"/>
      <c r="AD50" s="70"/>
      <c r="AE50" s="70"/>
      <c r="AF50" s="62">
        <f t="shared" si="7"/>
        <v>0</v>
      </c>
      <c r="AG50" s="63">
        <f t="shared" si="8"/>
        <v>0</v>
      </c>
      <c r="AH50" s="89"/>
      <c r="AI50" s="71"/>
      <c r="AJ50" s="71"/>
      <c r="AK50" s="62">
        <f t="shared" si="9"/>
        <v>0</v>
      </c>
      <c r="AL50" s="72">
        <f t="shared" si="10"/>
        <v>0</v>
      </c>
      <c r="AM50" s="73">
        <f t="shared" si="11"/>
        <v>0</v>
      </c>
      <c r="AN50" s="74">
        <f t="shared" si="18"/>
        <v>0</v>
      </c>
      <c r="AO50" s="74">
        <f t="shared" si="18"/>
        <v>0</v>
      </c>
      <c r="AP50" s="75" t="e">
        <f t="shared" si="13"/>
        <v>#DIV/0!</v>
      </c>
      <c r="AQ50" s="76">
        <f t="shared" si="14"/>
        <v>0</v>
      </c>
      <c r="AR50" s="90">
        <f t="shared" si="15"/>
        <v>0</v>
      </c>
    </row>
    <row r="51" spans="1:44" x14ac:dyDescent="0.25">
      <c r="A51" t="str">
        <f t="shared" si="16"/>
        <v>46197E</v>
      </c>
      <c r="B51" s="51">
        <f t="shared" si="17"/>
        <v>46197</v>
      </c>
      <c r="C51" s="52" t="s">
        <v>88</v>
      </c>
      <c r="D51" s="91"/>
      <c r="E51" s="62"/>
      <c r="F51" s="62"/>
      <c r="G51" s="62">
        <f t="shared" si="0"/>
        <v>0</v>
      </c>
      <c r="H51" s="63">
        <f t="shared" si="1"/>
        <v>0</v>
      </c>
      <c r="I51" s="203"/>
      <c r="J51" s="203"/>
      <c r="K51" s="203"/>
      <c r="L51" s="203"/>
      <c r="M51" s="58"/>
      <c r="N51" s="58"/>
      <c r="O51" s="59"/>
      <c r="P51" s="56"/>
      <c r="Q51" s="60"/>
      <c r="R51" s="61">
        <f t="shared" si="2"/>
        <v>0</v>
      </c>
      <c r="S51" s="62">
        <f t="shared" si="3"/>
        <v>0</v>
      </c>
      <c r="T51" s="63">
        <f t="shared" si="4"/>
        <v>0</v>
      </c>
      <c r="U51" s="64"/>
      <c r="V51" s="85"/>
      <c r="W51" s="66"/>
      <c r="X51" s="67"/>
      <c r="Y51" s="68"/>
      <c r="Z51" s="68"/>
      <c r="AA51" s="62">
        <f t="shared" si="5"/>
        <v>0</v>
      </c>
      <c r="AB51" s="63">
        <f t="shared" si="6"/>
        <v>0</v>
      </c>
      <c r="AC51" s="69"/>
      <c r="AD51" s="70"/>
      <c r="AE51" s="70"/>
      <c r="AF51" s="62">
        <f t="shared" si="7"/>
        <v>0</v>
      </c>
      <c r="AG51" s="63">
        <f t="shared" si="8"/>
        <v>0</v>
      </c>
      <c r="AH51" s="89"/>
      <c r="AI51" s="66"/>
      <c r="AJ51" s="66"/>
      <c r="AK51" s="62">
        <f t="shared" si="9"/>
        <v>0</v>
      </c>
      <c r="AL51" s="72">
        <f t="shared" si="10"/>
        <v>0</v>
      </c>
      <c r="AM51" s="73">
        <f t="shared" si="11"/>
        <v>0</v>
      </c>
      <c r="AN51" s="74">
        <f t="shared" si="18"/>
        <v>0</v>
      </c>
      <c r="AO51" s="74">
        <f t="shared" si="18"/>
        <v>0</v>
      </c>
      <c r="AP51" s="75" t="e">
        <f t="shared" si="13"/>
        <v>#DIV/0!</v>
      </c>
      <c r="AQ51" s="76">
        <f t="shared" si="14"/>
        <v>0</v>
      </c>
      <c r="AR51" s="90">
        <f t="shared" si="15"/>
        <v>0</v>
      </c>
    </row>
    <row r="52" spans="1:44" x14ac:dyDescent="0.25">
      <c r="A52" t="str">
        <f t="shared" si="16"/>
        <v>46198M</v>
      </c>
      <c r="B52" s="51">
        <f t="shared" si="17"/>
        <v>46198</v>
      </c>
      <c r="C52" s="52" t="s">
        <v>87</v>
      </c>
      <c r="D52" s="91"/>
      <c r="E52" s="62"/>
      <c r="F52" s="62"/>
      <c r="G52" s="62">
        <f t="shared" si="0"/>
        <v>0</v>
      </c>
      <c r="H52" s="63">
        <f t="shared" si="1"/>
        <v>0</v>
      </c>
      <c r="I52" s="119"/>
      <c r="J52" s="119"/>
      <c r="K52" s="119"/>
      <c r="L52" s="119"/>
      <c r="M52" s="58"/>
      <c r="N52" s="58"/>
      <c r="O52" s="59"/>
      <c r="P52" s="56"/>
      <c r="Q52" s="60"/>
      <c r="R52" s="61">
        <f t="shared" si="2"/>
        <v>0</v>
      </c>
      <c r="S52" s="62">
        <f t="shared" si="3"/>
        <v>0</v>
      </c>
      <c r="T52" s="63">
        <f t="shared" si="4"/>
        <v>0</v>
      </c>
      <c r="U52" s="64"/>
      <c r="V52" s="65"/>
      <c r="W52" s="66"/>
      <c r="X52" s="67"/>
      <c r="Y52" s="68"/>
      <c r="Z52" s="68"/>
      <c r="AA52" s="62">
        <f t="shared" si="5"/>
        <v>0</v>
      </c>
      <c r="AB52" s="63">
        <f t="shared" si="6"/>
        <v>0</v>
      </c>
      <c r="AC52" s="69"/>
      <c r="AD52" s="70"/>
      <c r="AE52" s="70"/>
      <c r="AF52" s="62">
        <f t="shared" si="7"/>
        <v>0</v>
      </c>
      <c r="AG52" s="63">
        <f t="shared" si="8"/>
        <v>0</v>
      </c>
      <c r="AH52" s="89"/>
      <c r="AI52" s="66"/>
      <c r="AJ52" s="66"/>
      <c r="AK52" s="62">
        <f t="shared" si="9"/>
        <v>0</v>
      </c>
      <c r="AL52" s="72">
        <f t="shared" si="10"/>
        <v>0</v>
      </c>
      <c r="AM52" s="73">
        <f t="shared" si="11"/>
        <v>0</v>
      </c>
      <c r="AN52" s="74">
        <f t="shared" si="18"/>
        <v>0</v>
      </c>
      <c r="AO52" s="74">
        <f t="shared" si="18"/>
        <v>0</v>
      </c>
      <c r="AP52" s="75" t="e">
        <f t="shared" si="13"/>
        <v>#DIV/0!</v>
      </c>
      <c r="AQ52" s="76">
        <f t="shared" si="14"/>
        <v>0</v>
      </c>
      <c r="AR52" s="90">
        <f t="shared" si="15"/>
        <v>0</v>
      </c>
    </row>
    <row r="53" spans="1:44" x14ac:dyDescent="0.25">
      <c r="A53" t="str">
        <f t="shared" si="16"/>
        <v>46198E</v>
      </c>
      <c r="B53" s="51">
        <f t="shared" si="17"/>
        <v>46198</v>
      </c>
      <c r="C53" s="52" t="s">
        <v>88</v>
      </c>
      <c r="D53" s="91"/>
      <c r="E53" s="62"/>
      <c r="F53" s="62"/>
      <c r="G53" s="62">
        <f t="shared" si="0"/>
        <v>0</v>
      </c>
      <c r="H53" s="63">
        <f t="shared" si="1"/>
        <v>0</v>
      </c>
      <c r="I53" s="119"/>
      <c r="J53" s="119"/>
      <c r="K53" s="119"/>
      <c r="L53" s="119"/>
      <c r="M53" s="58"/>
      <c r="N53" s="58"/>
      <c r="O53" s="59"/>
      <c r="P53" s="56"/>
      <c r="Q53" s="60"/>
      <c r="R53" s="61">
        <f t="shared" si="2"/>
        <v>0</v>
      </c>
      <c r="S53" s="62">
        <f t="shared" si="3"/>
        <v>0</v>
      </c>
      <c r="T53" s="63">
        <f t="shared" si="4"/>
        <v>0</v>
      </c>
      <c r="U53" s="64"/>
      <c r="V53" s="65"/>
      <c r="W53" s="66"/>
      <c r="X53" s="67"/>
      <c r="Y53" s="68"/>
      <c r="Z53" s="68"/>
      <c r="AA53" s="62">
        <f t="shared" si="5"/>
        <v>0</v>
      </c>
      <c r="AB53" s="63">
        <f t="shared" si="6"/>
        <v>0</v>
      </c>
      <c r="AC53" s="69"/>
      <c r="AD53" s="70"/>
      <c r="AE53" s="70"/>
      <c r="AF53" s="62">
        <f t="shared" si="7"/>
        <v>0</v>
      </c>
      <c r="AG53" s="63">
        <f t="shared" si="8"/>
        <v>0</v>
      </c>
      <c r="AH53" s="89"/>
      <c r="AI53" s="66"/>
      <c r="AJ53" s="66"/>
      <c r="AK53" s="62">
        <f t="shared" si="9"/>
        <v>0</v>
      </c>
      <c r="AL53" s="72">
        <f t="shared" si="10"/>
        <v>0</v>
      </c>
      <c r="AM53" s="73">
        <f t="shared" si="11"/>
        <v>0</v>
      </c>
      <c r="AN53" s="74">
        <f t="shared" si="18"/>
        <v>0</v>
      </c>
      <c r="AO53" s="74">
        <f t="shared" si="18"/>
        <v>0</v>
      </c>
      <c r="AP53" s="75" t="e">
        <f t="shared" si="13"/>
        <v>#DIV/0!</v>
      </c>
      <c r="AQ53" s="76">
        <f t="shared" si="14"/>
        <v>0</v>
      </c>
      <c r="AR53" s="90">
        <f t="shared" si="15"/>
        <v>0</v>
      </c>
    </row>
    <row r="54" spans="1:44" x14ac:dyDescent="0.25">
      <c r="A54" t="str">
        <f t="shared" si="16"/>
        <v>46199M</v>
      </c>
      <c r="B54" s="51">
        <f t="shared" si="17"/>
        <v>46199</v>
      </c>
      <c r="C54" s="52" t="s">
        <v>87</v>
      </c>
      <c r="D54" s="91"/>
      <c r="E54" s="62"/>
      <c r="F54" s="62"/>
      <c r="G54" s="62">
        <f t="shared" si="0"/>
        <v>0</v>
      </c>
      <c r="H54" s="63">
        <f t="shared" si="1"/>
        <v>0</v>
      </c>
      <c r="I54" s="119"/>
      <c r="J54" s="119"/>
      <c r="K54" s="119"/>
      <c r="L54" s="119"/>
      <c r="M54" s="58"/>
      <c r="N54" s="58"/>
      <c r="O54" s="59"/>
      <c r="P54" s="56"/>
      <c r="Q54" s="60"/>
      <c r="R54" s="61">
        <f t="shared" si="2"/>
        <v>0</v>
      </c>
      <c r="S54" s="62">
        <f t="shared" si="3"/>
        <v>0</v>
      </c>
      <c r="T54" s="63">
        <f t="shared" si="4"/>
        <v>0</v>
      </c>
      <c r="U54" s="64"/>
      <c r="V54" s="65"/>
      <c r="W54" s="66"/>
      <c r="X54" s="67"/>
      <c r="Y54" s="68"/>
      <c r="Z54" s="68"/>
      <c r="AA54" s="62">
        <f t="shared" si="5"/>
        <v>0</v>
      </c>
      <c r="AB54" s="63">
        <f t="shared" si="6"/>
        <v>0</v>
      </c>
      <c r="AC54" s="69"/>
      <c r="AD54" s="70"/>
      <c r="AE54" s="70"/>
      <c r="AF54" s="62">
        <f t="shared" si="7"/>
        <v>0</v>
      </c>
      <c r="AG54" s="63">
        <f t="shared" si="8"/>
        <v>0</v>
      </c>
      <c r="AH54" s="89"/>
      <c r="AI54" s="66"/>
      <c r="AJ54" s="66"/>
      <c r="AK54" s="62">
        <f t="shared" si="9"/>
        <v>0</v>
      </c>
      <c r="AL54" s="72">
        <f t="shared" si="10"/>
        <v>0</v>
      </c>
      <c r="AM54" s="73">
        <f t="shared" si="11"/>
        <v>0</v>
      </c>
      <c r="AN54" s="74">
        <f t="shared" si="18"/>
        <v>0</v>
      </c>
      <c r="AO54" s="74">
        <f t="shared" si="18"/>
        <v>0</v>
      </c>
      <c r="AP54" s="75" t="e">
        <f t="shared" si="13"/>
        <v>#DIV/0!</v>
      </c>
      <c r="AQ54" s="76">
        <f t="shared" si="14"/>
        <v>0</v>
      </c>
      <c r="AR54" s="90">
        <f t="shared" si="15"/>
        <v>0</v>
      </c>
    </row>
    <row r="55" spans="1:44" x14ac:dyDescent="0.25">
      <c r="A55" t="str">
        <f t="shared" si="16"/>
        <v>46199E</v>
      </c>
      <c r="B55" s="51">
        <f t="shared" si="17"/>
        <v>46199</v>
      </c>
      <c r="C55" s="52" t="s">
        <v>88</v>
      </c>
      <c r="D55" s="91"/>
      <c r="E55" s="62"/>
      <c r="F55" s="62"/>
      <c r="G55" s="62">
        <f t="shared" si="0"/>
        <v>0</v>
      </c>
      <c r="H55" s="63">
        <f t="shared" si="1"/>
        <v>0</v>
      </c>
      <c r="I55" s="119"/>
      <c r="J55" s="119"/>
      <c r="K55" s="119"/>
      <c r="L55" s="119"/>
      <c r="M55" s="58"/>
      <c r="N55" s="58"/>
      <c r="O55" s="59"/>
      <c r="P55" s="56"/>
      <c r="Q55" s="60"/>
      <c r="R55" s="61">
        <f t="shared" si="2"/>
        <v>0</v>
      </c>
      <c r="S55" s="62">
        <f t="shared" si="3"/>
        <v>0</v>
      </c>
      <c r="T55" s="63">
        <f t="shared" si="4"/>
        <v>0</v>
      </c>
      <c r="U55" s="64"/>
      <c r="V55" s="65"/>
      <c r="W55" s="66"/>
      <c r="X55" s="67"/>
      <c r="Y55" s="68"/>
      <c r="Z55" s="68"/>
      <c r="AA55" s="62">
        <f t="shared" si="5"/>
        <v>0</v>
      </c>
      <c r="AB55" s="63">
        <f t="shared" si="6"/>
        <v>0</v>
      </c>
      <c r="AC55" s="69"/>
      <c r="AD55" s="70"/>
      <c r="AE55" s="70"/>
      <c r="AF55" s="62">
        <f t="shared" si="7"/>
        <v>0</v>
      </c>
      <c r="AG55" s="63">
        <f t="shared" si="8"/>
        <v>0</v>
      </c>
      <c r="AH55" s="89"/>
      <c r="AI55" s="66"/>
      <c r="AJ55" s="66"/>
      <c r="AK55" s="62">
        <f t="shared" si="9"/>
        <v>0</v>
      </c>
      <c r="AL55" s="72">
        <f t="shared" si="10"/>
        <v>0</v>
      </c>
      <c r="AM55" s="73">
        <f t="shared" si="11"/>
        <v>0</v>
      </c>
      <c r="AN55" s="74">
        <f t="shared" si="18"/>
        <v>0</v>
      </c>
      <c r="AO55" s="74">
        <f t="shared" si="18"/>
        <v>0</v>
      </c>
      <c r="AP55" s="75" t="e">
        <f t="shared" si="13"/>
        <v>#DIV/0!</v>
      </c>
      <c r="AQ55" s="76">
        <f t="shared" si="14"/>
        <v>0</v>
      </c>
      <c r="AR55" s="90">
        <f t="shared" si="15"/>
        <v>0</v>
      </c>
    </row>
    <row r="56" spans="1:44" x14ac:dyDescent="0.25">
      <c r="A56" t="str">
        <f t="shared" si="16"/>
        <v>46200M</v>
      </c>
      <c r="B56" s="51">
        <f t="shared" si="17"/>
        <v>46200</v>
      </c>
      <c r="C56" s="52" t="s">
        <v>87</v>
      </c>
      <c r="D56" s="91"/>
      <c r="E56" s="62"/>
      <c r="F56" s="62"/>
      <c r="G56" s="62">
        <f t="shared" si="0"/>
        <v>0</v>
      </c>
      <c r="H56" s="63">
        <f t="shared" si="1"/>
        <v>0</v>
      </c>
      <c r="I56" s="119"/>
      <c r="J56" s="119"/>
      <c r="K56" s="119"/>
      <c r="L56" s="119"/>
      <c r="M56" s="58"/>
      <c r="N56" s="58"/>
      <c r="O56" s="59"/>
      <c r="P56" s="56"/>
      <c r="Q56" s="60"/>
      <c r="R56" s="61">
        <f t="shared" si="2"/>
        <v>0</v>
      </c>
      <c r="S56" s="62">
        <f t="shared" si="3"/>
        <v>0</v>
      </c>
      <c r="T56" s="63">
        <f t="shared" si="4"/>
        <v>0</v>
      </c>
      <c r="U56" s="64"/>
      <c r="V56" s="65"/>
      <c r="W56" s="66"/>
      <c r="X56" s="67"/>
      <c r="Y56" s="68"/>
      <c r="Z56" s="68"/>
      <c r="AA56" s="62">
        <f t="shared" si="5"/>
        <v>0</v>
      </c>
      <c r="AB56" s="63">
        <f t="shared" si="6"/>
        <v>0</v>
      </c>
      <c r="AC56" s="69"/>
      <c r="AD56" s="70"/>
      <c r="AE56" s="70"/>
      <c r="AF56" s="62">
        <f t="shared" si="7"/>
        <v>0</v>
      </c>
      <c r="AG56" s="63">
        <f t="shared" si="8"/>
        <v>0</v>
      </c>
      <c r="AH56" s="89"/>
      <c r="AI56" s="66"/>
      <c r="AJ56" s="66"/>
      <c r="AK56" s="62">
        <f t="shared" si="9"/>
        <v>0</v>
      </c>
      <c r="AL56" s="72">
        <f t="shared" si="10"/>
        <v>0</v>
      </c>
      <c r="AM56" s="73">
        <f t="shared" si="11"/>
        <v>0</v>
      </c>
      <c r="AN56" s="74">
        <f t="shared" si="18"/>
        <v>0</v>
      </c>
      <c r="AO56" s="74">
        <f t="shared" si="18"/>
        <v>0</v>
      </c>
      <c r="AP56" s="75" t="e">
        <f t="shared" si="13"/>
        <v>#DIV/0!</v>
      </c>
      <c r="AQ56" s="76">
        <f t="shared" si="14"/>
        <v>0</v>
      </c>
      <c r="AR56" s="90">
        <f t="shared" si="15"/>
        <v>0</v>
      </c>
    </row>
    <row r="57" spans="1:44" x14ac:dyDescent="0.25">
      <c r="A57" t="str">
        <f t="shared" si="16"/>
        <v>46200E</v>
      </c>
      <c r="B57" s="51">
        <f t="shared" si="17"/>
        <v>46200</v>
      </c>
      <c r="C57" s="52" t="s">
        <v>88</v>
      </c>
      <c r="D57" s="91"/>
      <c r="E57" s="62"/>
      <c r="F57" s="62"/>
      <c r="G57" s="62">
        <f t="shared" si="0"/>
        <v>0</v>
      </c>
      <c r="H57" s="63">
        <f t="shared" si="1"/>
        <v>0</v>
      </c>
      <c r="I57" s="119"/>
      <c r="J57" s="119"/>
      <c r="K57" s="119"/>
      <c r="L57" s="119"/>
      <c r="M57" s="58"/>
      <c r="N57" s="58"/>
      <c r="O57" s="59"/>
      <c r="P57" s="56"/>
      <c r="Q57" s="60"/>
      <c r="R57" s="61">
        <f t="shared" si="2"/>
        <v>0</v>
      </c>
      <c r="S57" s="62">
        <f t="shared" si="3"/>
        <v>0</v>
      </c>
      <c r="T57" s="63">
        <f t="shared" si="4"/>
        <v>0</v>
      </c>
      <c r="U57" s="64"/>
      <c r="V57" s="65"/>
      <c r="W57" s="66"/>
      <c r="X57" s="67"/>
      <c r="Y57" s="68"/>
      <c r="Z57" s="68"/>
      <c r="AA57" s="62">
        <f t="shared" si="5"/>
        <v>0</v>
      </c>
      <c r="AB57" s="63">
        <f t="shared" si="6"/>
        <v>0</v>
      </c>
      <c r="AC57" s="69"/>
      <c r="AD57" s="70"/>
      <c r="AE57" s="70"/>
      <c r="AF57" s="62">
        <f t="shared" si="7"/>
        <v>0</v>
      </c>
      <c r="AG57" s="63">
        <f t="shared" si="8"/>
        <v>0</v>
      </c>
      <c r="AH57" s="89"/>
      <c r="AI57" s="66"/>
      <c r="AJ57" s="66"/>
      <c r="AK57" s="62">
        <f t="shared" si="9"/>
        <v>0</v>
      </c>
      <c r="AL57" s="72">
        <f t="shared" si="10"/>
        <v>0</v>
      </c>
      <c r="AM57" s="73">
        <f t="shared" si="11"/>
        <v>0</v>
      </c>
      <c r="AN57" s="74">
        <f t="shared" si="18"/>
        <v>0</v>
      </c>
      <c r="AO57" s="74">
        <f t="shared" si="18"/>
        <v>0</v>
      </c>
      <c r="AP57" s="75" t="e">
        <f t="shared" si="13"/>
        <v>#DIV/0!</v>
      </c>
      <c r="AQ57" s="76">
        <f t="shared" si="14"/>
        <v>0</v>
      </c>
      <c r="AR57" s="90">
        <f t="shared" si="15"/>
        <v>0</v>
      </c>
    </row>
    <row r="58" spans="1:44" x14ac:dyDescent="0.25">
      <c r="A58" t="str">
        <f t="shared" si="16"/>
        <v>46201M</v>
      </c>
      <c r="B58" s="51">
        <f t="shared" si="17"/>
        <v>46201</v>
      </c>
      <c r="C58" s="52" t="s">
        <v>87</v>
      </c>
      <c r="D58" s="91"/>
      <c r="E58" s="62"/>
      <c r="F58" s="62"/>
      <c r="G58" s="62">
        <f t="shared" si="0"/>
        <v>0</v>
      </c>
      <c r="H58" s="63">
        <f t="shared" si="1"/>
        <v>0</v>
      </c>
      <c r="I58" s="119"/>
      <c r="J58" s="119"/>
      <c r="K58" s="119"/>
      <c r="L58" s="119"/>
      <c r="M58" s="58"/>
      <c r="N58" s="58"/>
      <c r="O58" s="59"/>
      <c r="P58" s="56"/>
      <c r="Q58" s="60"/>
      <c r="R58" s="61">
        <f t="shared" si="2"/>
        <v>0</v>
      </c>
      <c r="S58" s="62">
        <f t="shared" si="3"/>
        <v>0</v>
      </c>
      <c r="T58" s="63">
        <f t="shared" si="4"/>
        <v>0</v>
      </c>
      <c r="U58" s="64"/>
      <c r="V58" s="65"/>
      <c r="W58" s="66"/>
      <c r="X58" s="67"/>
      <c r="Y58" s="68"/>
      <c r="Z58" s="68"/>
      <c r="AA58" s="62">
        <f t="shared" si="5"/>
        <v>0</v>
      </c>
      <c r="AB58" s="63">
        <f t="shared" si="6"/>
        <v>0</v>
      </c>
      <c r="AC58" s="69"/>
      <c r="AD58" s="70"/>
      <c r="AE58" s="70"/>
      <c r="AF58" s="62">
        <f t="shared" si="7"/>
        <v>0</v>
      </c>
      <c r="AG58" s="63">
        <f t="shared" si="8"/>
        <v>0</v>
      </c>
      <c r="AH58" s="89"/>
      <c r="AI58" s="66"/>
      <c r="AJ58" s="66"/>
      <c r="AK58" s="62">
        <f t="shared" si="9"/>
        <v>0</v>
      </c>
      <c r="AL58" s="72">
        <f t="shared" si="10"/>
        <v>0</v>
      </c>
      <c r="AM58" s="73">
        <f t="shared" si="11"/>
        <v>0</v>
      </c>
      <c r="AN58" s="74">
        <f t="shared" si="18"/>
        <v>0</v>
      </c>
      <c r="AO58" s="74">
        <f t="shared" si="18"/>
        <v>0</v>
      </c>
      <c r="AP58" s="75" t="e">
        <f t="shared" si="13"/>
        <v>#DIV/0!</v>
      </c>
      <c r="AQ58" s="76">
        <f t="shared" si="14"/>
        <v>0</v>
      </c>
      <c r="AR58" s="90">
        <f t="shared" si="15"/>
        <v>0</v>
      </c>
    </row>
    <row r="59" spans="1:44" x14ac:dyDescent="0.25">
      <c r="A59" t="str">
        <f t="shared" si="16"/>
        <v>46201E</v>
      </c>
      <c r="B59" s="51">
        <f t="shared" si="17"/>
        <v>46201</v>
      </c>
      <c r="C59" s="52" t="s">
        <v>88</v>
      </c>
      <c r="D59" s="91"/>
      <c r="E59" s="62"/>
      <c r="F59" s="62"/>
      <c r="G59" s="62">
        <f t="shared" si="0"/>
        <v>0</v>
      </c>
      <c r="H59" s="63">
        <f t="shared" si="1"/>
        <v>0</v>
      </c>
      <c r="I59" s="119"/>
      <c r="J59" s="119"/>
      <c r="K59" s="119"/>
      <c r="L59" s="119"/>
      <c r="M59" s="58"/>
      <c r="N59" s="58"/>
      <c r="O59" s="59"/>
      <c r="P59" s="56"/>
      <c r="Q59" s="60"/>
      <c r="R59" s="61">
        <f t="shared" si="2"/>
        <v>0</v>
      </c>
      <c r="S59" s="62">
        <f t="shared" si="3"/>
        <v>0</v>
      </c>
      <c r="T59" s="63">
        <f t="shared" si="4"/>
        <v>0</v>
      </c>
      <c r="U59" s="64"/>
      <c r="V59" s="65"/>
      <c r="W59" s="66"/>
      <c r="X59" s="67"/>
      <c r="Y59" s="68"/>
      <c r="Z59" s="68"/>
      <c r="AA59" s="62">
        <f t="shared" si="5"/>
        <v>0</v>
      </c>
      <c r="AB59" s="63">
        <f t="shared" si="6"/>
        <v>0</v>
      </c>
      <c r="AC59" s="69"/>
      <c r="AD59" s="70"/>
      <c r="AE59" s="70"/>
      <c r="AF59" s="62">
        <f t="shared" si="7"/>
        <v>0</v>
      </c>
      <c r="AG59" s="63">
        <f t="shared" si="8"/>
        <v>0</v>
      </c>
      <c r="AH59" s="89"/>
      <c r="AI59" s="66"/>
      <c r="AJ59" s="66"/>
      <c r="AK59" s="62">
        <f t="shared" si="9"/>
        <v>0</v>
      </c>
      <c r="AL59" s="72">
        <f t="shared" si="10"/>
        <v>0</v>
      </c>
      <c r="AM59" s="73">
        <f t="shared" si="11"/>
        <v>0</v>
      </c>
      <c r="AN59" s="74">
        <f t="shared" si="18"/>
        <v>0</v>
      </c>
      <c r="AO59" s="74">
        <f t="shared" si="18"/>
        <v>0</v>
      </c>
      <c r="AP59" s="75" t="e">
        <f t="shared" si="13"/>
        <v>#DIV/0!</v>
      </c>
      <c r="AQ59" s="76">
        <f t="shared" si="14"/>
        <v>0</v>
      </c>
      <c r="AR59" s="90">
        <f t="shared" si="15"/>
        <v>0</v>
      </c>
    </row>
    <row r="60" spans="1:44" x14ac:dyDescent="0.25">
      <c r="A60" t="str">
        <f t="shared" si="16"/>
        <v>46202M</v>
      </c>
      <c r="B60" s="51">
        <f t="shared" si="17"/>
        <v>46202</v>
      </c>
      <c r="C60" s="52" t="s">
        <v>87</v>
      </c>
      <c r="D60" s="91"/>
      <c r="E60" s="62"/>
      <c r="F60" s="62"/>
      <c r="G60" s="62">
        <f t="shared" si="0"/>
        <v>0</v>
      </c>
      <c r="H60" s="63">
        <f t="shared" si="1"/>
        <v>0</v>
      </c>
      <c r="I60" s="119"/>
      <c r="J60" s="119"/>
      <c r="K60" s="119"/>
      <c r="L60" s="119"/>
      <c r="M60" s="58"/>
      <c r="N60" s="58"/>
      <c r="O60" s="59"/>
      <c r="P60" s="56"/>
      <c r="Q60" s="60"/>
      <c r="R60" s="61">
        <f t="shared" si="2"/>
        <v>0</v>
      </c>
      <c r="S60" s="62">
        <f t="shared" si="3"/>
        <v>0</v>
      </c>
      <c r="T60" s="63">
        <f t="shared" si="4"/>
        <v>0</v>
      </c>
      <c r="U60" s="64"/>
      <c r="V60" s="65"/>
      <c r="W60" s="66"/>
      <c r="X60" s="67"/>
      <c r="Y60" s="68"/>
      <c r="Z60" s="68"/>
      <c r="AA60" s="62">
        <f t="shared" si="5"/>
        <v>0</v>
      </c>
      <c r="AB60" s="63">
        <f t="shared" si="6"/>
        <v>0</v>
      </c>
      <c r="AC60" s="69"/>
      <c r="AD60" s="70"/>
      <c r="AE60" s="70"/>
      <c r="AF60" s="62">
        <f t="shared" si="7"/>
        <v>0</v>
      </c>
      <c r="AG60" s="63">
        <f t="shared" si="8"/>
        <v>0</v>
      </c>
      <c r="AH60" s="89"/>
      <c r="AI60" s="66"/>
      <c r="AJ60" s="66"/>
      <c r="AK60" s="62">
        <f t="shared" si="9"/>
        <v>0</v>
      </c>
      <c r="AL60" s="72">
        <f t="shared" si="10"/>
        <v>0</v>
      </c>
      <c r="AM60" s="73">
        <f t="shared" si="11"/>
        <v>0</v>
      </c>
      <c r="AN60" s="74">
        <f t="shared" si="18"/>
        <v>0</v>
      </c>
      <c r="AO60" s="74">
        <f t="shared" si="18"/>
        <v>0</v>
      </c>
      <c r="AP60" s="75" t="e">
        <f t="shared" si="13"/>
        <v>#DIV/0!</v>
      </c>
      <c r="AQ60" s="76">
        <f t="shared" si="14"/>
        <v>0</v>
      </c>
      <c r="AR60" s="90">
        <f t="shared" si="15"/>
        <v>0</v>
      </c>
    </row>
    <row r="61" spans="1:44" x14ac:dyDescent="0.25">
      <c r="A61" t="str">
        <f t="shared" si="16"/>
        <v>46202E</v>
      </c>
      <c r="B61" s="51">
        <f t="shared" si="17"/>
        <v>46202</v>
      </c>
      <c r="C61" s="52" t="s">
        <v>88</v>
      </c>
      <c r="D61" s="91"/>
      <c r="E61" s="62"/>
      <c r="F61" s="62"/>
      <c r="G61" s="62">
        <f t="shared" si="0"/>
        <v>0</v>
      </c>
      <c r="H61" s="63">
        <f t="shared" si="1"/>
        <v>0</v>
      </c>
      <c r="I61" s="119"/>
      <c r="J61" s="119"/>
      <c r="K61" s="119"/>
      <c r="L61" s="119"/>
      <c r="M61" s="58"/>
      <c r="N61" s="58"/>
      <c r="O61" s="59"/>
      <c r="P61" s="56"/>
      <c r="Q61" s="60"/>
      <c r="R61" s="61">
        <f t="shared" si="2"/>
        <v>0</v>
      </c>
      <c r="S61" s="62">
        <f t="shared" si="3"/>
        <v>0</v>
      </c>
      <c r="T61" s="63">
        <f t="shared" si="4"/>
        <v>0</v>
      </c>
      <c r="U61" s="64"/>
      <c r="V61" s="65"/>
      <c r="W61" s="66"/>
      <c r="X61" s="67"/>
      <c r="Y61" s="68"/>
      <c r="Z61" s="68"/>
      <c r="AA61" s="62">
        <f t="shared" si="5"/>
        <v>0</v>
      </c>
      <c r="AB61" s="63">
        <f t="shared" si="6"/>
        <v>0</v>
      </c>
      <c r="AC61" s="69"/>
      <c r="AD61" s="70"/>
      <c r="AE61" s="70"/>
      <c r="AF61" s="62">
        <f t="shared" si="7"/>
        <v>0</v>
      </c>
      <c r="AG61" s="63">
        <f t="shared" si="8"/>
        <v>0</v>
      </c>
      <c r="AH61" s="89"/>
      <c r="AI61" s="66"/>
      <c r="AJ61" s="66"/>
      <c r="AK61" s="62">
        <f t="shared" si="9"/>
        <v>0</v>
      </c>
      <c r="AL61" s="72">
        <f t="shared" si="10"/>
        <v>0</v>
      </c>
      <c r="AM61" s="73">
        <f t="shared" si="11"/>
        <v>0</v>
      </c>
      <c r="AN61" s="74">
        <f t="shared" si="18"/>
        <v>0</v>
      </c>
      <c r="AO61" s="74">
        <f t="shared" si="18"/>
        <v>0</v>
      </c>
      <c r="AP61" s="75" t="e">
        <f t="shared" si="13"/>
        <v>#DIV/0!</v>
      </c>
      <c r="AQ61" s="76">
        <f t="shared" si="14"/>
        <v>0</v>
      </c>
      <c r="AR61" s="90">
        <f t="shared" si="15"/>
        <v>0</v>
      </c>
    </row>
    <row r="62" spans="1:44" x14ac:dyDescent="0.25">
      <c r="A62" t="str">
        <f t="shared" si="16"/>
        <v>46203M</v>
      </c>
      <c r="B62" s="51">
        <f t="shared" si="17"/>
        <v>46203</v>
      </c>
      <c r="C62" s="52" t="s">
        <v>87</v>
      </c>
      <c r="D62" s="91"/>
      <c r="E62" s="62"/>
      <c r="F62" s="62"/>
      <c r="G62" s="62">
        <f t="shared" si="0"/>
        <v>0</v>
      </c>
      <c r="H62" s="63">
        <f t="shared" si="1"/>
        <v>0</v>
      </c>
      <c r="I62" s="119"/>
      <c r="J62" s="119"/>
      <c r="K62" s="119"/>
      <c r="L62" s="119"/>
      <c r="M62" s="58"/>
      <c r="N62" s="58"/>
      <c r="O62" s="59"/>
      <c r="P62" s="56"/>
      <c r="Q62" s="60"/>
      <c r="R62" s="61">
        <f t="shared" si="2"/>
        <v>0</v>
      </c>
      <c r="S62" s="62">
        <f t="shared" si="3"/>
        <v>0</v>
      </c>
      <c r="T62" s="63">
        <f t="shared" si="4"/>
        <v>0</v>
      </c>
      <c r="U62" s="64"/>
      <c r="V62" s="65"/>
      <c r="W62" s="66"/>
      <c r="X62" s="67"/>
      <c r="Y62" s="68"/>
      <c r="Z62" s="68"/>
      <c r="AA62" s="62">
        <f t="shared" si="5"/>
        <v>0</v>
      </c>
      <c r="AB62" s="63">
        <f t="shared" si="6"/>
        <v>0</v>
      </c>
      <c r="AC62" s="69"/>
      <c r="AD62" s="70"/>
      <c r="AE62" s="70"/>
      <c r="AF62" s="62">
        <f t="shared" si="7"/>
        <v>0</v>
      </c>
      <c r="AG62" s="63">
        <f t="shared" si="8"/>
        <v>0</v>
      </c>
      <c r="AH62" s="89"/>
      <c r="AI62" s="66"/>
      <c r="AJ62" s="66"/>
      <c r="AK62" s="62">
        <f t="shared" si="9"/>
        <v>0</v>
      </c>
      <c r="AL62" s="72">
        <f t="shared" si="10"/>
        <v>0</v>
      </c>
      <c r="AM62" s="73">
        <f t="shared" si="11"/>
        <v>0</v>
      </c>
      <c r="AN62" s="74">
        <f t="shared" si="18"/>
        <v>0</v>
      </c>
      <c r="AO62" s="74">
        <f t="shared" si="18"/>
        <v>0</v>
      </c>
      <c r="AP62" s="75" t="e">
        <f t="shared" si="13"/>
        <v>#DIV/0!</v>
      </c>
      <c r="AQ62" s="76">
        <f t="shared" si="14"/>
        <v>0</v>
      </c>
      <c r="AR62" s="90">
        <f t="shared" si="15"/>
        <v>0</v>
      </c>
    </row>
    <row r="63" spans="1:44" x14ac:dyDescent="0.25">
      <c r="A63" t="str">
        <f t="shared" si="16"/>
        <v>46203E</v>
      </c>
      <c r="B63" s="51">
        <f t="shared" si="17"/>
        <v>46203</v>
      </c>
      <c r="C63" s="52" t="s">
        <v>88</v>
      </c>
      <c r="D63" s="91"/>
      <c r="E63" s="62"/>
      <c r="F63" s="62"/>
      <c r="G63" s="62">
        <f t="shared" si="0"/>
        <v>0</v>
      </c>
      <c r="H63" s="63">
        <f t="shared" si="1"/>
        <v>0</v>
      </c>
      <c r="I63" s="119"/>
      <c r="J63" s="119"/>
      <c r="K63" s="119"/>
      <c r="L63" s="119"/>
      <c r="M63" s="58"/>
      <c r="N63" s="58"/>
      <c r="O63" s="59"/>
      <c r="P63" s="56"/>
      <c r="Q63" s="60"/>
      <c r="R63" s="61">
        <f t="shared" si="2"/>
        <v>0</v>
      </c>
      <c r="S63" s="62">
        <f t="shared" si="3"/>
        <v>0</v>
      </c>
      <c r="T63" s="63">
        <f t="shared" si="4"/>
        <v>0</v>
      </c>
      <c r="U63" s="64"/>
      <c r="V63" s="65"/>
      <c r="W63" s="66"/>
      <c r="X63" s="67"/>
      <c r="Y63" s="68"/>
      <c r="Z63" s="68"/>
      <c r="AA63" s="62">
        <f t="shared" si="5"/>
        <v>0</v>
      </c>
      <c r="AB63" s="63">
        <f t="shared" si="6"/>
        <v>0</v>
      </c>
      <c r="AC63" s="69"/>
      <c r="AD63" s="70"/>
      <c r="AE63" s="70"/>
      <c r="AF63" s="62">
        <f t="shared" si="7"/>
        <v>0</v>
      </c>
      <c r="AG63" s="63">
        <f t="shared" si="8"/>
        <v>0</v>
      </c>
      <c r="AH63" s="89"/>
      <c r="AI63" s="66"/>
      <c r="AJ63" s="66"/>
      <c r="AK63" s="62">
        <f t="shared" si="9"/>
        <v>0</v>
      </c>
      <c r="AL63" s="72">
        <f t="shared" si="10"/>
        <v>0</v>
      </c>
      <c r="AM63" s="73">
        <f t="shared" si="11"/>
        <v>0</v>
      </c>
      <c r="AN63" s="74">
        <f t="shared" si="18"/>
        <v>0</v>
      </c>
      <c r="AO63" s="74">
        <f t="shared" si="18"/>
        <v>0</v>
      </c>
      <c r="AP63" s="75" t="e">
        <f t="shared" si="13"/>
        <v>#DIV/0!</v>
      </c>
      <c r="AQ63" s="76">
        <f t="shared" si="14"/>
        <v>0</v>
      </c>
      <c r="AR63" s="90">
        <v>0</v>
      </c>
    </row>
    <row r="64" spans="1:44" x14ac:dyDescent="0.25">
      <c r="A64" t="str">
        <f t="shared" si="16"/>
        <v>46204M</v>
      </c>
      <c r="B64" s="51">
        <f t="shared" si="17"/>
        <v>46204</v>
      </c>
      <c r="C64" s="52" t="s">
        <v>87</v>
      </c>
      <c r="D64" s="91"/>
      <c r="E64" s="62"/>
      <c r="F64" s="62"/>
      <c r="G64" s="62">
        <f t="shared" si="0"/>
        <v>0</v>
      </c>
      <c r="H64" s="63">
        <f t="shared" si="1"/>
        <v>0</v>
      </c>
      <c r="I64" s="119"/>
      <c r="J64" s="119"/>
      <c r="K64" s="119"/>
      <c r="L64" s="119"/>
      <c r="M64" s="57"/>
      <c r="N64" s="58"/>
      <c r="O64" s="59"/>
      <c r="P64" s="56"/>
      <c r="Q64" s="60"/>
      <c r="R64" s="61">
        <f t="shared" si="2"/>
        <v>0</v>
      </c>
      <c r="S64" s="62">
        <f t="shared" si="3"/>
        <v>0</v>
      </c>
      <c r="T64" s="63">
        <f t="shared" si="4"/>
        <v>0</v>
      </c>
      <c r="U64" s="64"/>
      <c r="V64" s="65"/>
      <c r="W64" s="66"/>
      <c r="X64" s="67"/>
      <c r="Y64" s="68"/>
      <c r="Z64" s="68"/>
      <c r="AA64" s="62">
        <f t="shared" si="5"/>
        <v>0</v>
      </c>
      <c r="AB64" s="63">
        <f t="shared" si="6"/>
        <v>0</v>
      </c>
      <c r="AC64" s="69"/>
      <c r="AD64" s="70"/>
      <c r="AE64" s="70"/>
      <c r="AF64" s="62">
        <f t="shared" si="7"/>
        <v>0</v>
      </c>
      <c r="AG64" s="63">
        <f t="shared" si="8"/>
        <v>0</v>
      </c>
      <c r="AH64" s="89"/>
      <c r="AI64" s="71"/>
      <c r="AJ64" s="71"/>
      <c r="AK64" s="62">
        <f t="shared" si="9"/>
        <v>0</v>
      </c>
      <c r="AL64" s="72">
        <f t="shared" si="10"/>
        <v>0</v>
      </c>
      <c r="AM64" s="73">
        <f t="shared" si="11"/>
        <v>0</v>
      </c>
      <c r="AN64" s="74">
        <f t="shared" si="18"/>
        <v>0</v>
      </c>
      <c r="AO64" s="74">
        <f t="shared" si="18"/>
        <v>0</v>
      </c>
      <c r="AP64" s="75" t="e">
        <f t="shared" si="13"/>
        <v>#DIV/0!</v>
      </c>
      <c r="AQ64" s="76">
        <f t="shared" si="14"/>
        <v>0</v>
      </c>
      <c r="AR64" s="90">
        <f t="shared" si="15"/>
        <v>0</v>
      </c>
    </row>
    <row r="65" spans="1:44" x14ac:dyDescent="0.25">
      <c r="A65" t="str">
        <f t="shared" si="16"/>
        <v>46204E</v>
      </c>
      <c r="B65" s="51">
        <f t="shared" si="17"/>
        <v>46204</v>
      </c>
      <c r="C65" s="52" t="s">
        <v>88</v>
      </c>
      <c r="D65" s="91"/>
      <c r="E65" s="62"/>
      <c r="F65" s="62"/>
      <c r="G65" s="62">
        <f t="shared" si="0"/>
        <v>0</v>
      </c>
      <c r="H65" s="63">
        <f t="shared" si="1"/>
        <v>0</v>
      </c>
      <c r="I65" s="119"/>
      <c r="J65" s="119"/>
      <c r="K65" s="119"/>
      <c r="L65" s="119"/>
      <c r="M65" s="57"/>
      <c r="N65" s="58"/>
      <c r="O65" s="59"/>
      <c r="P65" s="56"/>
      <c r="Q65" s="60"/>
      <c r="R65" s="61">
        <f t="shared" si="2"/>
        <v>0</v>
      </c>
      <c r="S65" s="62">
        <f t="shared" si="3"/>
        <v>0</v>
      </c>
      <c r="T65" s="63">
        <f t="shared" si="4"/>
        <v>0</v>
      </c>
      <c r="U65" s="64"/>
      <c r="V65" s="65"/>
      <c r="W65" s="66"/>
      <c r="X65" s="67"/>
      <c r="Y65" s="68"/>
      <c r="Z65" s="68"/>
      <c r="AA65" s="62">
        <f t="shared" si="5"/>
        <v>0</v>
      </c>
      <c r="AB65" s="63">
        <f t="shared" si="6"/>
        <v>0</v>
      </c>
      <c r="AC65" s="69"/>
      <c r="AD65" s="70"/>
      <c r="AE65" s="70"/>
      <c r="AF65" s="62">
        <f t="shared" si="7"/>
        <v>0</v>
      </c>
      <c r="AG65" s="63">
        <f t="shared" si="8"/>
        <v>0</v>
      </c>
      <c r="AH65" s="89"/>
      <c r="AI65" s="71"/>
      <c r="AJ65" s="71"/>
      <c r="AK65" s="62">
        <f t="shared" si="9"/>
        <v>0</v>
      </c>
      <c r="AL65" s="72">
        <f t="shared" si="10"/>
        <v>0</v>
      </c>
      <c r="AM65" s="73">
        <f t="shared" si="11"/>
        <v>0</v>
      </c>
      <c r="AN65" s="74">
        <f t="shared" si="18"/>
        <v>0</v>
      </c>
      <c r="AO65" s="74">
        <f t="shared" si="18"/>
        <v>0</v>
      </c>
      <c r="AP65" s="75" t="e">
        <f t="shared" si="13"/>
        <v>#DIV/0!</v>
      </c>
      <c r="AQ65" s="76">
        <f t="shared" si="14"/>
        <v>0</v>
      </c>
      <c r="AR65" s="90">
        <f t="shared" si="15"/>
        <v>0</v>
      </c>
    </row>
    <row r="66" spans="1:44" x14ac:dyDescent="0.25">
      <c r="J66" s="83">
        <f>SUM(J4:J65)</f>
        <v>73236.60500000001</v>
      </c>
      <c r="R66" s="83">
        <f>SUM(R4:R65)</f>
        <v>82255.60500000001</v>
      </c>
      <c r="S66" s="83">
        <f t="shared" ref="S66:T66" si="19">SUM(S4:S65)</f>
        <v>3264.6974156999995</v>
      </c>
      <c r="T66" s="83">
        <f t="shared" si="19"/>
        <v>6686.737629100001</v>
      </c>
      <c r="AH66" s="90"/>
      <c r="AI66" s="77"/>
      <c r="AJ66" s="77"/>
      <c r="AM66" s="83">
        <f>-SUM(AM4:AM65)</f>
        <v>465.39499999999566</v>
      </c>
      <c r="AN66" s="83">
        <f>-SUM(AN4:AN65)</f>
        <v>31.267184300000139</v>
      </c>
      <c r="AO66" s="83">
        <f>-SUM(AO4:AO65)</f>
        <v>38.98157089999976</v>
      </c>
      <c r="AQ66" s="127">
        <f>-SUM(AQ4:AQ65)</f>
        <v>25702.29636592566</v>
      </c>
    </row>
    <row r="67" spans="1:44" x14ac:dyDescent="0.25">
      <c r="X67" s="90"/>
      <c r="Y67" s="77"/>
      <c r="Z67" s="77"/>
      <c r="AH67" s="90"/>
      <c r="AI67" s="77"/>
      <c r="AJ67" s="77"/>
    </row>
    <row r="68" spans="1:44" x14ac:dyDescent="0.25">
      <c r="AH68" s="90"/>
      <c r="AI68" s="90"/>
      <c r="AJ68" s="90"/>
    </row>
    <row r="69" spans="1:44" x14ac:dyDescent="0.25">
      <c r="V69" s="194">
        <v>4640</v>
      </c>
      <c r="W69" s="195">
        <v>4.9000000000000004</v>
      </c>
      <c r="X69" s="195">
        <v>8.39</v>
      </c>
      <c r="Y69" s="90">
        <f>+V69*W69%</f>
        <v>227.36</v>
      </c>
      <c r="Z69" s="90">
        <f>+V69*X69%</f>
        <v>389.29599999999999</v>
      </c>
      <c r="AH69" s="90"/>
      <c r="AI69" s="90"/>
      <c r="AJ69" s="90"/>
    </row>
    <row r="70" spans="1:44" x14ac:dyDescent="0.25">
      <c r="V70" s="59">
        <v>5300</v>
      </c>
      <c r="W70" s="56">
        <v>4.3</v>
      </c>
      <c r="X70" s="60">
        <v>8.52</v>
      </c>
      <c r="Y70" s="90">
        <f>+V70*W70%</f>
        <v>227.89999999999998</v>
      </c>
      <c r="Z70" s="90">
        <f>+V70*X70%</f>
        <v>451.56</v>
      </c>
    </row>
    <row r="71" spans="1:44" x14ac:dyDescent="0.25">
      <c r="V71">
        <f>SUM(V69:V70)</f>
        <v>9940</v>
      </c>
      <c r="W71">
        <f>+Y71/V71%</f>
        <v>4.580080482897384</v>
      </c>
      <c r="X71">
        <f>+Z71/V71%</f>
        <v>8.4593158953722334</v>
      </c>
      <c r="Y71" s="90">
        <f>SUM(Y69:Y70)</f>
        <v>455.26</v>
      </c>
      <c r="Z71" s="90">
        <f>SUM(Z69:Z70)</f>
        <v>840.85599999999999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01" priority="2" operator="lessThan">
      <formula>0.1</formula>
    </cfRule>
    <cfRule type="cellIs" dxfId="100" priority="3" operator="greaterThan">
      <formula>0.1</formula>
    </cfRule>
  </conditionalFormatting>
  <conditionalFormatting sqref="AP1:AQ1">
    <cfRule type="cellIs" dxfId="99" priority="1" operator="lessThan">
      <formula>1</formula>
    </cfRule>
  </conditionalFormatting>
  <conditionalFormatting sqref="AQ4:AQ65">
    <cfRule type="cellIs" dxfId="98" priority="4" operator="lessThan">
      <formula>0</formula>
    </cfRule>
    <cfRule type="cellIs" dxfId="97" priority="5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A1:O65"/>
  <sheetViews>
    <sheetView showGridLines="0" zoomScale="90" zoomScaleNormal="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6" sqref="E16"/>
    </sheetView>
  </sheetViews>
  <sheetFormatPr defaultColWidth="8.7109375" defaultRowHeight="12.75" x14ac:dyDescent="0.25"/>
  <cols>
    <col min="1" max="1" width="11.7109375" style="130" customWidth="1"/>
    <col min="2" max="2" width="4.7109375" style="130" customWidth="1"/>
    <col min="3" max="6" width="9.28515625" style="130" bestFit="1" customWidth="1"/>
    <col min="7" max="7" width="8.7109375" style="130"/>
    <col min="8" max="9" width="9.28515625" style="130" bestFit="1" customWidth="1"/>
    <col min="10" max="10" width="10.28515625" style="130" bestFit="1" customWidth="1"/>
    <col min="11" max="15" width="9.28515625" style="130" bestFit="1" customWidth="1"/>
    <col min="16" max="16384" width="8.7109375" style="130"/>
  </cols>
  <sheetData>
    <row r="1" spans="1:15" ht="14.65" customHeight="1" x14ac:dyDescent="0.25">
      <c r="A1" s="266" t="s">
        <v>64</v>
      </c>
      <c r="B1" s="266" t="s">
        <v>65</v>
      </c>
      <c r="C1" s="266" t="s">
        <v>105</v>
      </c>
      <c r="D1" s="266"/>
      <c r="E1" s="266"/>
      <c r="F1" s="266"/>
      <c r="G1" s="266"/>
      <c r="H1" s="266"/>
      <c r="I1" s="266" t="s">
        <v>106</v>
      </c>
      <c r="J1" s="266"/>
      <c r="K1" s="266"/>
      <c r="L1" s="266"/>
      <c r="M1" s="266"/>
      <c r="N1" s="266"/>
      <c r="O1" s="266"/>
    </row>
    <row r="2" spans="1:15" x14ac:dyDescent="0.25">
      <c r="A2" s="266"/>
      <c r="B2" s="266"/>
      <c r="C2" s="131" t="s">
        <v>17</v>
      </c>
      <c r="D2" s="131" t="s">
        <v>18</v>
      </c>
      <c r="E2" s="131" t="s">
        <v>19</v>
      </c>
      <c r="F2" s="131" t="s">
        <v>20</v>
      </c>
      <c r="G2" s="131" t="s">
        <v>104</v>
      </c>
      <c r="H2" s="131" t="s">
        <v>21</v>
      </c>
      <c r="I2" s="131" t="s">
        <v>24</v>
      </c>
      <c r="J2" s="131" t="s">
        <v>25</v>
      </c>
      <c r="K2" s="131" t="s">
        <v>27</v>
      </c>
      <c r="L2" s="131" t="s">
        <v>28</v>
      </c>
      <c r="M2" s="131" t="s">
        <v>29</v>
      </c>
      <c r="N2" s="131" t="s">
        <v>30</v>
      </c>
      <c r="O2" s="131" t="s">
        <v>31</v>
      </c>
    </row>
    <row r="3" spans="1:15" x14ac:dyDescent="0.25">
      <c r="A3" s="132">
        <f>Manjhaul!B4</f>
        <v>46174</v>
      </c>
      <c r="B3" s="133" t="str">
        <f>Manjhaul!C4</f>
        <v>M</v>
      </c>
      <c r="C3" s="134">
        <f>Manjhaul!AQ4</f>
        <v>-712.12493685665436</v>
      </c>
      <c r="D3" s="134">
        <f>'Sahibpur Kamal'!AQ4</f>
        <v>-1225.5853517601179</v>
      </c>
      <c r="E3" s="134">
        <f>Dalsingsarai!AQ4</f>
        <v>-15586.84973858808</v>
      </c>
      <c r="F3" s="134">
        <f>Musrigharari!AQ4</f>
        <v>-4574.2161790966784</v>
      </c>
      <c r="G3" s="134"/>
      <c r="H3" s="134">
        <f>Buxar!AQ4</f>
        <v>-201.93887149348106</v>
      </c>
      <c r="I3" s="134">
        <f>Laldiyara!AQ4</f>
        <v>9635.5464846153609</v>
      </c>
      <c r="J3" s="134">
        <f>Asarganj!AQ4</f>
        <v>11932.999241240017</v>
      </c>
      <c r="K3" s="134">
        <f>Madhatpur!AQ4</f>
        <v>136.96663082666703</v>
      </c>
      <c r="L3" s="134">
        <f>Sonvarsha!AQ4</f>
        <v>45.280653880064165</v>
      </c>
      <c r="M3" s="134">
        <f>Araiya!AQ4</f>
        <v>4472.046358009934</v>
      </c>
      <c r="N3" s="134">
        <f>Teghra!AQ4</f>
        <v>264.6309486333227</v>
      </c>
      <c r="O3" s="134">
        <f>Halsi!AQ4</f>
        <v>-24744.866699373291</v>
      </c>
    </row>
    <row r="4" spans="1:15" x14ac:dyDescent="0.25">
      <c r="A4" s="132">
        <f>Manjhaul!B5</f>
        <v>46174</v>
      </c>
      <c r="B4" s="133" t="str">
        <f>Manjhaul!C5</f>
        <v>E</v>
      </c>
      <c r="C4" s="134">
        <f>Manjhaul!AQ5</f>
        <v>699.12420398329095</v>
      </c>
      <c r="D4" s="134">
        <f>'Sahibpur Kamal'!AQ5</f>
        <v>-108.74156421331391</v>
      </c>
      <c r="E4" s="134">
        <f>Dalsingsarai!AQ5</f>
        <v>-60.812116878404595</v>
      </c>
      <c r="F4" s="134">
        <f>Musrigharari!AQ5</f>
        <v>470.57409732668197</v>
      </c>
      <c r="G4" s="134"/>
      <c r="H4" s="134">
        <f>Buxar!AQ5</f>
        <v>9202.3162225867054</v>
      </c>
      <c r="I4" s="134">
        <f>Laldiyara!AQ5</f>
        <v>-2585.4447721665624</v>
      </c>
      <c r="J4" s="134">
        <f>Asarganj!AQ5</f>
        <v>4633.058927804841</v>
      </c>
      <c r="K4" s="134">
        <f>Madhatpur!AQ5</f>
        <v>1655.066826233339</v>
      </c>
      <c r="L4" s="134">
        <f>Sonvarsha!AQ5</f>
        <v>97.647052836546436</v>
      </c>
      <c r="M4" s="134">
        <f>Araiya!AQ5</f>
        <v>-3706.9184678167053</v>
      </c>
      <c r="N4" s="134">
        <f>Teghra!AQ5</f>
        <v>-3068.2590740082278</v>
      </c>
      <c r="O4" s="134">
        <f>Halsi!AQ5</f>
        <v>13218.155847819988</v>
      </c>
    </row>
    <row r="5" spans="1:15" x14ac:dyDescent="0.25">
      <c r="A5" s="132">
        <f>Manjhaul!B6</f>
        <v>46175</v>
      </c>
      <c r="B5" s="133" t="str">
        <f>Manjhaul!C6</f>
        <v>M</v>
      </c>
      <c r="C5" s="134">
        <f>Manjhaul!AQ6</f>
        <v>-692.59151602666634</v>
      </c>
      <c r="D5" s="134">
        <f>'Sahibpur Kamal'!AQ6</f>
        <v>-6404.5416591565445</v>
      </c>
      <c r="E5" s="134">
        <f>Dalsingsarai!AQ6</f>
        <v>-24.879115928352348</v>
      </c>
      <c r="F5" s="134">
        <f>Musrigharari!AQ6</f>
        <v>692.75716381669145</v>
      </c>
      <c r="G5" s="134"/>
      <c r="H5" s="134">
        <f>Buxar!AQ6</f>
        <v>-200.66486491322718</v>
      </c>
      <c r="I5" s="134">
        <f>Laldiyara!AQ6</f>
        <v>10428.38681612927</v>
      </c>
      <c r="J5" s="134">
        <f>Asarganj!AQ6</f>
        <v>1991.0800014234219</v>
      </c>
      <c r="K5" s="134">
        <f>Madhatpur!AQ6</f>
        <v>51.713534180001886</v>
      </c>
      <c r="L5" s="134">
        <f>Sonvarsha!AQ6</f>
        <v>81.888067286620071</v>
      </c>
      <c r="M5" s="134">
        <f>Araiya!AQ6</f>
        <v>388.23263094004767</v>
      </c>
      <c r="N5" s="134">
        <f>Teghra!AQ6</f>
        <v>342.97217800999636</v>
      </c>
      <c r="O5" s="134">
        <f>Halsi!AQ6</f>
        <v>19009.653890406662</v>
      </c>
    </row>
    <row r="6" spans="1:15" x14ac:dyDescent="0.25">
      <c r="A6" s="132">
        <f>Manjhaul!B7</f>
        <v>46175</v>
      </c>
      <c r="B6" s="133" t="str">
        <f>Manjhaul!C7</f>
        <v>E</v>
      </c>
      <c r="C6" s="134">
        <f>Manjhaul!AQ7</f>
        <v>-1418.5708629399592</v>
      </c>
      <c r="D6" s="134">
        <f>'Sahibpur Kamal'!AQ7</f>
        <v>-5015.6796600166936</v>
      </c>
      <c r="E6" s="134">
        <f>Dalsingsarai!AQ7</f>
        <v>-1812.3636931399433</v>
      </c>
      <c r="F6" s="134">
        <f>Musrigharari!AQ7</f>
        <v>683.42866438003284</v>
      </c>
      <c r="G6" s="134"/>
      <c r="H6" s="134">
        <f>Buxar!AQ7</f>
        <v>261.69313195656264</v>
      </c>
      <c r="I6" s="134">
        <f>Laldiyara!AQ7</f>
        <v>724.25867488329459</v>
      </c>
      <c r="J6" s="134">
        <f>Asarganj!AQ7</f>
        <v>421.64836906504217</v>
      </c>
      <c r="K6" s="134">
        <f>Madhatpur!AQ7</f>
        <v>123.26978818000525</v>
      </c>
      <c r="L6" s="134">
        <f>Sonvarsha!AQ7</f>
        <v>177.46384938331767</v>
      </c>
      <c r="M6" s="134">
        <f>Araiya!AQ7</f>
        <v>-2376.7483088067615</v>
      </c>
      <c r="N6" s="134">
        <f>Teghra!AQ7</f>
        <v>-3563.6657502600228</v>
      </c>
      <c r="O6" s="134">
        <f>Halsi!AQ7</f>
        <v>3693.8267558499792</v>
      </c>
    </row>
    <row r="7" spans="1:15" x14ac:dyDescent="0.25">
      <c r="A7" s="132">
        <f>Manjhaul!B8</f>
        <v>46176</v>
      </c>
      <c r="B7" s="133" t="str">
        <f>Manjhaul!C8</f>
        <v>M</v>
      </c>
      <c r="C7" s="134">
        <f>Manjhaul!AQ8</f>
        <v>135.79183335669006</v>
      </c>
      <c r="D7" s="134">
        <f>'Sahibpur Kamal'!AQ8</f>
        <v>33.556321773270589</v>
      </c>
      <c r="E7" s="134">
        <f>Dalsingsarai!AQ8</f>
        <v>5583.3430395049636</v>
      </c>
      <c r="F7" s="134">
        <f>Musrigharari!AQ8</f>
        <v>-5301.3656847433231</v>
      </c>
      <c r="G7" s="134"/>
      <c r="H7" s="134">
        <f>Buxar!AQ8</f>
        <v>-6156.0879305565604</v>
      </c>
      <c r="I7" s="134">
        <f>Laldiyara!AQ8</f>
        <v>5856.6061533467091</v>
      </c>
      <c r="J7" s="134">
        <f>Asarganj!AQ8</f>
        <v>2514.3755106982521</v>
      </c>
      <c r="K7" s="134">
        <f>Madhatpur!AQ8</f>
        <v>143.18208904999051</v>
      </c>
      <c r="L7" s="134">
        <f>Sonvarsha!AQ8</f>
        <v>-35.10655764004656</v>
      </c>
      <c r="M7" s="134">
        <f>Araiya!AQ8</f>
        <v>2508.1927480867184</v>
      </c>
      <c r="N7" s="134">
        <f>Teghra!AQ8</f>
        <v>-757.50225602334535</v>
      </c>
      <c r="O7" s="134">
        <f>Halsi!AQ8</f>
        <v>-580.45619221326251</v>
      </c>
    </row>
    <row r="8" spans="1:15" x14ac:dyDescent="0.25">
      <c r="A8" s="132">
        <f>Manjhaul!B9</f>
        <v>46176</v>
      </c>
      <c r="B8" s="133" t="str">
        <f>Manjhaul!C9</f>
        <v>E</v>
      </c>
      <c r="C8" s="134">
        <f>Manjhaul!AQ9</f>
        <v>337.80163263006227</v>
      </c>
      <c r="D8" s="134">
        <f>'Sahibpur Kamal'!AQ9</f>
        <v>-1443.3304939899533</v>
      </c>
      <c r="E8" s="134">
        <f>Dalsingsarai!AQ9</f>
        <v>310.94521778846956</v>
      </c>
      <c r="F8" s="134">
        <f>Musrigharari!AQ9</f>
        <v>910.59029240670043</v>
      </c>
      <c r="G8" s="134"/>
      <c r="H8" s="134">
        <f>Buxar!AQ9</f>
        <v>291.51512107671209</v>
      </c>
      <c r="I8" s="134">
        <f>Laldiyara!AQ9</f>
        <v>-504.78223641996328</v>
      </c>
      <c r="J8" s="134">
        <f>Asarganj!AQ9</f>
        <v>-620.65967399345493</v>
      </c>
      <c r="K8" s="134">
        <f>Madhatpur!AQ9</f>
        <v>164.06149169668237</v>
      </c>
      <c r="L8" s="134">
        <f>Sonvarsha!AQ9</f>
        <v>226.66543283993099</v>
      </c>
      <c r="M8" s="134">
        <f>Araiya!AQ9</f>
        <v>-6945.6218603567504</v>
      </c>
      <c r="N8" s="134">
        <f>Teghra!AQ9</f>
        <v>-4654.1260496499453</v>
      </c>
      <c r="O8" s="134">
        <f>Halsi!AQ9</f>
        <v>-7726.0432164298836</v>
      </c>
    </row>
    <row r="9" spans="1:15" x14ac:dyDescent="0.25">
      <c r="A9" s="132">
        <f>Manjhaul!B10</f>
        <v>46177</v>
      </c>
      <c r="B9" s="133" t="str">
        <f>Manjhaul!C10</f>
        <v>M</v>
      </c>
      <c r="C9" s="134">
        <f>Manjhaul!AQ10</f>
        <v>-2190.9896500800296</v>
      </c>
      <c r="D9" s="134">
        <f>'Sahibpur Kamal'!AQ10</f>
        <v>7046.6908044866586</v>
      </c>
      <c r="E9" s="134">
        <f>Dalsingsarai!AQ10</f>
        <v>866.30382453995594</v>
      </c>
      <c r="F9" s="134">
        <f>Musrigharari!AQ10</f>
        <v>-1928.3804424500108</v>
      </c>
      <c r="G9" s="134"/>
      <c r="H9" s="134">
        <f>Buxar!AQ10</f>
        <v>-2879.467055593318</v>
      </c>
      <c r="I9" s="134">
        <f>Laldiyara!AQ10</f>
        <v>-1901.9180957700166</v>
      </c>
      <c r="J9" s="134">
        <f>Asarganj!AQ10</f>
        <v>411.6939394518937</v>
      </c>
      <c r="K9" s="134">
        <f>Madhatpur!AQ10</f>
        <v>236.87439442331339</v>
      </c>
      <c r="L9" s="134">
        <f>Sonvarsha!AQ10</f>
        <v>-212.68173670332149</v>
      </c>
      <c r="M9" s="134">
        <f>Araiya!AQ10</f>
        <v>476.17963649666387</v>
      </c>
      <c r="N9" s="134">
        <f>Teghra!AQ10</f>
        <v>235.32505637666657</v>
      </c>
      <c r="O9" s="134">
        <f>Halsi!AQ10</f>
        <v>-16275.111442846681</v>
      </c>
    </row>
    <row r="10" spans="1:15" x14ac:dyDescent="0.25">
      <c r="A10" s="132">
        <f>Manjhaul!B11</f>
        <v>46177</v>
      </c>
      <c r="B10" s="133" t="str">
        <f>Manjhaul!C11</f>
        <v>E</v>
      </c>
      <c r="C10" s="134">
        <f>Manjhaul!AQ11</f>
        <v>1005.6221452200048</v>
      </c>
      <c r="D10" s="134">
        <f>'Sahibpur Kamal'!AQ11</f>
        <v>-1049.8297545633725</v>
      </c>
      <c r="E10" s="134">
        <f>Dalsingsarai!AQ11</f>
        <v>21220.485197886399</v>
      </c>
      <c r="F10" s="134">
        <f>Musrigharari!AQ11</f>
        <v>149.25284861664903</v>
      </c>
      <c r="G10" s="134"/>
      <c r="H10" s="134">
        <f>Buxar!AQ11</f>
        <v>-21.631626170061057</v>
      </c>
      <c r="I10" s="134">
        <f>Laldiyara!AQ11</f>
        <v>-19977.974308086643</v>
      </c>
      <c r="J10" s="134">
        <f>Asarganj!AQ11</f>
        <v>-20238.003181036656</v>
      </c>
      <c r="K10" s="134">
        <f>Madhatpur!AQ11</f>
        <v>98.084440813337793</v>
      </c>
      <c r="L10" s="134">
        <f>Sonvarsha!AQ11</f>
        <v>147.67029123004824</v>
      </c>
      <c r="M10" s="134">
        <f>Araiya!AQ11</f>
        <v>7378.2299929799237</v>
      </c>
      <c r="N10" s="134">
        <f>Teghra!AQ11</f>
        <v>10803.284006899961</v>
      </c>
      <c r="O10" s="134">
        <f>Halsi!AQ11</f>
        <v>14431.834759649944</v>
      </c>
    </row>
    <row r="11" spans="1:15" x14ac:dyDescent="0.25">
      <c r="A11" s="132">
        <f>Manjhaul!B12</f>
        <v>46178</v>
      </c>
      <c r="B11" s="133" t="str">
        <f>Manjhaul!C12</f>
        <v>M</v>
      </c>
      <c r="C11" s="134">
        <f>Manjhaul!AQ12</f>
        <v>-5808.5465969299612</v>
      </c>
      <c r="D11" s="134">
        <f>'Sahibpur Kamal'!AQ12</f>
        <v>-11982.748779206351</v>
      </c>
      <c r="E11" s="134">
        <f>Dalsingsarai!AQ12</f>
        <v>421.88570778200773</v>
      </c>
      <c r="F11" s="134">
        <f>Musrigharari!AQ12</f>
        <v>1261.8136606716707</v>
      </c>
      <c r="G11" s="134"/>
      <c r="H11" s="134">
        <f>Buxar!AQ12</f>
        <v>79.534641648031283</v>
      </c>
      <c r="I11" s="134">
        <f>Laldiyara!AQ12</f>
        <v>31414.939461495207</v>
      </c>
      <c r="J11" s="134">
        <f>Asarganj!AQ12</f>
        <v>15684.148063173376</v>
      </c>
      <c r="K11" s="134">
        <f>Madhatpur!AQ12</f>
        <v>-1.8481624699971739</v>
      </c>
      <c r="L11" s="134">
        <f>Sonvarsha!AQ12</f>
        <v>-71.163218331388862</v>
      </c>
      <c r="M11" s="134">
        <f>Araiya!AQ12</f>
        <v>-3846.952500673332</v>
      </c>
      <c r="N11" s="134">
        <f>Teghra!AQ12</f>
        <v>-665.41671924931416</v>
      </c>
      <c r="O11" s="134">
        <f>Halsi!AQ12</f>
        <v>-24270.917696666744</v>
      </c>
    </row>
    <row r="12" spans="1:15" x14ac:dyDescent="0.25">
      <c r="A12" s="132">
        <f>Manjhaul!B13</f>
        <v>46178</v>
      </c>
      <c r="B12" s="133" t="str">
        <f>Manjhaul!C13</f>
        <v>E</v>
      </c>
      <c r="C12" s="134">
        <f>Manjhaul!AQ13</f>
        <v>-16.020400806653775</v>
      </c>
      <c r="D12" s="134">
        <f>'Sahibpur Kamal'!AQ13</f>
        <v>103.50293415000576</v>
      </c>
      <c r="E12" s="134">
        <f>Dalsingsarai!AQ13</f>
        <v>-19958.331742272072</v>
      </c>
      <c r="F12" s="134">
        <f>Musrigharari!AQ13</f>
        <v>19.579209650001179</v>
      </c>
      <c r="G12" s="134"/>
      <c r="H12" s="134">
        <f>Buxar!AQ13</f>
        <v>1179.5156936638969</v>
      </c>
      <c r="I12" s="134">
        <f>Laldiyara!AQ13</f>
        <v>-64.185151799916639</v>
      </c>
      <c r="J12" s="134">
        <f>Asarganj!AQ13</f>
        <v>-470.46911224132316</v>
      </c>
      <c r="K12" s="134">
        <f>Madhatpur!AQ13</f>
        <v>79.672546799994862</v>
      </c>
      <c r="L12" s="134">
        <f>Sonvarsha!AQ13</f>
        <v>77.611062298022532</v>
      </c>
      <c r="M12" s="134">
        <f>Araiya!AQ13</f>
        <v>-2116.1487216100873</v>
      </c>
      <c r="N12" s="134">
        <f>Teghra!AQ13</f>
        <v>-132.01126297329654</v>
      </c>
      <c r="O12" s="134">
        <f>Halsi!AQ13</f>
        <v>13941.674120476697</v>
      </c>
    </row>
    <row r="13" spans="1:15" x14ac:dyDescent="0.25">
      <c r="A13" s="132">
        <f>Manjhaul!B14</f>
        <v>46179</v>
      </c>
      <c r="B13" s="133" t="str">
        <f>Manjhaul!C14</f>
        <v>M</v>
      </c>
      <c r="C13" s="134">
        <f>Manjhaul!AQ14</f>
        <v>28.603871834992667</v>
      </c>
      <c r="D13" s="134">
        <f>'Sahibpur Kamal'!AQ14</f>
        <v>-4379.2639034247031</v>
      </c>
      <c r="E13" s="134">
        <f>Dalsingsarai!AQ14</f>
        <v>6954.3295322270315</v>
      </c>
      <c r="F13" s="134">
        <f>Musrigharari!AQ14</f>
        <v>194.64168980667819</v>
      </c>
      <c r="G13" s="134"/>
      <c r="H13" s="134">
        <f>Buxar!AQ14</f>
        <v>97.947852464024379</v>
      </c>
      <c r="I13" s="134">
        <f>Laldiyara!AQ14</f>
        <v>-10081.953347491624</v>
      </c>
      <c r="J13" s="134">
        <f>Asarganj!AQ14</f>
        <v>5899.6397433307493</v>
      </c>
      <c r="K13" s="134">
        <f>Madhatpur!AQ14</f>
        <v>13.848873500015305</v>
      </c>
      <c r="L13" s="134">
        <f>Sonvarsha!AQ14</f>
        <v>-288.12423450062533</v>
      </c>
      <c r="M13" s="134">
        <f>Araiya!AQ14</f>
        <v>2494.9453391683655</v>
      </c>
      <c r="N13" s="134">
        <f>Teghra!AQ14</f>
        <v>1524.0229942372841</v>
      </c>
      <c r="O13" s="134">
        <f>Halsi!AQ14</f>
        <v>12357.095292080146</v>
      </c>
    </row>
    <row r="14" spans="1:15" x14ac:dyDescent="0.25">
      <c r="A14" s="132">
        <f>Manjhaul!B15</f>
        <v>46179</v>
      </c>
      <c r="B14" s="133" t="str">
        <f>Manjhaul!C15</f>
        <v>E</v>
      </c>
      <c r="C14" s="134">
        <f>Manjhaul!AQ15</f>
        <v>1843.4294771970176</v>
      </c>
      <c r="D14" s="134">
        <f>'Sahibpur Kamal'!AQ15</f>
        <v>12.996303627991189</v>
      </c>
      <c r="E14" s="134">
        <f>Dalsingsarai!AQ15</f>
        <v>319.65613677435084</v>
      </c>
      <c r="F14" s="134">
        <f>Musrigharari!AQ15</f>
        <v>391.80930640138058</v>
      </c>
      <c r="G14" s="134"/>
      <c r="H14" s="134">
        <f>Buxar!AQ15</f>
        <v>-17.554356204010361</v>
      </c>
      <c r="I14" s="134">
        <f>Laldiyara!AQ15</f>
        <v>13355.58916548267</v>
      </c>
      <c r="J14" s="134">
        <f>Asarganj!AQ15</f>
        <v>220.36252694862753</v>
      </c>
      <c r="K14" s="134">
        <f>Madhatpur!AQ15</f>
        <v>1162.3896574546629</v>
      </c>
      <c r="L14" s="134">
        <f>Sonvarsha!AQ15</f>
        <v>-117.8883149547205</v>
      </c>
      <c r="M14" s="134">
        <f>Araiya!AQ15</f>
        <v>5302.1367026319876</v>
      </c>
      <c r="N14" s="134">
        <f>Teghra!AQ15</f>
        <v>282.51452046764666</v>
      </c>
      <c r="O14" s="134">
        <f>Halsi!AQ15</f>
        <v>3829.3282940732752</v>
      </c>
    </row>
    <row r="15" spans="1:15" x14ac:dyDescent="0.25">
      <c r="A15" s="132">
        <f>Manjhaul!B16</f>
        <v>46180</v>
      </c>
      <c r="B15" s="133" t="str">
        <f>Manjhaul!C16</f>
        <v>M</v>
      </c>
      <c r="C15" s="134">
        <f>Manjhaul!AQ16</f>
        <v>-53.06511240800225</v>
      </c>
      <c r="D15" s="134">
        <f>'Sahibpur Kamal'!AQ16</f>
        <v>-118.73829611218844</v>
      </c>
      <c r="E15" s="134">
        <f>Dalsingsarai!AQ16</f>
        <v>18428.929040521874</v>
      </c>
      <c r="F15" s="134">
        <f>Musrigharari!AQ16</f>
        <v>-10442.586288339391</v>
      </c>
      <c r="G15" s="134"/>
      <c r="H15" s="134">
        <f>Buxar!AQ16</f>
        <v>250.32688039330424</v>
      </c>
      <c r="I15" s="134">
        <f>Laldiyara!AQ16</f>
        <v>1646.2326814523587</v>
      </c>
      <c r="J15" s="134">
        <f>Asarganj!AQ16</f>
        <v>34.97858836268928</v>
      </c>
      <c r="K15" s="134">
        <f>Madhatpur!AQ16</f>
        <v>16.680687562000163</v>
      </c>
      <c r="L15" s="134">
        <f>Sonvarsha!AQ16</f>
        <v>61.784949739340391</v>
      </c>
      <c r="M15" s="134">
        <f>Araiya!AQ16</f>
        <v>-2211.45613034495</v>
      </c>
      <c r="N15" s="134">
        <f>Teghra!AQ16</f>
        <v>-273.10861398330235</v>
      </c>
      <c r="O15" s="134">
        <f>Halsi!AQ16</f>
        <v>-23806.486184506604</v>
      </c>
    </row>
    <row r="16" spans="1:15" x14ac:dyDescent="0.25">
      <c r="A16" s="132">
        <f>Manjhaul!B17</f>
        <v>46180</v>
      </c>
      <c r="B16" s="133" t="str">
        <f>Manjhaul!C17</f>
        <v>E</v>
      </c>
      <c r="C16" s="134">
        <f>Manjhaul!AQ17</f>
        <v>-954.36804049762668</v>
      </c>
      <c r="D16" s="134">
        <f>'Sahibpur Kamal'!AQ17</f>
        <v>-144.18869490665901</v>
      </c>
      <c r="E16" s="134">
        <f>Dalsingsarai!AQ17</f>
        <v>-9766.5274692113217</v>
      </c>
      <c r="F16" s="134">
        <f>Musrigharari!AQ17</f>
        <v>9.2283326520165385</v>
      </c>
      <c r="G16" s="134"/>
      <c r="H16" s="134">
        <f>Buxar!AQ17</f>
        <v>1.4533461250136912</v>
      </c>
      <c r="I16" s="134">
        <f>Laldiyara!AQ17</f>
        <v>105.17620128403237</v>
      </c>
      <c r="J16" s="134">
        <f>Asarganj!AQ17</f>
        <v>12279.820553153993</v>
      </c>
      <c r="K16" s="134">
        <f>Madhatpur!AQ17</f>
        <v>26.444300497995776</v>
      </c>
      <c r="L16" s="134">
        <f>Sonvarsha!AQ17</f>
        <v>-283.5715987720348</v>
      </c>
      <c r="M16" s="134">
        <f>Araiya!AQ17</f>
        <v>-2694.6778030479331</v>
      </c>
      <c r="N16" s="134">
        <f>Teghra!AQ17</f>
        <v>-36159.346040664022</v>
      </c>
      <c r="O16" s="134">
        <f>Halsi!AQ17</f>
        <v>-672.49591024008532</v>
      </c>
    </row>
    <row r="17" spans="1:15" x14ac:dyDescent="0.25">
      <c r="A17" s="132">
        <f>Manjhaul!B18</f>
        <v>46181</v>
      </c>
      <c r="B17" s="133" t="str">
        <f>Manjhaul!C18</f>
        <v>M</v>
      </c>
      <c r="C17" s="134">
        <f>Manjhaul!AQ18</f>
        <v>3419.7960807266736</v>
      </c>
      <c r="D17" s="134">
        <f>'Sahibpur Kamal'!AQ18</f>
        <v>2649.2571790301135</v>
      </c>
      <c r="E17" s="134">
        <f>Dalsingsarai!AQ18</f>
        <v>198.19599458640093</v>
      </c>
      <c r="F17" s="134">
        <f>Musrigharari!AQ18</f>
        <v>2353.4671329143193</v>
      </c>
      <c r="G17" s="134"/>
      <c r="H17" s="134">
        <f>Buxar!AQ18</f>
        <v>378.98978353134794</v>
      </c>
      <c r="I17" s="134">
        <f>Laldiyara!AQ18</f>
        <v>-3.8791210920083117</v>
      </c>
      <c r="J17" s="134">
        <f>Asarganj!AQ18</f>
        <v>3466.5143688815106</v>
      </c>
      <c r="K17" s="134">
        <f>Madhatpur!AQ18</f>
        <v>134.56554590968662</v>
      </c>
      <c r="L17" s="134">
        <f>Sonvarsha!AQ18</f>
        <v>41.478086906702629</v>
      </c>
      <c r="M17" s="134">
        <f>Araiya!AQ18</f>
        <v>-1692.1619055367155</v>
      </c>
      <c r="N17" s="134">
        <f>Teghra!AQ18</f>
        <v>3.0982720743369776</v>
      </c>
      <c r="O17" s="134">
        <f>Halsi!AQ18</f>
        <v>6169.5314383266577</v>
      </c>
    </row>
    <row r="18" spans="1:15" x14ac:dyDescent="0.25">
      <c r="A18" s="132">
        <f>Manjhaul!B19</f>
        <v>46181</v>
      </c>
      <c r="B18" s="133" t="str">
        <f>Manjhaul!C19</f>
        <v>E</v>
      </c>
      <c r="C18" s="134">
        <f>Manjhaul!AQ19</f>
        <v>6.6952681950078485</v>
      </c>
      <c r="D18" s="134">
        <f>'Sahibpur Kamal'!AQ19</f>
        <v>-19.57674064502655</v>
      </c>
      <c r="E18" s="134">
        <f>Dalsingsarai!AQ19</f>
        <v>-16811.766633430772</v>
      </c>
      <c r="F18" s="134">
        <f>Musrigharari!AQ19</f>
        <v>131.09458875332282</v>
      </c>
      <c r="G18" s="134"/>
      <c r="H18" s="134">
        <f>Buxar!AQ19</f>
        <v>-516.73599146407071</v>
      </c>
      <c r="I18" s="134">
        <f>Laldiyara!AQ19</f>
        <v>-12428.795646190161</v>
      </c>
      <c r="J18" s="134">
        <f>Asarganj!AQ19</f>
        <v>265.02509161339935</v>
      </c>
      <c r="K18" s="134">
        <f>Madhatpur!AQ19</f>
        <v>111.10211255731926</v>
      </c>
      <c r="L18" s="134">
        <f>Sonvarsha!AQ19</f>
        <v>155.28973044197812</v>
      </c>
      <c r="M18" s="134">
        <f>Araiya!AQ19</f>
        <v>634.75549288436514</v>
      </c>
      <c r="N18" s="134">
        <f>Teghra!AQ19</f>
        <v>198.8797593346921</v>
      </c>
      <c r="O18" s="134">
        <f>Halsi!AQ19</f>
        <v>-24542.810363096603</v>
      </c>
    </row>
    <row r="19" spans="1:15" x14ac:dyDescent="0.25">
      <c r="A19" s="132">
        <f>Manjhaul!B20</f>
        <v>46182</v>
      </c>
      <c r="B19" s="133" t="str">
        <f>Manjhaul!C20</f>
        <v>M</v>
      </c>
      <c r="C19" s="134">
        <f>Manjhaul!AQ20</f>
        <v>4699.5257544620099</v>
      </c>
      <c r="D19" s="134">
        <f>'Sahibpur Kamal'!AQ20</f>
        <v>-4903.1306207473508</v>
      </c>
      <c r="E19" s="134">
        <f>Dalsingsarai!AQ20</f>
        <v>270.60908310332724</v>
      </c>
      <c r="F19" s="134">
        <f>Musrigharari!AQ20</f>
        <v>248.15762756398516</v>
      </c>
      <c r="G19" s="134"/>
      <c r="H19" s="134">
        <f>Buxar!AQ20</f>
        <v>4439.6047994760356</v>
      </c>
      <c r="I19" s="134">
        <f>Laldiyara!AQ20</f>
        <v>-15.101407218422779</v>
      </c>
      <c r="J19" s="134">
        <f>Asarganj!AQ20</f>
        <v>3039.588763493427</v>
      </c>
      <c r="K19" s="134">
        <f>Madhatpur!AQ20</f>
        <v>871.57111002501733</v>
      </c>
      <c r="L19" s="134">
        <f>Sonvarsha!AQ20</f>
        <v>-15.946001455982923</v>
      </c>
      <c r="M19" s="134">
        <f>Araiya!AQ20</f>
        <v>4426.5769524386915</v>
      </c>
      <c r="N19" s="134">
        <f>Teghra!AQ20</f>
        <v>-6103.3074121249983</v>
      </c>
      <c r="O19" s="134">
        <f>Halsi!AQ20</f>
        <v>0</v>
      </c>
    </row>
    <row r="20" spans="1:15" x14ac:dyDescent="0.25">
      <c r="A20" s="132">
        <f>Manjhaul!B21</f>
        <v>46182</v>
      </c>
      <c r="B20" s="133" t="str">
        <f>Manjhaul!C21</f>
        <v>E</v>
      </c>
      <c r="C20" s="134">
        <f>Manjhaul!AQ21</f>
        <v>3.8199996449946942</v>
      </c>
      <c r="D20" s="134">
        <f>'Sahibpur Kamal'!AQ21</f>
        <v>56.610543733329408</v>
      </c>
      <c r="E20" s="134">
        <f>Dalsingsarai!AQ21</f>
        <v>112.80590557129858</v>
      </c>
      <c r="F20" s="134">
        <f>Musrigharari!AQ21</f>
        <v>394.50893143200881</v>
      </c>
      <c r="G20" s="134"/>
      <c r="H20" s="134">
        <f>Buxar!AQ21</f>
        <v>17.671671350704045</v>
      </c>
      <c r="I20" s="134">
        <f>Laldiyara!AQ21</f>
        <v>-4960.2966157872106</v>
      </c>
      <c r="J20" s="134">
        <f>Asarganj!AQ21</f>
        <v>343.27860397601961</v>
      </c>
      <c r="K20" s="134">
        <f>Madhatpur!AQ21</f>
        <v>83.127597578660271</v>
      </c>
      <c r="L20" s="134">
        <f>Sonvarsha!AQ21</f>
        <v>-14170.322987333315</v>
      </c>
      <c r="M20" s="134">
        <f>Araiya!AQ21</f>
        <v>-6206.1615965066085</v>
      </c>
      <c r="N20" s="134">
        <f>Teghra!AQ21</f>
        <v>110.29290739135109</v>
      </c>
      <c r="O20" s="134">
        <f>Halsi!AQ21</f>
        <v>0</v>
      </c>
    </row>
    <row r="21" spans="1:15" x14ac:dyDescent="0.25">
      <c r="A21" s="132">
        <f>Manjhaul!B22</f>
        <v>46183</v>
      </c>
      <c r="B21" s="133" t="str">
        <f>Manjhaul!C22</f>
        <v>M</v>
      </c>
      <c r="C21" s="134">
        <f>Manjhaul!AQ22</f>
        <v>0</v>
      </c>
      <c r="D21" s="134">
        <f>'Sahibpur Kamal'!AQ22</f>
        <v>-3696.9183690926607</v>
      </c>
      <c r="E21" s="134">
        <f>Dalsingsarai!AQ22</f>
        <v>-3322.6067963806067</v>
      </c>
      <c r="F21" s="134">
        <f>Musrigharari!AQ22</f>
        <v>-8098.8406755666365</v>
      </c>
      <c r="G21" s="134"/>
      <c r="H21" s="134">
        <f>Buxar!AQ22</f>
        <v>1605.6622606383007</v>
      </c>
      <c r="I21" s="134">
        <f>Laldiyara!AQ22</f>
        <v>0</v>
      </c>
      <c r="J21" s="134">
        <f>Asarganj!AQ22</f>
        <v>-2202.1115300030124</v>
      </c>
      <c r="K21" s="134">
        <f>Madhatpur!AQ22</f>
        <v>-48.625736672337027</v>
      </c>
      <c r="L21" s="134">
        <f>Sonvarsha!AQ22</f>
        <v>0</v>
      </c>
      <c r="M21" s="134">
        <f>Araiya!AQ22</f>
        <v>-3835.1174673606206</v>
      </c>
      <c r="N21" s="134">
        <f>Teghra!AQ22</f>
        <v>119.4281959640166</v>
      </c>
      <c r="O21" s="134">
        <f>Halsi!AQ22</f>
        <v>0</v>
      </c>
    </row>
    <row r="22" spans="1:15" x14ac:dyDescent="0.25">
      <c r="A22" s="132">
        <f>Manjhaul!B23</f>
        <v>46183</v>
      </c>
      <c r="B22" s="133" t="str">
        <f>Manjhaul!C23</f>
        <v>E</v>
      </c>
      <c r="C22" s="134">
        <f>Manjhaul!AQ23</f>
        <v>0</v>
      </c>
      <c r="D22" s="134">
        <f>'Sahibpur Kamal'!AQ23</f>
        <v>-21.423062583982016</v>
      </c>
      <c r="E22" s="134">
        <f>Dalsingsarai!AQ23</f>
        <v>-2793.9975992904124</v>
      </c>
      <c r="F22" s="134">
        <f>Musrigharari!AQ23</f>
        <v>23.196346866010035</v>
      </c>
      <c r="G22" s="134"/>
      <c r="H22" s="134">
        <f>Buxar!AQ23</f>
        <v>-331.433589897677</v>
      </c>
      <c r="I22" s="134">
        <f>Laldiyara!AQ23</f>
        <v>0</v>
      </c>
      <c r="J22" s="134">
        <f>Asarganj!AQ23</f>
        <v>-16394.329863167688</v>
      </c>
      <c r="K22" s="134">
        <f>Madhatpur!AQ23</f>
        <v>110.50772579001466</v>
      </c>
      <c r="L22" s="134">
        <f>Sonvarsha!AQ23</f>
        <v>0</v>
      </c>
      <c r="M22" s="134">
        <f>Araiya!AQ23</f>
        <v>-8760.5536030063813</v>
      </c>
      <c r="N22" s="134">
        <f>Teghra!AQ23</f>
        <v>-4432.7162306349755</v>
      </c>
      <c r="O22" s="134">
        <f>Halsi!AQ23</f>
        <v>0</v>
      </c>
    </row>
    <row r="23" spans="1:15" x14ac:dyDescent="0.25">
      <c r="A23" s="132">
        <f>Manjhaul!B24</f>
        <v>46184</v>
      </c>
      <c r="B23" s="133" t="str">
        <f>Manjhaul!C24</f>
        <v>M</v>
      </c>
      <c r="C23" s="134">
        <f>Manjhaul!AQ24</f>
        <v>0</v>
      </c>
      <c r="D23" s="134">
        <f>'Sahibpur Kamal'!AQ24</f>
        <v>-927.01846809366646</v>
      </c>
      <c r="E23" s="134">
        <f>Dalsingsarai!AQ24</f>
        <v>0</v>
      </c>
      <c r="F23" s="134">
        <f>Musrigharari!AQ24</f>
        <v>0</v>
      </c>
      <c r="G23" s="134"/>
      <c r="H23" s="134">
        <f>Buxar!AQ24</f>
        <v>111.19101170098179</v>
      </c>
      <c r="I23" s="134">
        <f>Laldiyara!AQ24</f>
        <v>0</v>
      </c>
      <c r="J23" s="134">
        <f>Asarganj!AQ24</f>
        <v>0</v>
      </c>
      <c r="K23" s="134">
        <f>Madhatpur!AQ24</f>
        <v>60.963653930655823</v>
      </c>
      <c r="L23" s="134">
        <f>Sonvarsha!AQ24</f>
        <v>0</v>
      </c>
      <c r="M23" s="134">
        <f>Araiya!AQ24</f>
        <v>0</v>
      </c>
      <c r="N23" s="134">
        <f>Teghra!AQ24</f>
        <v>168.68224203599561</v>
      </c>
      <c r="O23" s="134">
        <f>Halsi!AQ24</f>
        <v>0</v>
      </c>
    </row>
    <row r="24" spans="1:15" x14ac:dyDescent="0.25">
      <c r="A24" s="132">
        <f>Manjhaul!B25</f>
        <v>46184</v>
      </c>
      <c r="B24" s="133" t="str">
        <f>Manjhaul!C25</f>
        <v>E</v>
      </c>
      <c r="C24" s="134">
        <f>Manjhaul!AQ25</f>
        <v>0</v>
      </c>
      <c r="D24" s="134">
        <f>'Sahibpur Kamal'!AQ25</f>
        <v>-442.07377406504395</v>
      </c>
      <c r="E24" s="134">
        <f>Dalsingsarai!AQ25</f>
        <v>0</v>
      </c>
      <c r="F24" s="134">
        <f>Musrigharari!AQ25</f>
        <v>0</v>
      </c>
      <c r="G24" s="134"/>
      <c r="H24" s="134">
        <f>Buxar!AQ25</f>
        <v>-21441.896573122598</v>
      </c>
      <c r="I24" s="134">
        <f>Laldiyara!AQ25</f>
        <v>0</v>
      </c>
      <c r="J24" s="134">
        <f>Asarganj!AQ25</f>
        <v>0</v>
      </c>
      <c r="K24" s="134">
        <f>Madhatpur!AQ25</f>
        <v>-548.27284671132782</v>
      </c>
      <c r="L24" s="134">
        <f>Sonvarsha!AQ25</f>
        <v>0</v>
      </c>
      <c r="M24" s="134">
        <f>Araiya!AQ25</f>
        <v>0</v>
      </c>
      <c r="N24" s="134">
        <f>Teghra!AQ25</f>
        <v>114.62583160234962</v>
      </c>
      <c r="O24" s="134">
        <f>Halsi!AQ25</f>
        <v>0</v>
      </c>
    </row>
    <row r="25" spans="1:15" x14ac:dyDescent="0.25">
      <c r="A25" s="132">
        <f>Manjhaul!B26</f>
        <v>46185</v>
      </c>
      <c r="B25" s="133" t="str">
        <f>Manjhaul!C26</f>
        <v>M</v>
      </c>
      <c r="C25" s="134">
        <f>Manjhaul!AQ26</f>
        <v>0</v>
      </c>
      <c r="D25" s="134">
        <f>'Sahibpur Kamal'!AQ26</f>
        <v>0</v>
      </c>
      <c r="E25" s="134">
        <f>Dalsingsarai!AQ26</f>
        <v>0</v>
      </c>
      <c r="F25" s="134">
        <f>Musrigharari!AQ26</f>
        <v>0</v>
      </c>
      <c r="G25" s="134"/>
      <c r="H25" s="134">
        <f>Buxar!AQ26</f>
        <v>0</v>
      </c>
      <c r="I25" s="134">
        <f>Laldiyara!AQ26</f>
        <v>0</v>
      </c>
      <c r="J25" s="134">
        <f>Asarganj!AQ26</f>
        <v>0</v>
      </c>
      <c r="K25" s="134">
        <f>Madhatpur!AQ26</f>
        <v>0</v>
      </c>
      <c r="L25" s="134">
        <f>Sonvarsha!AQ26</f>
        <v>0</v>
      </c>
      <c r="M25" s="134">
        <f>Araiya!AQ26</f>
        <v>0</v>
      </c>
      <c r="N25" s="134">
        <f>Teghra!AQ26</f>
        <v>0</v>
      </c>
      <c r="O25" s="134">
        <f>Halsi!AQ26</f>
        <v>0</v>
      </c>
    </row>
    <row r="26" spans="1:15" x14ac:dyDescent="0.25">
      <c r="A26" s="132">
        <f>Manjhaul!B27</f>
        <v>46185</v>
      </c>
      <c r="B26" s="133" t="str">
        <f>Manjhaul!C27</f>
        <v>E</v>
      </c>
      <c r="C26" s="134">
        <f>Manjhaul!AQ27</f>
        <v>0</v>
      </c>
      <c r="D26" s="134">
        <f>'Sahibpur Kamal'!AQ27</f>
        <v>0</v>
      </c>
      <c r="E26" s="134">
        <f>Dalsingsarai!AQ27</f>
        <v>0</v>
      </c>
      <c r="F26" s="134">
        <f>Musrigharari!AQ27</f>
        <v>0</v>
      </c>
      <c r="G26" s="134"/>
      <c r="H26" s="134">
        <f>Buxar!AQ27</f>
        <v>0</v>
      </c>
      <c r="I26" s="134">
        <f>Laldiyara!AQ27</f>
        <v>0</v>
      </c>
      <c r="J26" s="134">
        <f>Asarganj!AQ27</f>
        <v>0</v>
      </c>
      <c r="K26" s="134">
        <f>Madhatpur!AQ27</f>
        <v>0</v>
      </c>
      <c r="L26" s="134">
        <f>Sonvarsha!AQ27</f>
        <v>0</v>
      </c>
      <c r="M26" s="134">
        <f>Araiya!AQ27</f>
        <v>0</v>
      </c>
      <c r="N26" s="134">
        <f>Teghra!AQ27</f>
        <v>0</v>
      </c>
      <c r="O26" s="134">
        <f>Halsi!AQ27</f>
        <v>0</v>
      </c>
    </row>
    <row r="27" spans="1:15" x14ac:dyDescent="0.25">
      <c r="A27" s="132">
        <f>Manjhaul!B28</f>
        <v>46186</v>
      </c>
      <c r="B27" s="133" t="str">
        <f>Manjhaul!C28</f>
        <v>M</v>
      </c>
      <c r="C27" s="134">
        <f>Manjhaul!AQ28</f>
        <v>0</v>
      </c>
      <c r="D27" s="134">
        <f>'Sahibpur Kamal'!AQ28</f>
        <v>0</v>
      </c>
      <c r="E27" s="134">
        <f>Dalsingsarai!AQ28</f>
        <v>0</v>
      </c>
      <c r="F27" s="134">
        <f>Musrigharari!AQ28</f>
        <v>0</v>
      </c>
      <c r="G27" s="134"/>
      <c r="H27" s="134">
        <f>Buxar!AQ28</f>
        <v>0</v>
      </c>
      <c r="I27" s="134">
        <f>Laldiyara!AQ28</f>
        <v>0</v>
      </c>
      <c r="J27" s="134">
        <f>Asarganj!AQ28</f>
        <v>0</v>
      </c>
      <c r="K27" s="134">
        <f>Madhatpur!AQ28</f>
        <v>0</v>
      </c>
      <c r="L27" s="134">
        <f>Sonvarsha!AQ28</f>
        <v>0</v>
      </c>
      <c r="M27" s="134">
        <f>Araiya!AQ28</f>
        <v>0</v>
      </c>
      <c r="N27" s="134">
        <f>Teghra!AQ28</f>
        <v>0</v>
      </c>
      <c r="O27" s="134">
        <f>Halsi!AQ28</f>
        <v>0</v>
      </c>
    </row>
    <row r="28" spans="1:15" x14ac:dyDescent="0.25">
      <c r="A28" s="132">
        <f>Manjhaul!B29</f>
        <v>46186</v>
      </c>
      <c r="B28" s="133" t="str">
        <f>Manjhaul!C29</f>
        <v>E</v>
      </c>
      <c r="C28" s="134">
        <f>Manjhaul!AQ29</f>
        <v>0</v>
      </c>
      <c r="D28" s="134">
        <f>'Sahibpur Kamal'!AQ29</f>
        <v>0</v>
      </c>
      <c r="E28" s="134">
        <f>Dalsingsarai!AQ29</f>
        <v>0</v>
      </c>
      <c r="F28" s="134">
        <f>Musrigharari!AQ29</f>
        <v>0</v>
      </c>
      <c r="G28" s="134"/>
      <c r="H28" s="134">
        <f>Buxar!AQ29</f>
        <v>0</v>
      </c>
      <c r="I28" s="134">
        <f>Laldiyara!AQ29</f>
        <v>0</v>
      </c>
      <c r="J28" s="134">
        <f>Asarganj!AQ29</f>
        <v>0</v>
      </c>
      <c r="K28" s="134">
        <f>Madhatpur!AQ29</f>
        <v>0</v>
      </c>
      <c r="L28" s="134">
        <f>Sonvarsha!AQ29</f>
        <v>0</v>
      </c>
      <c r="M28" s="134">
        <f>Araiya!AQ29</f>
        <v>0</v>
      </c>
      <c r="N28" s="134">
        <f>Teghra!AQ29</f>
        <v>0</v>
      </c>
      <c r="O28" s="134">
        <f>Halsi!AQ29</f>
        <v>0</v>
      </c>
    </row>
    <row r="29" spans="1:15" x14ac:dyDescent="0.25">
      <c r="A29" s="132">
        <f>Manjhaul!B30</f>
        <v>46187</v>
      </c>
      <c r="B29" s="133" t="str">
        <f>Manjhaul!C30</f>
        <v>M</v>
      </c>
      <c r="C29" s="134">
        <f>Manjhaul!AQ30</f>
        <v>0</v>
      </c>
      <c r="D29" s="134">
        <f>'Sahibpur Kamal'!AQ30</f>
        <v>0</v>
      </c>
      <c r="E29" s="134">
        <f>Dalsingsarai!AQ30</f>
        <v>0</v>
      </c>
      <c r="F29" s="134">
        <f>Musrigharari!AQ30</f>
        <v>0</v>
      </c>
      <c r="G29" s="134"/>
      <c r="H29" s="134">
        <f>Buxar!AQ30</f>
        <v>0</v>
      </c>
      <c r="I29" s="134">
        <f>Laldiyara!AQ30</f>
        <v>0</v>
      </c>
      <c r="J29" s="134">
        <f>Asarganj!AQ30</f>
        <v>0</v>
      </c>
      <c r="K29" s="134">
        <f>Madhatpur!AQ30</f>
        <v>0</v>
      </c>
      <c r="L29" s="134">
        <f>Sonvarsha!AQ30</f>
        <v>0</v>
      </c>
      <c r="M29" s="134">
        <f>Araiya!AQ30</f>
        <v>0</v>
      </c>
      <c r="N29" s="134">
        <f>Teghra!AQ30</f>
        <v>0</v>
      </c>
      <c r="O29" s="134">
        <f>Halsi!AQ30</f>
        <v>0</v>
      </c>
    </row>
    <row r="30" spans="1:15" x14ac:dyDescent="0.25">
      <c r="A30" s="132">
        <f>Manjhaul!B31</f>
        <v>46187</v>
      </c>
      <c r="B30" s="133" t="str">
        <f>Manjhaul!C31</f>
        <v>E</v>
      </c>
      <c r="C30" s="134">
        <f>Manjhaul!AQ31</f>
        <v>0</v>
      </c>
      <c r="D30" s="134">
        <f>'Sahibpur Kamal'!AQ31</f>
        <v>0</v>
      </c>
      <c r="E30" s="134">
        <f>Dalsingsarai!AQ31</f>
        <v>0</v>
      </c>
      <c r="F30" s="134">
        <f>Musrigharari!AQ31</f>
        <v>0</v>
      </c>
      <c r="G30" s="134"/>
      <c r="H30" s="134">
        <f>Buxar!AQ31</f>
        <v>0</v>
      </c>
      <c r="I30" s="134">
        <f>Laldiyara!AQ31</f>
        <v>0</v>
      </c>
      <c r="J30" s="134">
        <f>Asarganj!AQ31</f>
        <v>0</v>
      </c>
      <c r="K30" s="134">
        <f>Madhatpur!AQ31</f>
        <v>0</v>
      </c>
      <c r="L30" s="134">
        <f>Sonvarsha!AQ31</f>
        <v>0</v>
      </c>
      <c r="M30" s="134">
        <f>Araiya!AQ31</f>
        <v>0</v>
      </c>
      <c r="N30" s="134">
        <f>Teghra!AQ31</f>
        <v>0</v>
      </c>
      <c r="O30" s="134">
        <f>Halsi!AQ31</f>
        <v>0</v>
      </c>
    </row>
    <row r="31" spans="1:15" x14ac:dyDescent="0.25">
      <c r="A31" s="132">
        <f>Manjhaul!B32</f>
        <v>46188</v>
      </c>
      <c r="B31" s="133" t="str">
        <f>Manjhaul!C32</f>
        <v>M</v>
      </c>
      <c r="C31" s="134">
        <f>Manjhaul!AQ32</f>
        <v>0</v>
      </c>
      <c r="D31" s="134">
        <f>'Sahibpur Kamal'!AQ32</f>
        <v>0</v>
      </c>
      <c r="E31" s="134">
        <f>Dalsingsarai!AQ32</f>
        <v>0</v>
      </c>
      <c r="F31" s="134">
        <f>Musrigharari!AQ32</f>
        <v>0</v>
      </c>
      <c r="G31" s="134"/>
      <c r="H31" s="134">
        <f>Buxar!AQ32</f>
        <v>0</v>
      </c>
      <c r="I31" s="134">
        <f>Laldiyara!AQ32</f>
        <v>0</v>
      </c>
      <c r="J31" s="134">
        <f>Asarganj!AQ32</f>
        <v>0</v>
      </c>
      <c r="K31" s="134">
        <f>Madhatpur!AQ32</f>
        <v>0</v>
      </c>
      <c r="L31" s="134">
        <f>Sonvarsha!AQ32</f>
        <v>0</v>
      </c>
      <c r="M31" s="134">
        <f>Araiya!AQ32</f>
        <v>0</v>
      </c>
      <c r="N31" s="134">
        <f>Teghra!AQ32</f>
        <v>0</v>
      </c>
      <c r="O31" s="134">
        <f>Halsi!AQ32</f>
        <v>0</v>
      </c>
    </row>
    <row r="32" spans="1:15" x14ac:dyDescent="0.25">
      <c r="A32" s="132">
        <f>Manjhaul!B33</f>
        <v>46188</v>
      </c>
      <c r="B32" s="133" t="str">
        <f>Manjhaul!C33</f>
        <v>E</v>
      </c>
      <c r="C32" s="134">
        <f>Manjhaul!AQ33</f>
        <v>0</v>
      </c>
      <c r="D32" s="134">
        <f>'Sahibpur Kamal'!AQ33</f>
        <v>0</v>
      </c>
      <c r="E32" s="134">
        <f>Dalsingsarai!AQ33</f>
        <v>0</v>
      </c>
      <c r="F32" s="134">
        <f>Musrigharari!AQ33</f>
        <v>0</v>
      </c>
      <c r="G32" s="134"/>
      <c r="H32" s="134">
        <f>Buxar!AQ33</f>
        <v>0</v>
      </c>
      <c r="I32" s="134">
        <f>Laldiyara!AQ33</f>
        <v>0</v>
      </c>
      <c r="J32" s="134">
        <f>Asarganj!AQ33</f>
        <v>0</v>
      </c>
      <c r="K32" s="134">
        <f>Madhatpur!AQ33</f>
        <v>0</v>
      </c>
      <c r="L32" s="134">
        <f>Sonvarsha!AQ33</f>
        <v>0</v>
      </c>
      <c r="M32" s="134">
        <f>Araiya!AQ33</f>
        <v>0</v>
      </c>
      <c r="N32" s="134">
        <f>Teghra!AQ33</f>
        <v>0</v>
      </c>
      <c r="O32" s="134">
        <f>Halsi!AQ33</f>
        <v>0</v>
      </c>
    </row>
    <row r="33" spans="1:15" x14ac:dyDescent="0.25">
      <c r="A33" s="132">
        <f>Manjhaul!B34</f>
        <v>46189</v>
      </c>
      <c r="B33" s="133" t="str">
        <f>Manjhaul!C34</f>
        <v>M</v>
      </c>
      <c r="C33" s="134">
        <f>Manjhaul!AQ34</f>
        <v>0</v>
      </c>
      <c r="D33" s="134">
        <f>'Sahibpur Kamal'!AQ34</f>
        <v>0</v>
      </c>
      <c r="E33" s="134">
        <f>Dalsingsarai!AQ34</f>
        <v>0</v>
      </c>
      <c r="F33" s="134">
        <f>Musrigharari!AQ34</f>
        <v>0</v>
      </c>
      <c r="G33" s="134"/>
      <c r="H33" s="134">
        <f>Buxar!AQ34</f>
        <v>0</v>
      </c>
      <c r="I33" s="134">
        <f>Laldiyara!AQ34</f>
        <v>0</v>
      </c>
      <c r="J33" s="134">
        <f>Asarganj!AQ34</f>
        <v>0</v>
      </c>
      <c r="K33" s="134">
        <f>Madhatpur!AQ34</f>
        <v>0</v>
      </c>
      <c r="L33" s="134">
        <f>Sonvarsha!AQ34</f>
        <v>0</v>
      </c>
      <c r="M33" s="134">
        <f>Araiya!AQ34</f>
        <v>0</v>
      </c>
      <c r="N33" s="134">
        <f>Teghra!AQ34</f>
        <v>0</v>
      </c>
      <c r="O33" s="134">
        <f>Halsi!AQ34</f>
        <v>0</v>
      </c>
    </row>
    <row r="34" spans="1:15" x14ac:dyDescent="0.25">
      <c r="A34" s="132">
        <f>Manjhaul!B35</f>
        <v>46189</v>
      </c>
      <c r="B34" s="133" t="str">
        <f>Manjhaul!C35</f>
        <v>E</v>
      </c>
      <c r="C34" s="134">
        <f>Manjhaul!AQ35</f>
        <v>0</v>
      </c>
      <c r="D34" s="134">
        <f>'Sahibpur Kamal'!AQ35</f>
        <v>0</v>
      </c>
      <c r="E34" s="134">
        <f>Dalsingsarai!AQ35</f>
        <v>0</v>
      </c>
      <c r="F34" s="134">
        <f>Musrigharari!AQ35</f>
        <v>0</v>
      </c>
      <c r="G34" s="134"/>
      <c r="H34" s="134">
        <f>Buxar!AQ35</f>
        <v>0</v>
      </c>
      <c r="I34" s="134">
        <f>Laldiyara!AQ35</f>
        <v>0</v>
      </c>
      <c r="J34" s="134">
        <f>Asarganj!AQ35</f>
        <v>0</v>
      </c>
      <c r="K34" s="134">
        <f>Madhatpur!AQ35</f>
        <v>0</v>
      </c>
      <c r="L34" s="134">
        <f>Sonvarsha!AQ35</f>
        <v>0</v>
      </c>
      <c r="M34" s="134">
        <f>Araiya!AQ35</f>
        <v>0</v>
      </c>
      <c r="N34" s="134">
        <f>Teghra!AQ35</f>
        <v>0</v>
      </c>
      <c r="O34" s="134">
        <f>Halsi!AQ35</f>
        <v>0</v>
      </c>
    </row>
    <row r="35" spans="1:15" x14ac:dyDescent="0.25">
      <c r="A35" s="132">
        <f>Manjhaul!B36</f>
        <v>46190</v>
      </c>
      <c r="B35" s="133" t="str">
        <f>Manjhaul!C36</f>
        <v>M</v>
      </c>
      <c r="C35" s="134">
        <f>Manjhaul!AQ36</f>
        <v>0</v>
      </c>
      <c r="D35" s="134">
        <f>'Sahibpur Kamal'!AQ36</f>
        <v>0</v>
      </c>
      <c r="E35" s="134">
        <f>Dalsingsarai!AQ36</f>
        <v>0</v>
      </c>
      <c r="F35" s="134">
        <f>Musrigharari!AQ36</f>
        <v>0</v>
      </c>
      <c r="G35" s="134"/>
      <c r="H35" s="134">
        <f>Buxar!AQ36</f>
        <v>0</v>
      </c>
      <c r="I35" s="134">
        <f>Laldiyara!AQ36</f>
        <v>0</v>
      </c>
      <c r="J35" s="134">
        <f>Asarganj!AQ36</f>
        <v>0</v>
      </c>
      <c r="K35" s="134">
        <f>Madhatpur!AQ36</f>
        <v>0</v>
      </c>
      <c r="L35" s="134">
        <f>Sonvarsha!AQ36</f>
        <v>0</v>
      </c>
      <c r="M35" s="134">
        <f>Araiya!AQ36</f>
        <v>0</v>
      </c>
      <c r="N35" s="134">
        <f>Teghra!AQ36</f>
        <v>0</v>
      </c>
      <c r="O35" s="134">
        <f>Halsi!AQ36</f>
        <v>0</v>
      </c>
    </row>
    <row r="36" spans="1:15" x14ac:dyDescent="0.25">
      <c r="A36" s="132">
        <f>Manjhaul!B37</f>
        <v>46190</v>
      </c>
      <c r="B36" s="133" t="str">
        <f>Manjhaul!C37</f>
        <v>E</v>
      </c>
      <c r="C36" s="134">
        <f>Manjhaul!AQ37</f>
        <v>0</v>
      </c>
      <c r="D36" s="134">
        <f>'Sahibpur Kamal'!AQ37</f>
        <v>0</v>
      </c>
      <c r="E36" s="134">
        <f>Dalsingsarai!AQ37</f>
        <v>0</v>
      </c>
      <c r="F36" s="134">
        <f>Musrigharari!AQ37</f>
        <v>0</v>
      </c>
      <c r="G36" s="134"/>
      <c r="H36" s="134">
        <f>Buxar!AQ37</f>
        <v>0</v>
      </c>
      <c r="I36" s="134">
        <f>Laldiyara!AQ37</f>
        <v>0</v>
      </c>
      <c r="J36" s="134">
        <f>Asarganj!AQ37</f>
        <v>0</v>
      </c>
      <c r="K36" s="134">
        <f>Madhatpur!AQ37</f>
        <v>0</v>
      </c>
      <c r="L36" s="134">
        <f>Sonvarsha!AQ37</f>
        <v>0</v>
      </c>
      <c r="M36" s="134">
        <f>Araiya!AQ37</f>
        <v>0</v>
      </c>
      <c r="N36" s="134">
        <f>Teghra!AQ37</f>
        <v>0</v>
      </c>
      <c r="O36" s="134">
        <f>Halsi!AQ37</f>
        <v>0</v>
      </c>
    </row>
    <row r="37" spans="1:15" x14ac:dyDescent="0.25">
      <c r="A37" s="132">
        <f>Manjhaul!B38</f>
        <v>46191</v>
      </c>
      <c r="B37" s="133" t="str">
        <f>Manjhaul!C38</f>
        <v>M</v>
      </c>
      <c r="C37" s="134">
        <f>Manjhaul!AQ38</f>
        <v>0</v>
      </c>
      <c r="D37" s="134">
        <f>'Sahibpur Kamal'!AQ38</f>
        <v>0</v>
      </c>
      <c r="E37" s="134">
        <f>Dalsingsarai!AQ38</f>
        <v>0</v>
      </c>
      <c r="F37" s="134">
        <f>Musrigharari!AQ38</f>
        <v>0</v>
      </c>
      <c r="G37" s="134"/>
      <c r="H37" s="134">
        <f>Buxar!AQ38</f>
        <v>0</v>
      </c>
      <c r="I37" s="134">
        <f>Laldiyara!AQ38</f>
        <v>0</v>
      </c>
      <c r="J37" s="134">
        <f>Asarganj!AQ38</f>
        <v>0</v>
      </c>
      <c r="K37" s="134">
        <f>Madhatpur!AQ38</f>
        <v>0</v>
      </c>
      <c r="L37" s="134">
        <f>Sonvarsha!AQ38</f>
        <v>0</v>
      </c>
      <c r="M37" s="134">
        <f>Araiya!AQ38</f>
        <v>0</v>
      </c>
      <c r="N37" s="134">
        <f>Teghra!AQ38</f>
        <v>0</v>
      </c>
      <c r="O37" s="134">
        <f>Halsi!AQ38</f>
        <v>0</v>
      </c>
    </row>
    <row r="38" spans="1:15" x14ac:dyDescent="0.25">
      <c r="A38" s="132">
        <f>Manjhaul!B39</f>
        <v>46191</v>
      </c>
      <c r="B38" s="133" t="str">
        <f>Manjhaul!C39</f>
        <v>E</v>
      </c>
      <c r="C38" s="134">
        <f>Manjhaul!AQ39</f>
        <v>0</v>
      </c>
      <c r="D38" s="134">
        <f>'Sahibpur Kamal'!AQ39</f>
        <v>0</v>
      </c>
      <c r="E38" s="134">
        <f>Dalsingsarai!AQ39</f>
        <v>0</v>
      </c>
      <c r="F38" s="134">
        <f>Musrigharari!AQ39</f>
        <v>0</v>
      </c>
      <c r="G38" s="134"/>
      <c r="H38" s="134">
        <f>Buxar!AQ39</f>
        <v>0</v>
      </c>
      <c r="I38" s="134">
        <f>Laldiyara!AQ39</f>
        <v>0</v>
      </c>
      <c r="J38" s="134">
        <f>Asarganj!AQ39</f>
        <v>0</v>
      </c>
      <c r="K38" s="134">
        <f>Madhatpur!AQ39</f>
        <v>0</v>
      </c>
      <c r="L38" s="134">
        <f>Sonvarsha!AQ39</f>
        <v>0</v>
      </c>
      <c r="M38" s="134">
        <f>Araiya!AQ39</f>
        <v>0</v>
      </c>
      <c r="N38" s="134">
        <f>Teghra!AQ39</f>
        <v>0</v>
      </c>
      <c r="O38" s="134">
        <f>Halsi!AQ39</f>
        <v>0</v>
      </c>
    </row>
    <row r="39" spans="1:15" x14ac:dyDescent="0.25">
      <c r="A39" s="132">
        <f>Manjhaul!B40</f>
        <v>46192</v>
      </c>
      <c r="B39" s="133" t="str">
        <f>Manjhaul!C40</f>
        <v>M</v>
      </c>
      <c r="C39" s="134">
        <f>Manjhaul!AQ40</f>
        <v>0</v>
      </c>
      <c r="D39" s="134">
        <f>'Sahibpur Kamal'!AQ40</f>
        <v>0</v>
      </c>
      <c r="E39" s="134">
        <f>Dalsingsarai!AQ40</f>
        <v>0</v>
      </c>
      <c r="F39" s="134">
        <f>Musrigharari!AQ40</f>
        <v>0</v>
      </c>
      <c r="G39" s="134"/>
      <c r="H39" s="134">
        <f>Buxar!AQ40</f>
        <v>0</v>
      </c>
      <c r="I39" s="134">
        <f>Laldiyara!AQ40</f>
        <v>0</v>
      </c>
      <c r="J39" s="134">
        <f>Asarganj!AQ40</f>
        <v>0</v>
      </c>
      <c r="K39" s="134">
        <f>Madhatpur!AQ40</f>
        <v>0</v>
      </c>
      <c r="L39" s="134">
        <f>Sonvarsha!AQ40</f>
        <v>0</v>
      </c>
      <c r="M39" s="134">
        <f>Araiya!AQ40</f>
        <v>0</v>
      </c>
      <c r="N39" s="134">
        <f>Teghra!AQ40</f>
        <v>0</v>
      </c>
      <c r="O39" s="134">
        <f>Halsi!AQ40</f>
        <v>0</v>
      </c>
    </row>
    <row r="40" spans="1:15" x14ac:dyDescent="0.25">
      <c r="A40" s="132">
        <f>Manjhaul!B41</f>
        <v>46192</v>
      </c>
      <c r="B40" s="133" t="str">
        <f>Manjhaul!C41</f>
        <v>E</v>
      </c>
      <c r="C40" s="134">
        <f>Manjhaul!AQ41</f>
        <v>0</v>
      </c>
      <c r="D40" s="134">
        <f>'Sahibpur Kamal'!AQ41</f>
        <v>0</v>
      </c>
      <c r="E40" s="134">
        <f>Dalsingsarai!AQ41</f>
        <v>0</v>
      </c>
      <c r="F40" s="134">
        <f>Musrigharari!AQ41</f>
        <v>0</v>
      </c>
      <c r="G40" s="134"/>
      <c r="H40" s="134">
        <f>Buxar!AQ41</f>
        <v>0</v>
      </c>
      <c r="I40" s="134">
        <f>Laldiyara!AQ41</f>
        <v>0</v>
      </c>
      <c r="J40" s="134">
        <f>Asarganj!AQ41</f>
        <v>0</v>
      </c>
      <c r="K40" s="134">
        <f>Madhatpur!AQ41</f>
        <v>0</v>
      </c>
      <c r="L40" s="134">
        <f>Sonvarsha!AQ41</f>
        <v>0</v>
      </c>
      <c r="M40" s="134">
        <f>Araiya!AQ41</f>
        <v>0</v>
      </c>
      <c r="N40" s="134">
        <f>Teghra!AQ41</f>
        <v>0</v>
      </c>
      <c r="O40" s="134">
        <f>Halsi!AQ41</f>
        <v>0</v>
      </c>
    </row>
    <row r="41" spans="1:15" x14ac:dyDescent="0.25">
      <c r="A41" s="132">
        <f>Manjhaul!B42</f>
        <v>46193</v>
      </c>
      <c r="B41" s="133" t="str">
        <f>Manjhaul!C42</f>
        <v>M</v>
      </c>
      <c r="C41" s="134">
        <f>Manjhaul!AQ42</f>
        <v>0</v>
      </c>
      <c r="D41" s="134">
        <f>'Sahibpur Kamal'!AQ42</f>
        <v>0</v>
      </c>
      <c r="E41" s="134">
        <f>Dalsingsarai!AQ42</f>
        <v>0</v>
      </c>
      <c r="F41" s="134">
        <f>Musrigharari!AQ42</f>
        <v>0</v>
      </c>
      <c r="G41" s="134"/>
      <c r="H41" s="134">
        <f>Buxar!AQ42</f>
        <v>0</v>
      </c>
      <c r="I41" s="134">
        <f>Laldiyara!AQ42</f>
        <v>0</v>
      </c>
      <c r="J41" s="134">
        <f>Asarganj!AQ42</f>
        <v>0</v>
      </c>
      <c r="K41" s="134">
        <f>Madhatpur!AQ42</f>
        <v>0</v>
      </c>
      <c r="L41" s="134">
        <f>Sonvarsha!AQ42</f>
        <v>0</v>
      </c>
      <c r="M41" s="134">
        <f>Araiya!AQ42</f>
        <v>0</v>
      </c>
      <c r="N41" s="134">
        <f>Teghra!AQ42</f>
        <v>0</v>
      </c>
      <c r="O41" s="134">
        <f>Halsi!AQ42</f>
        <v>0</v>
      </c>
    </row>
    <row r="42" spans="1:15" x14ac:dyDescent="0.25">
      <c r="A42" s="132">
        <f>Manjhaul!B43</f>
        <v>46193</v>
      </c>
      <c r="B42" s="133" t="str">
        <f>Manjhaul!C43</f>
        <v>E</v>
      </c>
      <c r="C42" s="134">
        <f>Manjhaul!AQ43</f>
        <v>0</v>
      </c>
      <c r="D42" s="134">
        <f>'Sahibpur Kamal'!AQ43</f>
        <v>0</v>
      </c>
      <c r="E42" s="134">
        <f>Dalsingsarai!AQ43</f>
        <v>0</v>
      </c>
      <c r="F42" s="134">
        <f>Musrigharari!AQ43</f>
        <v>0</v>
      </c>
      <c r="G42" s="134"/>
      <c r="H42" s="134">
        <f>Buxar!AQ43</f>
        <v>0</v>
      </c>
      <c r="I42" s="134">
        <f>Laldiyara!AQ43</f>
        <v>0</v>
      </c>
      <c r="J42" s="134">
        <f>Asarganj!AQ43</f>
        <v>0</v>
      </c>
      <c r="K42" s="134">
        <f>Madhatpur!AQ43</f>
        <v>0</v>
      </c>
      <c r="L42" s="134">
        <f>Sonvarsha!AQ43</f>
        <v>0</v>
      </c>
      <c r="M42" s="134">
        <f>Araiya!AQ43</f>
        <v>0</v>
      </c>
      <c r="N42" s="134">
        <f>Teghra!AQ43</f>
        <v>0</v>
      </c>
      <c r="O42" s="134">
        <f>Halsi!AQ43</f>
        <v>0</v>
      </c>
    </row>
    <row r="43" spans="1:15" x14ac:dyDescent="0.25">
      <c r="A43" s="132">
        <f>Manjhaul!B44</f>
        <v>46194</v>
      </c>
      <c r="B43" s="133" t="str">
        <f>Manjhaul!C44</f>
        <v>M</v>
      </c>
      <c r="C43" s="134">
        <f>Manjhaul!AQ44</f>
        <v>0</v>
      </c>
      <c r="D43" s="134">
        <f>'Sahibpur Kamal'!AQ44</f>
        <v>0</v>
      </c>
      <c r="E43" s="134">
        <f>Dalsingsarai!AQ44</f>
        <v>0</v>
      </c>
      <c r="F43" s="134">
        <f>Musrigharari!AQ44</f>
        <v>0</v>
      </c>
      <c r="G43" s="134"/>
      <c r="H43" s="134">
        <f>Buxar!AQ44</f>
        <v>0</v>
      </c>
      <c r="I43" s="134">
        <f>Laldiyara!AQ44</f>
        <v>0</v>
      </c>
      <c r="J43" s="134">
        <f>Asarganj!AQ44</f>
        <v>0</v>
      </c>
      <c r="K43" s="134">
        <f>Madhatpur!AQ44</f>
        <v>0</v>
      </c>
      <c r="L43" s="134">
        <f>Sonvarsha!AQ44</f>
        <v>0</v>
      </c>
      <c r="M43" s="134">
        <f>Araiya!AQ44</f>
        <v>0</v>
      </c>
      <c r="N43" s="134">
        <f>Teghra!AQ44</f>
        <v>0</v>
      </c>
      <c r="O43" s="134">
        <f>Halsi!AQ44</f>
        <v>0</v>
      </c>
    </row>
    <row r="44" spans="1:15" x14ac:dyDescent="0.25">
      <c r="A44" s="132">
        <f>Manjhaul!B45</f>
        <v>46194</v>
      </c>
      <c r="B44" s="133" t="str">
        <f>Manjhaul!C45</f>
        <v>E</v>
      </c>
      <c r="C44" s="134">
        <f>Manjhaul!AQ45</f>
        <v>0</v>
      </c>
      <c r="D44" s="134">
        <f>'Sahibpur Kamal'!AQ45</f>
        <v>0</v>
      </c>
      <c r="E44" s="134">
        <f>Dalsingsarai!AQ45</f>
        <v>0</v>
      </c>
      <c r="F44" s="134">
        <f>Musrigharari!AQ45</f>
        <v>0</v>
      </c>
      <c r="G44" s="134"/>
      <c r="H44" s="134">
        <f>Buxar!AQ45</f>
        <v>0</v>
      </c>
      <c r="I44" s="134">
        <f>Laldiyara!AQ45</f>
        <v>0</v>
      </c>
      <c r="J44" s="134">
        <f>Asarganj!AQ45</f>
        <v>0</v>
      </c>
      <c r="K44" s="134">
        <f>Madhatpur!AQ45</f>
        <v>0</v>
      </c>
      <c r="L44" s="134">
        <f>Sonvarsha!AQ45</f>
        <v>0</v>
      </c>
      <c r="M44" s="134">
        <f>Araiya!AQ45</f>
        <v>0</v>
      </c>
      <c r="N44" s="134">
        <f>Teghra!AQ45</f>
        <v>0</v>
      </c>
      <c r="O44" s="134">
        <f>Halsi!AQ45</f>
        <v>0</v>
      </c>
    </row>
    <row r="45" spans="1:15" x14ac:dyDescent="0.25">
      <c r="A45" s="132">
        <f>Manjhaul!B46</f>
        <v>46195</v>
      </c>
      <c r="B45" s="133" t="str">
        <f>Manjhaul!C46</f>
        <v>M</v>
      </c>
      <c r="C45" s="134">
        <f>Manjhaul!AQ46</f>
        <v>0</v>
      </c>
      <c r="D45" s="134">
        <f>'Sahibpur Kamal'!AQ46</f>
        <v>0</v>
      </c>
      <c r="E45" s="134">
        <f>Dalsingsarai!AQ46</f>
        <v>0</v>
      </c>
      <c r="F45" s="134">
        <f>Musrigharari!AQ46</f>
        <v>0</v>
      </c>
      <c r="G45" s="134"/>
      <c r="H45" s="134">
        <f>Buxar!AQ46</f>
        <v>0</v>
      </c>
      <c r="I45" s="134">
        <f>Laldiyara!AQ46</f>
        <v>0</v>
      </c>
      <c r="J45" s="134">
        <f>Asarganj!AQ46</f>
        <v>0</v>
      </c>
      <c r="K45" s="134">
        <f>Madhatpur!AQ46</f>
        <v>0</v>
      </c>
      <c r="L45" s="134">
        <f>Sonvarsha!AQ46</f>
        <v>0</v>
      </c>
      <c r="M45" s="134">
        <f>Araiya!AQ46</f>
        <v>0</v>
      </c>
      <c r="N45" s="134">
        <f>Teghra!AQ46</f>
        <v>0</v>
      </c>
      <c r="O45" s="134">
        <f>Halsi!AQ46</f>
        <v>0</v>
      </c>
    </row>
    <row r="46" spans="1:15" x14ac:dyDescent="0.25">
      <c r="A46" s="132">
        <f>Manjhaul!B47</f>
        <v>46195</v>
      </c>
      <c r="B46" s="133" t="str">
        <f>Manjhaul!C47</f>
        <v>E</v>
      </c>
      <c r="C46" s="134">
        <f>Manjhaul!AQ47</f>
        <v>0</v>
      </c>
      <c r="D46" s="134">
        <f>'Sahibpur Kamal'!AQ47</f>
        <v>0</v>
      </c>
      <c r="E46" s="134">
        <f>Dalsingsarai!AQ47</f>
        <v>0</v>
      </c>
      <c r="F46" s="134">
        <f>Musrigharari!AQ47</f>
        <v>0</v>
      </c>
      <c r="G46" s="134"/>
      <c r="H46" s="134">
        <f>Buxar!AQ47</f>
        <v>0</v>
      </c>
      <c r="I46" s="134">
        <f>Laldiyara!AQ47</f>
        <v>0</v>
      </c>
      <c r="J46" s="134">
        <f>Asarganj!AQ47</f>
        <v>0</v>
      </c>
      <c r="K46" s="134">
        <f>Madhatpur!AQ47</f>
        <v>0</v>
      </c>
      <c r="L46" s="134">
        <f>Sonvarsha!AQ47</f>
        <v>0</v>
      </c>
      <c r="M46" s="134">
        <f>Araiya!AQ47</f>
        <v>0</v>
      </c>
      <c r="N46" s="134">
        <f>Teghra!AQ47</f>
        <v>0</v>
      </c>
      <c r="O46" s="134">
        <f>Halsi!AQ47</f>
        <v>0</v>
      </c>
    </row>
    <row r="47" spans="1:15" x14ac:dyDescent="0.25">
      <c r="A47" s="132">
        <f>Manjhaul!B48</f>
        <v>46196</v>
      </c>
      <c r="B47" s="133" t="str">
        <f>Manjhaul!C48</f>
        <v>M</v>
      </c>
      <c r="C47" s="134">
        <f>Manjhaul!AQ48</f>
        <v>0</v>
      </c>
      <c r="D47" s="134">
        <f>'Sahibpur Kamal'!AQ48</f>
        <v>0</v>
      </c>
      <c r="E47" s="134">
        <f>Dalsingsarai!AQ48</f>
        <v>0</v>
      </c>
      <c r="F47" s="134">
        <f>Musrigharari!AQ48</f>
        <v>0</v>
      </c>
      <c r="G47" s="134"/>
      <c r="H47" s="134">
        <f>Buxar!AQ48</f>
        <v>0</v>
      </c>
      <c r="I47" s="134">
        <f>Laldiyara!AQ48</f>
        <v>0</v>
      </c>
      <c r="J47" s="134">
        <f>Asarganj!AQ48</f>
        <v>0</v>
      </c>
      <c r="K47" s="134">
        <f>Madhatpur!AQ48</f>
        <v>0</v>
      </c>
      <c r="L47" s="134">
        <f>Sonvarsha!AQ48</f>
        <v>0</v>
      </c>
      <c r="M47" s="134">
        <f>Araiya!AQ48</f>
        <v>0</v>
      </c>
      <c r="N47" s="134">
        <f>Teghra!AQ48</f>
        <v>0</v>
      </c>
      <c r="O47" s="134">
        <f>Halsi!AQ48</f>
        <v>0</v>
      </c>
    </row>
    <row r="48" spans="1:15" x14ac:dyDescent="0.25">
      <c r="A48" s="132">
        <f>Manjhaul!B49</f>
        <v>46196</v>
      </c>
      <c r="B48" s="133" t="str">
        <f>Manjhaul!C49</f>
        <v>E</v>
      </c>
      <c r="C48" s="134">
        <f>Manjhaul!AQ49</f>
        <v>0</v>
      </c>
      <c r="D48" s="134">
        <f>'Sahibpur Kamal'!AQ49</f>
        <v>0</v>
      </c>
      <c r="E48" s="134">
        <f>Dalsingsarai!AQ49</f>
        <v>0</v>
      </c>
      <c r="F48" s="134">
        <f>Musrigharari!AQ49</f>
        <v>0</v>
      </c>
      <c r="G48" s="134"/>
      <c r="H48" s="134">
        <f>Buxar!AQ49</f>
        <v>0</v>
      </c>
      <c r="I48" s="134">
        <f>Laldiyara!AQ49</f>
        <v>0</v>
      </c>
      <c r="J48" s="134">
        <f>Asarganj!AQ49</f>
        <v>0</v>
      </c>
      <c r="K48" s="134">
        <f>Madhatpur!AQ49</f>
        <v>0</v>
      </c>
      <c r="L48" s="134">
        <f>Sonvarsha!AQ49</f>
        <v>0</v>
      </c>
      <c r="M48" s="134">
        <f>Araiya!AQ49</f>
        <v>0</v>
      </c>
      <c r="N48" s="134">
        <f>Teghra!AQ49</f>
        <v>0</v>
      </c>
      <c r="O48" s="134">
        <f>Halsi!AQ49</f>
        <v>0</v>
      </c>
    </row>
    <row r="49" spans="1:15" x14ac:dyDescent="0.25">
      <c r="A49" s="132">
        <f>Manjhaul!B50</f>
        <v>46197</v>
      </c>
      <c r="B49" s="133" t="str">
        <f>Manjhaul!C50</f>
        <v>M</v>
      </c>
      <c r="C49" s="134">
        <f>Manjhaul!AQ50</f>
        <v>0</v>
      </c>
      <c r="D49" s="134">
        <f>'Sahibpur Kamal'!AQ50</f>
        <v>0</v>
      </c>
      <c r="E49" s="134">
        <f>Dalsingsarai!AQ50</f>
        <v>0</v>
      </c>
      <c r="F49" s="134">
        <f>Musrigharari!AQ50</f>
        <v>0</v>
      </c>
      <c r="G49" s="134"/>
      <c r="H49" s="134">
        <f>Buxar!AQ50</f>
        <v>0</v>
      </c>
      <c r="I49" s="134">
        <f>Laldiyara!AQ50</f>
        <v>0</v>
      </c>
      <c r="J49" s="134">
        <f>Asarganj!AQ50</f>
        <v>0</v>
      </c>
      <c r="K49" s="134">
        <f>Madhatpur!AQ50</f>
        <v>0</v>
      </c>
      <c r="L49" s="134">
        <f>Sonvarsha!AQ50</f>
        <v>0</v>
      </c>
      <c r="M49" s="134">
        <f>Araiya!AQ50</f>
        <v>0</v>
      </c>
      <c r="N49" s="134">
        <f>Teghra!AQ50</f>
        <v>0</v>
      </c>
      <c r="O49" s="134">
        <f>Halsi!AQ50</f>
        <v>0</v>
      </c>
    </row>
    <row r="50" spans="1:15" x14ac:dyDescent="0.25">
      <c r="A50" s="132">
        <f>Manjhaul!B51</f>
        <v>46197</v>
      </c>
      <c r="B50" s="133" t="str">
        <f>Manjhaul!C51</f>
        <v>E</v>
      </c>
      <c r="C50" s="134">
        <f>Manjhaul!AQ51</f>
        <v>0</v>
      </c>
      <c r="D50" s="134">
        <f>'Sahibpur Kamal'!AQ51</f>
        <v>0</v>
      </c>
      <c r="E50" s="134">
        <f>Dalsingsarai!AQ51</f>
        <v>0</v>
      </c>
      <c r="F50" s="134">
        <f>Musrigharari!AQ51</f>
        <v>0</v>
      </c>
      <c r="G50" s="134"/>
      <c r="H50" s="134">
        <f>Buxar!AQ51</f>
        <v>0</v>
      </c>
      <c r="I50" s="134">
        <f>Laldiyara!AQ51</f>
        <v>0</v>
      </c>
      <c r="J50" s="134">
        <f>Asarganj!AQ51</f>
        <v>0</v>
      </c>
      <c r="K50" s="134">
        <f>Madhatpur!AQ51</f>
        <v>0</v>
      </c>
      <c r="L50" s="134">
        <f>Sonvarsha!AQ51</f>
        <v>0</v>
      </c>
      <c r="M50" s="134">
        <f>Araiya!AQ51</f>
        <v>0</v>
      </c>
      <c r="N50" s="134">
        <f>Teghra!AQ51</f>
        <v>0</v>
      </c>
      <c r="O50" s="134">
        <f>Halsi!AQ51</f>
        <v>0</v>
      </c>
    </row>
    <row r="51" spans="1:15" x14ac:dyDescent="0.25">
      <c r="A51" s="132">
        <f>Manjhaul!B52</f>
        <v>46198</v>
      </c>
      <c r="B51" s="133" t="str">
        <f>Manjhaul!C52</f>
        <v>M</v>
      </c>
      <c r="C51" s="134">
        <f>Manjhaul!AQ52</f>
        <v>0</v>
      </c>
      <c r="D51" s="134">
        <f>'Sahibpur Kamal'!AQ52</f>
        <v>0</v>
      </c>
      <c r="E51" s="134">
        <f>Dalsingsarai!AQ52</f>
        <v>0</v>
      </c>
      <c r="F51" s="134">
        <f>Musrigharari!AQ52</f>
        <v>0</v>
      </c>
      <c r="G51" s="134"/>
      <c r="H51" s="134">
        <f>Buxar!AQ52</f>
        <v>0</v>
      </c>
      <c r="I51" s="134">
        <f>Laldiyara!AQ52</f>
        <v>0</v>
      </c>
      <c r="J51" s="134">
        <f>Asarganj!AQ52</f>
        <v>0</v>
      </c>
      <c r="K51" s="134">
        <f>Madhatpur!AQ52</f>
        <v>0</v>
      </c>
      <c r="L51" s="134">
        <f>Sonvarsha!AQ52</f>
        <v>0</v>
      </c>
      <c r="M51" s="134">
        <f>Araiya!AQ52</f>
        <v>0</v>
      </c>
      <c r="N51" s="134">
        <f>Teghra!AQ52</f>
        <v>0</v>
      </c>
      <c r="O51" s="134">
        <f>Halsi!AQ52</f>
        <v>0</v>
      </c>
    </row>
    <row r="52" spans="1:15" x14ac:dyDescent="0.25">
      <c r="A52" s="132">
        <f>Manjhaul!B53</f>
        <v>46198</v>
      </c>
      <c r="B52" s="133" t="str">
        <f>Manjhaul!C53</f>
        <v>E</v>
      </c>
      <c r="C52" s="134">
        <f>Manjhaul!AQ53</f>
        <v>0</v>
      </c>
      <c r="D52" s="134">
        <f>'Sahibpur Kamal'!AQ53</f>
        <v>0</v>
      </c>
      <c r="E52" s="134">
        <f>Dalsingsarai!AQ53</f>
        <v>0</v>
      </c>
      <c r="F52" s="134">
        <f>Musrigharari!AQ53</f>
        <v>0</v>
      </c>
      <c r="G52" s="134"/>
      <c r="H52" s="134">
        <f>Buxar!AQ53</f>
        <v>0</v>
      </c>
      <c r="I52" s="134">
        <f>Laldiyara!AQ53</f>
        <v>0</v>
      </c>
      <c r="J52" s="134">
        <f>Asarganj!AQ53</f>
        <v>0</v>
      </c>
      <c r="K52" s="134">
        <f>Madhatpur!AQ53</f>
        <v>0</v>
      </c>
      <c r="L52" s="134">
        <f>Sonvarsha!AQ53</f>
        <v>0</v>
      </c>
      <c r="M52" s="134">
        <f>Araiya!AQ53</f>
        <v>0</v>
      </c>
      <c r="N52" s="134">
        <f>Teghra!AQ53</f>
        <v>0</v>
      </c>
      <c r="O52" s="134">
        <f>Halsi!AQ53</f>
        <v>0</v>
      </c>
    </row>
    <row r="53" spans="1:15" x14ac:dyDescent="0.25">
      <c r="A53" s="132">
        <f>Manjhaul!B54</f>
        <v>46199</v>
      </c>
      <c r="B53" s="133" t="str">
        <f>Manjhaul!C54</f>
        <v>M</v>
      </c>
      <c r="C53" s="134">
        <f>Manjhaul!AQ54</f>
        <v>0</v>
      </c>
      <c r="D53" s="134">
        <f>'Sahibpur Kamal'!AQ54</f>
        <v>0</v>
      </c>
      <c r="E53" s="134">
        <f>Dalsingsarai!AQ54</f>
        <v>0</v>
      </c>
      <c r="F53" s="134">
        <f>Musrigharari!AQ54</f>
        <v>0</v>
      </c>
      <c r="G53" s="134"/>
      <c r="H53" s="134">
        <f>Buxar!AQ54</f>
        <v>0</v>
      </c>
      <c r="I53" s="134">
        <f>Laldiyara!AQ54</f>
        <v>0</v>
      </c>
      <c r="J53" s="134">
        <f>Asarganj!AQ54</f>
        <v>0</v>
      </c>
      <c r="K53" s="134">
        <f>Madhatpur!AQ54</f>
        <v>0</v>
      </c>
      <c r="L53" s="134">
        <f>Sonvarsha!AQ54</f>
        <v>0</v>
      </c>
      <c r="M53" s="134">
        <f>Araiya!AQ54</f>
        <v>0</v>
      </c>
      <c r="N53" s="134">
        <f>Teghra!AQ54</f>
        <v>0</v>
      </c>
      <c r="O53" s="134">
        <f>Halsi!AQ54</f>
        <v>0</v>
      </c>
    </row>
    <row r="54" spans="1:15" x14ac:dyDescent="0.25">
      <c r="A54" s="132">
        <f>Manjhaul!B55</f>
        <v>46199</v>
      </c>
      <c r="B54" s="133" t="str">
        <f>Manjhaul!C55</f>
        <v>E</v>
      </c>
      <c r="C54" s="134">
        <f>Manjhaul!AQ55</f>
        <v>0</v>
      </c>
      <c r="D54" s="134">
        <f>'Sahibpur Kamal'!AQ55</f>
        <v>0</v>
      </c>
      <c r="E54" s="134">
        <f>Dalsingsarai!AQ55</f>
        <v>0</v>
      </c>
      <c r="F54" s="134">
        <f>Musrigharari!AQ55</f>
        <v>0</v>
      </c>
      <c r="G54" s="134"/>
      <c r="H54" s="134">
        <f>Buxar!AQ55</f>
        <v>0</v>
      </c>
      <c r="I54" s="134">
        <f>Laldiyara!AQ55</f>
        <v>0</v>
      </c>
      <c r="J54" s="134">
        <f>Asarganj!AQ55</f>
        <v>0</v>
      </c>
      <c r="K54" s="134">
        <f>Madhatpur!AQ55</f>
        <v>0</v>
      </c>
      <c r="L54" s="134">
        <f>Sonvarsha!AQ55</f>
        <v>0</v>
      </c>
      <c r="M54" s="134">
        <f>Araiya!AQ55</f>
        <v>0</v>
      </c>
      <c r="N54" s="134">
        <f>Teghra!AQ55</f>
        <v>0</v>
      </c>
      <c r="O54" s="134">
        <f>Halsi!AQ55</f>
        <v>0</v>
      </c>
    </row>
    <row r="55" spans="1:15" x14ac:dyDescent="0.25">
      <c r="A55" s="132">
        <f>Manjhaul!B56</f>
        <v>46200</v>
      </c>
      <c r="B55" s="133" t="str">
        <f>Manjhaul!C56</f>
        <v>M</v>
      </c>
      <c r="C55" s="134">
        <f>Manjhaul!AQ56</f>
        <v>0</v>
      </c>
      <c r="D55" s="134">
        <f>'Sahibpur Kamal'!AQ56</f>
        <v>0</v>
      </c>
      <c r="E55" s="134">
        <f>Dalsingsarai!AQ56</f>
        <v>0</v>
      </c>
      <c r="F55" s="134">
        <f>Musrigharari!AQ56</f>
        <v>0</v>
      </c>
      <c r="G55" s="134"/>
      <c r="H55" s="134">
        <f>Buxar!AQ56</f>
        <v>0</v>
      </c>
      <c r="I55" s="134">
        <f>Laldiyara!AQ56</f>
        <v>0</v>
      </c>
      <c r="J55" s="134">
        <f>Asarganj!AQ56</f>
        <v>0</v>
      </c>
      <c r="K55" s="134">
        <f>Madhatpur!AQ56</f>
        <v>0</v>
      </c>
      <c r="L55" s="134">
        <f>Sonvarsha!AQ56</f>
        <v>0</v>
      </c>
      <c r="M55" s="134">
        <f>Araiya!AQ56</f>
        <v>0</v>
      </c>
      <c r="N55" s="134">
        <f>Teghra!AQ56</f>
        <v>0</v>
      </c>
      <c r="O55" s="134">
        <f>Halsi!AQ56</f>
        <v>0</v>
      </c>
    </row>
    <row r="56" spans="1:15" x14ac:dyDescent="0.25">
      <c r="A56" s="132">
        <f>Manjhaul!B57</f>
        <v>46200</v>
      </c>
      <c r="B56" s="133" t="str">
        <f>Manjhaul!C57</f>
        <v>E</v>
      </c>
      <c r="C56" s="134">
        <f>Manjhaul!AQ57</f>
        <v>0</v>
      </c>
      <c r="D56" s="134">
        <f>'Sahibpur Kamal'!AQ57</f>
        <v>0</v>
      </c>
      <c r="E56" s="134">
        <f>Dalsingsarai!AQ57</f>
        <v>0</v>
      </c>
      <c r="F56" s="134">
        <f>Musrigharari!AQ57</f>
        <v>0</v>
      </c>
      <c r="G56" s="134"/>
      <c r="H56" s="134">
        <f>Buxar!AQ57</f>
        <v>0</v>
      </c>
      <c r="I56" s="134">
        <f>Laldiyara!AQ57</f>
        <v>0</v>
      </c>
      <c r="J56" s="134">
        <f>Asarganj!AQ57</f>
        <v>0</v>
      </c>
      <c r="K56" s="134">
        <f>Madhatpur!AQ57</f>
        <v>0</v>
      </c>
      <c r="L56" s="134">
        <f>Sonvarsha!AQ57</f>
        <v>0</v>
      </c>
      <c r="M56" s="134">
        <f>Araiya!AQ57</f>
        <v>0</v>
      </c>
      <c r="N56" s="134">
        <f>Teghra!AQ57</f>
        <v>0</v>
      </c>
      <c r="O56" s="134">
        <f>Halsi!AQ57</f>
        <v>0</v>
      </c>
    </row>
    <row r="57" spans="1:15" x14ac:dyDescent="0.25">
      <c r="A57" s="132">
        <f>Manjhaul!B58</f>
        <v>46201</v>
      </c>
      <c r="B57" s="133" t="str">
        <f>Manjhaul!C58</f>
        <v>M</v>
      </c>
      <c r="C57" s="134">
        <f>Manjhaul!AQ58</f>
        <v>0</v>
      </c>
      <c r="D57" s="134">
        <f>'Sahibpur Kamal'!AQ58</f>
        <v>0</v>
      </c>
      <c r="E57" s="134">
        <f>Dalsingsarai!AQ58</f>
        <v>0</v>
      </c>
      <c r="F57" s="134">
        <f>Musrigharari!AQ58</f>
        <v>0</v>
      </c>
      <c r="G57" s="134"/>
      <c r="H57" s="134">
        <f>Buxar!AQ58</f>
        <v>0</v>
      </c>
      <c r="I57" s="134">
        <f>Laldiyara!AQ58</f>
        <v>0</v>
      </c>
      <c r="J57" s="134">
        <f>Asarganj!AQ58</f>
        <v>0</v>
      </c>
      <c r="K57" s="134">
        <f>Madhatpur!AQ58</f>
        <v>0</v>
      </c>
      <c r="L57" s="134">
        <f>Sonvarsha!AQ58</f>
        <v>0</v>
      </c>
      <c r="M57" s="134">
        <f>Araiya!AQ58</f>
        <v>0</v>
      </c>
      <c r="N57" s="134">
        <f>Teghra!AQ58</f>
        <v>0</v>
      </c>
      <c r="O57" s="134">
        <f>Halsi!AQ58</f>
        <v>0</v>
      </c>
    </row>
    <row r="58" spans="1:15" x14ac:dyDescent="0.25">
      <c r="A58" s="132">
        <f>Manjhaul!B59</f>
        <v>46201</v>
      </c>
      <c r="B58" s="133" t="str">
        <f>Manjhaul!C59</f>
        <v>E</v>
      </c>
      <c r="C58" s="134">
        <f>Manjhaul!AQ59</f>
        <v>0</v>
      </c>
      <c r="D58" s="134">
        <f>'Sahibpur Kamal'!AQ59</f>
        <v>0</v>
      </c>
      <c r="E58" s="134">
        <f>Dalsingsarai!AQ59</f>
        <v>0</v>
      </c>
      <c r="F58" s="134">
        <f>Musrigharari!AQ59</f>
        <v>0</v>
      </c>
      <c r="G58" s="134"/>
      <c r="H58" s="134">
        <f>Buxar!AQ59</f>
        <v>0</v>
      </c>
      <c r="I58" s="134">
        <f>Laldiyara!AQ59</f>
        <v>0</v>
      </c>
      <c r="J58" s="134">
        <f>Asarganj!AQ59</f>
        <v>0</v>
      </c>
      <c r="K58" s="134">
        <f>Madhatpur!AQ59</f>
        <v>0</v>
      </c>
      <c r="L58" s="134">
        <f>Sonvarsha!AQ59</f>
        <v>0</v>
      </c>
      <c r="M58" s="134">
        <f>Araiya!AQ59</f>
        <v>0</v>
      </c>
      <c r="N58" s="134">
        <f>Teghra!AQ59</f>
        <v>0</v>
      </c>
      <c r="O58" s="134">
        <f>Halsi!AQ59</f>
        <v>0</v>
      </c>
    </row>
    <row r="59" spans="1:15" x14ac:dyDescent="0.25">
      <c r="A59" s="132">
        <f>Manjhaul!B60</f>
        <v>46202</v>
      </c>
      <c r="B59" s="133" t="str">
        <f>Manjhaul!C60</f>
        <v>M</v>
      </c>
      <c r="C59" s="134">
        <f>Manjhaul!AQ60</f>
        <v>0</v>
      </c>
      <c r="D59" s="134">
        <f>'Sahibpur Kamal'!AQ60</f>
        <v>0</v>
      </c>
      <c r="E59" s="134">
        <f>Dalsingsarai!AQ60</f>
        <v>0</v>
      </c>
      <c r="F59" s="134">
        <f>Musrigharari!AQ60</f>
        <v>0</v>
      </c>
      <c r="G59" s="134"/>
      <c r="H59" s="134">
        <f>Buxar!AQ60</f>
        <v>0</v>
      </c>
      <c r="I59" s="134">
        <f>Laldiyara!AQ60</f>
        <v>0</v>
      </c>
      <c r="J59" s="134">
        <f>Asarganj!AQ60</f>
        <v>0</v>
      </c>
      <c r="K59" s="134">
        <f>Madhatpur!AQ60</f>
        <v>0</v>
      </c>
      <c r="L59" s="134">
        <f>Sonvarsha!AQ60</f>
        <v>0</v>
      </c>
      <c r="M59" s="134" t="e">
        <f>Araiya!#REF!</f>
        <v>#REF!</v>
      </c>
      <c r="N59" s="134">
        <f>Teghra!AQ60</f>
        <v>0</v>
      </c>
      <c r="O59" s="134" t="e">
        <f>Halsi!#REF!</f>
        <v>#REF!</v>
      </c>
    </row>
    <row r="60" spans="1:15" x14ac:dyDescent="0.25">
      <c r="A60" s="132">
        <f>Manjhaul!B61</f>
        <v>46202</v>
      </c>
      <c r="B60" s="133" t="str">
        <f>Manjhaul!C61</f>
        <v>E</v>
      </c>
      <c r="C60" s="134">
        <f>Manjhaul!AQ61</f>
        <v>0</v>
      </c>
      <c r="D60" s="134">
        <f>'Sahibpur Kamal'!AQ61</f>
        <v>0</v>
      </c>
      <c r="E60" s="134">
        <f>Dalsingsarai!AQ61</f>
        <v>0</v>
      </c>
      <c r="F60" s="134">
        <f>Musrigharari!AQ61</f>
        <v>0</v>
      </c>
      <c r="G60" s="134"/>
      <c r="H60" s="134">
        <f>Buxar!AQ61</f>
        <v>0</v>
      </c>
      <c r="I60" s="134">
        <f>Laldiyara!AQ61</f>
        <v>0</v>
      </c>
      <c r="J60" s="134">
        <f>Asarganj!AQ61</f>
        <v>0</v>
      </c>
      <c r="K60" s="134">
        <f>Madhatpur!AQ61</f>
        <v>0</v>
      </c>
      <c r="L60" s="134">
        <f>Sonvarsha!AQ61</f>
        <v>0</v>
      </c>
      <c r="M60" s="134" t="e">
        <f>Araiya!#REF!</f>
        <v>#REF!</v>
      </c>
      <c r="N60" s="134">
        <f>Teghra!AQ61</f>
        <v>0</v>
      </c>
      <c r="O60" s="134" t="e">
        <f>Halsi!#REF!</f>
        <v>#REF!</v>
      </c>
    </row>
    <row r="61" spans="1:15" x14ac:dyDescent="0.25">
      <c r="A61" s="132">
        <f>Manjhaul!B62</f>
        <v>46203</v>
      </c>
      <c r="B61" s="133" t="str">
        <f>Manjhaul!C62</f>
        <v>M</v>
      </c>
      <c r="C61" s="134">
        <f>Manjhaul!AQ62</f>
        <v>0</v>
      </c>
      <c r="D61" s="134">
        <f>'Sahibpur Kamal'!AQ62</f>
        <v>0</v>
      </c>
      <c r="E61" s="134">
        <f>Dalsingsarai!AQ62</f>
        <v>0</v>
      </c>
      <c r="F61" s="134">
        <f>Musrigharari!AQ62</f>
        <v>0</v>
      </c>
      <c r="G61" s="134"/>
      <c r="H61" s="134">
        <f>Buxar!AQ62</f>
        <v>0</v>
      </c>
      <c r="I61" s="134">
        <f>Laldiyara!AQ62</f>
        <v>0</v>
      </c>
      <c r="J61" s="134">
        <f>Asarganj!AQ62</f>
        <v>0</v>
      </c>
      <c r="K61" s="134">
        <f>Madhatpur!AQ62</f>
        <v>0</v>
      </c>
      <c r="L61" s="134">
        <f>Sonvarsha!AQ62</f>
        <v>0</v>
      </c>
      <c r="M61" s="134" t="e">
        <f>Araiya!#REF!</f>
        <v>#REF!</v>
      </c>
      <c r="N61" s="134">
        <f>Teghra!AQ62</f>
        <v>0</v>
      </c>
      <c r="O61" s="134" t="e">
        <f>Halsi!#REF!</f>
        <v>#REF!</v>
      </c>
    </row>
    <row r="62" spans="1:15" x14ac:dyDescent="0.25">
      <c r="A62" s="132">
        <f>Manjhaul!B63</f>
        <v>46203</v>
      </c>
      <c r="B62" s="133" t="str">
        <f>Manjhaul!C63</f>
        <v>E</v>
      </c>
      <c r="C62" s="134">
        <f>Manjhaul!AQ63</f>
        <v>0</v>
      </c>
      <c r="D62" s="134">
        <f>'Sahibpur Kamal'!AQ63</f>
        <v>0</v>
      </c>
      <c r="E62" s="134">
        <f>Dalsingsarai!AQ63</f>
        <v>0</v>
      </c>
      <c r="F62" s="134">
        <f>Musrigharari!AQ63</f>
        <v>0</v>
      </c>
      <c r="G62" s="134"/>
      <c r="H62" s="134">
        <f>Buxar!AQ63</f>
        <v>0</v>
      </c>
      <c r="I62" s="134">
        <f>Laldiyara!AQ63</f>
        <v>0</v>
      </c>
      <c r="J62" s="134">
        <f>Asarganj!AQ63</f>
        <v>0</v>
      </c>
      <c r="K62" s="134">
        <f>Madhatpur!AQ63</f>
        <v>0</v>
      </c>
      <c r="L62" s="134">
        <f>Sonvarsha!AQ63</f>
        <v>0</v>
      </c>
      <c r="M62" s="134" t="e">
        <f>Araiya!#REF!</f>
        <v>#REF!</v>
      </c>
      <c r="N62" s="134">
        <f>Teghra!AQ63</f>
        <v>0</v>
      </c>
      <c r="O62" s="134" t="e">
        <f>Halsi!#REF!</f>
        <v>#REF!</v>
      </c>
    </row>
    <row r="63" spans="1:15" x14ac:dyDescent="0.25">
      <c r="A63" s="132">
        <f>Manjhaul!B64</f>
        <v>46204</v>
      </c>
      <c r="B63" s="133" t="str">
        <f>Manjhaul!C64</f>
        <v>M</v>
      </c>
      <c r="C63" s="134">
        <f>Manjhaul!AQ64</f>
        <v>0</v>
      </c>
      <c r="D63" s="134">
        <f>'Sahibpur Kamal'!AQ64</f>
        <v>0</v>
      </c>
      <c r="E63" s="134">
        <f>Dalsingsarai!AQ64</f>
        <v>0</v>
      </c>
      <c r="F63" s="134">
        <f>Musrigharari!AQ64</f>
        <v>0</v>
      </c>
      <c r="G63" s="134"/>
      <c r="H63" s="134">
        <f>Buxar!AQ64</f>
        <v>0</v>
      </c>
      <c r="I63" s="134">
        <f>Laldiyara!AQ64</f>
        <v>0</v>
      </c>
      <c r="J63" s="134">
        <f>Asarganj!AQ64</f>
        <v>0</v>
      </c>
      <c r="K63" s="134">
        <f>Madhatpur!AQ64</f>
        <v>0</v>
      </c>
      <c r="L63" s="134">
        <f>Sonvarsha!AQ64</f>
        <v>0</v>
      </c>
      <c r="M63" s="134" t="e">
        <f>Araiya!#REF!</f>
        <v>#REF!</v>
      </c>
      <c r="N63" s="134">
        <f>Teghra!AQ64</f>
        <v>0</v>
      </c>
      <c r="O63" s="134" t="e">
        <f>Halsi!#REF!</f>
        <v>#REF!</v>
      </c>
    </row>
    <row r="64" spans="1:15" x14ac:dyDescent="0.25">
      <c r="A64" s="132">
        <f>Manjhaul!B65</f>
        <v>46204</v>
      </c>
      <c r="B64" s="133" t="str">
        <f>Manjhaul!C65</f>
        <v>E</v>
      </c>
      <c r="C64" s="134">
        <f>Manjhaul!AQ65</f>
        <v>0</v>
      </c>
      <c r="D64" s="134">
        <f>'Sahibpur Kamal'!AQ65</f>
        <v>0</v>
      </c>
      <c r="E64" s="134">
        <f>Dalsingsarai!AQ65</f>
        <v>0</v>
      </c>
      <c r="F64" s="134">
        <f>Musrigharari!AQ65</f>
        <v>0</v>
      </c>
      <c r="G64" s="134"/>
      <c r="H64" s="134">
        <f>Buxar!AQ65</f>
        <v>0</v>
      </c>
      <c r="I64" s="134">
        <f>Laldiyara!AQ65</f>
        <v>0</v>
      </c>
      <c r="J64" s="134">
        <f>Asarganj!AQ65</f>
        <v>0</v>
      </c>
      <c r="K64" s="134">
        <f>Madhatpur!AQ65</f>
        <v>0</v>
      </c>
      <c r="L64" s="134">
        <f>Sonvarsha!AQ65</f>
        <v>0</v>
      </c>
      <c r="M64" s="134" t="e">
        <f>Araiya!#REF!</f>
        <v>#REF!</v>
      </c>
      <c r="N64" s="134">
        <f>Teghra!AQ65</f>
        <v>0</v>
      </c>
      <c r="O64" s="134" t="e">
        <f>Halsi!#REF!</f>
        <v>#REF!</v>
      </c>
    </row>
    <row r="65" spans="1:15" x14ac:dyDescent="0.25">
      <c r="A65" s="267" t="s">
        <v>107</v>
      </c>
      <c r="B65" s="267"/>
      <c r="C65" s="135">
        <f>SUM(C3:C64)</f>
        <v>333.933150705191</v>
      </c>
      <c r="D65" s="135">
        <f t="shared" ref="D65:O65" si="0">SUM(D3:D64)</f>
        <v>-31980.175105776259</v>
      </c>
      <c r="E65" s="135">
        <f t="shared" si="0"/>
        <v>-15450.646224833885</v>
      </c>
      <c r="F65" s="135">
        <f t="shared" si="0"/>
        <v>-22411.289376937886</v>
      </c>
      <c r="G65" s="135">
        <f t="shared" si="0"/>
        <v>0</v>
      </c>
      <c r="H65" s="135">
        <f t="shared" si="0"/>
        <v>-13849.988442803384</v>
      </c>
      <c r="I65" s="135">
        <f t="shared" si="0"/>
        <v>20642.404936666382</v>
      </c>
      <c r="J65" s="135">
        <f t="shared" si="0"/>
        <v>23212.638932175127</v>
      </c>
      <c r="K65" s="135">
        <f t="shared" si="0"/>
        <v>4681.3462611556988</v>
      </c>
      <c r="L65" s="135">
        <f t="shared" si="0"/>
        <v>-14082.025472848864</v>
      </c>
      <c r="M65" s="135" t="e">
        <f t="shared" si="0"/>
        <v>#REF!</v>
      </c>
      <c r="N65" s="135">
        <f t="shared" si="0"/>
        <v>-45641.702496543832</v>
      </c>
      <c r="O65" s="135" t="e">
        <f t="shared" si="0"/>
        <v>#REF!</v>
      </c>
    </row>
  </sheetData>
  <mergeCells count="5">
    <mergeCell ref="C1:H1"/>
    <mergeCell ref="I1:O1"/>
    <mergeCell ref="A1:A2"/>
    <mergeCell ref="B1:B2"/>
    <mergeCell ref="A65:B65"/>
  </mergeCells>
  <conditionalFormatting sqref="C3:O65">
    <cfRule type="cellIs" dxfId="96" priority="1" operator="greaterThan">
      <formula>0</formula>
    </cfRule>
    <cfRule type="cellIs" dxfId="95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V69"/>
  <sheetViews>
    <sheetView zoomScale="80" zoomScaleNormal="80" workbookViewId="0">
      <selection activeCell="AC20" sqref="AC20:AE20"/>
    </sheetView>
  </sheetViews>
  <sheetFormatPr defaultRowHeight="15" x14ac:dyDescent="0.25"/>
  <cols>
    <col min="1" max="1" width="3" customWidth="1"/>
    <col min="2" max="2" width="11.5703125" customWidth="1"/>
    <col min="3" max="3" width="4.7109375" bestFit="1" customWidth="1"/>
    <col min="4" max="4" width="7.85546875" customWidth="1"/>
    <col min="5" max="6" width="5" bestFit="1" customWidth="1"/>
    <col min="7" max="7" width="7.7109375" customWidth="1"/>
    <col min="8" max="8" width="8.28515625" customWidth="1"/>
    <col min="9" max="9" width="7.85546875" customWidth="1"/>
    <col min="10" max="10" width="8.5703125" bestFit="1" customWidth="1"/>
    <col min="11" max="11" width="7.28515625" bestFit="1" customWidth="1"/>
    <col min="12" max="12" width="5" bestFit="1" customWidth="1"/>
    <col min="13" max="13" width="6" customWidth="1"/>
    <col min="14" max="14" width="9.42578125" bestFit="1" customWidth="1"/>
    <col min="15" max="15" width="6.28515625" bestFit="1" customWidth="1"/>
    <col min="16" max="17" width="5" bestFit="1" customWidth="1"/>
    <col min="18" max="18" width="7.85546875" customWidth="1"/>
    <col min="19" max="19" width="7.42578125" customWidth="1"/>
    <col min="20" max="20" width="7.7109375" customWidth="1"/>
    <col min="21" max="21" width="6.5703125" bestFit="1" customWidth="1"/>
    <col min="22" max="22" width="7" bestFit="1" customWidth="1"/>
    <col min="23" max="23" width="11.7109375" bestFit="1" customWidth="1"/>
    <col min="24" max="24" width="7.5703125" bestFit="1" customWidth="1"/>
    <col min="25" max="26" width="5" style="77" bestFit="1" customWidth="1"/>
    <col min="27" max="27" width="7.28515625" customWidth="1"/>
    <col min="28" max="28" width="7.42578125" customWidth="1"/>
    <col min="29" max="29" width="8.5703125" bestFit="1" customWidth="1"/>
    <col min="30" max="31" width="5" bestFit="1" customWidth="1"/>
    <col min="32" max="32" width="7.28515625" customWidth="1"/>
    <col min="33" max="33" width="7.42578125" customWidth="1"/>
    <col min="34" max="34" width="7.5703125" bestFit="1" customWidth="1"/>
    <col min="35" max="36" width="5" bestFit="1" customWidth="1"/>
    <col min="37" max="37" width="7.7109375" customWidth="1"/>
    <col min="38" max="38" width="8.7109375" customWidth="1"/>
    <col min="39" max="39" width="8.28515625" bestFit="1" customWidth="1"/>
    <col min="40" max="41" width="7.28515625" bestFit="1" customWidth="1"/>
    <col min="42" max="42" width="8.28515625" bestFit="1" customWidth="1"/>
    <col min="43" max="43" width="10.28515625" bestFit="1" customWidth="1"/>
    <col min="44" max="44" width="7.28515625" bestFit="1" customWidth="1"/>
    <col min="45" max="49" width="8.7109375" bestFit="1" customWidth="1"/>
  </cols>
  <sheetData>
    <row r="1" spans="1:46" ht="15.75" thickBot="1" x14ac:dyDescent="0.3">
      <c r="B1" s="43" t="s">
        <v>164</v>
      </c>
      <c r="C1" s="44"/>
      <c r="Y1"/>
      <c r="Z1"/>
      <c r="AG1">
        <v>392</v>
      </c>
      <c r="AP1" s="126">
        <f>Sumarry!$K$4</f>
        <v>448.91</v>
      </c>
      <c r="AQ1" s="126">
        <f>Sumarry!$L$4</f>
        <v>299.27333333333337</v>
      </c>
    </row>
    <row r="2" spans="1:46" x14ac:dyDescent="0.25">
      <c r="B2" s="245" t="s">
        <v>64</v>
      </c>
      <c r="C2" s="247" t="s">
        <v>65</v>
      </c>
      <c r="D2" s="249" t="s">
        <v>66</v>
      </c>
      <c r="E2" s="250"/>
      <c r="F2" s="250"/>
      <c r="G2" s="250"/>
      <c r="H2" s="251"/>
      <c r="I2" s="242" t="s">
        <v>67</v>
      </c>
      <c r="J2" s="243"/>
      <c r="K2" s="243"/>
      <c r="L2" s="244"/>
      <c r="M2" s="242" t="s">
        <v>68</v>
      </c>
      <c r="N2" s="243"/>
      <c r="O2" s="243"/>
      <c r="P2" s="243"/>
      <c r="Q2" s="244"/>
      <c r="R2" s="242" t="s">
        <v>69</v>
      </c>
      <c r="S2" s="243"/>
      <c r="T2" s="244"/>
      <c r="U2" s="239" t="s">
        <v>70</v>
      </c>
      <c r="V2" s="240"/>
      <c r="W2" s="240"/>
      <c r="X2" s="240"/>
      <c r="Y2" s="240"/>
      <c r="Z2" s="240"/>
      <c r="AA2" s="240"/>
      <c r="AB2" s="241"/>
      <c r="AC2" s="242" t="s">
        <v>71</v>
      </c>
      <c r="AD2" s="243"/>
      <c r="AE2" s="243"/>
      <c r="AF2" s="243"/>
      <c r="AG2" s="244"/>
      <c r="AH2" s="242" t="s">
        <v>72</v>
      </c>
      <c r="AI2" s="243"/>
      <c r="AJ2" s="243"/>
      <c r="AK2" s="243"/>
      <c r="AL2" s="244"/>
      <c r="AM2" s="239" t="s">
        <v>73</v>
      </c>
      <c r="AN2" s="240"/>
      <c r="AO2" s="240"/>
      <c r="AP2" s="240"/>
      <c r="AQ2" s="241"/>
    </row>
    <row r="3" spans="1:46" x14ac:dyDescent="0.25">
      <c r="B3" s="246"/>
      <c r="C3" s="248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6" x14ac:dyDescent="0.25">
      <c r="A4" t="str">
        <f>CONCATENATE(B4,C4)</f>
        <v>46174M</v>
      </c>
      <c r="B4" s="51">
        <v>46174</v>
      </c>
      <c r="C4" s="52" t="s">
        <v>87</v>
      </c>
      <c r="D4" s="53">
        <v>664</v>
      </c>
      <c r="E4" s="54">
        <v>3.9</v>
      </c>
      <c r="F4" s="55">
        <v>8.19</v>
      </c>
      <c r="G4" s="62">
        <f t="shared" ref="G4:G65" si="0">+D4*E4%</f>
        <v>25.896000000000001</v>
      </c>
      <c r="H4" s="63">
        <f t="shared" ref="H4:H65" si="1">+D4*F4%</f>
        <v>54.381599999999999</v>
      </c>
      <c r="I4" s="203">
        <v>371.40000000000009</v>
      </c>
      <c r="J4" s="203">
        <v>382.54200000000009</v>
      </c>
      <c r="K4" s="203">
        <v>4.5020193861066229</v>
      </c>
      <c r="L4" s="203">
        <v>8.5975498115239635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382.54200000000009</v>
      </c>
      <c r="S4" s="62">
        <f t="shared" ref="S4:S65" si="2">+J4*K4%+O4*P4%</f>
        <v>17.222115000000002</v>
      </c>
      <c r="T4" s="63">
        <f t="shared" ref="T4:T65" si="3">+J4*L4%+O4*Q4%</f>
        <v>32.889239000000011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:AA65" si="4">X4*Y4%</f>
        <v>0</v>
      </c>
      <c r="AB4" s="63">
        <f t="shared" ref="AB4:AB65" si="5">X4*Z4%</f>
        <v>0</v>
      </c>
      <c r="AC4" s="69"/>
      <c r="AD4" s="70"/>
      <c r="AE4" s="70"/>
      <c r="AF4" s="62">
        <f t="shared" ref="AF4:AF65" si="6">AC4*AD4%</f>
        <v>0</v>
      </c>
      <c r="AG4" s="63">
        <f t="shared" ref="AG4:AG65" si="7">AC4*AE4%</f>
        <v>0</v>
      </c>
      <c r="AH4" s="71">
        <v>2527</v>
      </c>
      <c r="AI4" s="66">
        <v>3.75</v>
      </c>
      <c r="AJ4" s="66">
        <v>8.34</v>
      </c>
      <c r="AK4" s="62">
        <f t="shared" ref="AK4:AK65" si="8">AH4*AI4%</f>
        <v>94.762500000000003</v>
      </c>
      <c r="AL4" s="72">
        <f t="shared" ref="AL4:AL65" si="9">AH4*AJ4%</f>
        <v>210.7518</v>
      </c>
      <c r="AM4" s="73">
        <f>+D4+R4-AC4-AH4</f>
        <v>-1480.4579999999999</v>
      </c>
      <c r="AN4" s="74">
        <f t="shared" ref="AN4:AO19" si="10">+G4+S4-AF4-AK4</f>
        <v>-51.644385</v>
      </c>
      <c r="AO4" s="74">
        <f t="shared" si="10"/>
        <v>-123.48096099999999</v>
      </c>
      <c r="AP4" s="75">
        <f>(AN4+AO4)/(S4+T4)</f>
        <v>-3.4947238903183484</v>
      </c>
      <c r="AQ4" s="76">
        <f t="shared" ref="AQ4:AQ65" si="11">($AP$1*AN4+$AQ$1*AO4)</f>
        <v>-60138.239672023337</v>
      </c>
      <c r="AR4" s="77">
        <f t="shared" ref="AR4:AR65" si="12">(D4+J4+O4)-(X4+AH4)</f>
        <v>-1480.4579999999999</v>
      </c>
      <c r="AT4" s="78"/>
    </row>
    <row r="5" spans="1:46" x14ac:dyDescent="0.25">
      <c r="A5" t="str">
        <f t="shared" ref="A5:A65" si="13">CONCATENATE(B5,C5)</f>
        <v>46174E</v>
      </c>
      <c r="B5" s="51">
        <f>+B4</f>
        <v>46174</v>
      </c>
      <c r="C5" s="52" t="s">
        <v>88</v>
      </c>
      <c r="D5" s="79">
        <v>2527</v>
      </c>
      <c r="E5" s="62">
        <v>3.75</v>
      </c>
      <c r="F5" s="62">
        <v>8.34</v>
      </c>
      <c r="G5" s="62">
        <f t="shared" si="0"/>
        <v>94.762500000000003</v>
      </c>
      <c r="H5" s="63">
        <f t="shared" si="1"/>
        <v>210.7518</v>
      </c>
      <c r="I5" s="203">
        <v>543.4</v>
      </c>
      <c r="J5" s="203">
        <v>559.702</v>
      </c>
      <c r="K5" s="203">
        <v>3.9036069193963936</v>
      </c>
      <c r="L5" s="203">
        <v>8.3540301803459709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4">+J5+O5</f>
        <v>559.702</v>
      </c>
      <c r="S5" s="62">
        <f t="shared" si="2"/>
        <v>21.848566000000002</v>
      </c>
      <c r="T5" s="63">
        <f t="shared" si="3"/>
        <v>46.757674000000009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si="4"/>
        <v>0</v>
      </c>
      <c r="AB5" s="63">
        <f t="shared" si="5"/>
        <v>0</v>
      </c>
      <c r="AC5" s="69"/>
      <c r="AD5" s="70"/>
      <c r="AE5" s="70"/>
      <c r="AF5" s="62">
        <f t="shared" si="6"/>
        <v>0</v>
      </c>
      <c r="AG5" s="63">
        <f t="shared" si="7"/>
        <v>0</v>
      </c>
      <c r="AH5" s="71">
        <v>3087</v>
      </c>
      <c r="AI5" s="66">
        <v>3.8</v>
      </c>
      <c r="AJ5" s="66">
        <v>8.42</v>
      </c>
      <c r="AK5" s="62">
        <f t="shared" si="8"/>
        <v>117.306</v>
      </c>
      <c r="AL5" s="72">
        <f t="shared" si="9"/>
        <v>259.92539999999997</v>
      </c>
      <c r="AM5" s="73">
        <f t="shared" ref="AM5:AM65" si="15">+D5+R5-AC5-AH5</f>
        <v>-0.29799999999977445</v>
      </c>
      <c r="AN5" s="74">
        <f t="shared" si="10"/>
        <v>-0.69493399999998928</v>
      </c>
      <c r="AO5" s="74">
        <f t="shared" si="10"/>
        <v>-2.4159259999999563</v>
      </c>
      <c r="AP5" s="75">
        <f t="shared" ref="AP5:AP65" si="16">(AN5+AO5)/(S5+T5)</f>
        <v>-4.5343688853957669E-2</v>
      </c>
      <c r="AQ5" s="76">
        <f t="shared" si="11"/>
        <v>-1034.9850490466488</v>
      </c>
      <c r="AR5" s="77">
        <f t="shared" si="12"/>
        <v>-0.29799999999977445</v>
      </c>
    </row>
    <row r="6" spans="1:46" x14ac:dyDescent="0.25">
      <c r="A6" t="str">
        <f t="shared" si="13"/>
        <v>46175M</v>
      </c>
      <c r="B6" s="51">
        <f>+B4+1</f>
        <v>46175</v>
      </c>
      <c r="C6" s="52" t="s">
        <v>87</v>
      </c>
      <c r="D6" s="79">
        <v>3087</v>
      </c>
      <c r="E6" s="62">
        <v>3.8</v>
      </c>
      <c r="F6" s="62">
        <v>8.42</v>
      </c>
      <c r="G6" s="62">
        <f t="shared" si="0"/>
        <v>117.306</v>
      </c>
      <c r="H6" s="63">
        <f t="shared" si="1"/>
        <v>259.92539999999997</v>
      </c>
      <c r="I6" s="203">
        <v>1724.6</v>
      </c>
      <c r="J6" s="203">
        <v>1776.338</v>
      </c>
      <c r="K6" s="203">
        <v>4.2137945030731769</v>
      </c>
      <c r="L6" s="203">
        <v>8.2776121999304166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4"/>
        <v>1776.338</v>
      </c>
      <c r="S6" s="62">
        <f t="shared" si="2"/>
        <v>74.851233000000008</v>
      </c>
      <c r="T6" s="63">
        <f t="shared" si="3"/>
        <v>147.03837099999996</v>
      </c>
      <c r="U6" s="64" t="s">
        <v>167</v>
      </c>
      <c r="V6" s="65" t="s">
        <v>187</v>
      </c>
      <c r="W6" s="66">
        <v>0</v>
      </c>
      <c r="X6" s="67">
        <v>0</v>
      </c>
      <c r="Y6" s="68">
        <v>0</v>
      </c>
      <c r="Z6" s="68">
        <v>0</v>
      </c>
      <c r="AA6" s="62">
        <f t="shared" si="4"/>
        <v>0</v>
      </c>
      <c r="AB6" s="63">
        <f t="shared" si="5"/>
        <v>0</v>
      </c>
      <c r="AC6" s="69"/>
      <c r="AD6" s="70"/>
      <c r="AE6" s="70"/>
      <c r="AF6" s="62">
        <f t="shared" si="6"/>
        <v>0</v>
      </c>
      <c r="AG6" s="63">
        <f t="shared" si="7"/>
        <v>0</v>
      </c>
      <c r="AH6" s="71">
        <v>4863</v>
      </c>
      <c r="AI6" s="66">
        <v>3.94</v>
      </c>
      <c r="AJ6" s="66">
        <v>8.36</v>
      </c>
      <c r="AK6" s="62">
        <f t="shared" si="8"/>
        <v>191.60219999999998</v>
      </c>
      <c r="AL6" s="72">
        <f t="shared" si="9"/>
        <v>406.54679999999996</v>
      </c>
      <c r="AM6" s="73">
        <f t="shared" si="15"/>
        <v>0.33799999999973807</v>
      </c>
      <c r="AN6" s="74">
        <f t="shared" si="10"/>
        <v>0.55503300000003719</v>
      </c>
      <c r="AO6" s="74">
        <f t="shared" si="10"/>
        <v>0.41697099999998954</v>
      </c>
      <c r="AP6" s="75">
        <f t="shared" si="16"/>
        <v>4.3805747654587137E-3</v>
      </c>
      <c r="AQ6" s="76">
        <f t="shared" si="11"/>
        <v>373.94816510334692</v>
      </c>
      <c r="AR6" s="77">
        <f t="shared" si="12"/>
        <v>0.33799999999973807</v>
      </c>
    </row>
    <row r="7" spans="1:46" x14ac:dyDescent="0.25">
      <c r="A7" t="str">
        <f t="shared" si="13"/>
        <v>46175E</v>
      </c>
      <c r="B7" s="51">
        <f>+B5+1</f>
        <v>46175</v>
      </c>
      <c r="C7" s="52" t="s">
        <v>88</v>
      </c>
      <c r="D7" s="79">
        <v>4863</v>
      </c>
      <c r="E7" s="62">
        <v>3.94</v>
      </c>
      <c r="F7" s="62">
        <v>8.36</v>
      </c>
      <c r="G7" s="62">
        <f t="shared" si="0"/>
        <v>191.60219999999998</v>
      </c>
      <c r="H7" s="63">
        <f t="shared" si="1"/>
        <v>406.54679999999996</v>
      </c>
      <c r="I7" s="203">
        <v>540</v>
      </c>
      <c r="J7" s="203">
        <v>556.20000000000005</v>
      </c>
      <c r="K7" s="203">
        <v>3.9041111111111109</v>
      </c>
      <c r="L7" s="203">
        <v>8.4079999999999995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4"/>
        <v>556.20000000000005</v>
      </c>
      <c r="S7" s="62">
        <f t="shared" si="2"/>
        <v>21.714666000000001</v>
      </c>
      <c r="T7" s="63">
        <f t="shared" si="3"/>
        <v>46.765295999999999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4"/>
        <v>0</v>
      </c>
      <c r="AB7" s="63">
        <f t="shared" si="5"/>
        <v>0</v>
      </c>
      <c r="AC7" s="69"/>
      <c r="AD7" s="70"/>
      <c r="AE7" s="70"/>
      <c r="AF7" s="62">
        <f t="shared" si="6"/>
        <v>0</v>
      </c>
      <c r="AG7" s="63">
        <f t="shared" si="7"/>
        <v>0</v>
      </c>
      <c r="AH7" s="71">
        <v>5419</v>
      </c>
      <c r="AI7" s="71">
        <v>4</v>
      </c>
      <c r="AJ7" s="71">
        <v>8.4600000000000009</v>
      </c>
      <c r="AK7" s="62">
        <f t="shared" si="8"/>
        <v>216.76</v>
      </c>
      <c r="AL7" s="72">
        <f t="shared" si="9"/>
        <v>458.44740000000007</v>
      </c>
      <c r="AM7" s="73">
        <f t="shared" si="15"/>
        <v>0.1999999999998181</v>
      </c>
      <c r="AN7" s="74">
        <f t="shared" si="10"/>
        <v>-3.4431340000000148</v>
      </c>
      <c r="AO7" s="74">
        <f t="shared" si="10"/>
        <v>-5.1353040000001329</v>
      </c>
      <c r="AP7" s="75">
        <f t="shared" si="16"/>
        <v>-0.12526931600809224</v>
      </c>
      <c r="AQ7" s="76">
        <f t="shared" si="11"/>
        <v>-3082.5168297000464</v>
      </c>
      <c r="AR7" s="77">
        <f t="shared" si="12"/>
        <v>0.1999999999998181</v>
      </c>
    </row>
    <row r="8" spans="1:46" x14ac:dyDescent="0.25">
      <c r="A8" t="str">
        <f t="shared" si="13"/>
        <v>46176M</v>
      </c>
      <c r="B8" s="51">
        <f>+B6+1</f>
        <v>46176</v>
      </c>
      <c r="C8" s="52" t="s">
        <v>87</v>
      </c>
      <c r="D8" s="91">
        <v>5419</v>
      </c>
      <c r="E8" s="62">
        <v>4</v>
      </c>
      <c r="F8" s="62">
        <v>8.4600000000000009</v>
      </c>
      <c r="G8" s="62">
        <f t="shared" si="0"/>
        <v>216.76</v>
      </c>
      <c r="H8" s="63">
        <f t="shared" si="1"/>
        <v>458.44740000000007</v>
      </c>
      <c r="I8" s="203">
        <v>1212.7</v>
      </c>
      <c r="J8" s="203">
        <v>1249.0810000000001</v>
      </c>
      <c r="K8" s="203">
        <v>3.9837305186773322</v>
      </c>
      <c r="L8" s="203">
        <v>8.1322421043951536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4"/>
        <v>1249.0810000000001</v>
      </c>
      <c r="S8" s="62">
        <f t="shared" si="2"/>
        <v>49.760021000000016</v>
      </c>
      <c r="T8" s="63">
        <f t="shared" si="3"/>
        <v>101.57829100000005</v>
      </c>
      <c r="U8" s="64" t="s">
        <v>172</v>
      </c>
      <c r="V8" s="65" t="s">
        <v>238</v>
      </c>
      <c r="W8" s="66" t="s">
        <v>239</v>
      </c>
      <c r="X8" s="67">
        <v>6280</v>
      </c>
      <c r="Y8" s="68">
        <v>4.05</v>
      </c>
      <c r="Z8" s="68">
        <v>8.1999999999999993</v>
      </c>
      <c r="AA8" s="62">
        <f t="shared" si="4"/>
        <v>254.34</v>
      </c>
      <c r="AB8" s="63">
        <f t="shared" si="5"/>
        <v>514.95999999999992</v>
      </c>
      <c r="AC8" s="69">
        <v>6280</v>
      </c>
      <c r="AD8" s="70">
        <v>4.05</v>
      </c>
      <c r="AE8" s="70">
        <v>8.1999999999999993</v>
      </c>
      <c r="AF8" s="62">
        <f t="shared" si="6"/>
        <v>254.34</v>
      </c>
      <c r="AG8" s="63">
        <f t="shared" si="7"/>
        <v>514.95999999999992</v>
      </c>
      <c r="AH8" s="71">
        <v>388</v>
      </c>
      <c r="AI8" s="71">
        <v>4.05</v>
      </c>
      <c r="AJ8" s="71">
        <v>8.1</v>
      </c>
      <c r="AK8" s="62">
        <f t="shared" si="8"/>
        <v>15.714</v>
      </c>
      <c r="AL8" s="72">
        <f t="shared" si="9"/>
        <v>31.428000000000001</v>
      </c>
      <c r="AM8" s="73">
        <f t="shared" si="15"/>
        <v>8.1000000000130967E-2</v>
      </c>
      <c r="AN8" s="74">
        <f t="shared" si="10"/>
        <v>-3.5339790000000182</v>
      </c>
      <c r="AO8" s="74">
        <f t="shared" si="10"/>
        <v>13.637691000000242</v>
      </c>
      <c r="AP8" s="75">
        <f t="shared" si="16"/>
        <v>6.6762420344692486E-2</v>
      </c>
      <c r="AQ8" s="76">
        <f t="shared" si="11"/>
        <v>2494.9587316500647</v>
      </c>
      <c r="AR8" s="90">
        <f t="shared" si="12"/>
        <v>8.1000000000130967E-2</v>
      </c>
    </row>
    <row r="9" spans="1:46" x14ac:dyDescent="0.25">
      <c r="A9" t="str">
        <f t="shared" si="13"/>
        <v>46176E</v>
      </c>
      <c r="B9" s="51">
        <f t="shared" ref="B9:B65" si="17">+B7+1</f>
        <v>46176</v>
      </c>
      <c r="C9" s="52" t="s">
        <v>88</v>
      </c>
      <c r="D9" s="91">
        <v>388</v>
      </c>
      <c r="E9" s="62">
        <v>4.05</v>
      </c>
      <c r="F9" s="62">
        <v>8.1</v>
      </c>
      <c r="G9" s="62">
        <f t="shared" si="0"/>
        <v>15.714</v>
      </c>
      <c r="H9" s="63">
        <f t="shared" si="1"/>
        <v>31.428000000000001</v>
      </c>
      <c r="I9" s="203">
        <v>2018.3000000000002</v>
      </c>
      <c r="J9" s="203">
        <v>2078.8490000000002</v>
      </c>
      <c r="K9" s="203">
        <v>3.6619779021949164</v>
      </c>
      <c r="L9" s="203">
        <v>8.3229500074319986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4"/>
        <v>2078.8490000000002</v>
      </c>
      <c r="S9" s="62">
        <f t="shared" si="2"/>
        <v>76.126991000000004</v>
      </c>
      <c r="T9" s="63">
        <f t="shared" si="3"/>
        <v>173.02156300000004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4"/>
        <v>0</v>
      </c>
      <c r="AB9" s="63">
        <f t="shared" si="5"/>
        <v>0</v>
      </c>
      <c r="AC9" s="69"/>
      <c r="AD9" s="70"/>
      <c r="AE9" s="70"/>
      <c r="AF9" s="62">
        <f t="shared" si="6"/>
        <v>0</v>
      </c>
      <c r="AG9" s="63">
        <f t="shared" si="7"/>
        <v>0</v>
      </c>
      <c r="AH9" s="82">
        <v>986</v>
      </c>
      <c r="AI9" s="82">
        <v>4.01</v>
      </c>
      <c r="AJ9" s="82">
        <v>8.2200000000000006</v>
      </c>
      <c r="AK9" s="62">
        <f t="shared" si="8"/>
        <v>39.538599999999995</v>
      </c>
      <c r="AL9" s="72">
        <f t="shared" si="9"/>
        <v>81.049200000000013</v>
      </c>
      <c r="AM9" s="73">
        <f t="shared" si="15"/>
        <v>1480.8490000000002</v>
      </c>
      <c r="AN9" s="74">
        <f t="shared" si="10"/>
        <v>52.302391000000007</v>
      </c>
      <c r="AO9" s="74">
        <f t="shared" si="10"/>
        <v>123.40036300000003</v>
      </c>
      <c r="AP9" s="75">
        <f t="shared" si="16"/>
        <v>0.70521281853395779</v>
      </c>
      <c r="AQ9" s="76">
        <f t="shared" si="11"/>
        <v>60409.504313363344</v>
      </c>
      <c r="AR9" s="90">
        <f t="shared" si="12"/>
        <v>1480.8490000000002</v>
      </c>
    </row>
    <row r="10" spans="1:46" x14ac:dyDescent="0.25">
      <c r="A10" t="str">
        <f t="shared" si="13"/>
        <v>46177M</v>
      </c>
      <c r="B10" s="51">
        <f t="shared" si="17"/>
        <v>46177</v>
      </c>
      <c r="C10" s="52" t="s">
        <v>87</v>
      </c>
      <c r="D10" s="91">
        <v>986</v>
      </c>
      <c r="E10" s="62">
        <v>4.01</v>
      </c>
      <c r="F10" s="62">
        <v>8.2200000000000006</v>
      </c>
      <c r="G10" s="62">
        <f t="shared" si="0"/>
        <v>39.538599999999995</v>
      </c>
      <c r="H10" s="63">
        <f t="shared" si="1"/>
        <v>81.049200000000013</v>
      </c>
      <c r="I10" s="203">
        <v>354.29999999999995</v>
      </c>
      <c r="J10" s="203">
        <v>364.92899999999997</v>
      </c>
      <c r="K10" s="203">
        <v>4.7771662432966417</v>
      </c>
      <c r="L10" s="203">
        <v>8.620716906576348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4"/>
        <v>364.92899999999997</v>
      </c>
      <c r="S10" s="62">
        <f t="shared" si="2"/>
        <v>17.433265000000002</v>
      </c>
      <c r="T10" s="63">
        <f t="shared" si="3"/>
        <v>31.459495999999998</v>
      </c>
      <c r="U10" s="64" t="s">
        <v>175</v>
      </c>
      <c r="V10" s="65" t="s">
        <v>205</v>
      </c>
      <c r="W10" s="66" t="s">
        <v>219</v>
      </c>
      <c r="X10" s="67">
        <v>1367</v>
      </c>
      <c r="Y10" s="68">
        <v>4.2</v>
      </c>
      <c r="Z10" s="68">
        <v>8.1300000000000008</v>
      </c>
      <c r="AA10" s="62">
        <f t="shared" si="4"/>
        <v>57.414000000000001</v>
      </c>
      <c r="AB10" s="63">
        <f t="shared" si="5"/>
        <v>111.13710000000002</v>
      </c>
      <c r="AC10" s="69">
        <v>1360</v>
      </c>
      <c r="AD10" s="70">
        <v>4.0999999999999996</v>
      </c>
      <c r="AE10" s="70">
        <v>8.0399999999999991</v>
      </c>
      <c r="AF10" s="62">
        <f t="shared" si="6"/>
        <v>55.759999999999991</v>
      </c>
      <c r="AG10" s="63">
        <f t="shared" si="7"/>
        <v>109.34399999999998</v>
      </c>
      <c r="AH10" s="71">
        <v>0</v>
      </c>
      <c r="AI10" s="71">
        <v>0</v>
      </c>
      <c r="AJ10" s="71">
        <v>0</v>
      </c>
      <c r="AK10" s="62">
        <f t="shared" si="8"/>
        <v>0</v>
      </c>
      <c r="AL10" s="72">
        <f t="shared" si="9"/>
        <v>0</v>
      </c>
      <c r="AM10" s="73">
        <f t="shared" si="15"/>
        <v>-9.0709999999999127</v>
      </c>
      <c r="AN10" s="74">
        <f t="shared" si="10"/>
        <v>1.2118650000000031</v>
      </c>
      <c r="AO10" s="74">
        <f t="shared" si="10"/>
        <v>3.1646960000000348</v>
      </c>
      <c r="AP10" s="75">
        <f t="shared" si="16"/>
        <v>8.9513476238333889E-2</v>
      </c>
      <c r="AQ10" s="76">
        <f t="shared" si="11"/>
        <v>1491.1274380566786</v>
      </c>
      <c r="AR10" s="90">
        <f t="shared" si="12"/>
        <v>-16.070999999999913</v>
      </c>
    </row>
    <row r="11" spans="1:46" x14ac:dyDescent="0.25">
      <c r="A11" t="str">
        <f t="shared" si="13"/>
        <v>46177E</v>
      </c>
      <c r="B11" s="51">
        <f t="shared" si="17"/>
        <v>46177</v>
      </c>
      <c r="C11" s="52" t="s">
        <v>88</v>
      </c>
      <c r="D11" s="91">
        <v>0</v>
      </c>
      <c r="E11" s="62">
        <v>0</v>
      </c>
      <c r="F11" s="62">
        <v>0</v>
      </c>
      <c r="G11" s="62">
        <f t="shared" si="0"/>
        <v>0</v>
      </c>
      <c r="H11" s="63">
        <f t="shared" si="1"/>
        <v>0</v>
      </c>
      <c r="I11" s="203">
        <v>528.1</v>
      </c>
      <c r="J11" s="203">
        <v>543.94299999999998</v>
      </c>
      <c r="K11" s="203">
        <v>3.950577542132172</v>
      </c>
      <c r="L11" s="203">
        <v>8.3646279113804205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4"/>
        <v>543.94299999999998</v>
      </c>
      <c r="S11" s="62">
        <f t="shared" si="2"/>
        <v>21.488890000000001</v>
      </c>
      <c r="T11" s="63">
        <f t="shared" si="3"/>
        <v>45.498807999999997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4"/>
        <v>0</v>
      </c>
      <c r="AB11" s="63">
        <f t="shared" si="5"/>
        <v>0</v>
      </c>
      <c r="AC11" s="69"/>
      <c r="AD11" s="70"/>
      <c r="AE11" s="70"/>
      <c r="AF11" s="62">
        <f t="shared" si="6"/>
        <v>0</v>
      </c>
      <c r="AG11" s="63">
        <f t="shared" si="7"/>
        <v>0</v>
      </c>
      <c r="AH11" s="71">
        <v>544</v>
      </c>
      <c r="AI11" s="71">
        <v>3.9</v>
      </c>
      <c r="AJ11" s="71">
        <v>8.19</v>
      </c>
      <c r="AK11" s="62">
        <f t="shared" si="8"/>
        <v>21.216000000000001</v>
      </c>
      <c r="AL11" s="72">
        <f t="shared" si="9"/>
        <v>44.553600000000003</v>
      </c>
      <c r="AM11" s="73">
        <f t="shared" si="15"/>
        <v>-5.7000000000016371E-2</v>
      </c>
      <c r="AN11" s="74">
        <f t="shared" si="10"/>
        <v>0.2728900000000003</v>
      </c>
      <c r="AO11" s="74">
        <f t="shared" si="10"/>
        <v>0.94520799999999383</v>
      </c>
      <c r="AP11" s="75">
        <f t="shared" si="16"/>
        <v>1.8183905946432048E-2</v>
      </c>
      <c r="AQ11" s="76">
        <f t="shared" si="11"/>
        <v>405.37859875333163</v>
      </c>
      <c r="AR11" s="90">
        <f t="shared" si="12"/>
        <v>-5.7000000000016371E-2</v>
      </c>
    </row>
    <row r="12" spans="1:46" x14ac:dyDescent="0.25">
      <c r="A12" t="str">
        <f t="shared" si="13"/>
        <v>46178M</v>
      </c>
      <c r="B12" s="51">
        <f t="shared" si="17"/>
        <v>46178</v>
      </c>
      <c r="C12" s="52" t="s">
        <v>87</v>
      </c>
      <c r="D12" s="91">
        <v>544</v>
      </c>
      <c r="E12" s="62">
        <v>3.9</v>
      </c>
      <c r="F12" s="62">
        <v>8.19</v>
      </c>
      <c r="G12" s="62">
        <f t="shared" si="0"/>
        <v>21.216000000000001</v>
      </c>
      <c r="H12" s="63">
        <f t="shared" si="1"/>
        <v>44.553600000000003</v>
      </c>
      <c r="I12" s="203">
        <v>335</v>
      </c>
      <c r="J12" s="203">
        <v>345.05</v>
      </c>
      <c r="K12" s="203">
        <v>5.09</v>
      </c>
      <c r="L12" s="203">
        <v>8.56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4"/>
        <v>345.05</v>
      </c>
      <c r="S12" s="62">
        <f t="shared" si="2"/>
        <v>17.563045000000002</v>
      </c>
      <c r="T12" s="63">
        <f t="shared" si="3"/>
        <v>29.536280000000005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4"/>
        <v>0</v>
      </c>
      <c r="AB12" s="63">
        <f t="shared" si="5"/>
        <v>0</v>
      </c>
      <c r="AC12" s="69"/>
      <c r="AD12" s="70"/>
      <c r="AE12" s="70"/>
      <c r="AF12" s="62">
        <f t="shared" si="6"/>
        <v>0</v>
      </c>
      <c r="AG12" s="63">
        <f t="shared" si="7"/>
        <v>0</v>
      </c>
      <c r="AH12" s="71">
        <v>889</v>
      </c>
      <c r="AI12" s="71">
        <v>4.5</v>
      </c>
      <c r="AJ12" s="71">
        <v>8.31</v>
      </c>
      <c r="AK12" s="62">
        <f t="shared" si="8"/>
        <v>40.004999999999995</v>
      </c>
      <c r="AL12" s="72">
        <f t="shared" si="9"/>
        <v>73.875900000000001</v>
      </c>
      <c r="AM12" s="73">
        <f t="shared" si="15"/>
        <v>4.9999999999954525E-2</v>
      </c>
      <c r="AN12" s="74">
        <f t="shared" si="10"/>
        <v>-1.2259549999999919</v>
      </c>
      <c r="AO12" s="74">
        <f t="shared" si="10"/>
        <v>0.2139800000000065</v>
      </c>
      <c r="AP12" s="75">
        <f t="shared" si="16"/>
        <v>-2.1485976709856993E-2</v>
      </c>
      <c r="AQ12" s="76">
        <f t="shared" si="11"/>
        <v>-486.30495118332783</v>
      </c>
      <c r="AR12" s="90">
        <f t="shared" si="12"/>
        <v>4.9999999999954525E-2</v>
      </c>
    </row>
    <row r="13" spans="1:46" x14ac:dyDescent="0.25">
      <c r="A13" t="str">
        <f t="shared" si="13"/>
        <v>46178E</v>
      </c>
      <c r="B13" s="51">
        <f t="shared" si="17"/>
        <v>46178</v>
      </c>
      <c r="C13" s="52" t="s">
        <v>88</v>
      </c>
      <c r="D13" s="91">
        <v>889</v>
      </c>
      <c r="E13" s="62">
        <v>4.5</v>
      </c>
      <c r="F13" s="62">
        <v>8.31</v>
      </c>
      <c r="G13" s="62">
        <f t="shared" si="0"/>
        <v>40.004999999999995</v>
      </c>
      <c r="H13" s="63">
        <f t="shared" si="1"/>
        <v>73.875900000000001</v>
      </c>
      <c r="I13" s="203">
        <v>666.3</v>
      </c>
      <c r="J13" s="203">
        <v>686.28899999999999</v>
      </c>
      <c r="K13" s="203">
        <v>3.93</v>
      </c>
      <c r="L13" s="203">
        <v>8.25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4"/>
        <v>686.28899999999999</v>
      </c>
      <c r="S13" s="62">
        <f t="shared" si="2"/>
        <v>26.971157699999999</v>
      </c>
      <c r="T13" s="63">
        <f t="shared" si="3"/>
        <v>56.6188425</v>
      </c>
      <c r="U13" s="64" t="s">
        <v>167</v>
      </c>
      <c r="V13" s="65" t="s">
        <v>187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4"/>
        <v>0</v>
      </c>
      <c r="AB13" s="63">
        <f t="shared" si="5"/>
        <v>0</v>
      </c>
      <c r="AC13" s="69"/>
      <c r="AD13" s="70"/>
      <c r="AE13" s="70"/>
      <c r="AF13" s="62">
        <f t="shared" si="6"/>
        <v>0</v>
      </c>
      <c r="AG13" s="63">
        <f t="shared" si="7"/>
        <v>0</v>
      </c>
      <c r="AH13" s="71">
        <v>1575</v>
      </c>
      <c r="AI13" s="71">
        <v>4.25</v>
      </c>
      <c r="AJ13" s="71">
        <v>8.2799999999999994</v>
      </c>
      <c r="AK13" s="62">
        <f t="shared" si="8"/>
        <v>66.9375</v>
      </c>
      <c r="AL13" s="72">
        <f t="shared" si="9"/>
        <v>130.41</v>
      </c>
      <c r="AM13" s="73">
        <f t="shared" si="15"/>
        <v>0.28899999999998727</v>
      </c>
      <c r="AN13" s="74">
        <f t="shared" si="10"/>
        <v>3.8657699999987472E-2</v>
      </c>
      <c r="AO13" s="74">
        <f t="shared" si="10"/>
        <v>8.4742500000004384E-2</v>
      </c>
      <c r="AP13" s="75">
        <f t="shared" si="16"/>
        <v>1.4762555294262562E-3</v>
      </c>
      <c r="AQ13" s="76">
        <f t="shared" si="11"/>
        <v>42.714998556995695</v>
      </c>
      <c r="AR13" s="90">
        <f t="shared" si="12"/>
        <v>0.28899999999998727</v>
      </c>
    </row>
    <row r="14" spans="1:46" x14ac:dyDescent="0.25">
      <c r="A14" t="str">
        <f t="shared" si="13"/>
        <v>46179M</v>
      </c>
      <c r="B14" s="51">
        <f t="shared" si="17"/>
        <v>46179</v>
      </c>
      <c r="C14" s="52" t="s">
        <v>87</v>
      </c>
      <c r="D14" s="91">
        <v>1575</v>
      </c>
      <c r="E14" s="62">
        <v>4.25</v>
      </c>
      <c r="F14" s="62">
        <v>8.2799999999999994</v>
      </c>
      <c r="G14" s="62">
        <f t="shared" si="0"/>
        <v>66.9375</v>
      </c>
      <c r="H14" s="63">
        <f t="shared" si="1"/>
        <v>130.41</v>
      </c>
      <c r="I14" s="203">
        <v>359.8</v>
      </c>
      <c r="J14" s="203">
        <v>370.59399999999999</v>
      </c>
      <c r="K14" s="203">
        <v>4.97</v>
      </c>
      <c r="L14" s="203">
        <v>8.59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4"/>
        <v>370.59399999999999</v>
      </c>
      <c r="S14" s="62">
        <f t="shared" si="2"/>
        <v>18.418521799999997</v>
      </c>
      <c r="T14" s="63">
        <f t="shared" si="3"/>
        <v>31.834024599999999</v>
      </c>
      <c r="U14" s="64" t="s">
        <v>167</v>
      </c>
      <c r="V14" s="65" t="s">
        <v>187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4"/>
        <v>0</v>
      </c>
      <c r="AB14" s="63">
        <f t="shared" si="5"/>
        <v>0</v>
      </c>
      <c r="AC14" s="69"/>
      <c r="AD14" s="70"/>
      <c r="AE14" s="70"/>
      <c r="AF14" s="62">
        <f t="shared" si="6"/>
        <v>0</v>
      </c>
      <c r="AG14" s="63">
        <f t="shared" si="7"/>
        <v>0</v>
      </c>
      <c r="AH14" s="89">
        <v>1946</v>
      </c>
      <c r="AI14" s="71">
        <v>4.3</v>
      </c>
      <c r="AJ14" s="71">
        <v>8.33</v>
      </c>
      <c r="AK14" s="62">
        <f t="shared" si="8"/>
        <v>83.677999999999997</v>
      </c>
      <c r="AL14" s="72">
        <f t="shared" si="9"/>
        <v>162.1018</v>
      </c>
      <c r="AM14" s="73">
        <f t="shared" si="15"/>
        <v>-0.40599999999994907</v>
      </c>
      <c r="AN14" s="74">
        <f t="shared" si="10"/>
        <v>1.6780217999999962</v>
      </c>
      <c r="AO14" s="74">
        <f t="shared" si="10"/>
        <v>0.1422245999999916</v>
      </c>
      <c r="AP14" s="75">
        <f t="shared" si="16"/>
        <v>3.6221973420236232E-2</v>
      </c>
      <c r="AQ14" s="76">
        <f t="shared" si="11"/>
        <v>795.8447963619958</v>
      </c>
      <c r="AR14" s="90">
        <f t="shared" si="12"/>
        <v>-0.40599999999994907</v>
      </c>
    </row>
    <row r="15" spans="1:46" x14ac:dyDescent="0.25">
      <c r="A15" t="str">
        <f t="shared" si="13"/>
        <v>46179E</v>
      </c>
      <c r="B15" s="51">
        <f t="shared" si="17"/>
        <v>46179</v>
      </c>
      <c r="C15" s="52" t="s">
        <v>88</v>
      </c>
      <c r="D15" s="91">
        <v>1946</v>
      </c>
      <c r="E15" s="62">
        <v>4.3</v>
      </c>
      <c r="F15" s="62">
        <v>8.33</v>
      </c>
      <c r="G15" s="62">
        <f t="shared" si="0"/>
        <v>83.677999999999997</v>
      </c>
      <c r="H15" s="63">
        <f t="shared" si="1"/>
        <v>162.1018</v>
      </c>
      <c r="I15" s="203">
        <v>648.79999999999995</v>
      </c>
      <c r="J15" s="203">
        <v>668.26400000000001</v>
      </c>
      <c r="K15" s="203">
        <v>3.94</v>
      </c>
      <c r="L15" s="203">
        <v>8.31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4"/>
        <v>668.26400000000001</v>
      </c>
      <c r="S15" s="62">
        <f t="shared" si="2"/>
        <v>26.3296016</v>
      </c>
      <c r="T15" s="63">
        <f t="shared" si="3"/>
        <v>55.532738400000007</v>
      </c>
      <c r="U15" s="64" t="s">
        <v>167</v>
      </c>
      <c r="V15" s="65" t="s">
        <v>187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4"/>
        <v>0</v>
      </c>
      <c r="AB15" s="63">
        <f t="shared" si="5"/>
        <v>0</v>
      </c>
      <c r="AC15" s="69"/>
      <c r="AD15" s="70"/>
      <c r="AE15" s="70"/>
      <c r="AF15" s="62">
        <f t="shared" si="6"/>
        <v>0</v>
      </c>
      <c r="AG15" s="63">
        <f t="shared" si="7"/>
        <v>0</v>
      </c>
      <c r="AH15" s="89">
        <v>2614</v>
      </c>
      <c r="AI15" s="66">
        <v>4.2</v>
      </c>
      <c r="AJ15" s="66">
        <v>8.32</v>
      </c>
      <c r="AK15" s="62">
        <f t="shared" si="8"/>
        <v>109.78800000000001</v>
      </c>
      <c r="AL15" s="72">
        <f t="shared" si="9"/>
        <v>217.48479999999998</v>
      </c>
      <c r="AM15" s="73">
        <f t="shared" si="15"/>
        <v>0.26400000000012369</v>
      </c>
      <c r="AN15" s="74">
        <f t="shared" si="10"/>
        <v>0.21960159999999007</v>
      </c>
      <c r="AO15" s="74">
        <f t="shared" si="10"/>
        <v>0.14973840000001815</v>
      </c>
      <c r="AP15" s="75">
        <f t="shared" si="16"/>
        <v>4.5117205298554645E-3</v>
      </c>
      <c r="AQ15" s="76">
        <f t="shared" si="11"/>
        <v>143.39406435200098</v>
      </c>
      <c r="AR15" s="90">
        <f t="shared" si="12"/>
        <v>0.26400000000012369</v>
      </c>
    </row>
    <row r="16" spans="1:46" x14ac:dyDescent="0.25">
      <c r="A16" t="str">
        <f t="shared" si="13"/>
        <v>46180M</v>
      </c>
      <c r="B16" s="51">
        <f t="shared" si="17"/>
        <v>46180</v>
      </c>
      <c r="C16" s="52" t="s">
        <v>87</v>
      </c>
      <c r="D16" s="79">
        <v>2614</v>
      </c>
      <c r="E16" s="62">
        <v>4.2</v>
      </c>
      <c r="F16" s="62">
        <v>8.32</v>
      </c>
      <c r="G16" s="62">
        <f t="shared" si="0"/>
        <v>109.78800000000001</v>
      </c>
      <c r="H16" s="63">
        <f t="shared" si="1"/>
        <v>217.48479999999998</v>
      </c>
      <c r="I16" s="203">
        <v>430.6</v>
      </c>
      <c r="J16" s="203">
        <v>443.51800000000003</v>
      </c>
      <c r="K16" s="203">
        <v>4.58</v>
      </c>
      <c r="L16" s="203">
        <v>8.58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4"/>
        <v>443.51800000000003</v>
      </c>
      <c r="S16" s="62">
        <f t="shared" si="2"/>
        <v>20.313124400000003</v>
      </c>
      <c r="T16" s="63">
        <f t="shared" si="3"/>
        <v>38.053844400000003</v>
      </c>
      <c r="U16" s="64" t="s">
        <v>175</v>
      </c>
      <c r="V16" s="65" t="s">
        <v>351</v>
      </c>
      <c r="W16" s="66" t="s">
        <v>159</v>
      </c>
      <c r="X16" s="67">
        <v>3089</v>
      </c>
      <c r="Y16" s="68">
        <v>4.3499999999999996</v>
      </c>
      <c r="Z16" s="68">
        <v>8.0299999999999994</v>
      </c>
      <c r="AA16" s="62">
        <f t="shared" si="4"/>
        <v>134.3715</v>
      </c>
      <c r="AB16" s="63">
        <f t="shared" si="5"/>
        <v>248.04669999999999</v>
      </c>
      <c r="AC16" s="69">
        <v>3089</v>
      </c>
      <c r="AD16" s="70">
        <v>4.3499999999999996</v>
      </c>
      <c r="AE16" s="70">
        <v>8.0299999999999994</v>
      </c>
      <c r="AF16" s="62">
        <f t="shared" si="6"/>
        <v>134.3715</v>
      </c>
      <c r="AG16" s="63">
        <f t="shared" si="7"/>
        <v>248.04669999999999</v>
      </c>
      <c r="AH16" s="97">
        <v>0</v>
      </c>
      <c r="AI16" s="71">
        <v>0</v>
      </c>
      <c r="AJ16" s="71">
        <v>0</v>
      </c>
      <c r="AK16" s="62">
        <f t="shared" si="8"/>
        <v>0</v>
      </c>
      <c r="AL16" s="72">
        <f t="shared" si="9"/>
        <v>0</v>
      </c>
      <c r="AM16" s="73">
        <f t="shared" si="15"/>
        <v>-31.481999999999971</v>
      </c>
      <c r="AN16" s="74">
        <f t="shared" si="10"/>
        <v>-4.2703755999999942</v>
      </c>
      <c r="AO16" s="74">
        <f t="shared" si="10"/>
        <v>7.4919443999999942</v>
      </c>
      <c r="AP16" s="75">
        <f t="shared" si="16"/>
        <v>5.5195067796633628E-2</v>
      </c>
      <c r="AQ16" s="76">
        <f t="shared" si="11"/>
        <v>325.12486314000103</v>
      </c>
      <c r="AR16" s="90">
        <f t="shared" si="12"/>
        <v>-31.481999999999971</v>
      </c>
    </row>
    <row r="17" spans="1:48" x14ac:dyDescent="0.25">
      <c r="A17" t="str">
        <f t="shared" si="13"/>
        <v>46180E</v>
      </c>
      <c r="B17" s="51">
        <f t="shared" si="17"/>
        <v>46180</v>
      </c>
      <c r="C17" s="52" t="s">
        <v>88</v>
      </c>
      <c r="D17" s="79">
        <v>0</v>
      </c>
      <c r="E17" s="62">
        <v>0</v>
      </c>
      <c r="F17" s="62">
        <v>0</v>
      </c>
      <c r="G17" s="62">
        <f t="shared" si="0"/>
        <v>0</v>
      </c>
      <c r="H17" s="63">
        <f t="shared" si="1"/>
        <v>0</v>
      </c>
      <c r="I17" s="203">
        <v>639.6</v>
      </c>
      <c r="J17" s="203">
        <v>658.78800000000001</v>
      </c>
      <c r="K17" s="203">
        <v>3.83</v>
      </c>
      <c r="L17" s="203">
        <v>8.32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4"/>
        <v>658.78800000000001</v>
      </c>
      <c r="S17" s="62">
        <f t="shared" si="2"/>
        <v>25.231580400000002</v>
      </c>
      <c r="T17" s="63">
        <f t="shared" si="3"/>
        <v>54.811161599999998</v>
      </c>
      <c r="U17" s="64" t="s">
        <v>167</v>
      </c>
      <c r="V17" s="65" t="s">
        <v>187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4"/>
        <v>0</v>
      </c>
      <c r="AB17" s="63">
        <f t="shared" si="5"/>
        <v>0</v>
      </c>
      <c r="AC17" s="69"/>
      <c r="AD17" s="70"/>
      <c r="AE17" s="70"/>
      <c r="AF17" s="62">
        <f t="shared" si="6"/>
        <v>0</v>
      </c>
      <c r="AG17" s="63">
        <f t="shared" si="7"/>
        <v>0</v>
      </c>
      <c r="AH17" s="97">
        <v>659</v>
      </c>
      <c r="AI17" s="66">
        <v>3.95</v>
      </c>
      <c r="AJ17" s="66">
        <v>8.1999999999999993</v>
      </c>
      <c r="AK17" s="62">
        <f t="shared" si="8"/>
        <v>26.0305</v>
      </c>
      <c r="AL17" s="72">
        <f>AH17*AJ17%</f>
        <v>54.03799999999999</v>
      </c>
      <c r="AM17" s="73">
        <f t="shared" si="15"/>
        <v>-0.21199999999998909</v>
      </c>
      <c r="AN17" s="74">
        <f t="shared" si="10"/>
        <v>-0.79891959999999784</v>
      </c>
      <c r="AO17" s="74">
        <f t="shared" si="10"/>
        <v>0.77316160000000878</v>
      </c>
      <c r="AP17" s="75">
        <f t="shared" si="16"/>
        <v>-3.2180306866535217E-4</v>
      </c>
      <c r="AQ17" s="76">
        <f t="shared" si="11"/>
        <v>-127.25634839866308</v>
      </c>
      <c r="AR17" s="90">
        <f t="shared" si="12"/>
        <v>-0.21199999999998909</v>
      </c>
    </row>
    <row r="18" spans="1:48" x14ac:dyDescent="0.25">
      <c r="A18" t="str">
        <f t="shared" si="13"/>
        <v>46181M</v>
      </c>
      <c r="B18" s="51">
        <f t="shared" si="17"/>
        <v>46181</v>
      </c>
      <c r="C18" s="52" t="s">
        <v>87</v>
      </c>
      <c r="D18" s="79">
        <v>659</v>
      </c>
      <c r="E18" s="62">
        <v>3.95</v>
      </c>
      <c r="F18" s="62">
        <v>8.1999999999999993</v>
      </c>
      <c r="G18" s="62">
        <f t="shared" si="0"/>
        <v>26.0305</v>
      </c>
      <c r="H18" s="63">
        <f t="shared" si="1"/>
        <v>54.03799999999999</v>
      </c>
      <c r="I18" s="203">
        <v>398.9</v>
      </c>
      <c r="J18" s="203">
        <v>410.86699999999996</v>
      </c>
      <c r="K18" s="203">
        <v>4.7699999999999996</v>
      </c>
      <c r="L18" s="203">
        <v>8.56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4"/>
        <v>410.86699999999996</v>
      </c>
      <c r="S18" s="62">
        <f t="shared" si="2"/>
        <v>19.598355899999994</v>
      </c>
      <c r="T18" s="63">
        <f t="shared" si="3"/>
        <v>35.170215200000001</v>
      </c>
      <c r="U18" s="64" t="s">
        <v>167</v>
      </c>
      <c r="V18" s="65" t="s">
        <v>187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4"/>
        <v>0</v>
      </c>
      <c r="AB18" s="63">
        <f t="shared" si="5"/>
        <v>0</v>
      </c>
      <c r="AC18" s="69"/>
      <c r="AD18" s="70"/>
      <c r="AE18" s="70"/>
      <c r="AF18" s="62">
        <f t="shared" si="6"/>
        <v>0</v>
      </c>
      <c r="AG18" s="63">
        <f t="shared" si="7"/>
        <v>0</v>
      </c>
      <c r="AH18" s="97">
        <v>1070</v>
      </c>
      <c r="AI18" s="71">
        <v>4.75</v>
      </c>
      <c r="AJ18" s="71">
        <v>8.36</v>
      </c>
      <c r="AK18" s="62">
        <f t="shared" si="8"/>
        <v>50.825000000000003</v>
      </c>
      <c r="AL18" s="72">
        <f t="shared" si="9"/>
        <v>89.451999999999998</v>
      </c>
      <c r="AM18" s="73">
        <f t="shared" si="15"/>
        <v>-0.1330000000000382</v>
      </c>
      <c r="AN18" s="74">
        <f t="shared" si="10"/>
        <v>-5.1961441000000121</v>
      </c>
      <c r="AO18" s="74">
        <f t="shared" si="10"/>
        <v>-0.24378480000001446</v>
      </c>
      <c r="AP18" s="75">
        <f t="shared" si="16"/>
        <v>-9.9325740853590153E-2</v>
      </c>
      <c r="AQ18" s="76">
        <f t="shared" si="11"/>
        <v>-2405.5593376430102</v>
      </c>
      <c r="AR18" s="90">
        <f t="shared" si="12"/>
        <v>-0.1330000000000382</v>
      </c>
    </row>
    <row r="19" spans="1:48" x14ac:dyDescent="0.25">
      <c r="A19" t="str">
        <f t="shared" si="13"/>
        <v>46181E</v>
      </c>
      <c r="B19" s="51">
        <f t="shared" si="17"/>
        <v>46181</v>
      </c>
      <c r="C19" s="52" t="s">
        <v>88</v>
      </c>
      <c r="D19" s="79">
        <v>1070</v>
      </c>
      <c r="E19" s="62">
        <v>4.75</v>
      </c>
      <c r="F19" s="62">
        <v>8.36</v>
      </c>
      <c r="G19" s="62">
        <f t="shared" si="0"/>
        <v>50.825000000000003</v>
      </c>
      <c r="H19" s="63">
        <f t="shared" si="1"/>
        <v>89.451999999999998</v>
      </c>
      <c r="I19" s="203">
        <v>896.3</v>
      </c>
      <c r="J19" s="203">
        <v>923.18899999999996</v>
      </c>
      <c r="K19" s="203">
        <v>4.3099999999999996</v>
      </c>
      <c r="L19" s="203">
        <v>8.33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4"/>
        <v>923.18899999999996</v>
      </c>
      <c r="S19" s="62">
        <f t="shared" si="2"/>
        <v>39.789445899999997</v>
      </c>
      <c r="T19" s="63">
        <f t="shared" si="3"/>
        <v>76.901643699999994</v>
      </c>
      <c r="U19" s="64" t="s">
        <v>167</v>
      </c>
      <c r="V19" s="65" t="s">
        <v>187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4"/>
        <v>0</v>
      </c>
      <c r="AB19" s="63">
        <f t="shared" si="5"/>
        <v>0</v>
      </c>
      <c r="AC19" s="69"/>
      <c r="AD19" s="70"/>
      <c r="AE19" s="70"/>
      <c r="AF19" s="62">
        <f t="shared" si="6"/>
        <v>0</v>
      </c>
      <c r="AG19" s="63">
        <f t="shared" si="7"/>
        <v>0</v>
      </c>
      <c r="AH19" s="97">
        <v>1993</v>
      </c>
      <c r="AI19" s="71">
        <v>4.54</v>
      </c>
      <c r="AJ19" s="71">
        <v>8.34</v>
      </c>
      <c r="AK19" s="62">
        <f t="shared" si="8"/>
        <v>90.482200000000006</v>
      </c>
      <c r="AL19" s="72">
        <f t="shared" si="9"/>
        <v>166.21620000000001</v>
      </c>
      <c r="AM19" s="73">
        <f t="shared" si="15"/>
        <v>0.18899999999985084</v>
      </c>
      <c r="AN19" s="74">
        <f t="shared" si="10"/>
        <v>0.1322458999999867</v>
      </c>
      <c r="AO19" s="74">
        <f t="shared" si="10"/>
        <v>0.1374436999999773</v>
      </c>
      <c r="AP19" s="75">
        <f t="shared" si="16"/>
        <v>2.3111413298514956E-3</v>
      </c>
      <c r="AQ19" s="76">
        <f t="shared" si="11"/>
        <v>100.49974121365392</v>
      </c>
      <c r="AR19" s="90">
        <f t="shared" si="12"/>
        <v>0.18899999999985084</v>
      </c>
    </row>
    <row r="20" spans="1:48" x14ac:dyDescent="0.25">
      <c r="A20" t="str">
        <f t="shared" si="13"/>
        <v>46182M</v>
      </c>
      <c r="B20" s="51">
        <f t="shared" si="17"/>
        <v>46182</v>
      </c>
      <c r="C20" s="52" t="s">
        <v>87</v>
      </c>
      <c r="D20" s="79">
        <v>1993</v>
      </c>
      <c r="E20" s="62">
        <v>4.54</v>
      </c>
      <c r="F20" s="62">
        <v>8.34</v>
      </c>
      <c r="G20" s="62">
        <f t="shared" si="0"/>
        <v>90.482200000000006</v>
      </c>
      <c r="H20" s="63">
        <f t="shared" si="1"/>
        <v>166.21620000000001</v>
      </c>
      <c r="I20" s="203">
        <v>352</v>
      </c>
      <c r="J20" s="203">
        <v>362.56</v>
      </c>
      <c r="K20" s="203">
        <v>4.8</v>
      </c>
      <c r="L20" s="203">
        <v>8.66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4"/>
        <v>362.56</v>
      </c>
      <c r="S20" s="62">
        <f t="shared" si="2"/>
        <v>17.40288</v>
      </c>
      <c r="T20" s="63">
        <f t="shared" si="3"/>
        <v>31.397696</v>
      </c>
      <c r="U20" s="64" t="s">
        <v>172</v>
      </c>
      <c r="V20" s="65" t="s">
        <v>352</v>
      </c>
      <c r="W20" s="66" t="s">
        <v>219</v>
      </c>
      <c r="X20" s="67">
        <v>2375</v>
      </c>
      <c r="Y20" s="68">
        <v>4.3</v>
      </c>
      <c r="Z20" s="68">
        <v>8.02</v>
      </c>
      <c r="AA20" s="62">
        <f t="shared" si="4"/>
        <v>102.12499999999999</v>
      </c>
      <c r="AB20" s="63">
        <f t="shared" si="5"/>
        <v>190.47499999999999</v>
      </c>
      <c r="AC20" s="69">
        <v>2370</v>
      </c>
      <c r="AD20" s="70">
        <v>4.2</v>
      </c>
      <c r="AE20" s="70">
        <v>8</v>
      </c>
      <c r="AF20" s="62">
        <f t="shared" si="6"/>
        <v>99.54</v>
      </c>
      <c r="AG20" s="63">
        <f t="shared" si="7"/>
        <v>189.6</v>
      </c>
      <c r="AH20" s="97">
        <v>0</v>
      </c>
      <c r="AI20" s="71">
        <v>0</v>
      </c>
      <c r="AJ20" s="71">
        <v>0</v>
      </c>
      <c r="AK20" s="62">
        <f t="shared" si="8"/>
        <v>0</v>
      </c>
      <c r="AL20" s="72">
        <f t="shared" si="9"/>
        <v>0</v>
      </c>
      <c r="AM20" s="73">
        <f t="shared" si="15"/>
        <v>-14.440000000000055</v>
      </c>
      <c r="AN20" s="74">
        <f t="shared" ref="AN20:AO65" si="18">+G20+S20-AF20-AK20</f>
        <v>8.3450799999999958</v>
      </c>
      <c r="AO20" s="74">
        <f t="shared" si="18"/>
        <v>8.0138960000000168</v>
      </c>
      <c r="AP20" s="75">
        <f t="shared" si="16"/>
        <v>0.33522096132635837</v>
      </c>
      <c r="AQ20" s="76">
        <f t="shared" si="11"/>
        <v>6144.5352317066699</v>
      </c>
      <c r="AR20" s="90">
        <f t="shared" si="12"/>
        <v>-19.440000000000055</v>
      </c>
    </row>
    <row r="21" spans="1:48" x14ac:dyDescent="0.25">
      <c r="A21" t="str">
        <f t="shared" si="13"/>
        <v>46182E</v>
      </c>
      <c r="B21" s="51">
        <f t="shared" si="17"/>
        <v>46182</v>
      </c>
      <c r="C21" s="52" t="s">
        <v>88</v>
      </c>
      <c r="D21" s="79">
        <v>0</v>
      </c>
      <c r="E21" s="62">
        <v>0</v>
      </c>
      <c r="F21" s="62">
        <v>0</v>
      </c>
      <c r="G21" s="62">
        <f t="shared" si="0"/>
        <v>0</v>
      </c>
      <c r="H21" s="63">
        <f t="shared" si="1"/>
        <v>0</v>
      </c>
      <c r="I21" s="203">
        <v>608.1</v>
      </c>
      <c r="J21" s="203">
        <v>626.34300000000007</v>
      </c>
      <c r="K21" s="203">
        <v>3.94</v>
      </c>
      <c r="L21" s="203">
        <v>8.2899999999999991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4"/>
        <v>626.34300000000007</v>
      </c>
      <c r="S21" s="62">
        <f t="shared" si="2"/>
        <v>24.6779142</v>
      </c>
      <c r="T21" s="63">
        <f t="shared" si="3"/>
        <v>51.9238347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4"/>
        <v>0</v>
      </c>
      <c r="AB21" s="63">
        <f t="shared" si="5"/>
        <v>0</v>
      </c>
      <c r="AC21" s="69"/>
      <c r="AD21" s="70"/>
      <c r="AE21" s="70"/>
      <c r="AF21" s="62">
        <f t="shared" si="6"/>
        <v>0</v>
      </c>
      <c r="AG21" s="63">
        <f t="shared" si="7"/>
        <v>0</v>
      </c>
      <c r="AH21" s="97">
        <v>627</v>
      </c>
      <c r="AI21" s="71">
        <v>4.0999999999999996</v>
      </c>
      <c r="AJ21" s="71">
        <v>8.23</v>
      </c>
      <c r="AK21" s="62">
        <f t="shared" si="8"/>
        <v>25.706999999999997</v>
      </c>
      <c r="AL21" s="72">
        <f t="shared" si="9"/>
        <v>51.6021</v>
      </c>
      <c r="AM21" s="73">
        <f t="shared" si="15"/>
        <v>-0.65699999999992542</v>
      </c>
      <c r="AN21" s="74">
        <f t="shared" si="18"/>
        <v>-1.0290857999999972</v>
      </c>
      <c r="AO21" s="74">
        <f t="shared" si="18"/>
        <v>0.32173470000000037</v>
      </c>
      <c r="AP21" s="75">
        <f t="shared" si="16"/>
        <v>-9.2341377338970489E-3</v>
      </c>
      <c r="AQ21" s="76">
        <f t="shared" si="11"/>
        <v>-365.68029035999859</v>
      </c>
      <c r="AR21" s="90">
        <f t="shared" si="12"/>
        <v>-0.65699999999992542</v>
      </c>
    </row>
    <row r="22" spans="1:48" x14ac:dyDescent="0.25">
      <c r="A22" t="str">
        <f t="shared" si="13"/>
        <v>46183M</v>
      </c>
      <c r="B22" s="51">
        <f t="shared" si="17"/>
        <v>46183</v>
      </c>
      <c r="C22" s="52" t="s">
        <v>87</v>
      </c>
      <c r="D22" s="79">
        <v>627</v>
      </c>
      <c r="E22" s="62">
        <v>4.0999999999999996</v>
      </c>
      <c r="F22" s="62">
        <v>8.23</v>
      </c>
      <c r="G22" s="62">
        <f t="shared" si="0"/>
        <v>25.706999999999997</v>
      </c>
      <c r="H22" s="63">
        <f t="shared" si="1"/>
        <v>51.6021</v>
      </c>
      <c r="I22" s="203">
        <v>427.7</v>
      </c>
      <c r="J22" s="203">
        <v>440.53100000000001</v>
      </c>
      <c r="K22" s="203">
        <v>4.41</v>
      </c>
      <c r="L22" s="203">
        <v>8.4600000000000009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4"/>
        <v>440.53100000000001</v>
      </c>
      <c r="S22" s="62">
        <f t="shared" si="2"/>
        <v>19.4274171</v>
      </c>
      <c r="T22" s="63">
        <f t="shared" si="3"/>
        <v>37.268922600000003</v>
      </c>
      <c r="U22" s="64" t="s">
        <v>167</v>
      </c>
      <c r="V22" s="65" t="s">
        <v>167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4"/>
        <v>0</v>
      </c>
      <c r="AB22" s="63">
        <f t="shared" si="5"/>
        <v>0</v>
      </c>
      <c r="AC22" s="69"/>
      <c r="AD22" s="70"/>
      <c r="AE22" s="70"/>
      <c r="AF22" s="62">
        <f t="shared" si="6"/>
        <v>0</v>
      </c>
      <c r="AG22" s="63">
        <f t="shared" si="7"/>
        <v>0</v>
      </c>
      <c r="AH22" s="97">
        <v>1068</v>
      </c>
      <c r="AI22" s="71">
        <v>4.2</v>
      </c>
      <c r="AJ22" s="71">
        <v>8.25</v>
      </c>
      <c r="AK22" s="62">
        <f t="shared" si="8"/>
        <v>44.856000000000002</v>
      </c>
      <c r="AL22" s="72">
        <f t="shared" si="9"/>
        <v>88.11</v>
      </c>
      <c r="AM22" s="73">
        <f t="shared" si="15"/>
        <v>-0.46900000000005093</v>
      </c>
      <c r="AN22" s="74">
        <f t="shared" si="18"/>
        <v>0.27841709999999154</v>
      </c>
      <c r="AO22" s="74">
        <f t="shared" si="18"/>
        <v>0.76102260000000399</v>
      </c>
      <c r="AP22" s="75">
        <f t="shared" si="16"/>
        <v>1.8333453367537153E-2</v>
      </c>
      <c r="AQ22" s="76">
        <f t="shared" si="11"/>
        <v>352.73799060499744</v>
      </c>
      <c r="AR22" s="90">
        <f t="shared" si="12"/>
        <v>-0.46900000000005093</v>
      </c>
      <c r="AT22" s="83"/>
      <c r="AU22" s="83"/>
    </row>
    <row r="23" spans="1:48" x14ac:dyDescent="0.25">
      <c r="A23" t="str">
        <f t="shared" si="13"/>
        <v>46183E</v>
      </c>
      <c r="B23" s="51">
        <f t="shared" si="17"/>
        <v>46183</v>
      </c>
      <c r="C23" s="52" t="s">
        <v>88</v>
      </c>
      <c r="D23" s="79">
        <v>1068</v>
      </c>
      <c r="E23" s="62">
        <v>4.2</v>
      </c>
      <c r="F23" s="62">
        <v>8.25</v>
      </c>
      <c r="G23" s="62">
        <f t="shared" si="0"/>
        <v>44.856000000000002</v>
      </c>
      <c r="H23" s="63">
        <f t="shared" si="1"/>
        <v>88.11</v>
      </c>
      <c r="I23" s="203">
        <v>579.70000000000005</v>
      </c>
      <c r="J23" s="203">
        <v>597.09100000000001</v>
      </c>
      <c r="K23" s="203">
        <v>3.91</v>
      </c>
      <c r="L23" s="203">
        <v>8.36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4"/>
        <v>597.09100000000001</v>
      </c>
      <c r="S23" s="62">
        <f t="shared" si="2"/>
        <v>23.346258100000004</v>
      </c>
      <c r="T23" s="63">
        <f t="shared" si="3"/>
        <v>49.916807599999999</v>
      </c>
      <c r="U23" s="64" t="s">
        <v>167</v>
      </c>
      <c r="V23" s="65" t="s">
        <v>187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4"/>
        <v>0</v>
      </c>
      <c r="AB23" s="63">
        <f t="shared" si="5"/>
        <v>0</v>
      </c>
      <c r="AC23" s="69"/>
      <c r="AD23" s="70"/>
      <c r="AE23" s="70"/>
      <c r="AF23" s="62">
        <f t="shared" si="6"/>
        <v>0</v>
      </c>
      <c r="AG23" s="63">
        <f t="shared" si="7"/>
        <v>0</v>
      </c>
      <c r="AH23" s="97">
        <v>1665</v>
      </c>
      <c r="AI23" s="71">
        <v>4.09</v>
      </c>
      <c r="AJ23" s="71">
        <v>8.2799999999999994</v>
      </c>
      <c r="AK23" s="62">
        <f t="shared" si="8"/>
        <v>68.098500000000001</v>
      </c>
      <c r="AL23" s="72">
        <f t="shared" si="9"/>
        <v>137.86199999999999</v>
      </c>
      <c r="AM23" s="73">
        <f t="shared" si="15"/>
        <v>9.0999999999894499E-2</v>
      </c>
      <c r="AN23" s="74">
        <f t="shared" si="18"/>
        <v>0.1037581000000074</v>
      </c>
      <c r="AO23" s="74">
        <f t="shared" si="18"/>
        <v>0.16480759999998895</v>
      </c>
      <c r="AP23" s="75">
        <f t="shared" si="16"/>
        <v>3.6657720699230355E-3</v>
      </c>
      <c r="AQ23" s="76">
        <f t="shared" si="11"/>
        <v>95.900568481666681</v>
      </c>
      <c r="AR23" s="90">
        <f t="shared" si="12"/>
        <v>9.0999999999894499E-2</v>
      </c>
      <c r="AU23" s="83"/>
    </row>
    <row r="24" spans="1:48" x14ac:dyDescent="0.25">
      <c r="A24" t="str">
        <f t="shared" si="13"/>
        <v>46184M</v>
      </c>
      <c r="B24" s="51">
        <f t="shared" si="17"/>
        <v>46184</v>
      </c>
      <c r="C24" s="52" t="s">
        <v>87</v>
      </c>
      <c r="D24" s="79">
        <v>1665</v>
      </c>
      <c r="E24" s="62">
        <v>4.09</v>
      </c>
      <c r="F24" s="62">
        <v>8.2799999999999994</v>
      </c>
      <c r="G24" s="62">
        <f t="shared" si="0"/>
        <v>68.098500000000001</v>
      </c>
      <c r="H24" s="63">
        <f t="shared" si="1"/>
        <v>137.86199999999999</v>
      </c>
      <c r="I24" s="203">
        <v>397.7</v>
      </c>
      <c r="J24" s="203">
        <v>409.63099999999997</v>
      </c>
      <c r="K24" s="203">
        <v>4.3</v>
      </c>
      <c r="L24" s="203">
        <v>8.32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4"/>
        <v>409.63099999999997</v>
      </c>
      <c r="S24" s="62">
        <f t="shared" si="2"/>
        <v>17.614132999999999</v>
      </c>
      <c r="T24" s="63">
        <f t="shared" si="3"/>
        <v>34.081299199999997</v>
      </c>
      <c r="U24" s="64" t="s">
        <v>187</v>
      </c>
      <c r="V24" s="65" t="s">
        <v>167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4"/>
        <v>0</v>
      </c>
      <c r="AB24" s="63">
        <f t="shared" si="5"/>
        <v>0</v>
      </c>
      <c r="AC24" s="69"/>
      <c r="AD24" s="70"/>
      <c r="AE24" s="70"/>
      <c r="AF24" s="62">
        <f t="shared" si="6"/>
        <v>0</v>
      </c>
      <c r="AG24" s="63">
        <f t="shared" si="7"/>
        <v>0</v>
      </c>
      <c r="AH24" s="97">
        <v>2074</v>
      </c>
      <c r="AI24" s="71">
        <v>4.0999999999999996</v>
      </c>
      <c r="AJ24" s="71">
        <v>8.26</v>
      </c>
      <c r="AK24" s="62">
        <f t="shared" si="8"/>
        <v>85.033999999999992</v>
      </c>
      <c r="AL24" s="72">
        <f t="shared" si="9"/>
        <v>171.3124</v>
      </c>
      <c r="AM24" s="73">
        <f t="shared" si="15"/>
        <v>0.63099999999985812</v>
      </c>
      <c r="AN24" s="74">
        <f t="shared" si="18"/>
        <v>0.67863300000000493</v>
      </c>
      <c r="AO24" s="74">
        <f t="shared" si="18"/>
        <v>0.63089919999998756</v>
      </c>
      <c r="AP24" s="75">
        <f t="shared" si="16"/>
        <v>2.5331681045506232E-2</v>
      </c>
      <c r="AQ24" s="76">
        <f t="shared" si="11"/>
        <v>493.45644661133184</v>
      </c>
      <c r="AR24" s="90">
        <f t="shared" si="12"/>
        <v>0.63099999999985812</v>
      </c>
      <c r="AT24" s="77"/>
      <c r="AU24" s="77"/>
      <c r="AV24" s="77"/>
    </row>
    <row r="25" spans="1:48" x14ac:dyDescent="0.25">
      <c r="A25" t="str">
        <f t="shared" si="13"/>
        <v>46184E</v>
      </c>
      <c r="B25" s="51">
        <f t="shared" si="17"/>
        <v>46184</v>
      </c>
      <c r="C25" s="52" t="s">
        <v>88</v>
      </c>
      <c r="D25" s="79">
        <v>2074</v>
      </c>
      <c r="E25" s="62">
        <v>4.0999999999999996</v>
      </c>
      <c r="F25" s="62">
        <v>8.26</v>
      </c>
      <c r="G25" s="62">
        <f t="shared" si="0"/>
        <v>85.033999999999992</v>
      </c>
      <c r="H25" s="63">
        <f t="shared" si="1"/>
        <v>171.3124</v>
      </c>
      <c r="I25" s="203">
        <v>510.2</v>
      </c>
      <c r="J25" s="203">
        <v>525.50599999999997</v>
      </c>
      <c r="K25" s="203">
        <v>3.81</v>
      </c>
      <c r="L25" s="203">
        <v>8.25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4"/>
        <v>525.50599999999997</v>
      </c>
      <c r="S25" s="62">
        <f t="shared" si="2"/>
        <v>20.021778600000001</v>
      </c>
      <c r="T25" s="63">
        <f t="shared" si="3"/>
        <v>43.354244999999999</v>
      </c>
      <c r="U25" s="64" t="s">
        <v>167</v>
      </c>
      <c r="V25" s="65" t="s">
        <v>187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4"/>
        <v>0</v>
      </c>
      <c r="AB25" s="63">
        <f t="shared" si="5"/>
        <v>0</v>
      </c>
      <c r="AC25" s="69"/>
      <c r="AD25" s="70"/>
      <c r="AE25" s="70"/>
      <c r="AF25" s="62">
        <f t="shared" si="6"/>
        <v>0</v>
      </c>
      <c r="AG25" s="63">
        <f t="shared" si="7"/>
        <v>0</v>
      </c>
      <c r="AH25" s="97">
        <v>2599</v>
      </c>
      <c r="AI25" s="71">
        <v>4.04</v>
      </c>
      <c r="AJ25" s="71">
        <v>8.52</v>
      </c>
      <c r="AK25" s="62">
        <f t="shared" si="8"/>
        <v>104.9996</v>
      </c>
      <c r="AL25" s="72">
        <f t="shared" si="9"/>
        <v>221.4348</v>
      </c>
      <c r="AM25" s="73">
        <f t="shared" si="15"/>
        <v>0.50599999999985812</v>
      </c>
      <c r="AN25" s="74">
        <f t="shared" si="18"/>
        <v>5.6178599999995527E-2</v>
      </c>
      <c r="AO25" s="74">
        <f t="shared" si="18"/>
        <v>-6.7681550000000072</v>
      </c>
      <c r="AP25" s="75">
        <f t="shared" si="16"/>
        <v>-0.10590718727263305</v>
      </c>
      <c r="AQ25" s="76">
        <f t="shared" si="11"/>
        <v>-2000.309172040671</v>
      </c>
      <c r="AR25" s="90">
        <f t="shared" si="12"/>
        <v>0.50599999999985812</v>
      </c>
    </row>
    <row r="26" spans="1:48" x14ac:dyDescent="0.25">
      <c r="A26" t="str">
        <f t="shared" si="13"/>
        <v>46185M</v>
      </c>
      <c r="B26" s="51">
        <f t="shared" si="17"/>
        <v>46185</v>
      </c>
      <c r="C26" s="52" t="s">
        <v>87</v>
      </c>
      <c r="D26" s="79"/>
      <c r="E26" s="62"/>
      <c r="F26" s="62"/>
      <c r="G26" s="62">
        <f t="shared" si="0"/>
        <v>0</v>
      </c>
      <c r="H26" s="63">
        <f t="shared" si="1"/>
        <v>0</v>
      </c>
      <c r="I26" s="203"/>
      <c r="J26" s="203"/>
      <c r="K26" s="203"/>
      <c r="L26" s="203"/>
      <c r="M26" s="58"/>
      <c r="N26" s="58"/>
      <c r="O26" s="59"/>
      <c r="P26" s="56"/>
      <c r="Q26" s="60"/>
      <c r="R26" s="61">
        <f t="shared" si="14"/>
        <v>0</v>
      </c>
      <c r="S26" s="62">
        <f t="shared" si="2"/>
        <v>0</v>
      </c>
      <c r="T26" s="63">
        <f t="shared" si="3"/>
        <v>0</v>
      </c>
      <c r="U26" s="64"/>
      <c r="V26" s="65"/>
      <c r="W26" s="66"/>
      <c r="X26" s="67"/>
      <c r="Y26" s="68"/>
      <c r="Z26" s="68"/>
      <c r="AA26" s="62">
        <f t="shared" si="4"/>
        <v>0</v>
      </c>
      <c r="AB26" s="63">
        <f t="shared" si="5"/>
        <v>0</v>
      </c>
      <c r="AC26" s="69"/>
      <c r="AD26" s="70"/>
      <c r="AE26" s="70"/>
      <c r="AF26" s="62">
        <f t="shared" si="6"/>
        <v>0</v>
      </c>
      <c r="AG26" s="63">
        <f t="shared" si="7"/>
        <v>0</v>
      </c>
      <c r="AH26" s="97"/>
      <c r="AI26" s="71"/>
      <c r="AJ26" s="71"/>
      <c r="AK26" s="62">
        <f t="shared" si="8"/>
        <v>0</v>
      </c>
      <c r="AL26" s="72">
        <f t="shared" si="9"/>
        <v>0</v>
      </c>
      <c r="AM26" s="73">
        <f t="shared" si="15"/>
        <v>0</v>
      </c>
      <c r="AN26" s="74">
        <f t="shared" si="18"/>
        <v>0</v>
      </c>
      <c r="AO26" s="74">
        <f t="shared" si="18"/>
        <v>0</v>
      </c>
      <c r="AP26" s="75" t="e">
        <f t="shared" si="16"/>
        <v>#DIV/0!</v>
      </c>
      <c r="AQ26" s="76">
        <f t="shared" si="11"/>
        <v>0</v>
      </c>
      <c r="AR26" s="90">
        <f t="shared" si="12"/>
        <v>0</v>
      </c>
    </row>
    <row r="27" spans="1:48" x14ac:dyDescent="0.25">
      <c r="A27" t="str">
        <f t="shared" si="13"/>
        <v>46185E</v>
      </c>
      <c r="B27" s="51">
        <f t="shared" si="17"/>
        <v>46185</v>
      </c>
      <c r="C27" s="52" t="s">
        <v>88</v>
      </c>
      <c r="D27" s="79"/>
      <c r="E27" s="62"/>
      <c r="F27" s="62"/>
      <c r="G27" s="62">
        <f t="shared" si="0"/>
        <v>0</v>
      </c>
      <c r="H27" s="63">
        <f t="shared" si="1"/>
        <v>0</v>
      </c>
      <c r="I27" s="203"/>
      <c r="J27" s="203"/>
      <c r="K27" s="203"/>
      <c r="L27" s="203"/>
      <c r="M27" s="58"/>
      <c r="N27" s="58"/>
      <c r="O27" s="59"/>
      <c r="P27" s="56"/>
      <c r="Q27" s="60"/>
      <c r="R27" s="61">
        <f t="shared" si="14"/>
        <v>0</v>
      </c>
      <c r="S27" s="62">
        <f t="shared" si="2"/>
        <v>0</v>
      </c>
      <c r="T27" s="63">
        <f t="shared" si="3"/>
        <v>0</v>
      </c>
      <c r="U27" s="64"/>
      <c r="V27" s="65"/>
      <c r="W27" s="66"/>
      <c r="X27" s="67"/>
      <c r="Y27" s="68"/>
      <c r="Z27" s="68"/>
      <c r="AA27" s="62">
        <f t="shared" si="4"/>
        <v>0</v>
      </c>
      <c r="AB27" s="63">
        <f t="shared" si="5"/>
        <v>0</v>
      </c>
      <c r="AC27" s="69"/>
      <c r="AD27" s="70"/>
      <c r="AE27" s="70"/>
      <c r="AF27" s="62">
        <f t="shared" si="6"/>
        <v>0</v>
      </c>
      <c r="AG27" s="63">
        <f t="shared" si="7"/>
        <v>0</v>
      </c>
      <c r="AH27" s="97"/>
      <c r="AI27" s="71"/>
      <c r="AJ27" s="71"/>
      <c r="AK27" s="62">
        <f t="shared" si="8"/>
        <v>0</v>
      </c>
      <c r="AL27" s="72">
        <f t="shared" si="9"/>
        <v>0</v>
      </c>
      <c r="AM27" s="73">
        <f t="shared" si="15"/>
        <v>0</v>
      </c>
      <c r="AN27" s="74">
        <f t="shared" si="18"/>
        <v>0</v>
      </c>
      <c r="AO27" s="74">
        <f t="shared" si="18"/>
        <v>0</v>
      </c>
      <c r="AP27" s="75" t="e">
        <f t="shared" si="16"/>
        <v>#DIV/0!</v>
      </c>
      <c r="AQ27" s="76">
        <f t="shared" si="11"/>
        <v>0</v>
      </c>
      <c r="AR27" s="90">
        <f t="shared" si="12"/>
        <v>0</v>
      </c>
    </row>
    <row r="28" spans="1:48" x14ac:dyDescent="0.25">
      <c r="A28" t="str">
        <f t="shared" si="13"/>
        <v>46186M</v>
      </c>
      <c r="B28" s="51">
        <f t="shared" si="17"/>
        <v>46186</v>
      </c>
      <c r="C28" s="52" t="s">
        <v>87</v>
      </c>
      <c r="D28" s="79"/>
      <c r="E28" s="62"/>
      <c r="F28" s="62"/>
      <c r="G28" s="62">
        <f t="shared" si="0"/>
        <v>0</v>
      </c>
      <c r="H28" s="63">
        <f t="shared" si="1"/>
        <v>0</v>
      </c>
      <c r="I28" s="203"/>
      <c r="J28" s="203"/>
      <c r="K28" s="203"/>
      <c r="L28" s="203"/>
      <c r="M28" s="58"/>
      <c r="N28" s="58"/>
      <c r="O28" s="59"/>
      <c r="P28" s="56"/>
      <c r="Q28" s="60"/>
      <c r="R28" s="61">
        <f t="shared" si="14"/>
        <v>0</v>
      </c>
      <c r="S28" s="62">
        <f t="shared" si="2"/>
        <v>0</v>
      </c>
      <c r="T28" s="63">
        <f t="shared" si="3"/>
        <v>0</v>
      </c>
      <c r="U28" s="64"/>
      <c r="V28" s="65"/>
      <c r="W28" s="66"/>
      <c r="X28" s="67"/>
      <c r="Y28" s="68"/>
      <c r="Z28" s="68"/>
      <c r="AA28" s="62">
        <f t="shared" si="4"/>
        <v>0</v>
      </c>
      <c r="AB28" s="63">
        <f t="shared" si="5"/>
        <v>0</v>
      </c>
      <c r="AC28" s="69"/>
      <c r="AD28" s="70"/>
      <c r="AE28" s="70"/>
      <c r="AF28" s="62">
        <f t="shared" si="6"/>
        <v>0</v>
      </c>
      <c r="AG28" s="63">
        <f t="shared" si="7"/>
        <v>0</v>
      </c>
      <c r="AH28" s="97"/>
      <c r="AI28" s="66"/>
      <c r="AJ28" s="66"/>
      <c r="AK28" s="62">
        <f t="shared" si="8"/>
        <v>0</v>
      </c>
      <c r="AL28" s="72">
        <f t="shared" si="9"/>
        <v>0</v>
      </c>
      <c r="AM28" s="73">
        <f t="shared" si="15"/>
        <v>0</v>
      </c>
      <c r="AN28" s="74">
        <f t="shared" si="18"/>
        <v>0</v>
      </c>
      <c r="AO28" s="74">
        <f t="shared" si="18"/>
        <v>0</v>
      </c>
      <c r="AP28" s="75" t="e">
        <f t="shared" si="16"/>
        <v>#DIV/0!</v>
      </c>
      <c r="AQ28" s="76">
        <f t="shared" si="11"/>
        <v>0</v>
      </c>
      <c r="AR28" s="90">
        <f t="shared" si="12"/>
        <v>0</v>
      </c>
    </row>
    <row r="29" spans="1:48" x14ac:dyDescent="0.25">
      <c r="A29" t="str">
        <f t="shared" si="13"/>
        <v>46186E</v>
      </c>
      <c r="B29" s="51">
        <f t="shared" si="17"/>
        <v>46186</v>
      </c>
      <c r="C29" s="52" t="s">
        <v>88</v>
      </c>
      <c r="D29" s="79"/>
      <c r="E29" s="62"/>
      <c r="F29" s="62"/>
      <c r="G29" s="62">
        <f t="shared" si="0"/>
        <v>0</v>
      </c>
      <c r="H29" s="63">
        <f t="shared" si="1"/>
        <v>0</v>
      </c>
      <c r="I29" s="203"/>
      <c r="J29" s="203"/>
      <c r="K29" s="203"/>
      <c r="L29" s="203"/>
      <c r="M29" s="58"/>
      <c r="N29" s="58"/>
      <c r="O29" s="59"/>
      <c r="P29" s="56"/>
      <c r="Q29" s="60"/>
      <c r="R29" s="61">
        <f t="shared" si="14"/>
        <v>0</v>
      </c>
      <c r="S29" s="62">
        <f t="shared" si="2"/>
        <v>0</v>
      </c>
      <c r="T29" s="63">
        <f t="shared" si="3"/>
        <v>0</v>
      </c>
      <c r="U29" s="64"/>
      <c r="V29" s="65"/>
      <c r="W29" s="66"/>
      <c r="X29" s="67"/>
      <c r="Y29" s="68"/>
      <c r="Z29" s="68"/>
      <c r="AA29" s="62">
        <f t="shared" si="4"/>
        <v>0</v>
      </c>
      <c r="AB29" s="63">
        <f t="shared" si="5"/>
        <v>0</v>
      </c>
      <c r="AC29" s="69"/>
      <c r="AD29" s="70"/>
      <c r="AE29" s="70"/>
      <c r="AF29" s="62">
        <f t="shared" si="6"/>
        <v>0</v>
      </c>
      <c r="AG29" s="63">
        <f t="shared" si="7"/>
        <v>0</v>
      </c>
      <c r="AH29" s="97"/>
      <c r="AI29" s="66"/>
      <c r="AJ29" s="66"/>
      <c r="AK29" s="62">
        <f t="shared" si="8"/>
        <v>0</v>
      </c>
      <c r="AL29" s="72">
        <f t="shared" si="9"/>
        <v>0</v>
      </c>
      <c r="AM29" s="73">
        <f t="shared" si="15"/>
        <v>0</v>
      </c>
      <c r="AN29" s="74">
        <f t="shared" si="18"/>
        <v>0</v>
      </c>
      <c r="AO29" s="74">
        <f t="shared" si="18"/>
        <v>0</v>
      </c>
      <c r="AP29" s="75" t="e">
        <f t="shared" si="16"/>
        <v>#DIV/0!</v>
      </c>
      <c r="AQ29" s="76">
        <f t="shared" si="11"/>
        <v>0</v>
      </c>
      <c r="AR29" s="90">
        <f t="shared" si="12"/>
        <v>0</v>
      </c>
    </row>
    <row r="30" spans="1:48" x14ac:dyDescent="0.25">
      <c r="A30" t="str">
        <f t="shared" si="13"/>
        <v>46187M</v>
      </c>
      <c r="B30" s="51">
        <f t="shared" si="17"/>
        <v>46187</v>
      </c>
      <c r="C30" s="52" t="s">
        <v>87</v>
      </c>
      <c r="D30" s="79"/>
      <c r="E30" s="62"/>
      <c r="F30" s="62"/>
      <c r="G30" s="62">
        <f t="shared" si="0"/>
        <v>0</v>
      </c>
      <c r="H30" s="63">
        <f t="shared" si="1"/>
        <v>0</v>
      </c>
      <c r="I30" s="203"/>
      <c r="J30" s="203"/>
      <c r="K30" s="203"/>
      <c r="L30" s="203"/>
      <c r="M30" s="58"/>
      <c r="N30" s="58"/>
      <c r="O30" s="59"/>
      <c r="P30" s="56"/>
      <c r="Q30" s="60"/>
      <c r="R30" s="61">
        <f t="shared" si="14"/>
        <v>0</v>
      </c>
      <c r="S30" s="62">
        <f t="shared" si="2"/>
        <v>0</v>
      </c>
      <c r="T30" s="63">
        <f t="shared" si="3"/>
        <v>0</v>
      </c>
      <c r="U30" s="64"/>
      <c r="V30" s="65"/>
      <c r="W30" s="66"/>
      <c r="X30" s="67"/>
      <c r="Y30" s="68"/>
      <c r="Z30" s="68"/>
      <c r="AA30" s="62">
        <f t="shared" si="4"/>
        <v>0</v>
      </c>
      <c r="AB30" s="63">
        <f t="shared" si="5"/>
        <v>0</v>
      </c>
      <c r="AC30" s="69"/>
      <c r="AD30" s="70"/>
      <c r="AE30" s="70"/>
      <c r="AF30" s="62">
        <f t="shared" si="6"/>
        <v>0</v>
      </c>
      <c r="AG30" s="63">
        <f t="shared" si="7"/>
        <v>0</v>
      </c>
      <c r="AH30" s="97"/>
      <c r="AI30" s="66"/>
      <c r="AJ30" s="66"/>
      <c r="AK30" s="62">
        <f t="shared" si="8"/>
        <v>0</v>
      </c>
      <c r="AL30" s="72">
        <f t="shared" si="9"/>
        <v>0</v>
      </c>
      <c r="AM30" s="73">
        <f t="shared" si="15"/>
        <v>0</v>
      </c>
      <c r="AN30" s="74">
        <f t="shared" si="18"/>
        <v>0</v>
      </c>
      <c r="AO30" s="74">
        <f t="shared" si="18"/>
        <v>0</v>
      </c>
      <c r="AP30" s="75" t="e">
        <f t="shared" si="16"/>
        <v>#DIV/0!</v>
      </c>
      <c r="AQ30" s="76">
        <f t="shared" si="11"/>
        <v>0</v>
      </c>
      <c r="AR30" s="90">
        <f t="shared" si="12"/>
        <v>0</v>
      </c>
    </row>
    <row r="31" spans="1:48" x14ac:dyDescent="0.25">
      <c r="A31" t="str">
        <f t="shared" si="13"/>
        <v>46187E</v>
      </c>
      <c r="B31" s="51">
        <f t="shared" si="17"/>
        <v>46187</v>
      </c>
      <c r="C31" s="52" t="s">
        <v>88</v>
      </c>
      <c r="D31" s="79"/>
      <c r="E31" s="62"/>
      <c r="F31" s="62"/>
      <c r="G31" s="62">
        <f t="shared" si="0"/>
        <v>0</v>
      </c>
      <c r="H31" s="63">
        <f t="shared" si="1"/>
        <v>0</v>
      </c>
      <c r="I31" s="203"/>
      <c r="J31" s="203"/>
      <c r="K31" s="203"/>
      <c r="L31" s="203"/>
      <c r="M31" s="58"/>
      <c r="N31" s="58"/>
      <c r="O31" s="59"/>
      <c r="P31" s="56"/>
      <c r="Q31" s="60"/>
      <c r="R31" s="61">
        <f t="shared" si="14"/>
        <v>0</v>
      </c>
      <c r="S31" s="62">
        <f t="shared" si="2"/>
        <v>0</v>
      </c>
      <c r="T31" s="63">
        <f t="shared" si="3"/>
        <v>0</v>
      </c>
      <c r="U31" s="64"/>
      <c r="V31" s="85"/>
      <c r="W31" s="66"/>
      <c r="X31" s="67"/>
      <c r="Y31" s="68"/>
      <c r="Z31" s="68"/>
      <c r="AA31" s="62">
        <f t="shared" si="4"/>
        <v>0</v>
      </c>
      <c r="AB31" s="63">
        <f t="shared" si="5"/>
        <v>0</v>
      </c>
      <c r="AC31" s="69"/>
      <c r="AD31" s="70"/>
      <c r="AE31" s="70"/>
      <c r="AF31" s="62">
        <f t="shared" si="6"/>
        <v>0</v>
      </c>
      <c r="AG31" s="63">
        <f t="shared" si="7"/>
        <v>0</v>
      </c>
      <c r="AH31" s="97"/>
      <c r="AI31" s="66"/>
      <c r="AJ31" s="66"/>
      <c r="AK31" s="62">
        <f t="shared" si="8"/>
        <v>0</v>
      </c>
      <c r="AL31" s="72">
        <f t="shared" si="9"/>
        <v>0</v>
      </c>
      <c r="AM31" s="73">
        <f t="shared" si="15"/>
        <v>0</v>
      </c>
      <c r="AN31" s="74">
        <f t="shared" si="18"/>
        <v>0</v>
      </c>
      <c r="AO31" s="74">
        <f t="shared" si="18"/>
        <v>0</v>
      </c>
      <c r="AP31" s="75" t="e">
        <f t="shared" si="16"/>
        <v>#DIV/0!</v>
      </c>
      <c r="AQ31" s="76">
        <f t="shared" si="11"/>
        <v>0</v>
      </c>
      <c r="AR31" s="90">
        <f t="shared" si="12"/>
        <v>0</v>
      </c>
    </row>
    <row r="32" spans="1:48" x14ac:dyDescent="0.25">
      <c r="A32" t="str">
        <f t="shared" si="13"/>
        <v>46188M</v>
      </c>
      <c r="B32" s="51">
        <f t="shared" si="17"/>
        <v>46188</v>
      </c>
      <c r="C32" s="52" t="s">
        <v>87</v>
      </c>
      <c r="D32" s="79"/>
      <c r="E32" s="62"/>
      <c r="F32" s="62"/>
      <c r="G32" s="62">
        <f t="shared" si="0"/>
        <v>0</v>
      </c>
      <c r="H32" s="63">
        <f t="shared" si="1"/>
        <v>0</v>
      </c>
      <c r="I32" s="203"/>
      <c r="J32" s="203"/>
      <c r="K32" s="203"/>
      <c r="L32" s="203"/>
      <c r="M32" s="58"/>
      <c r="N32" s="58"/>
      <c r="O32" s="59"/>
      <c r="P32" s="56"/>
      <c r="Q32" s="60"/>
      <c r="R32" s="61">
        <f t="shared" si="14"/>
        <v>0</v>
      </c>
      <c r="S32" s="62">
        <f t="shared" si="2"/>
        <v>0</v>
      </c>
      <c r="T32" s="63">
        <f t="shared" si="3"/>
        <v>0</v>
      </c>
      <c r="U32" s="64"/>
      <c r="V32" s="85"/>
      <c r="W32" s="66"/>
      <c r="X32" s="67"/>
      <c r="Y32" s="68"/>
      <c r="Z32" s="68"/>
      <c r="AA32" s="62">
        <f t="shared" si="4"/>
        <v>0</v>
      </c>
      <c r="AB32" s="63">
        <f t="shared" si="5"/>
        <v>0</v>
      </c>
      <c r="AC32" s="69"/>
      <c r="AD32" s="70"/>
      <c r="AE32" s="70"/>
      <c r="AF32" s="62">
        <f t="shared" si="6"/>
        <v>0</v>
      </c>
      <c r="AG32" s="63">
        <f t="shared" si="7"/>
        <v>0</v>
      </c>
      <c r="AH32" s="97"/>
      <c r="AI32" s="66"/>
      <c r="AJ32" s="66"/>
      <c r="AK32" s="62">
        <f t="shared" si="8"/>
        <v>0</v>
      </c>
      <c r="AL32" s="72">
        <f t="shared" si="9"/>
        <v>0</v>
      </c>
      <c r="AM32" s="73">
        <f t="shared" si="15"/>
        <v>0</v>
      </c>
      <c r="AN32" s="74">
        <f t="shared" si="18"/>
        <v>0</v>
      </c>
      <c r="AO32" s="74">
        <f t="shared" si="18"/>
        <v>0</v>
      </c>
      <c r="AP32" s="75" t="e">
        <f t="shared" si="16"/>
        <v>#DIV/0!</v>
      </c>
      <c r="AQ32" s="76">
        <f t="shared" si="11"/>
        <v>0</v>
      </c>
      <c r="AR32" s="90">
        <f t="shared" si="12"/>
        <v>0</v>
      </c>
    </row>
    <row r="33" spans="1:44" x14ac:dyDescent="0.25">
      <c r="A33" t="str">
        <f t="shared" si="13"/>
        <v>46188E</v>
      </c>
      <c r="B33" s="51">
        <f t="shared" si="17"/>
        <v>46188</v>
      </c>
      <c r="C33" s="52" t="s">
        <v>88</v>
      </c>
      <c r="D33" s="79"/>
      <c r="E33" s="62"/>
      <c r="F33" s="62"/>
      <c r="G33" s="62">
        <f t="shared" si="0"/>
        <v>0</v>
      </c>
      <c r="H33" s="63">
        <f t="shared" si="1"/>
        <v>0</v>
      </c>
      <c r="I33" s="203"/>
      <c r="J33" s="203"/>
      <c r="K33" s="203"/>
      <c r="L33" s="203"/>
      <c r="M33" s="58"/>
      <c r="N33" s="58"/>
      <c r="O33" s="59"/>
      <c r="P33" s="56"/>
      <c r="Q33" s="60"/>
      <c r="R33" s="61">
        <f t="shared" si="14"/>
        <v>0</v>
      </c>
      <c r="S33" s="62">
        <f t="shared" si="2"/>
        <v>0</v>
      </c>
      <c r="T33" s="63">
        <f t="shared" si="3"/>
        <v>0</v>
      </c>
      <c r="U33" s="64"/>
      <c r="V33" s="85"/>
      <c r="W33" s="66"/>
      <c r="X33" s="67"/>
      <c r="Y33" s="68"/>
      <c r="Z33" s="68"/>
      <c r="AA33" s="62">
        <f t="shared" si="4"/>
        <v>0</v>
      </c>
      <c r="AB33" s="63">
        <f t="shared" si="5"/>
        <v>0</v>
      </c>
      <c r="AC33" s="69"/>
      <c r="AD33" s="70"/>
      <c r="AE33" s="70"/>
      <c r="AF33" s="62">
        <f t="shared" si="6"/>
        <v>0</v>
      </c>
      <c r="AG33" s="63">
        <f t="shared" si="7"/>
        <v>0</v>
      </c>
      <c r="AH33" s="97"/>
      <c r="AI33" s="66"/>
      <c r="AJ33" s="66"/>
      <c r="AK33" s="62">
        <f t="shared" si="8"/>
        <v>0</v>
      </c>
      <c r="AL33" s="72">
        <f t="shared" si="9"/>
        <v>0</v>
      </c>
      <c r="AM33" s="73">
        <f t="shared" si="15"/>
        <v>0</v>
      </c>
      <c r="AN33" s="74">
        <f t="shared" si="18"/>
        <v>0</v>
      </c>
      <c r="AO33" s="74">
        <f t="shared" si="18"/>
        <v>0</v>
      </c>
      <c r="AP33" s="75" t="e">
        <f t="shared" si="16"/>
        <v>#DIV/0!</v>
      </c>
      <c r="AQ33" s="76">
        <f t="shared" si="11"/>
        <v>0</v>
      </c>
      <c r="AR33" s="90">
        <f t="shared" si="12"/>
        <v>0</v>
      </c>
    </row>
    <row r="34" spans="1:44" x14ac:dyDescent="0.25">
      <c r="A34" t="str">
        <f t="shared" si="13"/>
        <v>46189M</v>
      </c>
      <c r="B34" s="51">
        <f t="shared" si="17"/>
        <v>46189</v>
      </c>
      <c r="C34" s="52" t="s">
        <v>87</v>
      </c>
      <c r="D34" s="79"/>
      <c r="E34" s="62"/>
      <c r="F34" s="62"/>
      <c r="G34" s="62">
        <f t="shared" si="0"/>
        <v>0</v>
      </c>
      <c r="H34" s="63">
        <f t="shared" si="1"/>
        <v>0</v>
      </c>
      <c r="I34" s="203"/>
      <c r="J34" s="203"/>
      <c r="K34" s="203"/>
      <c r="L34" s="203"/>
      <c r="M34" s="58"/>
      <c r="N34" s="58"/>
      <c r="O34" s="59"/>
      <c r="P34" s="56"/>
      <c r="Q34" s="60"/>
      <c r="R34" s="61">
        <f t="shared" si="14"/>
        <v>0</v>
      </c>
      <c r="S34" s="62">
        <f t="shared" si="2"/>
        <v>0</v>
      </c>
      <c r="T34" s="63">
        <f t="shared" si="3"/>
        <v>0</v>
      </c>
      <c r="U34" s="64"/>
      <c r="V34" s="65"/>
      <c r="W34" s="66"/>
      <c r="X34" s="67"/>
      <c r="Y34" s="68"/>
      <c r="Z34" s="68"/>
      <c r="AA34" s="62">
        <f t="shared" si="4"/>
        <v>0</v>
      </c>
      <c r="AB34" s="63">
        <f t="shared" si="5"/>
        <v>0</v>
      </c>
      <c r="AC34" s="69"/>
      <c r="AD34" s="70"/>
      <c r="AE34" s="70"/>
      <c r="AF34" s="62">
        <f t="shared" si="6"/>
        <v>0</v>
      </c>
      <c r="AG34" s="63">
        <f t="shared" si="7"/>
        <v>0</v>
      </c>
      <c r="AH34" s="97"/>
      <c r="AI34" s="66"/>
      <c r="AJ34" s="66"/>
      <c r="AK34" s="62">
        <f t="shared" si="8"/>
        <v>0</v>
      </c>
      <c r="AL34" s="72">
        <f t="shared" si="9"/>
        <v>0</v>
      </c>
      <c r="AM34" s="73">
        <f t="shared" si="15"/>
        <v>0</v>
      </c>
      <c r="AN34" s="74">
        <f t="shared" si="18"/>
        <v>0</v>
      </c>
      <c r="AO34" s="74">
        <f t="shared" si="18"/>
        <v>0</v>
      </c>
      <c r="AP34" s="75" t="e">
        <f t="shared" si="16"/>
        <v>#DIV/0!</v>
      </c>
      <c r="AQ34" s="76">
        <f t="shared" si="11"/>
        <v>0</v>
      </c>
      <c r="AR34" s="77">
        <f>(D34+J34+O34)-(X34+AH34)</f>
        <v>0</v>
      </c>
    </row>
    <row r="35" spans="1:44" x14ac:dyDescent="0.25">
      <c r="A35" t="str">
        <f t="shared" si="13"/>
        <v>46189E</v>
      </c>
      <c r="B35" s="51">
        <f t="shared" si="17"/>
        <v>46189</v>
      </c>
      <c r="C35" s="52" t="s">
        <v>88</v>
      </c>
      <c r="D35" s="79"/>
      <c r="E35" s="62"/>
      <c r="F35" s="62"/>
      <c r="G35" s="62">
        <f t="shared" si="0"/>
        <v>0</v>
      </c>
      <c r="H35" s="63">
        <f t="shared" si="1"/>
        <v>0</v>
      </c>
      <c r="I35" s="203"/>
      <c r="J35" s="203"/>
      <c r="K35" s="203"/>
      <c r="L35" s="203"/>
      <c r="M35" s="58"/>
      <c r="N35" s="58"/>
      <c r="O35" s="59"/>
      <c r="P35" s="56"/>
      <c r="Q35" s="60"/>
      <c r="R35" s="61">
        <f t="shared" si="14"/>
        <v>0</v>
      </c>
      <c r="S35" s="62">
        <f t="shared" si="2"/>
        <v>0</v>
      </c>
      <c r="T35" s="63">
        <f t="shared" si="3"/>
        <v>0</v>
      </c>
      <c r="U35" s="64"/>
      <c r="V35" s="65"/>
      <c r="W35" s="66"/>
      <c r="X35" s="67"/>
      <c r="Y35" s="68"/>
      <c r="Z35" s="68"/>
      <c r="AA35" s="62">
        <f t="shared" si="4"/>
        <v>0</v>
      </c>
      <c r="AB35" s="63">
        <f t="shared" si="5"/>
        <v>0</v>
      </c>
      <c r="AC35" s="69"/>
      <c r="AD35" s="70"/>
      <c r="AE35" s="70"/>
      <c r="AF35" s="62">
        <f t="shared" si="6"/>
        <v>0</v>
      </c>
      <c r="AG35" s="63">
        <f t="shared" si="7"/>
        <v>0</v>
      </c>
      <c r="AH35" s="97"/>
      <c r="AI35" s="66"/>
      <c r="AJ35" s="66"/>
      <c r="AK35" s="62">
        <f t="shared" si="8"/>
        <v>0</v>
      </c>
      <c r="AL35" s="72">
        <f t="shared" si="9"/>
        <v>0</v>
      </c>
      <c r="AM35" s="73">
        <f t="shared" si="15"/>
        <v>0</v>
      </c>
      <c r="AN35" s="74">
        <f t="shared" si="18"/>
        <v>0</v>
      </c>
      <c r="AO35" s="74">
        <f t="shared" si="18"/>
        <v>0</v>
      </c>
      <c r="AP35" s="75" t="e">
        <f t="shared" si="16"/>
        <v>#DIV/0!</v>
      </c>
      <c r="AQ35" s="76">
        <f t="shared" si="11"/>
        <v>0</v>
      </c>
      <c r="AR35" s="77">
        <f t="shared" si="12"/>
        <v>0</v>
      </c>
    </row>
    <row r="36" spans="1:44" x14ac:dyDescent="0.25">
      <c r="A36" t="str">
        <f t="shared" si="13"/>
        <v>46190M</v>
      </c>
      <c r="B36" s="51">
        <f t="shared" si="17"/>
        <v>46190</v>
      </c>
      <c r="C36" s="52" t="s">
        <v>87</v>
      </c>
      <c r="D36" s="79"/>
      <c r="E36" s="62"/>
      <c r="F36" s="62"/>
      <c r="G36" s="62">
        <f t="shared" si="0"/>
        <v>0</v>
      </c>
      <c r="H36" s="63">
        <f t="shared" si="1"/>
        <v>0</v>
      </c>
      <c r="I36" s="203"/>
      <c r="J36" s="203"/>
      <c r="K36" s="203"/>
      <c r="L36" s="203"/>
      <c r="M36" s="58"/>
      <c r="N36" s="58"/>
      <c r="O36" s="59"/>
      <c r="P36" s="56"/>
      <c r="Q36" s="60"/>
      <c r="R36" s="61">
        <f t="shared" si="14"/>
        <v>0</v>
      </c>
      <c r="S36" s="62">
        <f t="shared" si="2"/>
        <v>0</v>
      </c>
      <c r="T36" s="63">
        <f t="shared" si="3"/>
        <v>0</v>
      </c>
      <c r="U36" s="64"/>
      <c r="V36" s="65"/>
      <c r="W36" s="66"/>
      <c r="X36" s="67"/>
      <c r="Y36" s="68"/>
      <c r="Z36" s="68"/>
      <c r="AA36" s="62">
        <f t="shared" si="4"/>
        <v>0</v>
      </c>
      <c r="AB36" s="63">
        <f t="shared" si="5"/>
        <v>0</v>
      </c>
      <c r="AC36" s="69"/>
      <c r="AD36" s="70"/>
      <c r="AE36" s="70"/>
      <c r="AF36" s="62">
        <f t="shared" si="6"/>
        <v>0</v>
      </c>
      <c r="AG36" s="63">
        <f t="shared" si="7"/>
        <v>0</v>
      </c>
      <c r="AH36" s="97"/>
      <c r="AI36" s="66"/>
      <c r="AJ36" s="66"/>
      <c r="AK36" s="62">
        <f t="shared" si="8"/>
        <v>0</v>
      </c>
      <c r="AL36" s="72">
        <f t="shared" si="9"/>
        <v>0</v>
      </c>
      <c r="AM36" s="73">
        <f t="shared" si="15"/>
        <v>0</v>
      </c>
      <c r="AN36" s="74">
        <f t="shared" si="18"/>
        <v>0</v>
      </c>
      <c r="AO36" s="74">
        <f t="shared" si="18"/>
        <v>0</v>
      </c>
      <c r="AP36" s="75" t="e">
        <f t="shared" si="16"/>
        <v>#DIV/0!</v>
      </c>
      <c r="AQ36" s="76">
        <f t="shared" si="11"/>
        <v>0</v>
      </c>
      <c r="AR36" s="90">
        <f t="shared" si="12"/>
        <v>0</v>
      </c>
    </row>
    <row r="37" spans="1:44" x14ac:dyDescent="0.25">
      <c r="A37" t="str">
        <f t="shared" si="13"/>
        <v>46190E</v>
      </c>
      <c r="B37" s="51">
        <f t="shared" si="17"/>
        <v>46190</v>
      </c>
      <c r="C37" s="52" t="s">
        <v>88</v>
      </c>
      <c r="D37" s="79"/>
      <c r="E37" s="62"/>
      <c r="F37" s="62"/>
      <c r="G37" s="62">
        <f t="shared" si="0"/>
        <v>0</v>
      </c>
      <c r="H37" s="63">
        <f t="shared" si="1"/>
        <v>0</v>
      </c>
      <c r="I37" s="203"/>
      <c r="J37" s="203"/>
      <c r="K37" s="203"/>
      <c r="L37" s="203"/>
      <c r="M37" s="58"/>
      <c r="N37" s="58"/>
      <c r="O37" s="59"/>
      <c r="P37" s="56"/>
      <c r="Q37" s="60"/>
      <c r="R37" s="61">
        <f t="shared" si="14"/>
        <v>0</v>
      </c>
      <c r="S37" s="62">
        <f t="shared" si="2"/>
        <v>0</v>
      </c>
      <c r="T37" s="63">
        <f t="shared" si="3"/>
        <v>0</v>
      </c>
      <c r="U37" s="64"/>
      <c r="V37" s="85"/>
      <c r="W37" s="66"/>
      <c r="X37" s="67"/>
      <c r="Y37" s="68"/>
      <c r="Z37" s="68"/>
      <c r="AA37" s="62">
        <f t="shared" si="4"/>
        <v>0</v>
      </c>
      <c r="AB37" s="63">
        <f t="shared" si="5"/>
        <v>0</v>
      </c>
      <c r="AC37" s="69"/>
      <c r="AD37" s="70"/>
      <c r="AE37" s="70"/>
      <c r="AF37" s="62">
        <f t="shared" si="6"/>
        <v>0</v>
      </c>
      <c r="AG37" s="63">
        <f t="shared" si="7"/>
        <v>0</v>
      </c>
      <c r="AH37" s="97"/>
      <c r="AI37" s="66"/>
      <c r="AJ37" s="66"/>
      <c r="AK37" s="62">
        <f t="shared" si="8"/>
        <v>0</v>
      </c>
      <c r="AL37" s="72">
        <f t="shared" si="9"/>
        <v>0</v>
      </c>
      <c r="AM37" s="73">
        <f t="shared" si="15"/>
        <v>0</v>
      </c>
      <c r="AN37" s="74">
        <f t="shared" si="18"/>
        <v>0</v>
      </c>
      <c r="AO37" s="74">
        <f t="shared" si="18"/>
        <v>0</v>
      </c>
      <c r="AP37" s="75" t="e">
        <f t="shared" si="16"/>
        <v>#DIV/0!</v>
      </c>
      <c r="AQ37" s="76">
        <f t="shared" si="11"/>
        <v>0</v>
      </c>
      <c r="AR37" s="90">
        <f t="shared" si="12"/>
        <v>0</v>
      </c>
    </row>
    <row r="38" spans="1:44" x14ac:dyDescent="0.25">
      <c r="A38" t="str">
        <f t="shared" si="13"/>
        <v>46191M</v>
      </c>
      <c r="B38" s="51">
        <f t="shared" si="17"/>
        <v>46191</v>
      </c>
      <c r="C38" s="52" t="s">
        <v>87</v>
      </c>
      <c r="D38" s="79"/>
      <c r="E38" s="62"/>
      <c r="F38" s="62"/>
      <c r="G38" s="62">
        <f t="shared" si="0"/>
        <v>0</v>
      </c>
      <c r="H38" s="63">
        <f t="shared" si="1"/>
        <v>0</v>
      </c>
      <c r="I38" s="203"/>
      <c r="J38" s="203"/>
      <c r="K38" s="203"/>
      <c r="L38" s="203"/>
      <c r="M38" s="58"/>
      <c r="N38" s="58"/>
      <c r="O38" s="59"/>
      <c r="P38" s="56"/>
      <c r="Q38" s="60"/>
      <c r="R38" s="61">
        <f t="shared" si="14"/>
        <v>0</v>
      </c>
      <c r="S38" s="62">
        <f t="shared" si="2"/>
        <v>0</v>
      </c>
      <c r="T38" s="63">
        <f t="shared" si="3"/>
        <v>0</v>
      </c>
      <c r="U38" s="64"/>
      <c r="V38" s="65"/>
      <c r="W38" s="66"/>
      <c r="X38" s="67"/>
      <c r="Y38" s="68"/>
      <c r="Z38" s="68"/>
      <c r="AA38" s="62">
        <f t="shared" si="4"/>
        <v>0</v>
      </c>
      <c r="AB38" s="63">
        <f t="shared" si="5"/>
        <v>0</v>
      </c>
      <c r="AC38" s="69"/>
      <c r="AD38" s="70"/>
      <c r="AE38" s="70"/>
      <c r="AF38" s="62">
        <f t="shared" si="6"/>
        <v>0</v>
      </c>
      <c r="AG38" s="63">
        <f t="shared" si="7"/>
        <v>0</v>
      </c>
      <c r="AH38" s="97"/>
      <c r="AI38" s="66"/>
      <c r="AJ38" s="66"/>
      <c r="AK38" s="62">
        <f t="shared" si="8"/>
        <v>0</v>
      </c>
      <c r="AL38" s="72">
        <f t="shared" si="9"/>
        <v>0</v>
      </c>
      <c r="AM38" s="73">
        <f t="shared" si="15"/>
        <v>0</v>
      </c>
      <c r="AN38" s="74">
        <f t="shared" si="18"/>
        <v>0</v>
      </c>
      <c r="AO38" s="74">
        <f t="shared" si="18"/>
        <v>0</v>
      </c>
      <c r="AP38" s="75" t="e">
        <f t="shared" si="16"/>
        <v>#DIV/0!</v>
      </c>
      <c r="AQ38" s="76">
        <f t="shared" si="11"/>
        <v>0</v>
      </c>
      <c r="AR38" s="90">
        <f t="shared" si="12"/>
        <v>0</v>
      </c>
    </row>
    <row r="39" spans="1:44" x14ac:dyDescent="0.25">
      <c r="A39" t="str">
        <f t="shared" si="13"/>
        <v>46191E</v>
      </c>
      <c r="B39" s="51">
        <f t="shared" si="17"/>
        <v>46191</v>
      </c>
      <c r="C39" s="52" t="s">
        <v>88</v>
      </c>
      <c r="D39" s="79"/>
      <c r="E39" s="62"/>
      <c r="F39" s="62"/>
      <c r="G39" s="62">
        <f t="shared" si="0"/>
        <v>0</v>
      </c>
      <c r="H39" s="63">
        <f t="shared" si="1"/>
        <v>0</v>
      </c>
      <c r="I39" s="203"/>
      <c r="J39" s="203"/>
      <c r="K39" s="203"/>
      <c r="L39" s="203"/>
      <c r="M39" s="58"/>
      <c r="N39" s="58"/>
      <c r="O39" s="59"/>
      <c r="P39" s="56"/>
      <c r="Q39" s="60"/>
      <c r="R39" s="61">
        <f t="shared" si="14"/>
        <v>0</v>
      </c>
      <c r="S39" s="62">
        <f t="shared" si="2"/>
        <v>0</v>
      </c>
      <c r="T39" s="63">
        <f t="shared" si="3"/>
        <v>0</v>
      </c>
      <c r="U39" s="64"/>
      <c r="V39" s="65"/>
      <c r="W39" s="66"/>
      <c r="X39" s="67"/>
      <c r="Y39" s="68"/>
      <c r="Z39" s="68"/>
      <c r="AA39" s="62">
        <f t="shared" si="4"/>
        <v>0</v>
      </c>
      <c r="AB39" s="63">
        <f t="shared" si="5"/>
        <v>0</v>
      </c>
      <c r="AC39" s="69"/>
      <c r="AD39" s="70"/>
      <c r="AE39" s="70"/>
      <c r="AF39" s="62">
        <f t="shared" si="6"/>
        <v>0</v>
      </c>
      <c r="AG39" s="63">
        <f t="shared" si="7"/>
        <v>0</v>
      </c>
      <c r="AH39" s="97"/>
      <c r="AI39" s="66"/>
      <c r="AJ39" s="66"/>
      <c r="AK39" s="62">
        <f t="shared" si="8"/>
        <v>0</v>
      </c>
      <c r="AL39" s="72">
        <f t="shared" si="9"/>
        <v>0</v>
      </c>
      <c r="AM39" s="73">
        <f t="shared" si="15"/>
        <v>0</v>
      </c>
      <c r="AN39" s="74">
        <f t="shared" si="18"/>
        <v>0</v>
      </c>
      <c r="AO39" s="74">
        <f t="shared" si="18"/>
        <v>0</v>
      </c>
      <c r="AP39" s="75" t="e">
        <f t="shared" si="16"/>
        <v>#DIV/0!</v>
      </c>
      <c r="AQ39" s="76">
        <f t="shared" si="11"/>
        <v>0</v>
      </c>
      <c r="AR39" s="90">
        <f t="shared" si="12"/>
        <v>0</v>
      </c>
    </row>
    <row r="40" spans="1:44" x14ac:dyDescent="0.25">
      <c r="A40" t="str">
        <f t="shared" si="13"/>
        <v>46192M</v>
      </c>
      <c r="B40" s="51">
        <f t="shared" si="17"/>
        <v>46192</v>
      </c>
      <c r="C40" s="52" t="s">
        <v>87</v>
      </c>
      <c r="D40" s="79"/>
      <c r="E40" s="62"/>
      <c r="F40" s="62"/>
      <c r="G40" s="62">
        <f t="shared" si="0"/>
        <v>0</v>
      </c>
      <c r="H40" s="63">
        <f t="shared" si="1"/>
        <v>0</v>
      </c>
      <c r="I40" s="203"/>
      <c r="J40" s="203"/>
      <c r="K40" s="203"/>
      <c r="L40" s="203"/>
      <c r="M40" s="58"/>
      <c r="N40" s="58"/>
      <c r="O40" s="59"/>
      <c r="P40" s="56"/>
      <c r="Q40" s="60"/>
      <c r="R40" s="61">
        <f t="shared" si="14"/>
        <v>0</v>
      </c>
      <c r="S40" s="62">
        <f t="shared" si="2"/>
        <v>0</v>
      </c>
      <c r="T40" s="63">
        <f t="shared" si="3"/>
        <v>0</v>
      </c>
      <c r="U40" s="64"/>
      <c r="V40" s="65"/>
      <c r="W40" s="66"/>
      <c r="X40" s="67"/>
      <c r="Y40" s="68"/>
      <c r="Z40" s="68"/>
      <c r="AA40" s="62">
        <f t="shared" si="4"/>
        <v>0</v>
      </c>
      <c r="AB40" s="63">
        <f t="shared" si="5"/>
        <v>0</v>
      </c>
      <c r="AC40" s="69"/>
      <c r="AD40" s="70"/>
      <c r="AE40" s="70"/>
      <c r="AF40" s="62">
        <f t="shared" si="6"/>
        <v>0</v>
      </c>
      <c r="AG40" s="63">
        <f t="shared" si="7"/>
        <v>0</v>
      </c>
      <c r="AH40" s="97"/>
      <c r="AI40" s="66"/>
      <c r="AJ40" s="66"/>
      <c r="AK40" s="62">
        <f t="shared" si="8"/>
        <v>0</v>
      </c>
      <c r="AL40" s="72">
        <f t="shared" si="9"/>
        <v>0</v>
      </c>
      <c r="AM40" s="73">
        <f t="shared" si="15"/>
        <v>0</v>
      </c>
      <c r="AN40" s="74">
        <f t="shared" si="18"/>
        <v>0</v>
      </c>
      <c r="AO40" s="74">
        <f t="shared" si="18"/>
        <v>0</v>
      </c>
      <c r="AP40" s="75" t="e">
        <f t="shared" si="16"/>
        <v>#DIV/0!</v>
      </c>
      <c r="AQ40" s="76">
        <f t="shared" si="11"/>
        <v>0</v>
      </c>
      <c r="AR40" s="90">
        <f t="shared" si="12"/>
        <v>0</v>
      </c>
    </row>
    <row r="41" spans="1:44" x14ac:dyDescent="0.25">
      <c r="A41" t="str">
        <f t="shared" si="13"/>
        <v>46192E</v>
      </c>
      <c r="B41" s="51">
        <f t="shared" si="17"/>
        <v>46192</v>
      </c>
      <c r="C41" s="52" t="s">
        <v>88</v>
      </c>
      <c r="D41" s="79"/>
      <c r="E41" s="62"/>
      <c r="F41" s="62"/>
      <c r="G41" s="62">
        <f t="shared" si="0"/>
        <v>0</v>
      </c>
      <c r="H41" s="63">
        <f t="shared" si="1"/>
        <v>0</v>
      </c>
      <c r="I41" s="203"/>
      <c r="J41" s="203"/>
      <c r="K41" s="203"/>
      <c r="L41" s="203"/>
      <c r="M41" s="58"/>
      <c r="N41" s="58"/>
      <c r="O41" s="59"/>
      <c r="P41" s="56"/>
      <c r="Q41" s="60"/>
      <c r="R41" s="61">
        <f t="shared" si="14"/>
        <v>0</v>
      </c>
      <c r="S41" s="62">
        <f t="shared" si="2"/>
        <v>0</v>
      </c>
      <c r="T41" s="63">
        <f t="shared" si="3"/>
        <v>0</v>
      </c>
      <c r="U41" s="64"/>
      <c r="V41" s="65"/>
      <c r="W41" s="66"/>
      <c r="X41" s="67"/>
      <c r="Y41" s="68"/>
      <c r="Z41" s="68"/>
      <c r="AA41" s="62">
        <f t="shared" si="4"/>
        <v>0</v>
      </c>
      <c r="AB41" s="63">
        <f t="shared" si="5"/>
        <v>0</v>
      </c>
      <c r="AC41" s="69"/>
      <c r="AD41" s="70"/>
      <c r="AE41" s="70"/>
      <c r="AF41" s="62">
        <f t="shared" si="6"/>
        <v>0</v>
      </c>
      <c r="AG41" s="63">
        <f t="shared" si="7"/>
        <v>0</v>
      </c>
      <c r="AH41" s="97"/>
      <c r="AI41" s="66"/>
      <c r="AJ41" s="66"/>
      <c r="AK41" s="62">
        <f t="shared" si="8"/>
        <v>0</v>
      </c>
      <c r="AL41" s="72">
        <f t="shared" si="9"/>
        <v>0</v>
      </c>
      <c r="AM41" s="73">
        <f t="shared" si="15"/>
        <v>0</v>
      </c>
      <c r="AN41" s="74">
        <f t="shared" si="18"/>
        <v>0</v>
      </c>
      <c r="AO41" s="74">
        <f t="shared" si="18"/>
        <v>0</v>
      </c>
      <c r="AP41" s="75" t="e">
        <f t="shared" si="16"/>
        <v>#DIV/0!</v>
      </c>
      <c r="AQ41" s="76">
        <f t="shared" si="11"/>
        <v>0</v>
      </c>
      <c r="AR41" s="90">
        <f t="shared" si="12"/>
        <v>0</v>
      </c>
    </row>
    <row r="42" spans="1:44" x14ac:dyDescent="0.25">
      <c r="A42" t="str">
        <f t="shared" si="13"/>
        <v>46193M</v>
      </c>
      <c r="B42" s="51">
        <f t="shared" si="17"/>
        <v>46193</v>
      </c>
      <c r="C42" s="52" t="s">
        <v>87</v>
      </c>
      <c r="D42" s="79"/>
      <c r="E42" s="62"/>
      <c r="F42" s="62"/>
      <c r="G42" s="62">
        <f t="shared" si="0"/>
        <v>0</v>
      </c>
      <c r="H42" s="63">
        <f t="shared" si="1"/>
        <v>0</v>
      </c>
      <c r="I42" s="203"/>
      <c r="J42" s="203"/>
      <c r="K42" s="203"/>
      <c r="L42" s="203"/>
      <c r="M42" s="58"/>
      <c r="N42" s="58"/>
      <c r="O42" s="59"/>
      <c r="P42" s="56"/>
      <c r="Q42" s="60"/>
      <c r="R42" s="61">
        <f t="shared" si="14"/>
        <v>0</v>
      </c>
      <c r="S42" s="62">
        <f t="shared" si="2"/>
        <v>0</v>
      </c>
      <c r="T42" s="63">
        <f t="shared" si="3"/>
        <v>0</v>
      </c>
      <c r="U42" s="64"/>
      <c r="V42" s="65"/>
      <c r="W42" s="66"/>
      <c r="X42" s="67"/>
      <c r="Y42" s="68"/>
      <c r="Z42" s="68"/>
      <c r="AA42" s="62">
        <f t="shared" si="4"/>
        <v>0</v>
      </c>
      <c r="AB42" s="63">
        <f t="shared" si="5"/>
        <v>0</v>
      </c>
      <c r="AC42" s="69"/>
      <c r="AD42" s="70"/>
      <c r="AE42" s="70"/>
      <c r="AF42" s="62">
        <f t="shared" si="6"/>
        <v>0</v>
      </c>
      <c r="AG42" s="63">
        <f t="shared" si="7"/>
        <v>0</v>
      </c>
      <c r="AH42" s="97"/>
      <c r="AI42" s="66"/>
      <c r="AJ42" s="66"/>
      <c r="AK42" s="62">
        <f t="shared" si="8"/>
        <v>0</v>
      </c>
      <c r="AL42" s="72">
        <f t="shared" si="9"/>
        <v>0</v>
      </c>
      <c r="AM42" s="73">
        <f t="shared" si="15"/>
        <v>0</v>
      </c>
      <c r="AN42" s="74">
        <f t="shared" si="18"/>
        <v>0</v>
      </c>
      <c r="AO42" s="74">
        <f t="shared" si="18"/>
        <v>0</v>
      </c>
      <c r="AP42" s="75" t="e">
        <f t="shared" si="16"/>
        <v>#DIV/0!</v>
      </c>
      <c r="AQ42" s="76">
        <f t="shared" si="11"/>
        <v>0</v>
      </c>
      <c r="AR42" s="90">
        <f t="shared" si="12"/>
        <v>0</v>
      </c>
    </row>
    <row r="43" spans="1:44" x14ac:dyDescent="0.25">
      <c r="A43" t="str">
        <f t="shared" si="13"/>
        <v>46193E</v>
      </c>
      <c r="B43" s="51">
        <f t="shared" si="17"/>
        <v>46193</v>
      </c>
      <c r="C43" s="52" t="s">
        <v>88</v>
      </c>
      <c r="D43" s="79"/>
      <c r="E43" s="62"/>
      <c r="F43" s="62"/>
      <c r="G43" s="62">
        <f t="shared" si="0"/>
        <v>0</v>
      </c>
      <c r="H43" s="63">
        <f t="shared" si="1"/>
        <v>0</v>
      </c>
      <c r="I43" s="203"/>
      <c r="J43" s="203"/>
      <c r="K43" s="203"/>
      <c r="L43" s="203"/>
      <c r="M43" s="58"/>
      <c r="N43" s="58"/>
      <c r="O43" s="59"/>
      <c r="P43" s="56"/>
      <c r="Q43" s="60"/>
      <c r="R43" s="61">
        <f t="shared" si="14"/>
        <v>0</v>
      </c>
      <c r="S43" s="62">
        <f t="shared" si="2"/>
        <v>0</v>
      </c>
      <c r="T43" s="63">
        <f t="shared" si="3"/>
        <v>0</v>
      </c>
      <c r="U43" s="64"/>
      <c r="V43" s="65"/>
      <c r="W43" s="66"/>
      <c r="X43" s="67"/>
      <c r="Y43" s="68"/>
      <c r="Z43" s="68"/>
      <c r="AA43" s="62">
        <f t="shared" si="4"/>
        <v>0</v>
      </c>
      <c r="AB43" s="63">
        <f t="shared" si="5"/>
        <v>0</v>
      </c>
      <c r="AC43" s="69"/>
      <c r="AD43" s="70"/>
      <c r="AE43" s="70"/>
      <c r="AF43" s="62">
        <f t="shared" si="6"/>
        <v>0</v>
      </c>
      <c r="AG43" s="63">
        <f t="shared" si="7"/>
        <v>0</v>
      </c>
      <c r="AH43" s="97"/>
      <c r="AI43" s="66"/>
      <c r="AJ43" s="66"/>
      <c r="AK43" s="62">
        <f t="shared" si="8"/>
        <v>0</v>
      </c>
      <c r="AL43" s="72">
        <f t="shared" si="9"/>
        <v>0</v>
      </c>
      <c r="AM43" s="73">
        <f t="shared" si="15"/>
        <v>0</v>
      </c>
      <c r="AN43" s="74">
        <f t="shared" si="18"/>
        <v>0</v>
      </c>
      <c r="AO43" s="74">
        <f t="shared" si="18"/>
        <v>0</v>
      </c>
      <c r="AP43" s="75" t="e">
        <f t="shared" si="16"/>
        <v>#DIV/0!</v>
      </c>
      <c r="AQ43" s="76">
        <f t="shared" si="11"/>
        <v>0</v>
      </c>
      <c r="AR43" s="90">
        <f t="shared" si="12"/>
        <v>0</v>
      </c>
    </row>
    <row r="44" spans="1:44" x14ac:dyDescent="0.25">
      <c r="A44" t="str">
        <f t="shared" si="13"/>
        <v>46194M</v>
      </c>
      <c r="B44" s="51">
        <f t="shared" si="17"/>
        <v>46194</v>
      </c>
      <c r="C44" s="52" t="s">
        <v>87</v>
      </c>
      <c r="D44" s="79"/>
      <c r="E44" s="62"/>
      <c r="F44" s="62"/>
      <c r="G44" s="62">
        <f t="shared" si="0"/>
        <v>0</v>
      </c>
      <c r="H44" s="63">
        <f t="shared" si="1"/>
        <v>0</v>
      </c>
      <c r="I44" s="203"/>
      <c r="J44" s="203"/>
      <c r="K44" s="203"/>
      <c r="L44" s="203"/>
      <c r="M44" s="58"/>
      <c r="N44" s="58"/>
      <c r="O44" s="59"/>
      <c r="P44" s="56"/>
      <c r="Q44" s="60"/>
      <c r="R44" s="61">
        <f t="shared" si="14"/>
        <v>0</v>
      </c>
      <c r="S44" s="62">
        <f t="shared" si="2"/>
        <v>0</v>
      </c>
      <c r="T44" s="63">
        <f t="shared" si="3"/>
        <v>0</v>
      </c>
      <c r="U44" s="64"/>
      <c r="V44" s="65"/>
      <c r="W44" s="66"/>
      <c r="X44" s="67"/>
      <c r="Y44" s="68"/>
      <c r="Z44" s="68"/>
      <c r="AA44" s="62">
        <f t="shared" si="4"/>
        <v>0</v>
      </c>
      <c r="AB44" s="63">
        <f t="shared" si="5"/>
        <v>0</v>
      </c>
      <c r="AC44" s="69"/>
      <c r="AD44" s="70"/>
      <c r="AE44" s="70"/>
      <c r="AF44" s="62">
        <f t="shared" si="6"/>
        <v>0</v>
      </c>
      <c r="AG44" s="63">
        <f t="shared" si="7"/>
        <v>0</v>
      </c>
      <c r="AH44" s="89"/>
      <c r="AI44" s="66"/>
      <c r="AJ44" s="66"/>
      <c r="AK44" s="62">
        <f t="shared" si="8"/>
        <v>0</v>
      </c>
      <c r="AL44" s="72">
        <f t="shared" si="9"/>
        <v>0</v>
      </c>
      <c r="AM44" s="73">
        <f t="shared" si="15"/>
        <v>0</v>
      </c>
      <c r="AN44" s="74">
        <f t="shared" si="18"/>
        <v>0</v>
      </c>
      <c r="AO44" s="74">
        <f t="shared" si="18"/>
        <v>0</v>
      </c>
      <c r="AP44" s="75" t="e">
        <f t="shared" si="16"/>
        <v>#DIV/0!</v>
      </c>
      <c r="AQ44" s="76">
        <f t="shared" si="11"/>
        <v>0</v>
      </c>
      <c r="AR44" s="90">
        <f t="shared" si="12"/>
        <v>0</v>
      </c>
    </row>
    <row r="45" spans="1:44" x14ac:dyDescent="0.25">
      <c r="A45" t="str">
        <f t="shared" si="13"/>
        <v>46194E</v>
      </c>
      <c r="B45" s="51">
        <f t="shared" si="17"/>
        <v>46194</v>
      </c>
      <c r="C45" s="52" t="s">
        <v>88</v>
      </c>
      <c r="D45" s="79"/>
      <c r="E45" s="62"/>
      <c r="F45" s="62"/>
      <c r="G45" s="62">
        <f t="shared" si="0"/>
        <v>0</v>
      </c>
      <c r="H45" s="63">
        <f t="shared" si="1"/>
        <v>0</v>
      </c>
      <c r="I45" s="203"/>
      <c r="J45" s="203"/>
      <c r="K45" s="203"/>
      <c r="L45" s="203"/>
      <c r="M45" s="58"/>
      <c r="N45" s="58"/>
      <c r="O45" s="59"/>
      <c r="P45" s="56"/>
      <c r="Q45" s="60"/>
      <c r="R45" s="61">
        <f t="shared" si="14"/>
        <v>0</v>
      </c>
      <c r="S45" s="62">
        <f t="shared" si="2"/>
        <v>0</v>
      </c>
      <c r="T45" s="63">
        <f t="shared" si="3"/>
        <v>0</v>
      </c>
      <c r="U45" s="64"/>
      <c r="V45" s="65"/>
      <c r="W45" s="66"/>
      <c r="X45" s="67"/>
      <c r="Y45" s="68"/>
      <c r="Z45" s="68"/>
      <c r="AA45" s="62">
        <f t="shared" si="4"/>
        <v>0</v>
      </c>
      <c r="AB45" s="63">
        <f t="shared" si="5"/>
        <v>0</v>
      </c>
      <c r="AC45" s="69"/>
      <c r="AD45" s="70"/>
      <c r="AE45" s="70"/>
      <c r="AF45" s="62">
        <f t="shared" si="6"/>
        <v>0</v>
      </c>
      <c r="AG45" s="63">
        <f t="shared" si="7"/>
        <v>0</v>
      </c>
      <c r="AH45" s="89"/>
      <c r="AI45" s="66"/>
      <c r="AJ45" s="66"/>
      <c r="AK45" s="62">
        <f t="shared" si="8"/>
        <v>0</v>
      </c>
      <c r="AL45" s="72">
        <f t="shared" si="9"/>
        <v>0</v>
      </c>
      <c r="AM45" s="73">
        <f t="shared" si="15"/>
        <v>0</v>
      </c>
      <c r="AN45" s="74">
        <f t="shared" si="18"/>
        <v>0</v>
      </c>
      <c r="AO45" s="74">
        <f t="shared" si="18"/>
        <v>0</v>
      </c>
      <c r="AP45" s="75" t="e">
        <f t="shared" si="16"/>
        <v>#DIV/0!</v>
      </c>
      <c r="AQ45" s="76">
        <f t="shared" si="11"/>
        <v>0</v>
      </c>
      <c r="AR45" s="90">
        <f t="shared" si="12"/>
        <v>0</v>
      </c>
    </row>
    <row r="46" spans="1:44" x14ac:dyDescent="0.25">
      <c r="A46" t="str">
        <f t="shared" si="13"/>
        <v>46195M</v>
      </c>
      <c r="B46" s="51">
        <f t="shared" si="17"/>
        <v>46195</v>
      </c>
      <c r="C46" s="52" t="s">
        <v>87</v>
      </c>
      <c r="D46" s="79"/>
      <c r="E46" s="62"/>
      <c r="F46" s="62"/>
      <c r="G46" s="62">
        <f t="shared" si="0"/>
        <v>0</v>
      </c>
      <c r="H46" s="63">
        <f t="shared" si="1"/>
        <v>0</v>
      </c>
      <c r="I46" s="203"/>
      <c r="J46" s="203"/>
      <c r="K46" s="203"/>
      <c r="L46" s="203"/>
      <c r="M46" s="58"/>
      <c r="N46" s="58"/>
      <c r="O46" s="59"/>
      <c r="P46" s="56"/>
      <c r="Q46" s="60"/>
      <c r="R46" s="61">
        <f t="shared" si="14"/>
        <v>0</v>
      </c>
      <c r="S46" s="62">
        <f t="shared" si="2"/>
        <v>0</v>
      </c>
      <c r="T46" s="63">
        <f t="shared" si="3"/>
        <v>0</v>
      </c>
      <c r="U46" s="64"/>
      <c r="V46" s="65"/>
      <c r="W46" s="66"/>
      <c r="X46" s="67"/>
      <c r="Y46" s="68"/>
      <c r="Z46" s="68"/>
      <c r="AA46" s="62">
        <f t="shared" si="4"/>
        <v>0</v>
      </c>
      <c r="AB46" s="63">
        <f t="shared" si="5"/>
        <v>0</v>
      </c>
      <c r="AC46" s="69"/>
      <c r="AD46" s="70"/>
      <c r="AE46" s="70"/>
      <c r="AF46" s="62">
        <f t="shared" si="6"/>
        <v>0</v>
      </c>
      <c r="AG46" s="63">
        <f t="shared" si="7"/>
        <v>0</v>
      </c>
      <c r="AH46" s="89"/>
      <c r="AI46" s="66"/>
      <c r="AJ46" s="66"/>
      <c r="AK46" s="62">
        <f t="shared" si="8"/>
        <v>0</v>
      </c>
      <c r="AL46" s="72">
        <f t="shared" si="9"/>
        <v>0</v>
      </c>
      <c r="AM46" s="73">
        <f t="shared" si="15"/>
        <v>0</v>
      </c>
      <c r="AN46" s="74">
        <f t="shared" si="18"/>
        <v>0</v>
      </c>
      <c r="AO46" s="74">
        <f t="shared" si="18"/>
        <v>0</v>
      </c>
      <c r="AP46" s="75" t="e">
        <f t="shared" si="16"/>
        <v>#DIV/0!</v>
      </c>
      <c r="AQ46" s="76">
        <f t="shared" si="11"/>
        <v>0</v>
      </c>
      <c r="AR46" s="90">
        <f t="shared" si="12"/>
        <v>0</v>
      </c>
    </row>
    <row r="47" spans="1:44" x14ac:dyDescent="0.25">
      <c r="A47" t="str">
        <f t="shared" si="13"/>
        <v>46195E</v>
      </c>
      <c r="B47" s="51">
        <f t="shared" si="17"/>
        <v>46195</v>
      </c>
      <c r="C47" s="52" t="s">
        <v>88</v>
      </c>
      <c r="D47" s="79"/>
      <c r="E47" s="62"/>
      <c r="F47" s="62"/>
      <c r="G47" s="62">
        <f t="shared" si="0"/>
        <v>0</v>
      </c>
      <c r="H47" s="63">
        <f t="shared" si="1"/>
        <v>0</v>
      </c>
      <c r="I47" s="203"/>
      <c r="J47" s="203"/>
      <c r="K47" s="203"/>
      <c r="L47" s="203"/>
      <c r="M47" s="58"/>
      <c r="N47" s="58"/>
      <c r="O47" s="59"/>
      <c r="P47" s="56"/>
      <c r="Q47" s="60"/>
      <c r="R47" s="61">
        <f t="shared" si="14"/>
        <v>0</v>
      </c>
      <c r="S47" s="62">
        <f t="shared" si="2"/>
        <v>0</v>
      </c>
      <c r="T47" s="63">
        <f t="shared" si="3"/>
        <v>0</v>
      </c>
      <c r="U47" s="64"/>
      <c r="V47" s="65"/>
      <c r="W47" s="66"/>
      <c r="X47" s="67"/>
      <c r="Y47" s="68"/>
      <c r="Z47" s="68"/>
      <c r="AA47" s="62">
        <f t="shared" si="4"/>
        <v>0</v>
      </c>
      <c r="AB47" s="63">
        <f t="shared" si="5"/>
        <v>0</v>
      </c>
      <c r="AC47" s="69"/>
      <c r="AD47" s="70"/>
      <c r="AE47" s="70"/>
      <c r="AF47" s="62">
        <f t="shared" si="6"/>
        <v>0</v>
      </c>
      <c r="AG47" s="63">
        <f t="shared" si="7"/>
        <v>0</v>
      </c>
      <c r="AH47" s="89"/>
      <c r="AI47" s="66"/>
      <c r="AJ47" s="66"/>
      <c r="AK47" s="62">
        <f t="shared" si="8"/>
        <v>0</v>
      </c>
      <c r="AL47" s="72">
        <f t="shared" si="9"/>
        <v>0</v>
      </c>
      <c r="AM47" s="73">
        <f t="shared" si="15"/>
        <v>0</v>
      </c>
      <c r="AN47" s="74">
        <f t="shared" si="18"/>
        <v>0</v>
      </c>
      <c r="AO47" s="74">
        <f t="shared" si="18"/>
        <v>0</v>
      </c>
      <c r="AP47" s="75" t="e">
        <f t="shared" si="16"/>
        <v>#DIV/0!</v>
      </c>
      <c r="AQ47" s="76">
        <f t="shared" si="11"/>
        <v>0</v>
      </c>
      <c r="AR47" s="90">
        <f t="shared" si="12"/>
        <v>0</v>
      </c>
    </row>
    <row r="48" spans="1:44" x14ac:dyDescent="0.25">
      <c r="A48" t="str">
        <f t="shared" si="13"/>
        <v>46196M</v>
      </c>
      <c r="B48" s="51">
        <f t="shared" si="17"/>
        <v>46196</v>
      </c>
      <c r="C48" s="52" t="s">
        <v>87</v>
      </c>
      <c r="D48" s="79"/>
      <c r="E48" s="62"/>
      <c r="F48" s="62"/>
      <c r="G48" s="62">
        <f t="shared" si="0"/>
        <v>0</v>
      </c>
      <c r="H48" s="63">
        <f t="shared" si="1"/>
        <v>0</v>
      </c>
      <c r="I48" s="203"/>
      <c r="J48" s="203"/>
      <c r="K48" s="203"/>
      <c r="L48" s="203"/>
      <c r="M48" s="58"/>
      <c r="N48" s="58"/>
      <c r="O48" s="59"/>
      <c r="P48" s="56"/>
      <c r="Q48" s="60"/>
      <c r="R48" s="61">
        <f t="shared" si="14"/>
        <v>0</v>
      </c>
      <c r="S48" s="62">
        <f t="shared" si="2"/>
        <v>0</v>
      </c>
      <c r="T48" s="63">
        <f t="shared" si="3"/>
        <v>0</v>
      </c>
      <c r="U48" s="64"/>
      <c r="V48" s="65"/>
      <c r="W48" s="66"/>
      <c r="X48" s="67"/>
      <c r="Y48" s="68"/>
      <c r="Z48" s="68"/>
      <c r="AA48" s="62">
        <f t="shared" si="4"/>
        <v>0</v>
      </c>
      <c r="AB48" s="63">
        <f t="shared" si="5"/>
        <v>0</v>
      </c>
      <c r="AC48" s="69"/>
      <c r="AD48" s="70"/>
      <c r="AE48" s="70"/>
      <c r="AF48" s="62">
        <f t="shared" si="6"/>
        <v>0</v>
      </c>
      <c r="AG48" s="63">
        <f t="shared" si="7"/>
        <v>0</v>
      </c>
      <c r="AH48" s="89"/>
      <c r="AI48" s="66"/>
      <c r="AJ48" s="66"/>
      <c r="AK48" s="62">
        <f t="shared" si="8"/>
        <v>0</v>
      </c>
      <c r="AL48" s="72">
        <f t="shared" si="9"/>
        <v>0</v>
      </c>
      <c r="AM48" s="73">
        <f t="shared" si="15"/>
        <v>0</v>
      </c>
      <c r="AN48" s="74">
        <f t="shared" si="18"/>
        <v>0</v>
      </c>
      <c r="AO48" s="74">
        <f t="shared" si="18"/>
        <v>0</v>
      </c>
      <c r="AP48" s="75" t="e">
        <f t="shared" si="16"/>
        <v>#DIV/0!</v>
      </c>
      <c r="AQ48" s="76">
        <f t="shared" si="11"/>
        <v>0</v>
      </c>
      <c r="AR48" s="90">
        <f t="shared" si="12"/>
        <v>0</v>
      </c>
    </row>
    <row r="49" spans="1:44" x14ac:dyDescent="0.25">
      <c r="A49" t="str">
        <f t="shared" si="13"/>
        <v>46196E</v>
      </c>
      <c r="B49" s="51">
        <f t="shared" si="17"/>
        <v>46196</v>
      </c>
      <c r="C49" s="52" t="s">
        <v>88</v>
      </c>
      <c r="D49" s="79"/>
      <c r="E49" s="62"/>
      <c r="F49" s="62"/>
      <c r="G49" s="62">
        <f t="shared" si="0"/>
        <v>0</v>
      </c>
      <c r="H49" s="63">
        <f t="shared" si="1"/>
        <v>0</v>
      </c>
      <c r="I49" s="203"/>
      <c r="J49" s="203"/>
      <c r="K49" s="203"/>
      <c r="L49" s="203"/>
      <c r="M49" s="58"/>
      <c r="N49" s="58"/>
      <c r="O49" s="59"/>
      <c r="P49" s="56"/>
      <c r="Q49" s="60"/>
      <c r="R49" s="61">
        <f t="shared" si="14"/>
        <v>0</v>
      </c>
      <c r="S49" s="62">
        <f t="shared" si="2"/>
        <v>0</v>
      </c>
      <c r="T49" s="63">
        <f t="shared" si="3"/>
        <v>0</v>
      </c>
      <c r="U49" s="64"/>
      <c r="V49" s="65"/>
      <c r="W49" s="66"/>
      <c r="X49" s="67"/>
      <c r="Y49" s="68"/>
      <c r="Z49" s="68"/>
      <c r="AA49" s="62">
        <f t="shared" si="4"/>
        <v>0</v>
      </c>
      <c r="AB49" s="63">
        <f t="shared" si="5"/>
        <v>0</v>
      </c>
      <c r="AC49" s="69"/>
      <c r="AD49" s="70"/>
      <c r="AE49" s="70"/>
      <c r="AF49" s="62">
        <f t="shared" si="6"/>
        <v>0</v>
      </c>
      <c r="AG49" s="63">
        <f t="shared" si="7"/>
        <v>0</v>
      </c>
      <c r="AH49" s="89"/>
      <c r="AI49" s="66"/>
      <c r="AJ49" s="66"/>
      <c r="AK49" s="62">
        <f t="shared" si="8"/>
        <v>0</v>
      </c>
      <c r="AL49" s="72">
        <f t="shared" si="9"/>
        <v>0</v>
      </c>
      <c r="AM49" s="73">
        <f t="shared" si="15"/>
        <v>0</v>
      </c>
      <c r="AN49" s="74">
        <f t="shared" si="18"/>
        <v>0</v>
      </c>
      <c r="AO49" s="74">
        <f t="shared" si="18"/>
        <v>0</v>
      </c>
      <c r="AP49" s="75" t="e">
        <f t="shared" si="16"/>
        <v>#DIV/0!</v>
      </c>
      <c r="AQ49" s="76">
        <f t="shared" si="11"/>
        <v>0</v>
      </c>
      <c r="AR49" s="90">
        <f t="shared" si="12"/>
        <v>0</v>
      </c>
    </row>
    <row r="50" spans="1:44" x14ac:dyDescent="0.25">
      <c r="A50" t="str">
        <f t="shared" si="13"/>
        <v>46197M</v>
      </c>
      <c r="B50" s="51">
        <f t="shared" si="17"/>
        <v>46197</v>
      </c>
      <c r="C50" s="52" t="s">
        <v>87</v>
      </c>
      <c r="D50" s="79"/>
      <c r="E50" s="62"/>
      <c r="F50" s="62"/>
      <c r="G50" s="62">
        <f t="shared" si="0"/>
        <v>0</v>
      </c>
      <c r="H50" s="63">
        <f t="shared" si="1"/>
        <v>0</v>
      </c>
      <c r="I50" s="203"/>
      <c r="J50" s="203"/>
      <c r="K50" s="203"/>
      <c r="L50" s="203"/>
      <c r="M50" s="58"/>
      <c r="N50" s="58"/>
      <c r="O50" s="59"/>
      <c r="P50" s="56"/>
      <c r="Q50" s="60"/>
      <c r="R50" s="61">
        <f t="shared" si="14"/>
        <v>0</v>
      </c>
      <c r="S50" s="62">
        <f t="shared" si="2"/>
        <v>0</v>
      </c>
      <c r="T50" s="63">
        <f t="shared" si="3"/>
        <v>0</v>
      </c>
      <c r="U50" s="64"/>
      <c r="V50" s="65"/>
      <c r="W50" s="66"/>
      <c r="X50" s="67"/>
      <c r="Y50" s="68"/>
      <c r="Z50" s="68"/>
      <c r="AA50" s="62">
        <f t="shared" si="4"/>
        <v>0</v>
      </c>
      <c r="AB50" s="63">
        <f t="shared" si="5"/>
        <v>0</v>
      </c>
      <c r="AC50" s="69"/>
      <c r="AD50" s="70"/>
      <c r="AE50" s="70"/>
      <c r="AF50" s="62">
        <f t="shared" si="6"/>
        <v>0</v>
      </c>
      <c r="AG50" s="63">
        <f t="shared" si="7"/>
        <v>0</v>
      </c>
      <c r="AH50" s="89"/>
      <c r="AI50" s="66"/>
      <c r="AJ50" s="66"/>
      <c r="AK50" s="62">
        <f t="shared" si="8"/>
        <v>0</v>
      </c>
      <c r="AL50" s="72">
        <f t="shared" si="9"/>
        <v>0</v>
      </c>
      <c r="AM50" s="73">
        <f t="shared" si="15"/>
        <v>0</v>
      </c>
      <c r="AN50" s="74">
        <f t="shared" si="18"/>
        <v>0</v>
      </c>
      <c r="AO50" s="74">
        <f t="shared" si="18"/>
        <v>0</v>
      </c>
      <c r="AP50" s="75" t="e">
        <f t="shared" si="16"/>
        <v>#DIV/0!</v>
      </c>
      <c r="AQ50" s="76">
        <f t="shared" si="11"/>
        <v>0</v>
      </c>
      <c r="AR50" s="90">
        <f t="shared" si="12"/>
        <v>0</v>
      </c>
    </row>
    <row r="51" spans="1:44" x14ac:dyDescent="0.25">
      <c r="A51" t="str">
        <f t="shared" si="13"/>
        <v>46197E</v>
      </c>
      <c r="B51" s="51">
        <f t="shared" si="17"/>
        <v>46197</v>
      </c>
      <c r="C51" s="52" t="s">
        <v>88</v>
      </c>
      <c r="D51" s="79"/>
      <c r="E51" s="62"/>
      <c r="F51" s="62"/>
      <c r="G51" s="62">
        <f t="shared" si="0"/>
        <v>0</v>
      </c>
      <c r="H51" s="63">
        <f t="shared" si="1"/>
        <v>0</v>
      </c>
      <c r="I51" s="203"/>
      <c r="J51" s="203"/>
      <c r="K51" s="203"/>
      <c r="L51" s="203"/>
      <c r="M51" s="58"/>
      <c r="N51" s="58"/>
      <c r="O51" s="59"/>
      <c r="P51" s="56"/>
      <c r="Q51" s="60"/>
      <c r="R51" s="61">
        <f t="shared" si="14"/>
        <v>0</v>
      </c>
      <c r="S51" s="62">
        <f t="shared" si="2"/>
        <v>0</v>
      </c>
      <c r="T51" s="63">
        <f t="shared" si="3"/>
        <v>0</v>
      </c>
      <c r="U51" s="64"/>
      <c r="V51" s="85"/>
      <c r="W51" s="66"/>
      <c r="X51" s="67"/>
      <c r="Y51" s="68"/>
      <c r="Z51" s="68"/>
      <c r="AA51" s="62">
        <f t="shared" si="4"/>
        <v>0</v>
      </c>
      <c r="AB51" s="63">
        <f t="shared" si="5"/>
        <v>0</v>
      </c>
      <c r="AC51" s="69"/>
      <c r="AD51" s="70"/>
      <c r="AE51" s="70"/>
      <c r="AF51" s="62">
        <f t="shared" si="6"/>
        <v>0</v>
      </c>
      <c r="AG51" s="63">
        <f t="shared" si="7"/>
        <v>0</v>
      </c>
      <c r="AH51" s="89"/>
      <c r="AI51" s="66"/>
      <c r="AJ51" s="66"/>
      <c r="AK51" s="62">
        <f t="shared" si="8"/>
        <v>0</v>
      </c>
      <c r="AL51" s="72">
        <f t="shared" si="9"/>
        <v>0</v>
      </c>
      <c r="AM51" s="73">
        <f t="shared" si="15"/>
        <v>0</v>
      </c>
      <c r="AN51" s="74">
        <f t="shared" si="18"/>
        <v>0</v>
      </c>
      <c r="AO51" s="74">
        <f t="shared" si="18"/>
        <v>0</v>
      </c>
      <c r="AP51" s="75" t="e">
        <f t="shared" si="16"/>
        <v>#DIV/0!</v>
      </c>
      <c r="AQ51" s="76">
        <f t="shared" si="11"/>
        <v>0</v>
      </c>
      <c r="AR51" s="90">
        <f t="shared" si="12"/>
        <v>0</v>
      </c>
    </row>
    <row r="52" spans="1:44" x14ac:dyDescent="0.25">
      <c r="A52" t="str">
        <f t="shared" si="13"/>
        <v>46198M</v>
      </c>
      <c r="B52" s="51">
        <f t="shared" si="17"/>
        <v>46198</v>
      </c>
      <c r="C52" s="52" t="s">
        <v>87</v>
      </c>
      <c r="D52" s="79"/>
      <c r="E52" s="62"/>
      <c r="F52" s="62"/>
      <c r="G52" s="62">
        <f t="shared" si="0"/>
        <v>0</v>
      </c>
      <c r="H52" s="63">
        <f t="shared" si="1"/>
        <v>0</v>
      </c>
      <c r="I52" s="203"/>
      <c r="J52" s="203"/>
      <c r="K52" s="203"/>
      <c r="L52" s="203"/>
      <c r="M52" s="58"/>
      <c r="N52" s="58"/>
      <c r="O52" s="59"/>
      <c r="P52" s="56"/>
      <c r="Q52" s="60"/>
      <c r="R52" s="61">
        <f t="shared" si="14"/>
        <v>0</v>
      </c>
      <c r="S52" s="62">
        <f t="shared" si="2"/>
        <v>0</v>
      </c>
      <c r="T52" s="63">
        <f t="shared" si="3"/>
        <v>0</v>
      </c>
      <c r="U52" s="64"/>
      <c r="V52" s="85"/>
      <c r="W52" s="66"/>
      <c r="X52" s="67"/>
      <c r="Y52" s="68"/>
      <c r="Z52" s="68"/>
      <c r="AA52" s="62">
        <f t="shared" si="4"/>
        <v>0</v>
      </c>
      <c r="AB52" s="63">
        <f t="shared" si="5"/>
        <v>0</v>
      </c>
      <c r="AC52" s="69"/>
      <c r="AD52" s="70"/>
      <c r="AE52" s="70"/>
      <c r="AF52" s="62">
        <f t="shared" si="6"/>
        <v>0</v>
      </c>
      <c r="AG52" s="63">
        <f t="shared" si="7"/>
        <v>0</v>
      </c>
      <c r="AH52" s="89"/>
      <c r="AI52" s="66"/>
      <c r="AJ52" s="66"/>
      <c r="AK52" s="62">
        <f t="shared" si="8"/>
        <v>0</v>
      </c>
      <c r="AL52" s="72">
        <f t="shared" si="9"/>
        <v>0</v>
      </c>
      <c r="AM52" s="73">
        <f t="shared" si="15"/>
        <v>0</v>
      </c>
      <c r="AN52" s="74">
        <f t="shared" si="18"/>
        <v>0</v>
      </c>
      <c r="AO52" s="74">
        <f t="shared" si="18"/>
        <v>0</v>
      </c>
      <c r="AP52" s="75" t="e">
        <f t="shared" si="16"/>
        <v>#DIV/0!</v>
      </c>
      <c r="AQ52" s="76">
        <f t="shared" si="11"/>
        <v>0</v>
      </c>
      <c r="AR52" s="90">
        <f t="shared" si="12"/>
        <v>0</v>
      </c>
    </row>
    <row r="53" spans="1:44" x14ac:dyDescent="0.25">
      <c r="A53" t="str">
        <f t="shared" si="13"/>
        <v>46198E</v>
      </c>
      <c r="B53" s="51">
        <f t="shared" si="17"/>
        <v>46198</v>
      </c>
      <c r="C53" s="52" t="s">
        <v>88</v>
      </c>
      <c r="D53" s="79"/>
      <c r="E53" s="62"/>
      <c r="F53" s="62"/>
      <c r="G53" s="62">
        <f t="shared" si="0"/>
        <v>0</v>
      </c>
      <c r="H53" s="63">
        <f t="shared" si="1"/>
        <v>0</v>
      </c>
      <c r="I53" s="203"/>
      <c r="J53" s="203"/>
      <c r="K53" s="203"/>
      <c r="L53" s="203"/>
      <c r="M53" s="58"/>
      <c r="N53" s="58"/>
      <c r="O53" s="59"/>
      <c r="P53" s="56"/>
      <c r="Q53" s="60"/>
      <c r="R53" s="61">
        <f t="shared" si="14"/>
        <v>0</v>
      </c>
      <c r="S53" s="62">
        <f t="shared" si="2"/>
        <v>0</v>
      </c>
      <c r="T53" s="63">
        <f t="shared" si="3"/>
        <v>0</v>
      </c>
      <c r="U53" s="64"/>
      <c r="V53" s="65"/>
      <c r="W53" s="66"/>
      <c r="X53" s="67"/>
      <c r="Y53" s="68"/>
      <c r="Z53" s="68"/>
      <c r="AA53" s="62">
        <f t="shared" si="4"/>
        <v>0</v>
      </c>
      <c r="AB53" s="63">
        <f t="shared" si="5"/>
        <v>0</v>
      </c>
      <c r="AC53" s="69"/>
      <c r="AD53" s="70"/>
      <c r="AE53" s="70"/>
      <c r="AF53" s="62">
        <f t="shared" si="6"/>
        <v>0</v>
      </c>
      <c r="AG53" s="63">
        <f t="shared" si="7"/>
        <v>0</v>
      </c>
      <c r="AH53" s="89"/>
      <c r="AI53" s="66"/>
      <c r="AJ53" s="66"/>
      <c r="AK53" s="62">
        <f t="shared" si="8"/>
        <v>0</v>
      </c>
      <c r="AL53" s="72">
        <f t="shared" si="9"/>
        <v>0</v>
      </c>
      <c r="AM53" s="73">
        <f t="shared" si="15"/>
        <v>0</v>
      </c>
      <c r="AN53" s="74">
        <f t="shared" si="18"/>
        <v>0</v>
      </c>
      <c r="AO53" s="74">
        <f t="shared" si="18"/>
        <v>0</v>
      </c>
      <c r="AP53" s="75" t="e">
        <f t="shared" si="16"/>
        <v>#DIV/0!</v>
      </c>
      <c r="AQ53" s="76">
        <f t="shared" si="11"/>
        <v>0</v>
      </c>
      <c r="AR53" s="90">
        <f t="shared" si="12"/>
        <v>0</v>
      </c>
    </row>
    <row r="54" spans="1:44" x14ac:dyDescent="0.25">
      <c r="A54" t="str">
        <f t="shared" si="13"/>
        <v>46199M</v>
      </c>
      <c r="B54" s="51">
        <f t="shared" si="17"/>
        <v>46199</v>
      </c>
      <c r="C54" s="52" t="s">
        <v>87</v>
      </c>
      <c r="D54" s="79"/>
      <c r="E54" s="62"/>
      <c r="F54" s="62"/>
      <c r="G54" s="62">
        <f t="shared" si="0"/>
        <v>0</v>
      </c>
      <c r="H54" s="63">
        <f t="shared" si="1"/>
        <v>0</v>
      </c>
      <c r="I54" s="203"/>
      <c r="J54" s="203"/>
      <c r="K54" s="203"/>
      <c r="L54" s="203"/>
      <c r="M54" s="58"/>
      <c r="N54" s="58"/>
      <c r="O54" s="59"/>
      <c r="P54" s="56"/>
      <c r="Q54" s="60"/>
      <c r="R54" s="61">
        <f t="shared" si="14"/>
        <v>0</v>
      </c>
      <c r="S54" s="62">
        <f t="shared" si="2"/>
        <v>0</v>
      </c>
      <c r="T54" s="63">
        <f t="shared" si="3"/>
        <v>0</v>
      </c>
      <c r="U54" s="64"/>
      <c r="V54" s="65"/>
      <c r="W54" s="66"/>
      <c r="X54" s="67"/>
      <c r="Y54" s="68"/>
      <c r="Z54" s="68"/>
      <c r="AA54" s="62">
        <f t="shared" si="4"/>
        <v>0</v>
      </c>
      <c r="AB54" s="63">
        <f t="shared" si="5"/>
        <v>0</v>
      </c>
      <c r="AC54" s="69"/>
      <c r="AD54" s="70"/>
      <c r="AE54" s="70"/>
      <c r="AF54" s="62">
        <f t="shared" si="6"/>
        <v>0</v>
      </c>
      <c r="AG54" s="63">
        <f t="shared" si="7"/>
        <v>0</v>
      </c>
      <c r="AH54" s="89"/>
      <c r="AI54" s="66"/>
      <c r="AJ54" s="66"/>
      <c r="AK54" s="62">
        <f t="shared" si="8"/>
        <v>0</v>
      </c>
      <c r="AL54" s="72">
        <f t="shared" si="9"/>
        <v>0</v>
      </c>
      <c r="AM54" s="73">
        <f t="shared" si="15"/>
        <v>0</v>
      </c>
      <c r="AN54" s="74">
        <f t="shared" si="18"/>
        <v>0</v>
      </c>
      <c r="AO54" s="74">
        <f t="shared" si="18"/>
        <v>0</v>
      </c>
      <c r="AP54" s="75" t="e">
        <f t="shared" si="16"/>
        <v>#DIV/0!</v>
      </c>
      <c r="AQ54" s="76">
        <f t="shared" si="11"/>
        <v>0</v>
      </c>
      <c r="AR54" s="90">
        <f t="shared" si="12"/>
        <v>0</v>
      </c>
    </row>
    <row r="55" spans="1:44" x14ac:dyDescent="0.25">
      <c r="A55" t="str">
        <f t="shared" si="13"/>
        <v>46199E</v>
      </c>
      <c r="B55" s="51">
        <f t="shared" si="17"/>
        <v>46199</v>
      </c>
      <c r="C55" s="52" t="s">
        <v>88</v>
      </c>
      <c r="D55" s="79"/>
      <c r="E55" s="62"/>
      <c r="F55" s="62"/>
      <c r="G55" s="62">
        <f t="shared" si="0"/>
        <v>0</v>
      </c>
      <c r="H55" s="63">
        <f t="shared" si="1"/>
        <v>0</v>
      </c>
      <c r="I55" s="203"/>
      <c r="J55" s="203"/>
      <c r="K55" s="203"/>
      <c r="L55" s="203"/>
      <c r="M55" s="58"/>
      <c r="N55" s="58"/>
      <c r="O55" s="59"/>
      <c r="P55" s="56"/>
      <c r="Q55" s="60"/>
      <c r="R55" s="61">
        <f t="shared" si="14"/>
        <v>0</v>
      </c>
      <c r="S55" s="62">
        <f t="shared" si="2"/>
        <v>0</v>
      </c>
      <c r="T55" s="63">
        <f t="shared" si="3"/>
        <v>0</v>
      </c>
      <c r="U55" s="64"/>
      <c r="V55" s="65"/>
      <c r="W55" s="66"/>
      <c r="X55" s="67"/>
      <c r="Y55" s="68"/>
      <c r="Z55" s="68"/>
      <c r="AA55" s="62">
        <f t="shared" si="4"/>
        <v>0</v>
      </c>
      <c r="AB55" s="63">
        <f t="shared" si="5"/>
        <v>0</v>
      </c>
      <c r="AC55" s="69"/>
      <c r="AD55" s="70"/>
      <c r="AE55" s="70"/>
      <c r="AF55" s="62">
        <f t="shared" si="6"/>
        <v>0</v>
      </c>
      <c r="AG55" s="63">
        <f t="shared" si="7"/>
        <v>0</v>
      </c>
      <c r="AH55" s="89"/>
      <c r="AI55" s="66"/>
      <c r="AJ55" s="66"/>
      <c r="AK55" s="62">
        <f t="shared" si="8"/>
        <v>0</v>
      </c>
      <c r="AL55" s="72">
        <f t="shared" si="9"/>
        <v>0</v>
      </c>
      <c r="AM55" s="73">
        <f t="shared" si="15"/>
        <v>0</v>
      </c>
      <c r="AN55" s="74">
        <f t="shared" si="18"/>
        <v>0</v>
      </c>
      <c r="AO55" s="74">
        <f t="shared" si="18"/>
        <v>0</v>
      </c>
      <c r="AP55" s="75" t="e">
        <f t="shared" si="16"/>
        <v>#DIV/0!</v>
      </c>
      <c r="AQ55" s="76">
        <f t="shared" si="11"/>
        <v>0</v>
      </c>
      <c r="AR55" s="90">
        <f t="shared" si="12"/>
        <v>0</v>
      </c>
    </row>
    <row r="56" spans="1:44" x14ac:dyDescent="0.25">
      <c r="A56" t="str">
        <f t="shared" si="13"/>
        <v>46200M</v>
      </c>
      <c r="B56" s="51">
        <f t="shared" si="17"/>
        <v>46200</v>
      </c>
      <c r="C56" s="52" t="s">
        <v>87</v>
      </c>
      <c r="D56" s="79"/>
      <c r="E56" s="62"/>
      <c r="F56" s="62"/>
      <c r="G56" s="62">
        <f t="shared" si="0"/>
        <v>0</v>
      </c>
      <c r="H56" s="63">
        <f t="shared" si="1"/>
        <v>0</v>
      </c>
      <c r="I56" s="203"/>
      <c r="J56" s="203"/>
      <c r="K56" s="203"/>
      <c r="L56" s="203"/>
      <c r="M56" s="58"/>
      <c r="N56" s="58"/>
      <c r="O56" s="59"/>
      <c r="P56" s="56"/>
      <c r="Q56" s="60"/>
      <c r="R56" s="61">
        <f t="shared" si="14"/>
        <v>0</v>
      </c>
      <c r="S56" s="62">
        <f t="shared" si="2"/>
        <v>0</v>
      </c>
      <c r="T56" s="63">
        <f t="shared" si="3"/>
        <v>0</v>
      </c>
      <c r="U56" s="64"/>
      <c r="V56" s="65"/>
      <c r="W56" s="66"/>
      <c r="X56" s="67"/>
      <c r="Y56" s="68"/>
      <c r="Z56" s="68"/>
      <c r="AA56" s="62">
        <f t="shared" si="4"/>
        <v>0</v>
      </c>
      <c r="AB56" s="63">
        <f t="shared" si="5"/>
        <v>0</v>
      </c>
      <c r="AC56" s="69"/>
      <c r="AD56" s="70"/>
      <c r="AE56" s="70"/>
      <c r="AF56" s="62">
        <f t="shared" si="6"/>
        <v>0</v>
      </c>
      <c r="AG56" s="63">
        <f t="shared" si="7"/>
        <v>0</v>
      </c>
      <c r="AH56" s="89"/>
      <c r="AI56" s="66"/>
      <c r="AJ56" s="66"/>
      <c r="AK56" s="62">
        <f t="shared" si="8"/>
        <v>0</v>
      </c>
      <c r="AL56" s="72">
        <f t="shared" si="9"/>
        <v>0</v>
      </c>
      <c r="AM56" s="73">
        <f t="shared" si="15"/>
        <v>0</v>
      </c>
      <c r="AN56" s="74">
        <f t="shared" si="18"/>
        <v>0</v>
      </c>
      <c r="AO56" s="74">
        <f t="shared" si="18"/>
        <v>0</v>
      </c>
      <c r="AP56" s="75" t="e">
        <f t="shared" si="16"/>
        <v>#DIV/0!</v>
      </c>
      <c r="AQ56" s="76">
        <f t="shared" si="11"/>
        <v>0</v>
      </c>
      <c r="AR56" s="90">
        <f t="shared" si="12"/>
        <v>0</v>
      </c>
    </row>
    <row r="57" spans="1:44" x14ac:dyDescent="0.25">
      <c r="A57" t="str">
        <f t="shared" si="13"/>
        <v>46200E</v>
      </c>
      <c r="B57" s="51">
        <f t="shared" si="17"/>
        <v>46200</v>
      </c>
      <c r="C57" s="52" t="s">
        <v>88</v>
      </c>
      <c r="D57" s="79"/>
      <c r="E57" s="62"/>
      <c r="F57" s="62"/>
      <c r="G57" s="62">
        <f t="shared" si="0"/>
        <v>0</v>
      </c>
      <c r="H57" s="63">
        <f t="shared" si="1"/>
        <v>0</v>
      </c>
      <c r="I57" s="203"/>
      <c r="J57" s="203"/>
      <c r="K57" s="203"/>
      <c r="L57" s="203"/>
      <c r="M57" s="58"/>
      <c r="N57" s="58"/>
      <c r="O57" s="59"/>
      <c r="P57" s="56"/>
      <c r="Q57" s="60"/>
      <c r="R57" s="61">
        <f t="shared" si="14"/>
        <v>0</v>
      </c>
      <c r="S57" s="62">
        <f t="shared" si="2"/>
        <v>0</v>
      </c>
      <c r="T57" s="63">
        <f t="shared" si="3"/>
        <v>0</v>
      </c>
      <c r="U57" s="64"/>
      <c r="V57" s="65"/>
      <c r="W57" s="66"/>
      <c r="X57" s="67"/>
      <c r="Y57" s="68"/>
      <c r="Z57" s="68"/>
      <c r="AA57" s="62">
        <f t="shared" si="4"/>
        <v>0</v>
      </c>
      <c r="AB57" s="63">
        <f t="shared" si="5"/>
        <v>0</v>
      </c>
      <c r="AC57" s="69"/>
      <c r="AD57" s="70"/>
      <c r="AE57" s="70"/>
      <c r="AF57" s="62">
        <f t="shared" si="6"/>
        <v>0</v>
      </c>
      <c r="AG57" s="63">
        <f t="shared" si="7"/>
        <v>0</v>
      </c>
      <c r="AH57" s="89"/>
      <c r="AI57" s="66"/>
      <c r="AJ57" s="66"/>
      <c r="AK57" s="62">
        <f t="shared" si="8"/>
        <v>0</v>
      </c>
      <c r="AL57" s="72">
        <f t="shared" si="9"/>
        <v>0</v>
      </c>
      <c r="AM57" s="73">
        <f t="shared" si="15"/>
        <v>0</v>
      </c>
      <c r="AN57" s="74">
        <f t="shared" si="18"/>
        <v>0</v>
      </c>
      <c r="AO57" s="74">
        <f t="shared" si="18"/>
        <v>0</v>
      </c>
      <c r="AP57" s="75" t="e">
        <f t="shared" si="16"/>
        <v>#DIV/0!</v>
      </c>
      <c r="AQ57" s="76">
        <f t="shared" si="11"/>
        <v>0</v>
      </c>
      <c r="AR57" s="90">
        <f t="shared" si="12"/>
        <v>0</v>
      </c>
    </row>
    <row r="58" spans="1:44" x14ac:dyDescent="0.25">
      <c r="A58" t="str">
        <f t="shared" si="13"/>
        <v>46201M</v>
      </c>
      <c r="B58" s="51">
        <f t="shared" si="17"/>
        <v>46201</v>
      </c>
      <c r="C58" s="52" t="s">
        <v>87</v>
      </c>
      <c r="D58" s="79"/>
      <c r="E58" s="62"/>
      <c r="F58" s="62"/>
      <c r="G58" s="62">
        <f t="shared" si="0"/>
        <v>0</v>
      </c>
      <c r="H58" s="63">
        <f t="shared" si="1"/>
        <v>0</v>
      </c>
      <c r="I58" s="203"/>
      <c r="J58" s="203"/>
      <c r="K58" s="203"/>
      <c r="L58" s="203"/>
      <c r="M58" s="58"/>
      <c r="N58" s="58"/>
      <c r="O58" s="59"/>
      <c r="P58" s="56"/>
      <c r="Q58" s="60"/>
      <c r="R58" s="61">
        <f t="shared" si="14"/>
        <v>0</v>
      </c>
      <c r="S58" s="62">
        <f t="shared" si="2"/>
        <v>0</v>
      </c>
      <c r="T58" s="63">
        <f t="shared" si="3"/>
        <v>0</v>
      </c>
      <c r="U58" s="64"/>
      <c r="V58" s="65"/>
      <c r="W58" s="66"/>
      <c r="X58" s="67"/>
      <c r="Y58" s="68"/>
      <c r="Z58" s="68"/>
      <c r="AA58" s="62">
        <f t="shared" si="4"/>
        <v>0</v>
      </c>
      <c r="AB58" s="63">
        <f t="shared" si="5"/>
        <v>0</v>
      </c>
      <c r="AC58" s="69"/>
      <c r="AD58" s="70"/>
      <c r="AE58" s="70"/>
      <c r="AF58" s="62">
        <f t="shared" si="6"/>
        <v>0</v>
      </c>
      <c r="AG58" s="63">
        <f t="shared" si="7"/>
        <v>0</v>
      </c>
      <c r="AH58" s="89"/>
      <c r="AI58" s="66"/>
      <c r="AJ58" s="66"/>
      <c r="AK58" s="62">
        <f t="shared" si="8"/>
        <v>0</v>
      </c>
      <c r="AL58" s="72">
        <f t="shared" si="9"/>
        <v>0</v>
      </c>
      <c r="AM58" s="73">
        <f t="shared" si="15"/>
        <v>0</v>
      </c>
      <c r="AN58" s="74">
        <f t="shared" si="18"/>
        <v>0</v>
      </c>
      <c r="AO58" s="74">
        <f t="shared" si="18"/>
        <v>0</v>
      </c>
      <c r="AP58" s="75" t="e">
        <f t="shared" si="16"/>
        <v>#DIV/0!</v>
      </c>
      <c r="AQ58" s="76">
        <f t="shared" si="11"/>
        <v>0</v>
      </c>
      <c r="AR58" s="77">
        <f t="shared" si="12"/>
        <v>0</v>
      </c>
    </row>
    <row r="59" spans="1:44" x14ac:dyDescent="0.25">
      <c r="A59" t="str">
        <f t="shared" si="13"/>
        <v>46201E</v>
      </c>
      <c r="B59" s="51">
        <f t="shared" si="17"/>
        <v>46201</v>
      </c>
      <c r="C59" s="52" t="s">
        <v>88</v>
      </c>
      <c r="D59" s="79"/>
      <c r="E59" s="62"/>
      <c r="F59" s="62"/>
      <c r="G59" s="62">
        <f t="shared" si="0"/>
        <v>0</v>
      </c>
      <c r="H59" s="63">
        <f t="shared" si="1"/>
        <v>0</v>
      </c>
      <c r="I59" s="203"/>
      <c r="J59" s="203"/>
      <c r="K59" s="203"/>
      <c r="L59" s="203"/>
      <c r="M59" s="58"/>
      <c r="N59" s="58"/>
      <c r="O59" s="59"/>
      <c r="P59" s="56"/>
      <c r="Q59" s="60"/>
      <c r="R59" s="61">
        <f t="shared" si="14"/>
        <v>0</v>
      </c>
      <c r="S59" s="62">
        <f t="shared" si="2"/>
        <v>0</v>
      </c>
      <c r="T59" s="63">
        <f t="shared" si="3"/>
        <v>0</v>
      </c>
      <c r="U59" s="64"/>
      <c r="V59" s="65"/>
      <c r="W59" s="66"/>
      <c r="X59" s="67"/>
      <c r="Y59" s="68"/>
      <c r="Z59" s="68"/>
      <c r="AA59" s="62">
        <f t="shared" si="4"/>
        <v>0</v>
      </c>
      <c r="AB59" s="63">
        <f t="shared" si="5"/>
        <v>0</v>
      </c>
      <c r="AC59" s="69"/>
      <c r="AD59" s="70"/>
      <c r="AE59" s="70"/>
      <c r="AF59" s="62">
        <f t="shared" si="6"/>
        <v>0</v>
      </c>
      <c r="AG59" s="63">
        <f t="shared" si="7"/>
        <v>0</v>
      </c>
      <c r="AH59" s="89"/>
      <c r="AI59" s="66"/>
      <c r="AJ59" s="66"/>
      <c r="AK59" s="62">
        <f t="shared" si="8"/>
        <v>0</v>
      </c>
      <c r="AL59" s="72">
        <f t="shared" si="9"/>
        <v>0</v>
      </c>
      <c r="AM59" s="73">
        <f t="shared" si="15"/>
        <v>0</v>
      </c>
      <c r="AN59" s="74">
        <f t="shared" si="18"/>
        <v>0</v>
      </c>
      <c r="AO59" s="74">
        <f t="shared" si="18"/>
        <v>0</v>
      </c>
      <c r="AP59" s="75" t="e">
        <f t="shared" si="16"/>
        <v>#DIV/0!</v>
      </c>
      <c r="AQ59" s="76">
        <f t="shared" si="11"/>
        <v>0</v>
      </c>
      <c r="AR59" s="77">
        <f t="shared" si="12"/>
        <v>0</v>
      </c>
    </row>
    <row r="60" spans="1:44" x14ac:dyDescent="0.25">
      <c r="A60" t="str">
        <f t="shared" si="13"/>
        <v>46202M</v>
      </c>
      <c r="B60" s="51">
        <f t="shared" si="17"/>
        <v>46202</v>
      </c>
      <c r="C60" s="52" t="s">
        <v>87</v>
      </c>
      <c r="D60" s="79"/>
      <c r="E60" s="62"/>
      <c r="F60" s="62"/>
      <c r="G60" s="62">
        <f t="shared" si="0"/>
        <v>0</v>
      </c>
      <c r="H60" s="63">
        <f t="shared" si="1"/>
        <v>0</v>
      </c>
      <c r="I60" s="203"/>
      <c r="J60" s="203"/>
      <c r="K60" s="203"/>
      <c r="L60" s="203"/>
      <c r="M60" s="58"/>
      <c r="N60" s="58"/>
      <c r="O60" s="59"/>
      <c r="P60" s="56"/>
      <c r="Q60" s="60"/>
      <c r="R60" s="61">
        <f t="shared" si="14"/>
        <v>0</v>
      </c>
      <c r="S60" s="62">
        <f t="shared" si="2"/>
        <v>0</v>
      </c>
      <c r="T60" s="63">
        <f t="shared" si="3"/>
        <v>0</v>
      </c>
      <c r="U60" s="64"/>
      <c r="V60" s="65"/>
      <c r="W60" s="66"/>
      <c r="X60" s="67"/>
      <c r="Y60" s="68"/>
      <c r="Z60" s="68"/>
      <c r="AA60" s="62">
        <f t="shared" si="4"/>
        <v>0</v>
      </c>
      <c r="AB60" s="63">
        <f t="shared" si="5"/>
        <v>0</v>
      </c>
      <c r="AC60" s="69"/>
      <c r="AD60" s="70"/>
      <c r="AE60" s="70"/>
      <c r="AF60" s="62">
        <f t="shared" si="6"/>
        <v>0</v>
      </c>
      <c r="AG60" s="63">
        <f t="shared" si="7"/>
        <v>0</v>
      </c>
      <c r="AH60" s="89"/>
      <c r="AI60" s="66"/>
      <c r="AJ60" s="66"/>
      <c r="AK60" s="62">
        <f t="shared" si="8"/>
        <v>0</v>
      </c>
      <c r="AL60" s="72">
        <f t="shared" si="9"/>
        <v>0</v>
      </c>
      <c r="AM60" s="73">
        <f t="shared" si="15"/>
        <v>0</v>
      </c>
      <c r="AN60" s="74">
        <f t="shared" si="18"/>
        <v>0</v>
      </c>
      <c r="AO60" s="74">
        <f t="shared" si="18"/>
        <v>0</v>
      </c>
      <c r="AP60" s="75" t="e">
        <f t="shared" si="16"/>
        <v>#DIV/0!</v>
      </c>
      <c r="AQ60" s="76">
        <f t="shared" si="11"/>
        <v>0</v>
      </c>
      <c r="AR60" s="77">
        <f t="shared" si="12"/>
        <v>0</v>
      </c>
    </row>
    <row r="61" spans="1:44" x14ac:dyDescent="0.25">
      <c r="A61" t="str">
        <f t="shared" si="13"/>
        <v>46202E</v>
      </c>
      <c r="B61" s="51">
        <f t="shared" si="17"/>
        <v>46202</v>
      </c>
      <c r="C61" s="52" t="s">
        <v>88</v>
      </c>
      <c r="D61" s="79"/>
      <c r="E61" s="62"/>
      <c r="F61" s="62"/>
      <c r="G61" s="62">
        <f t="shared" si="0"/>
        <v>0</v>
      </c>
      <c r="H61" s="63">
        <f t="shared" si="1"/>
        <v>0</v>
      </c>
      <c r="I61" s="203"/>
      <c r="J61" s="203"/>
      <c r="K61" s="203"/>
      <c r="L61" s="203"/>
      <c r="M61" s="58"/>
      <c r="N61" s="58"/>
      <c r="O61" s="59"/>
      <c r="P61" s="56"/>
      <c r="Q61" s="60"/>
      <c r="R61" s="61">
        <f t="shared" si="14"/>
        <v>0</v>
      </c>
      <c r="S61" s="62">
        <f t="shared" si="2"/>
        <v>0</v>
      </c>
      <c r="T61" s="63">
        <f t="shared" si="3"/>
        <v>0</v>
      </c>
      <c r="U61" s="64"/>
      <c r="V61" s="65"/>
      <c r="W61" s="66"/>
      <c r="X61" s="67"/>
      <c r="Y61" s="68"/>
      <c r="Z61" s="68"/>
      <c r="AA61" s="62">
        <f t="shared" si="4"/>
        <v>0</v>
      </c>
      <c r="AB61" s="63">
        <f t="shared" si="5"/>
        <v>0</v>
      </c>
      <c r="AC61" s="69"/>
      <c r="AD61" s="70"/>
      <c r="AE61" s="70"/>
      <c r="AF61" s="62">
        <f t="shared" si="6"/>
        <v>0</v>
      </c>
      <c r="AG61" s="63">
        <f t="shared" si="7"/>
        <v>0</v>
      </c>
      <c r="AH61" s="89"/>
      <c r="AI61" s="66"/>
      <c r="AJ61" s="66"/>
      <c r="AK61" s="62">
        <f t="shared" si="8"/>
        <v>0</v>
      </c>
      <c r="AL61" s="72">
        <f t="shared" si="9"/>
        <v>0</v>
      </c>
      <c r="AM61" s="73">
        <f t="shared" si="15"/>
        <v>0</v>
      </c>
      <c r="AN61" s="74">
        <f t="shared" si="18"/>
        <v>0</v>
      </c>
      <c r="AO61" s="74">
        <f t="shared" si="18"/>
        <v>0</v>
      </c>
      <c r="AP61" s="75" t="e">
        <f t="shared" si="16"/>
        <v>#DIV/0!</v>
      </c>
      <c r="AQ61" s="76">
        <f t="shared" si="11"/>
        <v>0</v>
      </c>
      <c r="AR61" s="77">
        <f t="shared" si="12"/>
        <v>0</v>
      </c>
    </row>
    <row r="62" spans="1:44" x14ac:dyDescent="0.25">
      <c r="A62" t="str">
        <f t="shared" si="13"/>
        <v>46203M</v>
      </c>
      <c r="B62" s="51">
        <f t="shared" si="17"/>
        <v>46203</v>
      </c>
      <c r="C62" s="52" t="s">
        <v>87</v>
      </c>
      <c r="D62" s="79"/>
      <c r="E62" s="62"/>
      <c r="F62" s="62"/>
      <c r="G62" s="62">
        <f t="shared" si="0"/>
        <v>0</v>
      </c>
      <c r="H62" s="63">
        <f t="shared" si="1"/>
        <v>0</v>
      </c>
      <c r="I62" s="203"/>
      <c r="J62" s="203"/>
      <c r="K62" s="203"/>
      <c r="L62" s="203"/>
      <c r="M62" s="58"/>
      <c r="N62" s="58"/>
      <c r="O62" s="59"/>
      <c r="P62" s="56"/>
      <c r="Q62" s="60"/>
      <c r="R62" s="61">
        <f t="shared" si="14"/>
        <v>0</v>
      </c>
      <c r="S62" s="62">
        <f t="shared" si="2"/>
        <v>0</v>
      </c>
      <c r="T62" s="63">
        <f t="shared" si="3"/>
        <v>0</v>
      </c>
      <c r="U62" s="64"/>
      <c r="V62" s="65"/>
      <c r="W62" s="66"/>
      <c r="X62" s="67"/>
      <c r="Y62" s="68"/>
      <c r="Z62" s="68"/>
      <c r="AA62" s="62">
        <f t="shared" si="4"/>
        <v>0</v>
      </c>
      <c r="AB62" s="63">
        <f t="shared" si="5"/>
        <v>0</v>
      </c>
      <c r="AC62" s="69"/>
      <c r="AD62" s="70"/>
      <c r="AE62" s="70"/>
      <c r="AF62" s="62">
        <f t="shared" si="6"/>
        <v>0</v>
      </c>
      <c r="AG62" s="63">
        <f t="shared" si="7"/>
        <v>0</v>
      </c>
      <c r="AH62" s="89"/>
      <c r="AI62" s="66"/>
      <c r="AJ62" s="66"/>
      <c r="AK62" s="62">
        <f t="shared" si="8"/>
        <v>0</v>
      </c>
      <c r="AL62" s="72">
        <f t="shared" si="9"/>
        <v>0</v>
      </c>
      <c r="AM62" s="73">
        <f t="shared" si="15"/>
        <v>0</v>
      </c>
      <c r="AN62" s="74">
        <f t="shared" si="18"/>
        <v>0</v>
      </c>
      <c r="AO62" s="74">
        <f t="shared" si="18"/>
        <v>0</v>
      </c>
      <c r="AP62" s="75" t="e">
        <f t="shared" si="16"/>
        <v>#DIV/0!</v>
      </c>
      <c r="AQ62" s="76">
        <f t="shared" si="11"/>
        <v>0</v>
      </c>
      <c r="AR62" s="77">
        <f t="shared" si="12"/>
        <v>0</v>
      </c>
    </row>
    <row r="63" spans="1:44" x14ac:dyDescent="0.25">
      <c r="A63" t="str">
        <f t="shared" si="13"/>
        <v>46203E</v>
      </c>
      <c r="B63" s="51">
        <f t="shared" si="17"/>
        <v>46203</v>
      </c>
      <c r="C63" s="52" t="s">
        <v>88</v>
      </c>
      <c r="D63" s="79"/>
      <c r="E63" s="62"/>
      <c r="F63" s="62"/>
      <c r="G63" s="62">
        <f t="shared" si="0"/>
        <v>0</v>
      </c>
      <c r="H63" s="63">
        <f t="shared" si="1"/>
        <v>0</v>
      </c>
      <c r="I63" s="203"/>
      <c r="J63" s="203"/>
      <c r="K63" s="203"/>
      <c r="L63" s="203"/>
      <c r="M63" s="58"/>
      <c r="N63" s="58"/>
      <c r="O63" s="59"/>
      <c r="P63" s="56"/>
      <c r="Q63" s="60"/>
      <c r="R63" s="61">
        <f t="shared" si="14"/>
        <v>0</v>
      </c>
      <c r="S63" s="62">
        <f t="shared" si="2"/>
        <v>0</v>
      </c>
      <c r="T63" s="63">
        <f t="shared" si="3"/>
        <v>0</v>
      </c>
      <c r="U63" s="64"/>
      <c r="V63" s="65"/>
      <c r="W63" s="66"/>
      <c r="X63" s="67"/>
      <c r="Y63" s="68"/>
      <c r="Z63" s="68"/>
      <c r="AA63" s="62">
        <f t="shared" si="4"/>
        <v>0</v>
      </c>
      <c r="AB63" s="63">
        <f t="shared" si="5"/>
        <v>0</v>
      </c>
      <c r="AC63" s="69"/>
      <c r="AD63" s="70"/>
      <c r="AE63" s="70"/>
      <c r="AF63" s="62">
        <f t="shared" si="6"/>
        <v>0</v>
      </c>
      <c r="AG63" s="63">
        <f t="shared" si="7"/>
        <v>0</v>
      </c>
      <c r="AH63" s="89"/>
      <c r="AI63" s="66"/>
      <c r="AJ63" s="66"/>
      <c r="AK63" s="62">
        <f t="shared" si="8"/>
        <v>0</v>
      </c>
      <c r="AL63" s="72">
        <f t="shared" si="9"/>
        <v>0</v>
      </c>
      <c r="AM63" s="73">
        <f t="shared" si="15"/>
        <v>0</v>
      </c>
      <c r="AN63" s="74">
        <f t="shared" si="18"/>
        <v>0</v>
      </c>
      <c r="AO63" s="74">
        <f t="shared" si="18"/>
        <v>0</v>
      </c>
      <c r="AP63" s="75" t="e">
        <f t="shared" si="16"/>
        <v>#DIV/0!</v>
      </c>
      <c r="AQ63" s="76">
        <f t="shared" si="11"/>
        <v>0</v>
      </c>
      <c r="AR63" s="77">
        <f t="shared" si="12"/>
        <v>0</v>
      </c>
    </row>
    <row r="64" spans="1:44" x14ac:dyDescent="0.25">
      <c r="A64" t="str">
        <f t="shared" si="13"/>
        <v>46204M</v>
      </c>
      <c r="B64" s="51">
        <f t="shared" si="17"/>
        <v>46204</v>
      </c>
      <c r="C64" s="52" t="s">
        <v>87</v>
      </c>
      <c r="D64" s="79"/>
      <c r="E64" s="62"/>
      <c r="F64" s="62"/>
      <c r="G64" s="62">
        <f t="shared" si="0"/>
        <v>0</v>
      </c>
      <c r="H64" s="63">
        <f t="shared" si="1"/>
        <v>0</v>
      </c>
      <c r="I64" s="203"/>
      <c r="J64" s="203"/>
      <c r="K64" s="203"/>
      <c r="L64" s="203"/>
      <c r="M64" s="58"/>
      <c r="N64" s="58"/>
      <c r="O64" s="59"/>
      <c r="P64" s="56"/>
      <c r="Q64" s="60"/>
      <c r="R64" s="61">
        <f t="shared" si="14"/>
        <v>0</v>
      </c>
      <c r="S64" s="62">
        <f t="shared" si="2"/>
        <v>0</v>
      </c>
      <c r="T64" s="63">
        <f t="shared" si="3"/>
        <v>0</v>
      </c>
      <c r="U64" s="64"/>
      <c r="V64" s="65"/>
      <c r="W64" s="66"/>
      <c r="X64" s="68"/>
      <c r="Y64" s="68"/>
      <c r="Z64" s="68"/>
      <c r="AA64" s="62">
        <f t="shared" si="4"/>
        <v>0</v>
      </c>
      <c r="AB64" s="63">
        <f t="shared" si="5"/>
        <v>0</v>
      </c>
      <c r="AC64" s="69"/>
      <c r="AD64" s="70"/>
      <c r="AE64" s="70"/>
      <c r="AF64" s="62">
        <f t="shared" si="6"/>
        <v>0</v>
      </c>
      <c r="AG64" s="63">
        <f t="shared" si="7"/>
        <v>0</v>
      </c>
      <c r="AH64" s="71"/>
      <c r="AI64" s="71"/>
      <c r="AJ64" s="71"/>
      <c r="AK64" s="62">
        <f t="shared" si="8"/>
        <v>0</v>
      </c>
      <c r="AL64" s="72">
        <f t="shared" si="9"/>
        <v>0</v>
      </c>
      <c r="AM64" s="73">
        <f t="shared" si="15"/>
        <v>0</v>
      </c>
      <c r="AN64" s="74">
        <f t="shared" si="18"/>
        <v>0</v>
      </c>
      <c r="AO64" s="74">
        <f t="shared" si="18"/>
        <v>0</v>
      </c>
      <c r="AP64" s="75" t="e">
        <f t="shared" si="16"/>
        <v>#DIV/0!</v>
      </c>
      <c r="AQ64" s="76">
        <f t="shared" si="11"/>
        <v>0</v>
      </c>
      <c r="AR64" s="77">
        <f t="shared" si="12"/>
        <v>0</v>
      </c>
    </row>
    <row r="65" spans="1:44" x14ac:dyDescent="0.25">
      <c r="A65" t="str">
        <f t="shared" si="13"/>
        <v>46204E</v>
      </c>
      <c r="B65" s="51">
        <f t="shared" si="17"/>
        <v>46204</v>
      </c>
      <c r="C65" s="52" t="s">
        <v>88</v>
      </c>
      <c r="D65" s="79"/>
      <c r="E65" s="62"/>
      <c r="F65" s="62"/>
      <c r="G65" s="62">
        <f t="shared" si="0"/>
        <v>0</v>
      </c>
      <c r="H65" s="63">
        <f t="shared" si="1"/>
        <v>0</v>
      </c>
      <c r="I65" s="203"/>
      <c r="J65" s="203"/>
      <c r="K65" s="203"/>
      <c r="L65" s="203"/>
      <c r="M65" s="58"/>
      <c r="N65" s="58"/>
      <c r="O65" s="59"/>
      <c r="P65" s="56"/>
      <c r="Q65" s="60"/>
      <c r="R65" s="61">
        <f t="shared" si="14"/>
        <v>0</v>
      </c>
      <c r="S65" s="62">
        <f t="shared" si="2"/>
        <v>0</v>
      </c>
      <c r="T65" s="63">
        <f t="shared" si="3"/>
        <v>0</v>
      </c>
      <c r="U65" s="64"/>
      <c r="V65" s="65"/>
      <c r="W65" s="66"/>
      <c r="X65" s="68"/>
      <c r="Y65" s="68"/>
      <c r="Z65" s="68"/>
      <c r="AA65" s="62">
        <f t="shared" si="4"/>
        <v>0</v>
      </c>
      <c r="AB65" s="63">
        <f t="shared" si="5"/>
        <v>0</v>
      </c>
      <c r="AC65" s="69"/>
      <c r="AD65" s="70"/>
      <c r="AE65" s="70"/>
      <c r="AF65" s="62">
        <f t="shared" si="6"/>
        <v>0</v>
      </c>
      <c r="AG65" s="63">
        <f t="shared" si="7"/>
        <v>0</v>
      </c>
      <c r="AH65" s="71"/>
      <c r="AI65" s="71"/>
      <c r="AJ65" s="71"/>
      <c r="AK65" s="62">
        <f t="shared" si="8"/>
        <v>0</v>
      </c>
      <c r="AL65" s="72">
        <f t="shared" si="9"/>
        <v>0</v>
      </c>
      <c r="AM65" s="73">
        <f t="shared" si="15"/>
        <v>0</v>
      </c>
      <c r="AN65" s="74">
        <f t="shared" si="18"/>
        <v>0</v>
      </c>
      <c r="AO65" s="74">
        <f t="shared" si="18"/>
        <v>0</v>
      </c>
      <c r="AP65" s="75" t="e">
        <f t="shared" si="16"/>
        <v>#DIV/0!</v>
      </c>
      <c r="AQ65" s="76">
        <f t="shared" si="11"/>
        <v>0</v>
      </c>
      <c r="AR65" s="77">
        <f t="shared" si="12"/>
        <v>0</v>
      </c>
    </row>
    <row r="66" spans="1:44" x14ac:dyDescent="0.25">
      <c r="J66">
        <f>SUM(J4:J65)</f>
        <v>14979.805</v>
      </c>
      <c r="X66" s="77"/>
      <c r="AH66" s="77"/>
      <c r="AI66" s="77"/>
      <c r="AJ66" s="77"/>
      <c r="AM66" s="83">
        <f>-SUM(AM4:AM65)</f>
        <v>54.195000000000164</v>
      </c>
      <c r="AN66" s="83">
        <f t="shared" ref="AN66:AO66" si="19">-SUM(AN4:AN65)</f>
        <v>5.96413930000001</v>
      </c>
      <c r="AO66" s="83">
        <f t="shared" si="19"/>
        <v>-22.406393500000199</v>
      </c>
      <c r="AP66" s="83" t="e">
        <f>-SUM(AP4:AP65)</f>
        <v>#DIV/0!</v>
      </c>
      <c r="AQ66" s="127">
        <f>-SUM(AQ4:AQ65)</f>
        <v>-4028.2742975603733</v>
      </c>
    </row>
    <row r="67" spans="1:44" x14ac:dyDescent="0.25">
      <c r="X67" s="77"/>
      <c r="AH67" s="86"/>
      <c r="AI67" s="86"/>
      <c r="AJ67" s="86"/>
    </row>
    <row r="68" spans="1:44" x14ac:dyDescent="0.25">
      <c r="AH68" s="77"/>
      <c r="AI68" s="77"/>
      <c r="AJ68" s="77"/>
    </row>
    <row r="69" spans="1:44" x14ac:dyDescent="0.25">
      <c r="X69" s="77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94" priority="1" operator="lessThan">
      <formula>0.1</formula>
    </cfRule>
    <cfRule type="cellIs" dxfId="93" priority="2" operator="greaterThan">
      <formula>0.1</formula>
    </cfRule>
  </conditionalFormatting>
  <conditionalFormatting sqref="AP1:AQ1">
    <cfRule type="cellIs" dxfId="92" priority="5" operator="lessThan">
      <formula>1</formula>
    </cfRule>
  </conditionalFormatting>
  <conditionalFormatting sqref="AQ4:AQ65">
    <cfRule type="cellIs" dxfId="91" priority="3" operator="lessThan">
      <formula>0</formula>
    </cfRule>
    <cfRule type="cellIs" dxfId="90" priority="4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V71"/>
  <sheetViews>
    <sheetView zoomScale="80" zoomScaleNormal="80" workbookViewId="0">
      <selection activeCell="V23" sqref="V23"/>
    </sheetView>
  </sheetViews>
  <sheetFormatPr defaultRowHeight="15" x14ac:dyDescent="0.25"/>
  <cols>
    <col min="1" max="1" width="4" customWidth="1"/>
    <col min="2" max="2" width="10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10" width="8.140625" bestFit="1" customWidth="1"/>
    <col min="11" max="12" width="5.85546875" bestFit="1" customWidth="1"/>
    <col min="13" max="13" width="6" bestFit="1" customWidth="1"/>
    <col min="14" max="14" width="9.28515625" customWidth="1"/>
    <col min="15" max="15" width="7" bestFit="1" customWidth="1"/>
    <col min="16" max="17" width="5.85546875" bestFit="1" customWidth="1"/>
    <col min="18" max="18" width="8.140625" bestFit="1" customWidth="1"/>
    <col min="19" max="19" width="7.28515625" bestFit="1" customWidth="1"/>
    <col min="20" max="20" width="7.42578125" customWidth="1"/>
    <col min="21" max="21" width="7.85546875" bestFit="1" customWidth="1"/>
    <col min="22" max="22" width="7.7109375" customWidth="1"/>
    <col min="23" max="23" width="10.28515625" customWidth="1"/>
    <col min="24" max="24" width="7.7109375" customWidth="1"/>
    <col min="25" max="25" width="5.85546875" bestFit="1" customWidth="1"/>
    <col min="26" max="26" width="5.85546875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7.28515625" bestFit="1" customWidth="1"/>
    <col min="35" max="36" width="5.85546875" bestFit="1" customWidth="1"/>
    <col min="37" max="37" width="7.28515625" bestFit="1" customWidth="1"/>
    <col min="38" max="38" width="7.42578125" bestFit="1" customWidth="1"/>
    <col min="39" max="39" width="8.85546875" bestFit="1" customWidth="1"/>
    <col min="40" max="40" width="7.28515625" bestFit="1" customWidth="1"/>
    <col min="41" max="41" width="7.85546875" bestFit="1" customWidth="1"/>
    <col min="42" max="42" width="9.85546875" bestFit="1" customWidth="1"/>
    <col min="43" max="43" width="10" bestFit="1" customWidth="1"/>
    <col min="44" max="44" width="4.140625" bestFit="1" customWidth="1"/>
    <col min="45" max="49" width="8.7109375" bestFit="1" customWidth="1"/>
  </cols>
  <sheetData>
    <row r="1" spans="1:44" ht="15.75" thickBot="1" x14ac:dyDescent="0.3">
      <c r="B1" s="43" t="s">
        <v>114</v>
      </c>
      <c r="C1" s="44"/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59" t="s">
        <v>64</v>
      </c>
      <c r="C2" s="261" t="s">
        <v>65</v>
      </c>
      <c r="D2" s="263" t="s">
        <v>66</v>
      </c>
      <c r="E2" s="263"/>
      <c r="F2" s="263"/>
      <c r="G2" s="263"/>
      <c r="H2" s="264"/>
      <c r="I2" s="255" t="s">
        <v>67</v>
      </c>
      <c r="J2" s="256"/>
      <c r="K2" s="256"/>
      <c r="L2" s="257"/>
      <c r="M2" s="255" t="s">
        <v>68</v>
      </c>
      <c r="N2" s="265"/>
      <c r="O2" s="256"/>
      <c r="P2" s="256"/>
      <c r="Q2" s="257"/>
      <c r="R2" s="265" t="s">
        <v>69</v>
      </c>
      <c r="S2" s="256"/>
      <c r="T2" s="257"/>
      <c r="U2" s="252" t="s">
        <v>70</v>
      </c>
      <c r="V2" s="253"/>
      <c r="W2" s="253"/>
      <c r="X2" s="253"/>
      <c r="Y2" s="253"/>
      <c r="Z2" s="253"/>
      <c r="AA2" s="253"/>
      <c r="AB2" s="254"/>
      <c r="AC2" s="255" t="s">
        <v>71</v>
      </c>
      <c r="AD2" s="256"/>
      <c r="AE2" s="256"/>
      <c r="AF2" s="256"/>
      <c r="AG2" s="257"/>
      <c r="AH2" s="255" t="s">
        <v>72</v>
      </c>
      <c r="AI2" s="256"/>
      <c r="AJ2" s="256"/>
      <c r="AK2" s="256"/>
      <c r="AL2" s="258"/>
      <c r="AM2" s="252" t="s">
        <v>73</v>
      </c>
      <c r="AN2" s="253"/>
      <c r="AO2" s="253"/>
      <c r="AP2" s="253"/>
      <c r="AQ2" s="254"/>
    </row>
    <row r="3" spans="1:44" x14ac:dyDescent="0.25">
      <c r="B3" s="260"/>
      <c r="C3" s="26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87">
        <v>10676.4</v>
      </c>
      <c r="E4" s="88">
        <v>4.53</v>
      </c>
      <c r="F4" s="88">
        <v>8.1300000000000008</v>
      </c>
      <c r="G4" s="62">
        <f t="shared" ref="G4:G11" si="0">+D4*E4%</f>
        <v>483.64091999999999</v>
      </c>
      <c r="H4" s="63">
        <f t="shared" ref="H4:H11" si="1">+D4*F4%</f>
        <v>867.99132000000009</v>
      </c>
      <c r="I4" s="203">
        <v>2705.4000000000005</v>
      </c>
      <c r="J4" s="203">
        <v>2786.5620000000008</v>
      </c>
      <c r="K4" s="203">
        <v>4.8653766540992098</v>
      </c>
      <c r="L4" s="203">
        <v>8.1485843128557676</v>
      </c>
      <c r="M4" s="57">
        <v>0</v>
      </c>
      <c r="N4" s="58">
        <v>0</v>
      </c>
      <c r="O4" s="59">
        <v>0</v>
      </c>
      <c r="P4" s="56">
        <v>0</v>
      </c>
      <c r="Q4" s="60">
        <v>0</v>
      </c>
      <c r="R4" s="61">
        <f t="shared" ref="R4:R65" si="2">+J4+O4</f>
        <v>2786.5620000000008</v>
      </c>
      <c r="S4" s="62">
        <f t="shared" ref="S4:S65" si="3">+J4*K4%+O4*P4%</f>
        <v>135.57673700000007</v>
      </c>
      <c r="T4" s="63">
        <f t="shared" ref="T4:T65" si="4">+J4*L4%+O4*Q4%</f>
        <v>227.06535400000001</v>
      </c>
      <c r="U4" s="64" t="s">
        <v>172</v>
      </c>
      <c r="V4" s="65" t="s">
        <v>240</v>
      </c>
      <c r="W4" s="66" t="s">
        <v>191</v>
      </c>
      <c r="X4" s="67">
        <v>6280</v>
      </c>
      <c r="Y4" s="68">
        <v>4.68</v>
      </c>
      <c r="Z4" s="68">
        <v>8.2200000000000006</v>
      </c>
      <c r="AA4" s="62">
        <f t="shared" ref="AA4:AA65" si="5">X4*Y4%</f>
        <v>293.90399999999994</v>
      </c>
      <c r="AB4" s="63">
        <f t="shared" ref="AB4:AB65" si="6">X4*Z4%</f>
        <v>516.21600000000001</v>
      </c>
      <c r="AC4" s="69">
        <v>6260</v>
      </c>
      <c r="AD4" s="70">
        <v>4.5</v>
      </c>
      <c r="AE4" s="70">
        <v>8.18</v>
      </c>
      <c r="AF4" s="62">
        <f t="shared" ref="AF4:AF65" si="7">AC4*AD4%</f>
        <v>281.7</v>
      </c>
      <c r="AG4" s="62">
        <f t="shared" ref="AG4:AG65" si="8">AC4*AE4%</f>
        <v>512.06799999999998</v>
      </c>
      <c r="AH4" s="89">
        <v>7182.9</v>
      </c>
      <c r="AI4" s="66">
        <v>4.5999999999999996</v>
      </c>
      <c r="AJ4" s="66">
        <v>8.1300000000000008</v>
      </c>
      <c r="AK4" s="62">
        <f t="shared" ref="AK4:AK65" si="9">AH4*AI4%</f>
        <v>330.41339999999997</v>
      </c>
      <c r="AL4" s="72">
        <f t="shared" ref="AL4:AL65" si="10">AH4*AJ4%</f>
        <v>583.96977000000004</v>
      </c>
      <c r="AM4" s="73">
        <f t="shared" ref="AM4:AM65" si="11">+D4+R4-AC4-AH4</f>
        <v>20.061999999999898</v>
      </c>
      <c r="AN4" s="74">
        <f t="shared" ref="AN4:AO19" si="12">+G4+S4-AF4-AK4</f>
        <v>7.1042570000000751</v>
      </c>
      <c r="AO4" s="74">
        <f t="shared" si="12"/>
        <v>-0.98109599999986585</v>
      </c>
      <c r="AP4" s="75">
        <f t="shared" ref="AP4:AP65" si="13">(AN4+AO4)/(S4+T4)</f>
        <v>1.6884860174712066E-2</v>
      </c>
      <c r="AQ4" s="76">
        <f t="shared" ref="AQ4:AQ65" si="14">($AP$1*AN4+$AQ$1*AO4)</f>
        <v>2895.5561396300741</v>
      </c>
      <c r="AR4" s="90">
        <f t="shared" ref="AR4:AR65" si="15">(D4+J4+O4)-(X4+AH4)</f>
        <v>6.1999999999898137E-2</v>
      </c>
    </row>
    <row r="5" spans="1:44" x14ac:dyDescent="0.25">
      <c r="A5" t="str">
        <f t="shared" ref="A5:A65" si="16">CONCATENATE(B5,C5)</f>
        <v>46174E</v>
      </c>
      <c r="B5" s="51">
        <f>+B4</f>
        <v>46174</v>
      </c>
      <c r="C5" s="52" t="s">
        <v>88</v>
      </c>
      <c r="D5" s="91">
        <v>7182.9</v>
      </c>
      <c r="E5" s="62">
        <v>4.5999999999999996</v>
      </c>
      <c r="F5" s="62">
        <v>8.1300000000000008</v>
      </c>
      <c r="G5" s="62">
        <f t="shared" si="0"/>
        <v>330.41339999999997</v>
      </c>
      <c r="H5" s="63">
        <f t="shared" si="1"/>
        <v>583.96977000000004</v>
      </c>
      <c r="I5" s="203">
        <v>2113.6000000000004</v>
      </c>
      <c r="J5" s="203">
        <v>2177.0080000000003</v>
      </c>
      <c r="K5" s="203">
        <v>4.3340367146101437</v>
      </c>
      <c r="L5" s="203">
        <v>8.1861799772899335</v>
      </c>
      <c r="M5" s="57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si="2"/>
        <v>2177.0080000000003</v>
      </c>
      <c r="S5" s="62">
        <f t="shared" si="3"/>
        <v>94.352326000000005</v>
      </c>
      <c r="T5" s="63">
        <f t="shared" si="4"/>
        <v>178.21379300000007</v>
      </c>
      <c r="U5" s="64" t="s">
        <v>170</v>
      </c>
      <c r="V5" s="65" t="s">
        <v>241</v>
      </c>
      <c r="W5" s="66" t="s">
        <v>219</v>
      </c>
      <c r="X5" s="67">
        <v>5200</v>
      </c>
      <c r="Y5" s="68">
        <v>4.75</v>
      </c>
      <c r="Z5" s="68">
        <v>8.2899999999999991</v>
      </c>
      <c r="AA5" s="62">
        <f t="shared" si="5"/>
        <v>247</v>
      </c>
      <c r="AB5" s="63">
        <f t="shared" si="6"/>
        <v>431.07999999999993</v>
      </c>
      <c r="AC5" s="69">
        <v>5190</v>
      </c>
      <c r="AD5" s="70">
        <v>4.7</v>
      </c>
      <c r="AE5" s="70">
        <v>8.2200000000000006</v>
      </c>
      <c r="AF5" s="62">
        <f t="shared" si="7"/>
        <v>243.93</v>
      </c>
      <c r="AG5" s="62">
        <f t="shared" si="8"/>
        <v>426.61800000000005</v>
      </c>
      <c r="AH5" s="89">
        <v>4159.8999999999996</v>
      </c>
      <c r="AI5" s="66">
        <v>4.53</v>
      </c>
      <c r="AJ5" s="66">
        <v>8.14</v>
      </c>
      <c r="AK5" s="62">
        <f t="shared" si="9"/>
        <v>188.44346999999999</v>
      </c>
      <c r="AL5" s="72">
        <f t="shared" si="10"/>
        <v>338.61586</v>
      </c>
      <c r="AM5" s="73">
        <f t="shared" si="11"/>
        <v>10.007999999999811</v>
      </c>
      <c r="AN5" s="74">
        <f t="shared" si="12"/>
        <v>-7.6077440000000252</v>
      </c>
      <c r="AO5" s="74">
        <f t="shared" si="12"/>
        <v>-3.0502970000000005</v>
      </c>
      <c r="AP5" s="75">
        <f t="shared" si="13"/>
        <v>-3.9102589269358244E-2</v>
      </c>
      <c r="AQ5" s="76">
        <f t="shared" si="14"/>
        <v>-4328.0649098866788</v>
      </c>
      <c r="AR5" s="90">
        <f t="shared" si="15"/>
        <v>7.9999999998108251E-3</v>
      </c>
    </row>
    <row r="6" spans="1:44" x14ac:dyDescent="0.25">
      <c r="A6" t="str">
        <f t="shared" si="16"/>
        <v>46175M</v>
      </c>
      <c r="B6" s="51">
        <f>+B4+1</f>
        <v>46175</v>
      </c>
      <c r="C6" s="52" t="s">
        <v>87</v>
      </c>
      <c r="D6" s="91">
        <v>4159.8999999999996</v>
      </c>
      <c r="E6" s="62">
        <v>4.53</v>
      </c>
      <c r="F6" s="62">
        <v>8.14</v>
      </c>
      <c r="G6" s="62">
        <f t="shared" si="0"/>
        <v>188.44346999999999</v>
      </c>
      <c r="H6" s="63">
        <f t="shared" si="1"/>
        <v>338.61586</v>
      </c>
      <c r="I6" s="203">
        <v>2517.3000000000006</v>
      </c>
      <c r="J6" s="203">
        <v>2592.8190000000009</v>
      </c>
      <c r="K6" s="203">
        <v>4.7919199141937776</v>
      </c>
      <c r="L6" s="203">
        <v>8.0470106860525128</v>
      </c>
      <c r="M6" s="57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2"/>
        <v>2592.8190000000009</v>
      </c>
      <c r="S6" s="62">
        <f t="shared" si="3"/>
        <v>124.24581000000001</v>
      </c>
      <c r="T6" s="63">
        <f t="shared" si="4"/>
        <v>208.64442199999996</v>
      </c>
      <c r="U6" s="64" t="s">
        <v>167</v>
      </c>
      <c r="V6" s="65" t="s">
        <v>187</v>
      </c>
      <c r="W6" s="66" t="s">
        <v>167</v>
      </c>
      <c r="X6" s="67">
        <v>0</v>
      </c>
      <c r="Y6" s="68">
        <v>0</v>
      </c>
      <c r="Z6" s="68">
        <v>0</v>
      </c>
      <c r="AA6" s="62">
        <f t="shared" si="5"/>
        <v>0</v>
      </c>
      <c r="AB6" s="63">
        <f t="shared" si="6"/>
        <v>0</v>
      </c>
      <c r="AC6" s="69"/>
      <c r="AD6" s="70"/>
      <c r="AE6" s="70"/>
      <c r="AF6" s="62">
        <f t="shared" si="7"/>
        <v>0</v>
      </c>
      <c r="AG6" s="62">
        <f t="shared" si="8"/>
        <v>0</v>
      </c>
      <c r="AH6" s="89">
        <v>6752.7</v>
      </c>
      <c r="AI6" s="66">
        <v>4.62</v>
      </c>
      <c r="AJ6" s="66">
        <v>8.1</v>
      </c>
      <c r="AK6" s="62">
        <f t="shared" si="9"/>
        <v>311.97474</v>
      </c>
      <c r="AL6" s="72">
        <f t="shared" si="10"/>
        <v>546.96870000000001</v>
      </c>
      <c r="AM6" s="73">
        <f t="shared" si="11"/>
        <v>1.9000000001142325E-2</v>
      </c>
      <c r="AN6" s="74">
        <f t="shared" si="12"/>
        <v>0.71453999999999951</v>
      </c>
      <c r="AO6" s="74">
        <f t="shared" si="12"/>
        <v>0.29158199999994849</v>
      </c>
      <c r="AP6" s="75">
        <f t="shared" si="13"/>
        <v>3.0223836666975201E-3</v>
      </c>
      <c r="AQ6" s="76">
        <f t="shared" si="14"/>
        <v>408.02686847998439</v>
      </c>
      <c r="AR6" s="90">
        <f t="shared" si="15"/>
        <v>1.9000000001142325E-2</v>
      </c>
    </row>
    <row r="7" spans="1:44" x14ac:dyDescent="0.25">
      <c r="A7" t="str">
        <f t="shared" si="16"/>
        <v>46175E</v>
      </c>
      <c r="B7" s="51">
        <f>+B5+1</f>
        <v>46175</v>
      </c>
      <c r="C7" s="52" t="s">
        <v>88</v>
      </c>
      <c r="D7" s="91">
        <v>6752.7</v>
      </c>
      <c r="E7" s="62">
        <v>4.62</v>
      </c>
      <c r="F7" s="62">
        <v>8.1</v>
      </c>
      <c r="G7" s="62">
        <f t="shared" si="0"/>
        <v>311.97474</v>
      </c>
      <c r="H7" s="63">
        <f t="shared" si="1"/>
        <v>546.96870000000001</v>
      </c>
      <c r="I7" s="203">
        <v>2645.4</v>
      </c>
      <c r="J7" s="203">
        <v>2724.7620000000002</v>
      </c>
      <c r="K7" s="203">
        <v>4.2898994480985859</v>
      </c>
      <c r="L7" s="203">
        <v>8.1086451954335814</v>
      </c>
      <c r="M7" s="57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2"/>
        <v>2724.7620000000002</v>
      </c>
      <c r="S7" s="62">
        <f t="shared" si="3"/>
        <v>116.88955</v>
      </c>
      <c r="T7" s="63">
        <f t="shared" si="4"/>
        <v>220.94128299999997</v>
      </c>
      <c r="U7" s="64" t="s">
        <v>167</v>
      </c>
      <c r="V7" s="65" t="s">
        <v>187</v>
      </c>
      <c r="W7" s="66">
        <v>0</v>
      </c>
      <c r="X7" s="67">
        <v>0</v>
      </c>
      <c r="Y7" s="68">
        <v>0</v>
      </c>
      <c r="Z7" s="68">
        <v>0</v>
      </c>
      <c r="AA7" s="62">
        <f t="shared" si="5"/>
        <v>0</v>
      </c>
      <c r="AB7" s="63">
        <f t="shared" si="6"/>
        <v>0</v>
      </c>
      <c r="AC7" s="69"/>
      <c r="AD7" s="70"/>
      <c r="AE7" s="70"/>
      <c r="AF7" s="62">
        <f t="shared" si="7"/>
        <v>0</v>
      </c>
      <c r="AG7" s="62">
        <f t="shared" si="8"/>
        <v>0</v>
      </c>
      <c r="AH7" s="89">
        <v>9477.4</v>
      </c>
      <c r="AI7" s="66">
        <v>4.5199999999999996</v>
      </c>
      <c r="AJ7" s="66">
        <v>8.1</v>
      </c>
      <c r="AK7" s="62">
        <f t="shared" si="9"/>
        <v>428.37847999999997</v>
      </c>
      <c r="AL7" s="72">
        <f t="shared" si="10"/>
        <v>767.6694</v>
      </c>
      <c r="AM7" s="73">
        <f t="shared" si="11"/>
        <v>6.1999999999898137E-2</v>
      </c>
      <c r="AN7" s="74">
        <f t="shared" si="12"/>
        <v>0.48581000000001495</v>
      </c>
      <c r="AO7" s="74">
        <f t="shared" si="12"/>
        <v>0.24058300000001509</v>
      </c>
      <c r="AP7" s="75">
        <f t="shared" si="13"/>
        <v>2.1501678622685991E-3</v>
      </c>
      <c r="AQ7" s="76">
        <f t="shared" si="14"/>
        <v>290.08504345334461</v>
      </c>
      <c r="AR7" s="90">
        <f t="shared" si="15"/>
        <v>6.1999999999898137E-2</v>
      </c>
    </row>
    <row r="8" spans="1:44" x14ac:dyDescent="0.25">
      <c r="A8" t="str">
        <f t="shared" si="16"/>
        <v>46176M</v>
      </c>
      <c r="B8" s="51">
        <f>+B6+1</f>
        <v>46176</v>
      </c>
      <c r="C8" s="52" t="s">
        <v>87</v>
      </c>
      <c r="D8" s="91">
        <v>9477.4</v>
      </c>
      <c r="E8" s="62">
        <v>4.5199999999999996</v>
      </c>
      <c r="F8" s="62">
        <v>8.1</v>
      </c>
      <c r="G8" s="62">
        <f t="shared" si="0"/>
        <v>428.37847999999997</v>
      </c>
      <c r="H8" s="63">
        <f t="shared" si="1"/>
        <v>767.6694</v>
      </c>
      <c r="I8" s="203">
        <v>2771.6999999999994</v>
      </c>
      <c r="J8" s="203">
        <v>2854.8509999999992</v>
      </c>
      <c r="K8" s="203">
        <v>4.8263628819857862</v>
      </c>
      <c r="L8" s="203">
        <v>8.1715264999819617</v>
      </c>
      <c r="M8" s="57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2"/>
        <v>2854.8509999999992</v>
      </c>
      <c r="S8" s="62">
        <f t="shared" si="3"/>
        <v>137.78546900000001</v>
      </c>
      <c r="T8" s="63">
        <f t="shared" si="4"/>
        <v>233.28490599999995</v>
      </c>
      <c r="U8" s="64" t="s">
        <v>232</v>
      </c>
      <c r="V8" s="65" t="s">
        <v>242</v>
      </c>
      <c r="W8" s="66" t="s">
        <v>191</v>
      </c>
      <c r="X8" s="67">
        <v>10000</v>
      </c>
      <c r="Y8" s="68">
        <v>4.5</v>
      </c>
      <c r="Z8" s="68">
        <v>8.2799999999999994</v>
      </c>
      <c r="AA8" s="62">
        <f t="shared" si="5"/>
        <v>450</v>
      </c>
      <c r="AB8" s="63">
        <f t="shared" si="6"/>
        <v>828</v>
      </c>
      <c r="AC8" s="69">
        <v>10000</v>
      </c>
      <c r="AD8" s="70">
        <v>4.4497</v>
      </c>
      <c r="AE8" s="70">
        <v>8.2350700000000003</v>
      </c>
      <c r="AF8" s="62">
        <f t="shared" si="7"/>
        <v>444.97</v>
      </c>
      <c r="AG8" s="62">
        <f t="shared" si="8"/>
        <v>823.50699999999995</v>
      </c>
      <c r="AH8" s="89">
        <v>2332.1999999999998</v>
      </c>
      <c r="AI8" s="66">
        <v>4.59</v>
      </c>
      <c r="AJ8" s="66">
        <v>8.1199999999999992</v>
      </c>
      <c r="AK8" s="62">
        <f t="shared" si="9"/>
        <v>107.04797999999998</v>
      </c>
      <c r="AL8" s="72">
        <f t="shared" si="10"/>
        <v>189.37463999999997</v>
      </c>
      <c r="AM8" s="73">
        <f t="shared" si="11"/>
        <v>5.0999999998566636E-2</v>
      </c>
      <c r="AN8" s="74">
        <f t="shared" si="12"/>
        <v>14.145968999999994</v>
      </c>
      <c r="AO8" s="74">
        <f t="shared" si="12"/>
        <v>-11.927333999999945</v>
      </c>
      <c r="AP8" s="75">
        <f t="shared" si="13"/>
        <v>5.9790140886349366E-3</v>
      </c>
      <c r="AQ8" s="76">
        <f t="shared" si="14"/>
        <v>2780.7339398300137</v>
      </c>
      <c r="AR8" s="90">
        <f t="shared" si="15"/>
        <v>5.0999999997657142E-2</v>
      </c>
    </row>
    <row r="9" spans="1:44" x14ac:dyDescent="0.25">
      <c r="A9" t="str">
        <f t="shared" si="16"/>
        <v>46176E</v>
      </c>
      <c r="B9" s="51">
        <f t="shared" ref="B9:B65" si="17">+B7+1</f>
        <v>46176</v>
      </c>
      <c r="C9" s="52" t="s">
        <v>88</v>
      </c>
      <c r="D9" s="91">
        <v>2332.1999999999998</v>
      </c>
      <c r="E9" s="62">
        <v>4.59</v>
      </c>
      <c r="F9" s="62">
        <v>8.1199999999999992</v>
      </c>
      <c r="G9" s="62">
        <f t="shared" si="0"/>
        <v>107.04797999999998</v>
      </c>
      <c r="H9" s="63">
        <f t="shared" si="1"/>
        <v>189.37463999999997</v>
      </c>
      <c r="I9" s="203">
        <v>2345.4</v>
      </c>
      <c r="J9" s="203">
        <v>2415.7620000000002</v>
      </c>
      <c r="K9" s="203">
        <v>4.3344845228958802</v>
      </c>
      <c r="L9" s="203">
        <v>8.0979491771126426</v>
      </c>
      <c r="M9" s="57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2"/>
        <v>2415.7620000000002</v>
      </c>
      <c r="S9" s="62">
        <f t="shared" si="3"/>
        <v>104.71082999999999</v>
      </c>
      <c r="T9" s="63">
        <f t="shared" si="4"/>
        <v>195.62717899999993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5"/>
        <v>0</v>
      </c>
      <c r="AB9" s="63">
        <f t="shared" si="6"/>
        <v>0</v>
      </c>
      <c r="AC9" s="69"/>
      <c r="AD9" s="70"/>
      <c r="AE9" s="70"/>
      <c r="AF9" s="62">
        <f t="shared" si="7"/>
        <v>0</v>
      </c>
      <c r="AG9" s="62">
        <f t="shared" si="8"/>
        <v>0</v>
      </c>
      <c r="AH9" s="89">
        <v>4747.8999999999996</v>
      </c>
      <c r="AI9" s="66">
        <v>4.45</v>
      </c>
      <c r="AJ9" s="66">
        <v>8.1</v>
      </c>
      <c r="AK9" s="62">
        <f t="shared" si="9"/>
        <v>211.28155000000001</v>
      </c>
      <c r="AL9" s="72">
        <f t="shared" si="10"/>
        <v>384.57990000000001</v>
      </c>
      <c r="AM9" s="73">
        <f t="shared" si="11"/>
        <v>6.1999999999898137E-2</v>
      </c>
      <c r="AN9" s="74">
        <f t="shared" si="12"/>
        <v>0.47725999999997271</v>
      </c>
      <c r="AO9" s="74">
        <f t="shared" si="12"/>
        <v>0.42191899999988891</v>
      </c>
      <c r="AP9" s="75">
        <f t="shared" si="13"/>
        <v>2.9938901273060706E-3</v>
      </c>
      <c r="AQ9" s="76">
        <f t="shared" si="14"/>
        <v>340.51589212662122</v>
      </c>
      <c r="AR9" s="90">
        <f t="shared" si="15"/>
        <v>6.1999999999898137E-2</v>
      </c>
    </row>
    <row r="10" spans="1:44" x14ac:dyDescent="0.25">
      <c r="A10" t="str">
        <f t="shared" si="16"/>
        <v>46177M</v>
      </c>
      <c r="B10" s="51">
        <f t="shared" si="17"/>
        <v>46177</v>
      </c>
      <c r="C10" s="52" t="s">
        <v>87</v>
      </c>
      <c r="D10" s="91">
        <v>4747.8999999999996</v>
      </c>
      <c r="E10" s="62">
        <v>4.45</v>
      </c>
      <c r="F10" s="62">
        <v>8.1</v>
      </c>
      <c r="G10" s="62">
        <f t="shared" si="0"/>
        <v>211.28155000000001</v>
      </c>
      <c r="H10" s="63">
        <f t="shared" si="1"/>
        <v>384.57990000000001</v>
      </c>
      <c r="I10" s="203">
        <v>2535.6999999999998</v>
      </c>
      <c r="J10" s="203">
        <v>2611.7709999999997</v>
      </c>
      <c r="K10" s="203">
        <v>4.7959892731790035</v>
      </c>
      <c r="L10" s="203">
        <v>8.2815238395709265</v>
      </c>
      <c r="M10" s="57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2"/>
        <v>2611.7709999999997</v>
      </c>
      <c r="S10" s="62">
        <f t="shared" si="3"/>
        <v>125.26025699999998</v>
      </c>
      <c r="T10" s="63">
        <f t="shared" si="4"/>
        <v>216.29443799999999</v>
      </c>
      <c r="U10" s="64" t="s">
        <v>167</v>
      </c>
      <c r="V10" s="65" t="s">
        <v>167</v>
      </c>
      <c r="W10" s="66" t="s">
        <v>187</v>
      </c>
      <c r="X10" s="67">
        <v>0</v>
      </c>
      <c r="Y10" s="68">
        <v>0</v>
      </c>
      <c r="Z10" s="68">
        <v>0</v>
      </c>
      <c r="AA10" s="62">
        <f t="shared" si="5"/>
        <v>0</v>
      </c>
      <c r="AB10" s="63">
        <f t="shared" si="6"/>
        <v>0</v>
      </c>
      <c r="AC10" s="69"/>
      <c r="AD10" s="70"/>
      <c r="AE10" s="70"/>
      <c r="AF10" s="62">
        <f t="shared" si="7"/>
        <v>0</v>
      </c>
      <c r="AG10" s="62">
        <f t="shared" si="8"/>
        <v>0</v>
      </c>
      <c r="AH10" s="89">
        <v>7359.6</v>
      </c>
      <c r="AI10" s="66">
        <v>4.57</v>
      </c>
      <c r="AJ10" s="66">
        <v>8.16</v>
      </c>
      <c r="AK10" s="62">
        <f t="shared" si="9"/>
        <v>336.33372000000003</v>
      </c>
      <c r="AL10" s="72">
        <f t="shared" si="10"/>
        <v>600.54336000000012</v>
      </c>
      <c r="AM10" s="73">
        <f t="shared" si="11"/>
        <v>7.0999999999003194E-2</v>
      </c>
      <c r="AN10" s="74">
        <f t="shared" si="12"/>
        <v>0.20808699999997771</v>
      </c>
      <c r="AO10" s="74">
        <f t="shared" si="12"/>
        <v>0.33097799999984545</v>
      </c>
      <c r="AP10" s="75">
        <f t="shared" si="13"/>
        <v>1.5782684527285539E-3</v>
      </c>
      <c r="AQ10" s="76">
        <f t="shared" si="14"/>
        <v>192.46522448994375</v>
      </c>
      <c r="AR10" s="90">
        <f t="shared" si="15"/>
        <v>7.0999999999003194E-2</v>
      </c>
    </row>
    <row r="11" spans="1:44" x14ac:dyDescent="0.25">
      <c r="A11" t="str">
        <f t="shared" si="16"/>
        <v>46177E</v>
      </c>
      <c r="B11" s="51">
        <f t="shared" si="17"/>
        <v>46177</v>
      </c>
      <c r="C11" s="52" t="s">
        <v>88</v>
      </c>
      <c r="D11" s="91">
        <v>7359.6</v>
      </c>
      <c r="E11" s="62">
        <v>4.57</v>
      </c>
      <c r="F11" s="62">
        <v>8.16</v>
      </c>
      <c r="G11" s="62">
        <f t="shared" si="0"/>
        <v>336.33372000000003</v>
      </c>
      <c r="H11" s="63">
        <f t="shared" si="1"/>
        <v>600.54336000000012</v>
      </c>
      <c r="I11" s="203">
        <v>2592.8999999999996</v>
      </c>
      <c r="J11" s="203">
        <v>2670.6869999999999</v>
      </c>
      <c r="K11" s="203">
        <v>4.4891858536773483</v>
      </c>
      <c r="L11" s="203">
        <v>8.1590497126769232</v>
      </c>
      <c r="M11" s="57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2"/>
        <v>2670.6869999999999</v>
      </c>
      <c r="S11" s="62">
        <f t="shared" si="3"/>
        <v>119.89210299999996</v>
      </c>
      <c r="T11" s="63">
        <f t="shared" si="4"/>
        <v>217.90267999999992</v>
      </c>
      <c r="U11" s="64" t="s">
        <v>232</v>
      </c>
      <c r="V11" s="65" t="s">
        <v>243</v>
      </c>
      <c r="W11" s="66" t="s">
        <v>191</v>
      </c>
      <c r="X11" s="67">
        <v>10000</v>
      </c>
      <c r="Y11" s="68">
        <v>4.7300000000000004</v>
      </c>
      <c r="Z11" s="68">
        <v>8.26</v>
      </c>
      <c r="AA11" s="62">
        <f t="shared" si="5"/>
        <v>473</v>
      </c>
      <c r="AB11" s="63">
        <f t="shared" si="6"/>
        <v>825.99999999999989</v>
      </c>
      <c r="AC11" s="69">
        <v>9990</v>
      </c>
      <c r="AD11" s="70">
        <v>4.6500000000000004</v>
      </c>
      <c r="AE11" s="70">
        <v>8.2100000000000009</v>
      </c>
      <c r="AF11" s="62">
        <f t="shared" si="7"/>
        <v>464.53500000000008</v>
      </c>
      <c r="AG11" s="62">
        <f t="shared" si="8"/>
        <v>820.17900000000009</v>
      </c>
      <c r="AH11" s="89">
        <v>30.2</v>
      </c>
      <c r="AI11" s="66">
        <v>4.54</v>
      </c>
      <c r="AJ11" s="66">
        <v>8.16</v>
      </c>
      <c r="AK11" s="62">
        <f t="shared" si="9"/>
        <v>1.3710800000000001</v>
      </c>
      <c r="AL11" s="72">
        <f t="shared" si="10"/>
        <v>2.4643200000000003</v>
      </c>
      <c r="AM11" s="73">
        <f t="shared" si="11"/>
        <v>10.087000000000263</v>
      </c>
      <c r="AN11" s="74">
        <f t="shared" si="12"/>
        <v>-9.6802570000000898</v>
      </c>
      <c r="AO11" s="74">
        <f t="shared" si="12"/>
        <v>-4.197280000000049</v>
      </c>
      <c r="AP11" s="75">
        <f t="shared" si="13"/>
        <v>-4.1082745200360725E-2</v>
      </c>
      <c r="AQ11" s="76">
        <f t="shared" si="14"/>
        <v>-5601.6981464033888</v>
      </c>
      <c r="AR11" s="90">
        <f t="shared" si="15"/>
        <v>8.6999999999534339E-2</v>
      </c>
    </row>
    <row r="12" spans="1:44" x14ac:dyDescent="0.25">
      <c r="A12" t="str">
        <f t="shared" si="16"/>
        <v>46178M</v>
      </c>
      <c r="B12" s="51">
        <f t="shared" si="17"/>
        <v>46178</v>
      </c>
      <c r="C12" s="52" t="s">
        <v>87</v>
      </c>
      <c r="D12" s="91">
        <v>30.2</v>
      </c>
      <c r="E12" s="62">
        <v>4.54</v>
      </c>
      <c r="F12" s="62">
        <v>8.16</v>
      </c>
      <c r="G12" s="62">
        <f t="shared" ref="G12:G65" si="18">+D12*E12%</f>
        <v>1.3710800000000001</v>
      </c>
      <c r="H12" s="63">
        <f t="shared" ref="H12:H65" si="19">+D12*F12%</f>
        <v>2.4643200000000003</v>
      </c>
      <c r="I12" s="203">
        <v>2557.6</v>
      </c>
      <c r="J12" s="203">
        <v>2634.328</v>
      </c>
      <c r="K12" s="203">
        <v>4.84</v>
      </c>
      <c r="L12" s="203">
        <v>8.1999999999999993</v>
      </c>
      <c r="M12" s="57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2"/>
        <v>2634.328</v>
      </c>
      <c r="S12" s="62">
        <f t="shared" si="3"/>
        <v>127.5014752</v>
      </c>
      <c r="T12" s="63">
        <f t="shared" si="4"/>
        <v>216.01489599999996</v>
      </c>
      <c r="U12" s="64" t="s">
        <v>167</v>
      </c>
      <c r="V12" s="65" t="s">
        <v>187</v>
      </c>
      <c r="W12" s="66" t="s">
        <v>167</v>
      </c>
      <c r="X12" s="67">
        <v>0</v>
      </c>
      <c r="Y12" s="68">
        <v>0</v>
      </c>
      <c r="Z12" s="68">
        <v>0</v>
      </c>
      <c r="AA12" s="62">
        <f t="shared" si="5"/>
        <v>0</v>
      </c>
      <c r="AB12" s="63">
        <f t="shared" si="6"/>
        <v>0</v>
      </c>
      <c r="AC12" s="69"/>
      <c r="AD12" s="70"/>
      <c r="AE12" s="70"/>
      <c r="AF12" s="62">
        <f t="shared" si="7"/>
        <v>0</v>
      </c>
      <c r="AG12" s="62">
        <f t="shared" si="8"/>
        <v>0</v>
      </c>
      <c r="AH12" s="89">
        <v>2664.5</v>
      </c>
      <c r="AI12" s="66">
        <v>4.83</v>
      </c>
      <c r="AJ12" s="66">
        <v>8.19</v>
      </c>
      <c r="AK12" s="62">
        <f t="shared" si="9"/>
        <v>128.69535000000002</v>
      </c>
      <c r="AL12" s="72">
        <f t="shared" si="10"/>
        <v>218.22255000000001</v>
      </c>
      <c r="AM12" s="73">
        <f t="shared" si="11"/>
        <v>2.7999999999792635E-2</v>
      </c>
      <c r="AN12" s="74">
        <f t="shared" si="12"/>
        <v>0.17720519999997464</v>
      </c>
      <c r="AO12" s="74">
        <f t="shared" si="12"/>
        <v>0.25666599999993878</v>
      </c>
      <c r="AP12" s="75">
        <f t="shared" si="13"/>
        <v>1.2630291781561339E-3</v>
      </c>
      <c r="AQ12" s="76">
        <f t="shared" si="14"/>
        <v>156.36247570530364</v>
      </c>
      <c r="AR12" s="90">
        <f t="shared" si="15"/>
        <v>2.7999999999792635E-2</v>
      </c>
    </row>
    <row r="13" spans="1:44" x14ac:dyDescent="0.25">
      <c r="A13" t="str">
        <f t="shared" si="16"/>
        <v>46178E</v>
      </c>
      <c r="B13" s="51">
        <f t="shared" si="17"/>
        <v>46178</v>
      </c>
      <c r="C13" s="52" t="s">
        <v>88</v>
      </c>
      <c r="D13" s="91">
        <v>2664.5</v>
      </c>
      <c r="E13" s="62">
        <v>4.83</v>
      </c>
      <c r="F13" s="62">
        <v>8.19</v>
      </c>
      <c r="G13" s="62">
        <f t="shared" si="18"/>
        <v>128.69535000000002</v>
      </c>
      <c r="H13" s="63">
        <f t="shared" si="19"/>
        <v>218.22255000000001</v>
      </c>
      <c r="I13" s="203">
        <v>2685</v>
      </c>
      <c r="J13" s="203">
        <v>2765.55</v>
      </c>
      <c r="K13" s="203">
        <v>4.38</v>
      </c>
      <c r="L13" s="203">
        <v>8.16</v>
      </c>
      <c r="M13" s="57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2"/>
        <v>2765.55</v>
      </c>
      <c r="S13" s="62">
        <f t="shared" si="3"/>
        <v>121.13109</v>
      </c>
      <c r="T13" s="63">
        <f t="shared" si="4"/>
        <v>225.66888000000003</v>
      </c>
      <c r="U13" s="64" t="s">
        <v>167</v>
      </c>
      <c r="V13" s="65" t="s">
        <v>187</v>
      </c>
      <c r="W13" s="66" t="s">
        <v>167</v>
      </c>
      <c r="X13" s="67">
        <v>0</v>
      </c>
      <c r="Y13" s="68">
        <v>0</v>
      </c>
      <c r="Z13" s="68">
        <v>0</v>
      </c>
      <c r="AA13" s="62">
        <f t="shared" si="5"/>
        <v>0</v>
      </c>
      <c r="AB13" s="63">
        <f t="shared" si="6"/>
        <v>0</v>
      </c>
      <c r="AC13" s="69"/>
      <c r="AD13" s="70"/>
      <c r="AE13" s="70"/>
      <c r="AF13" s="62">
        <f t="shared" si="7"/>
        <v>0</v>
      </c>
      <c r="AG13" s="62">
        <f t="shared" si="8"/>
        <v>0</v>
      </c>
      <c r="AH13" s="89">
        <v>5430</v>
      </c>
      <c r="AI13" s="66">
        <v>4.5999999999999996</v>
      </c>
      <c r="AJ13" s="66">
        <v>8.17</v>
      </c>
      <c r="AK13" s="62">
        <f t="shared" si="9"/>
        <v>249.78</v>
      </c>
      <c r="AL13" s="72">
        <f t="shared" si="10"/>
        <v>443.63099999999997</v>
      </c>
      <c r="AM13" s="73">
        <f t="shared" si="11"/>
        <v>5.0000000000181899E-2</v>
      </c>
      <c r="AN13" s="74">
        <f t="shared" si="12"/>
        <v>4.6440000000018244E-2</v>
      </c>
      <c r="AO13" s="74">
        <f t="shared" si="12"/>
        <v>0.26043000000004213</v>
      </c>
      <c r="AP13" s="75">
        <f t="shared" si="13"/>
        <v>8.8486166824080278E-4</v>
      </c>
      <c r="AQ13" s="76">
        <f t="shared" si="14"/>
        <v>98.787134600020806</v>
      </c>
      <c r="AR13" s="90">
        <f t="shared" si="15"/>
        <v>5.0000000000181899E-2</v>
      </c>
    </row>
    <row r="14" spans="1:44" x14ac:dyDescent="0.25">
      <c r="A14" t="str">
        <f t="shared" si="16"/>
        <v>46179M</v>
      </c>
      <c r="B14" s="51">
        <f t="shared" si="17"/>
        <v>46179</v>
      </c>
      <c r="C14" s="52" t="s">
        <v>87</v>
      </c>
      <c r="D14" s="91">
        <v>5430</v>
      </c>
      <c r="E14" s="62">
        <v>4.5999999999999996</v>
      </c>
      <c r="F14" s="62">
        <v>8.17</v>
      </c>
      <c r="G14" s="62">
        <f t="shared" si="18"/>
        <v>249.78</v>
      </c>
      <c r="H14" s="63">
        <f t="shared" si="19"/>
        <v>443.63099999999997</v>
      </c>
      <c r="I14" s="203">
        <v>2524.5</v>
      </c>
      <c r="J14" s="203">
        <v>2600.2350000000001</v>
      </c>
      <c r="K14" s="203">
        <v>4.72</v>
      </c>
      <c r="L14" s="203">
        <v>8.18</v>
      </c>
      <c r="M14" s="57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2"/>
        <v>2600.2350000000001</v>
      </c>
      <c r="S14" s="62">
        <f t="shared" si="3"/>
        <v>122.731092</v>
      </c>
      <c r="T14" s="63">
        <f t="shared" si="4"/>
        <v>212.69922300000002</v>
      </c>
      <c r="U14" s="64" t="s">
        <v>170</v>
      </c>
      <c r="V14" s="65" t="s">
        <v>353</v>
      </c>
      <c r="W14" s="66" t="s">
        <v>159</v>
      </c>
      <c r="X14" s="67">
        <v>5200</v>
      </c>
      <c r="Y14" s="68">
        <v>4.75</v>
      </c>
      <c r="Z14" s="68">
        <v>8.2899999999999991</v>
      </c>
      <c r="AA14" s="62">
        <f t="shared" si="5"/>
        <v>247</v>
      </c>
      <c r="AB14" s="63">
        <f t="shared" si="6"/>
        <v>431.07999999999993</v>
      </c>
      <c r="AC14" s="69">
        <v>5210</v>
      </c>
      <c r="AD14" s="70">
        <v>4.7</v>
      </c>
      <c r="AE14" s="70">
        <v>8.2200000000000006</v>
      </c>
      <c r="AF14" s="62">
        <f t="shared" si="7"/>
        <v>244.87</v>
      </c>
      <c r="AG14" s="62">
        <f t="shared" si="8"/>
        <v>428.26200000000006</v>
      </c>
      <c r="AH14" s="89">
        <v>2830.2</v>
      </c>
      <c r="AI14" s="66">
        <v>4.63</v>
      </c>
      <c r="AJ14" s="66">
        <v>8.17</v>
      </c>
      <c r="AK14" s="62">
        <f t="shared" si="9"/>
        <v>131.03826000000001</v>
      </c>
      <c r="AL14" s="72">
        <f t="shared" si="10"/>
        <v>231.22733999999997</v>
      </c>
      <c r="AM14" s="73">
        <f t="shared" si="11"/>
        <v>-9.964999999999236</v>
      </c>
      <c r="AN14" s="74">
        <f t="shared" si="12"/>
        <v>-3.3971679999999935</v>
      </c>
      <c r="AO14" s="74">
        <f t="shared" si="12"/>
        <v>-3.1591170000000943</v>
      </c>
      <c r="AP14" s="75">
        <f t="shared" si="13"/>
        <v>-1.9545892863023093E-2</v>
      </c>
      <c r="AQ14" s="76">
        <f t="shared" si="14"/>
        <v>-2470.4621618600254</v>
      </c>
      <c r="AR14" s="90">
        <f t="shared" si="15"/>
        <v>3.5000000000763976E-2</v>
      </c>
    </row>
    <row r="15" spans="1:44" x14ac:dyDescent="0.25">
      <c r="A15" t="str">
        <f t="shared" si="16"/>
        <v>46179E</v>
      </c>
      <c r="B15" s="51">
        <f t="shared" si="17"/>
        <v>46179</v>
      </c>
      <c r="C15" s="52" t="s">
        <v>88</v>
      </c>
      <c r="D15" s="91">
        <v>2830.2</v>
      </c>
      <c r="E15" s="62">
        <v>4.63</v>
      </c>
      <c r="F15" s="62">
        <v>8.17</v>
      </c>
      <c r="G15" s="62">
        <f t="shared" si="18"/>
        <v>131.03826000000001</v>
      </c>
      <c r="H15" s="63">
        <f t="shared" si="19"/>
        <v>231.22733999999997</v>
      </c>
      <c r="I15" s="203">
        <v>2315</v>
      </c>
      <c r="J15" s="203">
        <v>2384.4500000000003</v>
      </c>
      <c r="K15" s="203">
        <v>4.4000000000000004</v>
      </c>
      <c r="L15" s="203">
        <v>8.16</v>
      </c>
      <c r="M15" s="57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2"/>
        <v>2384.4500000000003</v>
      </c>
      <c r="S15" s="62">
        <f t="shared" si="3"/>
        <v>104.91580000000002</v>
      </c>
      <c r="T15" s="63">
        <f t="shared" si="4"/>
        <v>194.57112000000004</v>
      </c>
      <c r="U15" s="64" t="s">
        <v>167</v>
      </c>
      <c r="V15" s="65" t="s">
        <v>187</v>
      </c>
      <c r="W15" s="66" t="s">
        <v>167</v>
      </c>
      <c r="X15" s="67">
        <v>0</v>
      </c>
      <c r="Y15" s="68">
        <v>0</v>
      </c>
      <c r="Z15" s="68">
        <v>0</v>
      </c>
      <c r="AA15" s="62">
        <f t="shared" si="5"/>
        <v>0</v>
      </c>
      <c r="AB15" s="63">
        <f t="shared" si="6"/>
        <v>0</v>
      </c>
      <c r="AC15" s="69"/>
      <c r="AD15" s="70"/>
      <c r="AE15" s="70"/>
      <c r="AF15" s="62">
        <f t="shared" si="7"/>
        <v>0</v>
      </c>
      <c r="AG15" s="62">
        <f t="shared" si="8"/>
        <v>0</v>
      </c>
      <c r="AH15" s="89">
        <v>5214.6000000000004</v>
      </c>
      <c r="AI15" s="66">
        <v>4.5199999999999996</v>
      </c>
      <c r="AJ15" s="66">
        <v>8.16</v>
      </c>
      <c r="AK15" s="62">
        <f t="shared" si="9"/>
        <v>235.69991999999999</v>
      </c>
      <c r="AL15" s="72">
        <f t="shared" si="10"/>
        <v>425.51136000000008</v>
      </c>
      <c r="AM15" s="73">
        <f t="shared" si="11"/>
        <v>4.9999999999272404E-2</v>
      </c>
      <c r="AN15" s="74">
        <f t="shared" si="12"/>
        <v>0.25414000000003512</v>
      </c>
      <c r="AO15" s="74">
        <f t="shared" si="12"/>
        <v>0.28709999999989577</v>
      </c>
      <c r="AP15" s="75">
        <f t="shared" si="13"/>
        <v>1.8072241685878328E-3</v>
      </c>
      <c r="AQ15" s="76">
        <f t="shared" si="14"/>
        <v>200.00736139998457</v>
      </c>
      <c r="AR15" s="90">
        <f t="shared" si="15"/>
        <v>4.9999999999272404E-2</v>
      </c>
    </row>
    <row r="16" spans="1:44" x14ac:dyDescent="0.25">
      <c r="A16" t="str">
        <f t="shared" si="16"/>
        <v>46180M</v>
      </c>
      <c r="B16" s="51">
        <f t="shared" si="17"/>
        <v>46180</v>
      </c>
      <c r="C16" s="52" t="s">
        <v>87</v>
      </c>
      <c r="D16" s="91">
        <v>5214.6000000000004</v>
      </c>
      <c r="E16" s="62">
        <v>4.5199999999999996</v>
      </c>
      <c r="F16" s="62">
        <v>8.16</v>
      </c>
      <c r="G16" s="62">
        <f t="shared" si="18"/>
        <v>235.69991999999999</v>
      </c>
      <c r="H16" s="63">
        <f t="shared" si="19"/>
        <v>425.51136000000008</v>
      </c>
      <c r="I16" s="203">
        <v>2482</v>
      </c>
      <c r="J16" s="203">
        <v>2556.46</v>
      </c>
      <c r="K16" s="203">
        <v>4.6100000000000003</v>
      </c>
      <c r="L16" s="203">
        <v>8.25</v>
      </c>
      <c r="M16" s="57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2"/>
        <v>2556.46</v>
      </c>
      <c r="S16" s="62">
        <f t="shared" si="3"/>
        <v>117.852806</v>
      </c>
      <c r="T16" s="63">
        <f t="shared" si="4"/>
        <v>210.90795</v>
      </c>
      <c r="U16" s="64" t="s">
        <v>170</v>
      </c>
      <c r="V16" s="65" t="s">
        <v>354</v>
      </c>
      <c r="W16" s="66" t="s">
        <v>151</v>
      </c>
      <c r="X16" s="67">
        <v>5200</v>
      </c>
      <c r="Y16" s="68">
        <v>4.6500000000000004</v>
      </c>
      <c r="Z16" s="68">
        <v>8.27</v>
      </c>
      <c r="AA16" s="62">
        <f t="shared" si="5"/>
        <v>241.80000000000004</v>
      </c>
      <c r="AB16" s="63">
        <f t="shared" si="6"/>
        <v>430.03999999999996</v>
      </c>
      <c r="AC16" s="69">
        <v>5160</v>
      </c>
      <c r="AD16" s="70">
        <v>4.5999999999999996</v>
      </c>
      <c r="AE16" s="70">
        <v>8.1999999999999993</v>
      </c>
      <c r="AF16" s="62">
        <f t="shared" si="7"/>
        <v>237.35999999999999</v>
      </c>
      <c r="AG16" s="62">
        <f t="shared" si="8"/>
        <v>423.11999999999995</v>
      </c>
      <c r="AH16" s="89">
        <v>2571</v>
      </c>
      <c r="AI16" s="66">
        <v>4.54</v>
      </c>
      <c r="AJ16" s="66">
        <v>8.18</v>
      </c>
      <c r="AK16" s="62">
        <f t="shared" si="9"/>
        <v>116.72340000000001</v>
      </c>
      <c r="AL16" s="72">
        <f t="shared" si="10"/>
        <v>210.30779999999999</v>
      </c>
      <c r="AM16" s="73">
        <f t="shared" si="11"/>
        <v>40.0600000000004</v>
      </c>
      <c r="AN16" s="74">
        <f t="shared" si="12"/>
        <v>-0.53067399999999054</v>
      </c>
      <c r="AO16" s="74">
        <f t="shared" si="12"/>
        <v>2.9915100000001758</v>
      </c>
      <c r="AP16" s="75">
        <f t="shared" si="13"/>
        <v>7.4851878002135542E-3</v>
      </c>
      <c r="AQ16" s="76">
        <f t="shared" si="14"/>
        <v>657.05430406005701</v>
      </c>
      <c r="AR16" s="90">
        <f t="shared" si="15"/>
        <v>6.0000000000400178E-2</v>
      </c>
    </row>
    <row r="17" spans="1:48" x14ac:dyDescent="0.25">
      <c r="A17" t="str">
        <f t="shared" si="16"/>
        <v>46180E</v>
      </c>
      <c r="B17" s="51">
        <f t="shared" si="17"/>
        <v>46180</v>
      </c>
      <c r="C17" s="52" t="s">
        <v>88</v>
      </c>
      <c r="D17" s="91">
        <v>2571</v>
      </c>
      <c r="E17" s="62">
        <v>4.54</v>
      </c>
      <c r="F17" s="62">
        <v>8.18</v>
      </c>
      <c r="G17" s="62">
        <f t="shared" si="18"/>
        <v>116.72340000000001</v>
      </c>
      <c r="H17" s="63">
        <f t="shared" si="19"/>
        <v>210.30779999999999</v>
      </c>
      <c r="I17" s="203">
        <v>2622.1</v>
      </c>
      <c r="J17" s="203">
        <v>2700.7629999999999</v>
      </c>
      <c r="K17" s="203">
        <v>4.22</v>
      </c>
      <c r="L17" s="203">
        <v>8.15</v>
      </c>
      <c r="M17" s="57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2"/>
        <v>2700.7629999999999</v>
      </c>
      <c r="S17" s="62">
        <f t="shared" si="3"/>
        <v>113.97219859999998</v>
      </c>
      <c r="T17" s="63">
        <f t="shared" si="4"/>
        <v>220.11218450000001</v>
      </c>
      <c r="U17" s="64" t="s">
        <v>167</v>
      </c>
      <c r="V17" s="65" t="s">
        <v>167</v>
      </c>
      <c r="W17" s="66" t="s">
        <v>167</v>
      </c>
      <c r="X17" s="67">
        <v>0</v>
      </c>
      <c r="Y17" s="68">
        <v>0</v>
      </c>
      <c r="Z17" s="68">
        <v>0</v>
      </c>
      <c r="AA17" s="62">
        <f t="shared" si="5"/>
        <v>0</v>
      </c>
      <c r="AB17" s="63">
        <f t="shared" si="6"/>
        <v>0</v>
      </c>
      <c r="AC17" s="69"/>
      <c r="AD17" s="70"/>
      <c r="AE17" s="70"/>
      <c r="AF17" s="62">
        <f t="shared" si="7"/>
        <v>0</v>
      </c>
      <c r="AG17" s="62">
        <f t="shared" si="8"/>
        <v>0</v>
      </c>
      <c r="AH17" s="89">
        <v>5271.7</v>
      </c>
      <c r="AI17" s="66">
        <v>4.37</v>
      </c>
      <c r="AJ17" s="66">
        <v>8.16</v>
      </c>
      <c r="AK17" s="62">
        <f t="shared" si="9"/>
        <v>230.37329</v>
      </c>
      <c r="AL17" s="72">
        <f t="shared" si="10"/>
        <v>430.17072000000002</v>
      </c>
      <c r="AM17" s="73">
        <f t="shared" si="11"/>
        <v>6.3000000000101863E-2</v>
      </c>
      <c r="AN17" s="74">
        <f t="shared" si="12"/>
        <v>0.32230859999998529</v>
      </c>
      <c r="AO17" s="74">
        <f t="shared" si="12"/>
        <v>0.24926449999998113</v>
      </c>
      <c r="AP17" s="75">
        <f t="shared" si="13"/>
        <v>1.7108644669238551E-3</v>
      </c>
      <c r="AQ17" s="76">
        <f t="shared" si="14"/>
        <v>219.28577142265445</v>
      </c>
      <c r="AR17" s="90">
        <f t="shared" si="15"/>
        <v>6.3000000000101863E-2</v>
      </c>
    </row>
    <row r="18" spans="1:48" x14ac:dyDescent="0.25">
      <c r="A18" t="str">
        <f t="shared" si="16"/>
        <v>46181M</v>
      </c>
      <c r="B18" s="51">
        <f t="shared" si="17"/>
        <v>46181</v>
      </c>
      <c r="C18" s="52" t="s">
        <v>87</v>
      </c>
      <c r="D18" s="91">
        <v>5271.7</v>
      </c>
      <c r="E18" s="62">
        <v>4.37</v>
      </c>
      <c r="F18" s="62">
        <v>8.16</v>
      </c>
      <c r="G18" s="62">
        <f t="shared" si="18"/>
        <v>230.37329</v>
      </c>
      <c r="H18" s="63">
        <f t="shared" si="19"/>
        <v>430.17072000000002</v>
      </c>
      <c r="I18" s="203">
        <v>2205.3000000000002</v>
      </c>
      <c r="J18" s="203">
        <v>2271.4590000000003</v>
      </c>
      <c r="K18" s="203">
        <v>4.62</v>
      </c>
      <c r="L18" s="203">
        <v>8.24</v>
      </c>
      <c r="M18" s="57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2"/>
        <v>2271.4590000000003</v>
      </c>
      <c r="S18" s="62">
        <f t="shared" si="3"/>
        <v>104.94140580000001</v>
      </c>
      <c r="T18" s="63">
        <f t="shared" si="4"/>
        <v>187.16822160000004</v>
      </c>
      <c r="U18" s="64" t="s">
        <v>170</v>
      </c>
      <c r="V18" s="65" t="s">
        <v>355</v>
      </c>
      <c r="W18" s="66" t="s">
        <v>159</v>
      </c>
      <c r="X18" s="67">
        <v>5200</v>
      </c>
      <c r="Y18" s="68">
        <v>4.6500000000000004</v>
      </c>
      <c r="Z18" s="68">
        <v>8.27</v>
      </c>
      <c r="AA18" s="62">
        <f t="shared" si="5"/>
        <v>241.80000000000004</v>
      </c>
      <c r="AB18" s="63">
        <f t="shared" si="6"/>
        <v>430.03999999999996</v>
      </c>
      <c r="AC18" s="69">
        <v>5140</v>
      </c>
      <c r="AD18" s="70">
        <v>4.5999999999999996</v>
      </c>
      <c r="AE18" s="70">
        <v>8.1999999999999993</v>
      </c>
      <c r="AF18" s="62">
        <f t="shared" si="7"/>
        <v>236.44</v>
      </c>
      <c r="AG18" s="62">
        <f t="shared" si="8"/>
        <v>421.47999999999996</v>
      </c>
      <c r="AH18" s="89">
        <v>2343.1</v>
      </c>
      <c r="AI18" s="66">
        <v>4.4400000000000004</v>
      </c>
      <c r="AJ18" s="66">
        <v>8.18</v>
      </c>
      <c r="AK18" s="62">
        <f t="shared" si="9"/>
        <v>104.03364000000001</v>
      </c>
      <c r="AL18" s="72">
        <f t="shared" si="10"/>
        <v>191.66557999999998</v>
      </c>
      <c r="AM18" s="73">
        <f t="shared" si="11"/>
        <v>60.058999999999742</v>
      </c>
      <c r="AN18" s="74">
        <f t="shared" si="12"/>
        <v>-5.1589442000000219</v>
      </c>
      <c r="AO18" s="74">
        <f t="shared" si="12"/>
        <v>4.1933616000000598</v>
      </c>
      <c r="AP18" s="75">
        <f t="shared" si="13"/>
        <v>-3.3055487030481966E-3</v>
      </c>
      <c r="AQ18" s="76">
        <f t="shared" si="14"/>
        <v>-1060.940336917992</v>
      </c>
      <c r="AR18" s="90">
        <f>(D18+J18+O18)-(X18+AH18)</f>
        <v>5.8999999999286956E-2</v>
      </c>
    </row>
    <row r="19" spans="1:48" x14ac:dyDescent="0.25">
      <c r="A19" t="str">
        <f t="shared" si="16"/>
        <v>46181E</v>
      </c>
      <c r="B19" s="51">
        <f t="shared" si="17"/>
        <v>46181</v>
      </c>
      <c r="C19" s="52" t="s">
        <v>88</v>
      </c>
      <c r="D19" s="91">
        <v>2343.1</v>
      </c>
      <c r="E19" s="62">
        <v>4.4400000000000004</v>
      </c>
      <c r="F19" s="62">
        <v>8.18</v>
      </c>
      <c r="G19" s="62">
        <f t="shared" si="18"/>
        <v>104.03364000000001</v>
      </c>
      <c r="H19" s="63">
        <f t="shared" si="19"/>
        <v>191.66557999999998</v>
      </c>
      <c r="I19" s="203">
        <v>2090.5</v>
      </c>
      <c r="J19" s="203">
        <v>2153.2150000000001</v>
      </c>
      <c r="K19" s="203">
        <v>4.32</v>
      </c>
      <c r="L19" s="203">
        <v>8.08</v>
      </c>
      <c r="M19" s="57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2"/>
        <v>2153.2150000000001</v>
      </c>
      <c r="S19" s="62">
        <f t="shared" si="3"/>
        <v>93.018888000000018</v>
      </c>
      <c r="T19" s="63">
        <f t="shared" si="4"/>
        <v>173.979772</v>
      </c>
      <c r="U19" s="64" t="s">
        <v>167</v>
      </c>
      <c r="V19" s="65" t="s">
        <v>167</v>
      </c>
      <c r="W19" s="66" t="s">
        <v>187</v>
      </c>
      <c r="X19" s="67">
        <v>0</v>
      </c>
      <c r="Y19" s="68">
        <v>0</v>
      </c>
      <c r="Z19" s="68">
        <v>0</v>
      </c>
      <c r="AA19" s="62">
        <f t="shared" si="5"/>
        <v>0</v>
      </c>
      <c r="AB19" s="63">
        <f t="shared" si="6"/>
        <v>0</v>
      </c>
      <c r="AC19" s="69"/>
      <c r="AD19" s="70"/>
      <c r="AE19" s="70"/>
      <c r="AF19" s="62">
        <f t="shared" si="7"/>
        <v>0</v>
      </c>
      <c r="AG19" s="62">
        <f t="shared" si="8"/>
        <v>0</v>
      </c>
      <c r="AH19" s="89">
        <v>4496.3</v>
      </c>
      <c r="AI19" s="66">
        <v>4.38</v>
      </c>
      <c r="AJ19" s="66">
        <v>8.1300000000000008</v>
      </c>
      <c r="AK19" s="62">
        <f t="shared" si="9"/>
        <v>196.93794</v>
      </c>
      <c r="AL19" s="72">
        <f t="shared" si="10"/>
        <v>365.54919000000007</v>
      </c>
      <c r="AM19" s="73">
        <f t="shared" si="11"/>
        <v>1.5000000000327418E-2</v>
      </c>
      <c r="AN19" s="74">
        <f t="shared" si="12"/>
        <v>0.11458800000002611</v>
      </c>
      <c r="AO19" s="74">
        <f t="shared" si="12"/>
        <v>9.6161999999935688E-2</v>
      </c>
      <c r="AP19" s="75">
        <f t="shared" si="13"/>
        <v>7.8932980412696366E-4</v>
      </c>
      <c r="AQ19" s="76">
        <f t="shared" si="14"/>
        <v>80.218421359992476</v>
      </c>
      <c r="AR19" s="90">
        <f>(D19+J19+O19)-(X19+AH19)</f>
        <v>1.5000000000327418E-2</v>
      </c>
    </row>
    <row r="20" spans="1:48" x14ac:dyDescent="0.25">
      <c r="A20" t="str">
        <f t="shared" si="16"/>
        <v>46182M</v>
      </c>
      <c r="B20" s="51">
        <f t="shared" si="17"/>
        <v>46182</v>
      </c>
      <c r="C20" s="52" t="s">
        <v>87</v>
      </c>
      <c r="D20" s="91">
        <v>4496.3</v>
      </c>
      <c r="E20" s="62">
        <v>4.38</v>
      </c>
      <c r="F20" s="62">
        <v>8.1300000000000008</v>
      </c>
      <c r="G20" s="62">
        <f t="shared" si="18"/>
        <v>196.93794</v>
      </c>
      <c r="H20" s="63">
        <f t="shared" si="19"/>
        <v>365.54919000000007</v>
      </c>
      <c r="I20" s="203">
        <v>2455.3000000000002</v>
      </c>
      <c r="J20" s="203">
        <v>2528.9590000000003</v>
      </c>
      <c r="K20" s="203">
        <v>4.8600000000000003</v>
      </c>
      <c r="L20" s="203">
        <v>8.3000000000000007</v>
      </c>
      <c r="M20" s="57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2"/>
        <v>2528.9590000000003</v>
      </c>
      <c r="S20" s="62">
        <f t="shared" si="3"/>
        <v>122.90740740000003</v>
      </c>
      <c r="T20" s="63">
        <f t="shared" si="4"/>
        <v>209.90359700000005</v>
      </c>
      <c r="U20" s="64" t="s">
        <v>170</v>
      </c>
      <c r="V20" s="65" t="s">
        <v>391</v>
      </c>
      <c r="W20" s="66" t="s">
        <v>151</v>
      </c>
      <c r="X20" s="67">
        <v>5200</v>
      </c>
      <c r="Y20" s="68">
        <v>4.7</v>
      </c>
      <c r="Z20" s="68">
        <v>8.35</v>
      </c>
      <c r="AA20" s="62">
        <f t="shared" si="5"/>
        <v>244.4</v>
      </c>
      <c r="AB20" s="63">
        <f t="shared" si="6"/>
        <v>434.19999999999993</v>
      </c>
      <c r="AC20" s="69">
        <v>5180</v>
      </c>
      <c r="AD20" s="70">
        <v>4.5999999999999996</v>
      </c>
      <c r="AE20" s="70">
        <v>8.1999999999999993</v>
      </c>
      <c r="AF20" s="62">
        <f t="shared" si="7"/>
        <v>238.28</v>
      </c>
      <c r="AG20" s="62">
        <f t="shared" si="8"/>
        <v>424.75999999999993</v>
      </c>
      <c r="AH20" s="89">
        <v>1825.2</v>
      </c>
      <c r="AI20" s="66">
        <v>4.55</v>
      </c>
      <c r="AJ20" s="66">
        <v>8.19</v>
      </c>
      <c r="AK20" s="62">
        <f t="shared" si="9"/>
        <v>83.046599999999998</v>
      </c>
      <c r="AL20" s="72">
        <f t="shared" si="10"/>
        <v>149.48388</v>
      </c>
      <c r="AM20" s="73">
        <f t="shared" si="11"/>
        <v>20.058999999999969</v>
      </c>
      <c r="AN20" s="74">
        <f t="shared" ref="AN20:AO65" si="20">+G20+S20-AF20-AK20</f>
        <v>-1.4812525999999622</v>
      </c>
      <c r="AO20" s="74">
        <f t="shared" si="20"/>
        <v>1.208907000000238</v>
      </c>
      <c r="AP20" s="75">
        <f t="shared" si="13"/>
        <v>-8.1831909521956939E-4</v>
      </c>
      <c r="AQ20" s="76">
        <f t="shared" si="14"/>
        <v>-303.15547708591185</v>
      </c>
      <c r="AR20" s="90">
        <f>(D20+J20+O20)-(X20+AH20)</f>
        <v>5.9000000000196451E-2</v>
      </c>
    </row>
    <row r="21" spans="1:48" x14ac:dyDescent="0.25">
      <c r="A21" t="str">
        <f t="shared" si="16"/>
        <v>46182E</v>
      </c>
      <c r="B21" s="51">
        <f t="shared" si="17"/>
        <v>46182</v>
      </c>
      <c r="C21" s="52" t="s">
        <v>88</v>
      </c>
      <c r="D21" s="91">
        <v>1825.2</v>
      </c>
      <c r="E21" s="62">
        <v>4.55</v>
      </c>
      <c r="F21" s="62">
        <v>8.19</v>
      </c>
      <c r="G21" s="62">
        <f t="shared" si="18"/>
        <v>83.046599999999998</v>
      </c>
      <c r="H21" s="63">
        <f t="shared" si="19"/>
        <v>149.48388</v>
      </c>
      <c r="I21" s="203">
        <v>2120.1999999999998</v>
      </c>
      <c r="J21" s="203">
        <v>2183.806</v>
      </c>
      <c r="K21" s="203">
        <v>4.3899999999999997</v>
      </c>
      <c r="L21" s="203">
        <v>8.1</v>
      </c>
      <c r="M21" s="57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2"/>
        <v>2183.806</v>
      </c>
      <c r="S21" s="62">
        <f t="shared" si="3"/>
        <v>95.869083399999994</v>
      </c>
      <c r="T21" s="63">
        <f t="shared" si="4"/>
        <v>176.88828600000002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5"/>
        <v>0</v>
      </c>
      <c r="AB21" s="63">
        <f t="shared" si="6"/>
        <v>0</v>
      </c>
      <c r="AC21" s="69"/>
      <c r="AD21" s="70"/>
      <c r="AE21" s="70"/>
      <c r="AF21" s="62">
        <f t="shared" si="7"/>
        <v>0</v>
      </c>
      <c r="AG21" s="62">
        <f t="shared" si="8"/>
        <v>0</v>
      </c>
      <c r="AH21" s="89">
        <v>4009</v>
      </c>
      <c r="AI21" s="66">
        <v>4.46</v>
      </c>
      <c r="AJ21" s="66">
        <v>8.14</v>
      </c>
      <c r="AK21" s="62">
        <f t="shared" si="9"/>
        <v>178.8014</v>
      </c>
      <c r="AL21" s="72">
        <f t="shared" si="10"/>
        <v>326.33260000000001</v>
      </c>
      <c r="AM21" s="73">
        <f t="shared" si="11"/>
        <v>6.0000000003128662E-3</v>
      </c>
      <c r="AN21" s="74">
        <f t="shared" si="20"/>
        <v>0.11428339999997661</v>
      </c>
      <c r="AO21" s="74">
        <f t="shared" si="20"/>
        <v>3.956599999997934E-2</v>
      </c>
      <c r="AP21" s="75">
        <f t="shared" si="13"/>
        <v>5.6405222098448624E-4</v>
      </c>
      <c r="AQ21" s="76">
        <f t="shared" si="14"/>
        <v>63.144009800649989</v>
      </c>
      <c r="AR21" s="90">
        <f>(D21+J21+O21)-(X21+AH21)</f>
        <v>6.0000000003128662E-3</v>
      </c>
    </row>
    <row r="22" spans="1:48" x14ac:dyDescent="0.25">
      <c r="A22" t="str">
        <f t="shared" si="16"/>
        <v>46183M</v>
      </c>
      <c r="B22" s="51">
        <f t="shared" si="17"/>
        <v>46183</v>
      </c>
      <c r="C22" s="52" t="s">
        <v>87</v>
      </c>
      <c r="D22" s="91">
        <v>4009</v>
      </c>
      <c r="E22" s="62">
        <v>4.46</v>
      </c>
      <c r="F22" s="62">
        <v>8.14</v>
      </c>
      <c r="G22" s="62">
        <f t="shared" si="18"/>
        <v>178.8014</v>
      </c>
      <c r="H22" s="63">
        <f t="shared" si="19"/>
        <v>326.33260000000001</v>
      </c>
      <c r="I22" s="203">
        <v>2865.6</v>
      </c>
      <c r="J22" s="203">
        <v>2951.5679999999998</v>
      </c>
      <c r="K22" s="203">
        <v>4.71</v>
      </c>
      <c r="L22" s="203">
        <v>8.24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2"/>
        <v>2951.5679999999998</v>
      </c>
      <c r="S22" s="62">
        <f t="shared" si="3"/>
        <v>139.01885279999999</v>
      </c>
      <c r="T22" s="63">
        <f t="shared" si="4"/>
        <v>243.20920319999999</v>
      </c>
      <c r="U22" s="64" t="s">
        <v>187</v>
      </c>
      <c r="V22" s="65" t="s">
        <v>167</v>
      </c>
      <c r="W22" s="66" t="s">
        <v>167</v>
      </c>
      <c r="X22" s="67">
        <v>0</v>
      </c>
      <c r="Y22" s="68">
        <v>0</v>
      </c>
      <c r="Z22" s="68">
        <v>0</v>
      </c>
      <c r="AA22" s="62">
        <f t="shared" si="5"/>
        <v>0</v>
      </c>
      <c r="AB22" s="63">
        <f t="shared" si="6"/>
        <v>0</v>
      </c>
      <c r="AC22" s="69"/>
      <c r="AD22" s="70"/>
      <c r="AE22" s="70"/>
      <c r="AF22" s="62">
        <f t="shared" si="7"/>
        <v>0</v>
      </c>
      <c r="AG22" s="62">
        <f t="shared" si="8"/>
        <v>0</v>
      </c>
      <c r="AH22" s="89">
        <v>6960.5</v>
      </c>
      <c r="AI22" s="66">
        <v>4.5599999999999996</v>
      </c>
      <c r="AJ22" s="66">
        <v>8.18</v>
      </c>
      <c r="AK22" s="62">
        <f t="shared" si="9"/>
        <v>317.39879999999994</v>
      </c>
      <c r="AL22" s="72">
        <f t="shared" si="10"/>
        <v>569.36889999999994</v>
      </c>
      <c r="AM22" s="73">
        <f t="shared" si="11"/>
        <v>6.7999999999301508E-2</v>
      </c>
      <c r="AN22" s="74">
        <f t="shared" si="20"/>
        <v>0.42145280000005414</v>
      </c>
      <c r="AO22" s="74">
        <f t="shared" si="20"/>
        <v>0.17290320000006432</v>
      </c>
      <c r="AP22" s="75">
        <f t="shared" si="13"/>
        <v>1.5549774294959617E-3</v>
      </c>
      <c r="AQ22" s="76">
        <f t="shared" si="14"/>
        <v>240.93969345604359</v>
      </c>
      <c r="AR22" s="90">
        <f t="shared" si="15"/>
        <v>6.7999999999301508E-2</v>
      </c>
      <c r="AT22" s="83"/>
      <c r="AU22" s="83"/>
    </row>
    <row r="23" spans="1:48" x14ac:dyDescent="0.25">
      <c r="A23" t="str">
        <f t="shared" si="16"/>
        <v>46183E</v>
      </c>
      <c r="B23" s="51">
        <f t="shared" si="17"/>
        <v>46183</v>
      </c>
      <c r="C23" s="52" t="s">
        <v>88</v>
      </c>
      <c r="D23" s="91">
        <v>6960.5</v>
      </c>
      <c r="E23" s="62">
        <v>4.5599999999999996</v>
      </c>
      <c r="F23" s="62">
        <v>8.18</v>
      </c>
      <c r="G23" s="62">
        <f t="shared" si="18"/>
        <v>317.39879999999994</v>
      </c>
      <c r="H23" s="63">
        <f t="shared" si="19"/>
        <v>569.36889999999994</v>
      </c>
      <c r="I23" s="203">
        <v>2408</v>
      </c>
      <c r="J23" s="203">
        <v>2480.2400000000002</v>
      </c>
      <c r="K23" s="203">
        <v>4.34</v>
      </c>
      <c r="L23" s="203">
        <v>8.1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2"/>
        <v>2480.2400000000002</v>
      </c>
      <c r="S23" s="62">
        <f t="shared" si="3"/>
        <v>107.64241600000001</v>
      </c>
      <c r="T23" s="63">
        <f t="shared" si="4"/>
        <v>200.89944000000003</v>
      </c>
      <c r="U23" s="64" t="s">
        <v>172</v>
      </c>
      <c r="V23" s="65" t="s">
        <v>392</v>
      </c>
      <c r="W23" s="66" t="s">
        <v>191</v>
      </c>
      <c r="X23" s="67">
        <v>6280</v>
      </c>
      <c r="Y23" s="68">
        <v>4.67</v>
      </c>
      <c r="Z23" s="68">
        <v>8.31</v>
      </c>
      <c r="AA23" s="62">
        <f t="shared" si="5"/>
        <v>293.27600000000001</v>
      </c>
      <c r="AB23" s="63">
        <f t="shared" si="6"/>
        <v>521.86800000000005</v>
      </c>
      <c r="AC23" s="226">
        <v>6280</v>
      </c>
      <c r="AD23" s="227">
        <v>4.67</v>
      </c>
      <c r="AE23" s="227">
        <v>8.31</v>
      </c>
      <c r="AF23" s="62">
        <f t="shared" si="7"/>
        <v>293.27600000000001</v>
      </c>
      <c r="AG23" s="62">
        <f t="shared" si="8"/>
        <v>521.86800000000005</v>
      </c>
      <c r="AH23" s="89">
        <v>3160.7</v>
      </c>
      <c r="AI23" s="66">
        <v>4.5</v>
      </c>
      <c r="AJ23" s="84">
        <v>8.15</v>
      </c>
      <c r="AK23" s="62">
        <f t="shared" si="9"/>
        <v>142.23149999999998</v>
      </c>
      <c r="AL23" s="72">
        <f t="shared" si="10"/>
        <v>257.59704999999997</v>
      </c>
      <c r="AM23" s="73">
        <f t="shared" si="11"/>
        <v>3.999999999996362E-2</v>
      </c>
      <c r="AN23" s="74">
        <f t="shared" si="20"/>
        <v>-10.46628400000003</v>
      </c>
      <c r="AO23" s="74">
        <f t="shared" si="20"/>
        <v>-9.1967100000000528</v>
      </c>
      <c r="AP23" s="75">
        <f t="shared" si="13"/>
        <v>-6.3728773317549753E-2</v>
      </c>
      <c r="AQ23" s="76">
        <f t="shared" si="14"/>
        <v>-7450.74960784003</v>
      </c>
      <c r="AR23" s="90">
        <f t="shared" si="15"/>
        <v>3.9999999999054126E-2</v>
      </c>
      <c r="AU23" s="83"/>
    </row>
    <row r="24" spans="1:48" x14ac:dyDescent="0.25">
      <c r="A24" t="str">
        <f t="shared" si="16"/>
        <v>46184M</v>
      </c>
      <c r="B24" s="51">
        <f t="shared" si="17"/>
        <v>46184</v>
      </c>
      <c r="C24" s="52" t="s">
        <v>87</v>
      </c>
      <c r="D24" s="91">
        <v>3160.7</v>
      </c>
      <c r="E24" s="62">
        <v>4.5</v>
      </c>
      <c r="F24" s="62">
        <v>8.15</v>
      </c>
      <c r="G24" s="62">
        <f t="shared" si="18"/>
        <v>142.23149999999998</v>
      </c>
      <c r="H24" s="63">
        <f t="shared" si="19"/>
        <v>257.59704999999997</v>
      </c>
      <c r="I24" s="203">
        <v>2662.9</v>
      </c>
      <c r="J24" s="203">
        <v>2742.7870000000003</v>
      </c>
      <c r="K24" s="203">
        <v>4.67</v>
      </c>
      <c r="L24" s="203">
        <v>8.19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2"/>
        <v>2742.7870000000003</v>
      </c>
      <c r="S24" s="62">
        <f t="shared" si="3"/>
        <v>128.08815290000001</v>
      </c>
      <c r="T24" s="63">
        <f t="shared" si="4"/>
        <v>224.63425530000004</v>
      </c>
      <c r="U24" s="64" t="s">
        <v>167</v>
      </c>
      <c r="V24" s="65" t="s">
        <v>187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5"/>
        <v>0</v>
      </c>
      <c r="AB24" s="63">
        <f t="shared" si="6"/>
        <v>0</v>
      </c>
      <c r="AC24" s="69"/>
      <c r="AD24" s="70"/>
      <c r="AE24" s="70"/>
      <c r="AF24" s="62">
        <f t="shared" si="7"/>
        <v>0</v>
      </c>
      <c r="AG24" s="62">
        <f t="shared" si="8"/>
        <v>0</v>
      </c>
      <c r="AH24" s="89">
        <v>5903.4</v>
      </c>
      <c r="AI24" s="66">
        <v>4.57</v>
      </c>
      <c r="AJ24" s="66">
        <v>8.16</v>
      </c>
      <c r="AK24" s="62">
        <f t="shared" si="9"/>
        <v>269.78538000000003</v>
      </c>
      <c r="AL24" s="72">
        <f t="shared" si="10"/>
        <v>481.71744000000001</v>
      </c>
      <c r="AM24" s="73">
        <f t="shared" si="11"/>
        <v>8.7000000000443833E-2</v>
      </c>
      <c r="AN24" s="74">
        <f t="shared" si="20"/>
        <v>0.53427289999996219</v>
      </c>
      <c r="AO24" s="74">
        <f t="shared" si="20"/>
        <v>0.5138653000000204</v>
      </c>
      <c r="AP24" s="75">
        <f t="shared" si="13"/>
        <v>2.9715668061714674E-3</v>
      </c>
      <c r="AQ24" s="76">
        <f t="shared" si="14"/>
        <v>393.6266287543225</v>
      </c>
      <c r="AR24" s="90">
        <f t="shared" si="15"/>
        <v>8.7000000000443833E-2</v>
      </c>
      <c r="AT24" s="77"/>
      <c r="AU24" s="77"/>
      <c r="AV24" s="77"/>
    </row>
    <row r="25" spans="1:48" x14ac:dyDescent="0.25">
      <c r="A25" t="str">
        <f t="shared" si="16"/>
        <v>46184E</v>
      </c>
      <c r="B25" s="51">
        <f t="shared" si="17"/>
        <v>46184</v>
      </c>
      <c r="C25" s="52" t="s">
        <v>88</v>
      </c>
      <c r="D25" s="91">
        <v>5903.4</v>
      </c>
      <c r="E25" s="62">
        <v>4.57</v>
      </c>
      <c r="F25" s="62">
        <v>8.16</v>
      </c>
      <c r="G25" s="62">
        <f t="shared" si="18"/>
        <v>269.78538000000003</v>
      </c>
      <c r="H25" s="63">
        <f t="shared" si="19"/>
        <v>481.71744000000001</v>
      </c>
      <c r="I25" s="203">
        <v>2713.7</v>
      </c>
      <c r="J25" s="203">
        <v>2795.1109999999999</v>
      </c>
      <c r="K25" s="203">
        <v>4.46</v>
      </c>
      <c r="L25" s="203">
        <v>8.11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2"/>
        <v>2795.1109999999999</v>
      </c>
      <c r="S25" s="62">
        <f t="shared" si="3"/>
        <v>124.6619506</v>
      </c>
      <c r="T25" s="63">
        <f t="shared" si="4"/>
        <v>226.68350209999997</v>
      </c>
      <c r="U25" s="64" t="s">
        <v>167</v>
      </c>
      <c r="V25" s="65" t="s">
        <v>167</v>
      </c>
      <c r="W25" s="66" t="s">
        <v>187</v>
      </c>
      <c r="X25" s="67">
        <v>0</v>
      </c>
      <c r="Y25" s="68">
        <v>0</v>
      </c>
      <c r="Z25" s="68">
        <v>0</v>
      </c>
      <c r="AA25" s="62">
        <f t="shared" si="5"/>
        <v>0</v>
      </c>
      <c r="AB25" s="63">
        <f t="shared" si="6"/>
        <v>0</v>
      </c>
      <c r="AC25" s="69"/>
      <c r="AD25" s="70"/>
      <c r="AE25" s="70"/>
      <c r="AF25" s="62">
        <f t="shared" si="7"/>
        <v>0</v>
      </c>
      <c r="AG25" s="62">
        <f t="shared" si="8"/>
        <v>0</v>
      </c>
      <c r="AH25" s="89">
        <v>8698.5</v>
      </c>
      <c r="AI25" s="66">
        <v>4.53</v>
      </c>
      <c r="AJ25" s="66">
        <v>8.14</v>
      </c>
      <c r="AK25" s="62">
        <f t="shared" si="9"/>
        <v>394.04205000000002</v>
      </c>
      <c r="AL25" s="72">
        <f t="shared" si="10"/>
        <v>708.05790000000002</v>
      </c>
      <c r="AM25" s="73">
        <f t="shared" si="11"/>
        <v>1.0999999998603016E-2</v>
      </c>
      <c r="AN25" s="74">
        <f t="shared" si="20"/>
        <v>0.40528060000002597</v>
      </c>
      <c r="AO25" s="74">
        <f t="shared" si="20"/>
        <v>0.34304209999993418</v>
      </c>
      <c r="AP25" s="75">
        <f t="shared" si="13"/>
        <v>2.1298772881484349E-3</v>
      </c>
      <c r="AQ25" s="76">
        <f t="shared" si="14"/>
        <v>284.59786688665866</v>
      </c>
      <c r="AR25" s="90">
        <f t="shared" si="15"/>
        <v>1.0999999998603016E-2</v>
      </c>
    </row>
    <row r="26" spans="1:48" x14ac:dyDescent="0.25">
      <c r="A26" t="str">
        <f t="shared" si="16"/>
        <v>46185M</v>
      </c>
      <c r="B26" s="51">
        <f t="shared" si="17"/>
        <v>46185</v>
      </c>
      <c r="C26" s="52" t="s">
        <v>87</v>
      </c>
      <c r="D26" s="91"/>
      <c r="E26" s="62"/>
      <c r="F26" s="62"/>
      <c r="G26" s="62">
        <f t="shared" si="18"/>
        <v>0</v>
      </c>
      <c r="H26" s="63">
        <f t="shared" si="19"/>
        <v>0</v>
      </c>
      <c r="I26" s="203"/>
      <c r="J26" s="203"/>
      <c r="K26" s="203"/>
      <c r="L26" s="203"/>
      <c r="M26" s="58"/>
      <c r="N26" s="58"/>
      <c r="O26" s="59"/>
      <c r="P26" s="56"/>
      <c r="Q26" s="60"/>
      <c r="R26" s="61">
        <f t="shared" si="2"/>
        <v>0</v>
      </c>
      <c r="S26" s="62">
        <f t="shared" si="3"/>
        <v>0</v>
      </c>
      <c r="T26" s="63">
        <f t="shared" si="4"/>
        <v>0</v>
      </c>
      <c r="U26" s="64"/>
      <c r="V26" s="65"/>
      <c r="W26" s="66"/>
      <c r="X26" s="67"/>
      <c r="Y26" s="68"/>
      <c r="Z26" s="68"/>
      <c r="AA26" s="62">
        <f t="shared" si="5"/>
        <v>0</v>
      </c>
      <c r="AB26" s="63">
        <f t="shared" si="6"/>
        <v>0</v>
      </c>
      <c r="AC26" s="69"/>
      <c r="AD26" s="70"/>
      <c r="AE26" s="70"/>
      <c r="AF26" s="62">
        <f t="shared" si="7"/>
        <v>0</v>
      </c>
      <c r="AG26" s="62">
        <f t="shared" si="8"/>
        <v>0</v>
      </c>
      <c r="AH26" s="89"/>
      <c r="AI26" s="66"/>
      <c r="AJ26" s="66"/>
      <c r="AK26" s="62">
        <f t="shared" si="9"/>
        <v>0</v>
      </c>
      <c r="AL26" s="72">
        <f t="shared" si="10"/>
        <v>0</v>
      </c>
      <c r="AM26" s="73">
        <f t="shared" si="11"/>
        <v>0</v>
      </c>
      <c r="AN26" s="74">
        <f t="shared" si="20"/>
        <v>0</v>
      </c>
      <c r="AO26" s="74">
        <f t="shared" si="20"/>
        <v>0</v>
      </c>
      <c r="AP26" s="75" t="e">
        <f t="shared" si="13"/>
        <v>#DIV/0!</v>
      </c>
      <c r="AQ26" s="76">
        <f t="shared" si="14"/>
        <v>0</v>
      </c>
      <c r="AR26" s="90">
        <f t="shared" si="15"/>
        <v>0</v>
      </c>
    </row>
    <row r="27" spans="1:48" x14ac:dyDescent="0.25">
      <c r="A27" t="str">
        <f t="shared" si="16"/>
        <v>46185E</v>
      </c>
      <c r="B27" s="51">
        <f t="shared" si="17"/>
        <v>46185</v>
      </c>
      <c r="C27" s="52" t="s">
        <v>88</v>
      </c>
      <c r="D27" s="91"/>
      <c r="E27" s="62"/>
      <c r="F27" s="62"/>
      <c r="G27" s="62">
        <f t="shared" si="18"/>
        <v>0</v>
      </c>
      <c r="H27" s="63">
        <f t="shared" si="19"/>
        <v>0</v>
      </c>
      <c r="I27" s="203"/>
      <c r="J27" s="203"/>
      <c r="K27" s="203"/>
      <c r="L27" s="203"/>
      <c r="M27" s="58"/>
      <c r="N27" s="58"/>
      <c r="O27" s="59"/>
      <c r="P27" s="56"/>
      <c r="Q27" s="60"/>
      <c r="R27" s="61">
        <f t="shared" si="2"/>
        <v>0</v>
      </c>
      <c r="S27" s="62">
        <f t="shared" si="3"/>
        <v>0</v>
      </c>
      <c r="T27" s="63">
        <f t="shared" si="4"/>
        <v>0</v>
      </c>
      <c r="U27" s="64"/>
      <c r="V27" s="65"/>
      <c r="W27" s="66"/>
      <c r="X27" s="67"/>
      <c r="Y27" s="68"/>
      <c r="Z27" s="68"/>
      <c r="AA27" s="62">
        <f t="shared" si="5"/>
        <v>0</v>
      </c>
      <c r="AB27" s="63">
        <f t="shared" si="6"/>
        <v>0</v>
      </c>
      <c r="AC27" s="69"/>
      <c r="AD27" s="70"/>
      <c r="AE27" s="70"/>
      <c r="AF27" s="62">
        <f t="shared" si="7"/>
        <v>0</v>
      </c>
      <c r="AG27" s="62">
        <f t="shared" si="8"/>
        <v>0</v>
      </c>
      <c r="AH27" s="89"/>
      <c r="AI27" s="66"/>
      <c r="AJ27" s="66"/>
      <c r="AK27" s="62">
        <f t="shared" si="9"/>
        <v>0</v>
      </c>
      <c r="AL27" s="72">
        <f t="shared" si="10"/>
        <v>0</v>
      </c>
      <c r="AM27" s="73">
        <f t="shared" si="11"/>
        <v>0</v>
      </c>
      <c r="AN27" s="74">
        <f t="shared" si="20"/>
        <v>0</v>
      </c>
      <c r="AO27" s="74">
        <f t="shared" si="20"/>
        <v>0</v>
      </c>
      <c r="AP27" s="75" t="e">
        <f t="shared" si="13"/>
        <v>#DIV/0!</v>
      </c>
      <c r="AQ27" s="76">
        <f t="shared" si="14"/>
        <v>0</v>
      </c>
      <c r="AR27" s="90">
        <f t="shared" si="15"/>
        <v>0</v>
      </c>
    </row>
    <row r="28" spans="1:48" x14ac:dyDescent="0.25">
      <c r="A28" t="str">
        <f t="shared" si="16"/>
        <v>46186M</v>
      </c>
      <c r="B28" s="51">
        <f t="shared" si="17"/>
        <v>46186</v>
      </c>
      <c r="C28" s="52" t="s">
        <v>87</v>
      </c>
      <c r="D28" s="91"/>
      <c r="E28" s="62"/>
      <c r="F28" s="62"/>
      <c r="G28" s="62">
        <f t="shared" si="18"/>
        <v>0</v>
      </c>
      <c r="H28" s="63">
        <f t="shared" si="19"/>
        <v>0</v>
      </c>
      <c r="I28" s="203"/>
      <c r="J28" s="203"/>
      <c r="K28" s="203"/>
      <c r="L28" s="203"/>
      <c r="M28" s="58"/>
      <c r="N28" s="58"/>
      <c r="O28" s="59"/>
      <c r="P28" s="56"/>
      <c r="Q28" s="60"/>
      <c r="R28" s="61">
        <f t="shared" si="2"/>
        <v>0</v>
      </c>
      <c r="S28" s="62">
        <f t="shared" si="3"/>
        <v>0</v>
      </c>
      <c r="T28" s="63">
        <f t="shared" si="4"/>
        <v>0</v>
      </c>
      <c r="U28" s="64"/>
      <c r="V28" s="65"/>
      <c r="W28" s="66"/>
      <c r="X28" s="67"/>
      <c r="Y28" s="68"/>
      <c r="Z28" s="68"/>
      <c r="AA28" s="62">
        <f t="shared" si="5"/>
        <v>0</v>
      </c>
      <c r="AB28" s="63">
        <f t="shared" si="6"/>
        <v>0</v>
      </c>
      <c r="AC28" s="69"/>
      <c r="AD28" s="70"/>
      <c r="AE28" s="70"/>
      <c r="AF28" s="62">
        <f t="shared" si="7"/>
        <v>0</v>
      </c>
      <c r="AG28" s="63">
        <f t="shared" si="8"/>
        <v>0</v>
      </c>
      <c r="AH28" s="89"/>
      <c r="AI28" s="66"/>
      <c r="AJ28" s="66"/>
      <c r="AK28" s="62">
        <f t="shared" si="9"/>
        <v>0</v>
      </c>
      <c r="AL28" s="72">
        <f t="shared" si="10"/>
        <v>0</v>
      </c>
      <c r="AM28" s="73">
        <f t="shared" si="11"/>
        <v>0</v>
      </c>
      <c r="AN28" s="74">
        <f t="shared" si="20"/>
        <v>0</v>
      </c>
      <c r="AO28" s="74">
        <f t="shared" si="20"/>
        <v>0</v>
      </c>
      <c r="AP28" s="75" t="e">
        <f t="shared" si="13"/>
        <v>#DIV/0!</v>
      </c>
      <c r="AQ28" s="76">
        <f t="shared" si="14"/>
        <v>0</v>
      </c>
      <c r="AR28" s="90">
        <f t="shared" si="15"/>
        <v>0</v>
      </c>
    </row>
    <row r="29" spans="1:48" x14ac:dyDescent="0.25">
      <c r="A29" t="str">
        <f t="shared" si="16"/>
        <v>46186E</v>
      </c>
      <c r="B29" s="51">
        <f t="shared" si="17"/>
        <v>46186</v>
      </c>
      <c r="C29" s="52" t="s">
        <v>88</v>
      </c>
      <c r="D29" s="91"/>
      <c r="E29" s="62"/>
      <c r="F29" s="62"/>
      <c r="G29" s="62">
        <f t="shared" si="18"/>
        <v>0</v>
      </c>
      <c r="H29" s="63">
        <f t="shared" si="19"/>
        <v>0</v>
      </c>
      <c r="I29" s="203"/>
      <c r="J29" s="203"/>
      <c r="K29" s="203"/>
      <c r="L29" s="203"/>
      <c r="M29" s="58"/>
      <c r="N29" s="58"/>
      <c r="O29" s="59"/>
      <c r="P29" s="56"/>
      <c r="Q29" s="60"/>
      <c r="R29" s="61">
        <f t="shared" si="2"/>
        <v>0</v>
      </c>
      <c r="S29" s="62">
        <f t="shared" si="3"/>
        <v>0</v>
      </c>
      <c r="T29" s="63">
        <f t="shared" si="4"/>
        <v>0</v>
      </c>
      <c r="U29" s="64"/>
      <c r="V29" s="65"/>
      <c r="W29" s="66"/>
      <c r="X29" s="67"/>
      <c r="Y29" s="68"/>
      <c r="Z29" s="68"/>
      <c r="AA29" s="62">
        <f t="shared" si="5"/>
        <v>0</v>
      </c>
      <c r="AB29" s="63">
        <f t="shared" si="6"/>
        <v>0</v>
      </c>
      <c r="AC29" s="69"/>
      <c r="AD29" s="70"/>
      <c r="AE29" s="70"/>
      <c r="AF29" s="62">
        <f t="shared" si="7"/>
        <v>0</v>
      </c>
      <c r="AG29" s="63">
        <f t="shared" si="8"/>
        <v>0</v>
      </c>
      <c r="AH29" s="89"/>
      <c r="AI29" s="66"/>
      <c r="AJ29" s="66"/>
      <c r="AK29" s="62">
        <f t="shared" si="9"/>
        <v>0</v>
      </c>
      <c r="AL29" s="72">
        <f t="shared" si="10"/>
        <v>0</v>
      </c>
      <c r="AM29" s="73">
        <f t="shared" si="11"/>
        <v>0</v>
      </c>
      <c r="AN29" s="74">
        <f t="shared" si="20"/>
        <v>0</v>
      </c>
      <c r="AO29" s="74">
        <f t="shared" si="20"/>
        <v>0</v>
      </c>
      <c r="AP29" s="75" t="e">
        <f t="shared" si="13"/>
        <v>#DIV/0!</v>
      </c>
      <c r="AQ29" s="76">
        <f t="shared" si="14"/>
        <v>0</v>
      </c>
      <c r="AR29" s="90">
        <f t="shared" si="15"/>
        <v>0</v>
      </c>
    </row>
    <row r="30" spans="1:48" x14ac:dyDescent="0.25">
      <c r="A30" t="str">
        <f t="shared" si="16"/>
        <v>46187M</v>
      </c>
      <c r="B30" s="51">
        <f t="shared" si="17"/>
        <v>46187</v>
      </c>
      <c r="C30" s="52" t="s">
        <v>87</v>
      </c>
      <c r="D30" s="91"/>
      <c r="E30" s="62"/>
      <c r="F30" s="62"/>
      <c r="G30" s="62">
        <f t="shared" si="18"/>
        <v>0</v>
      </c>
      <c r="H30" s="63">
        <f t="shared" si="19"/>
        <v>0</v>
      </c>
      <c r="I30" s="203"/>
      <c r="J30" s="203"/>
      <c r="K30" s="203"/>
      <c r="L30" s="203"/>
      <c r="M30" s="58"/>
      <c r="N30" s="58"/>
      <c r="O30" s="59"/>
      <c r="P30" s="56"/>
      <c r="Q30" s="60"/>
      <c r="R30" s="61">
        <f t="shared" si="2"/>
        <v>0</v>
      </c>
      <c r="S30" s="62">
        <f t="shared" si="3"/>
        <v>0</v>
      </c>
      <c r="T30" s="63">
        <f t="shared" si="4"/>
        <v>0</v>
      </c>
      <c r="U30" s="64"/>
      <c r="V30" s="65"/>
      <c r="W30" s="66"/>
      <c r="X30" s="67"/>
      <c r="Y30" s="68"/>
      <c r="Z30" s="68"/>
      <c r="AA30" s="62">
        <f t="shared" si="5"/>
        <v>0</v>
      </c>
      <c r="AB30" s="63">
        <f t="shared" si="6"/>
        <v>0</v>
      </c>
      <c r="AC30" s="69"/>
      <c r="AD30" s="70"/>
      <c r="AE30" s="70"/>
      <c r="AF30" s="62">
        <f t="shared" si="7"/>
        <v>0</v>
      </c>
      <c r="AG30" s="63">
        <f t="shared" si="8"/>
        <v>0</v>
      </c>
      <c r="AH30" s="89"/>
      <c r="AI30" s="66"/>
      <c r="AJ30" s="66"/>
      <c r="AK30" s="62">
        <f t="shared" si="9"/>
        <v>0</v>
      </c>
      <c r="AL30" s="72">
        <f t="shared" si="10"/>
        <v>0</v>
      </c>
      <c r="AM30" s="73">
        <f t="shared" si="11"/>
        <v>0</v>
      </c>
      <c r="AN30" s="74">
        <f t="shared" si="20"/>
        <v>0</v>
      </c>
      <c r="AO30" s="74">
        <f t="shared" si="20"/>
        <v>0</v>
      </c>
      <c r="AP30" s="75" t="e">
        <f t="shared" si="13"/>
        <v>#DIV/0!</v>
      </c>
      <c r="AQ30" s="76">
        <f t="shared" si="14"/>
        <v>0</v>
      </c>
      <c r="AR30" s="90">
        <f t="shared" si="15"/>
        <v>0</v>
      </c>
    </row>
    <row r="31" spans="1:48" x14ac:dyDescent="0.25">
      <c r="A31" t="str">
        <f t="shared" si="16"/>
        <v>46187E</v>
      </c>
      <c r="B31" s="51">
        <f t="shared" si="17"/>
        <v>46187</v>
      </c>
      <c r="C31" s="52" t="s">
        <v>88</v>
      </c>
      <c r="D31" s="91"/>
      <c r="E31" s="62"/>
      <c r="F31" s="62"/>
      <c r="G31" s="62">
        <f t="shared" si="18"/>
        <v>0</v>
      </c>
      <c r="H31" s="63">
        <f t="shared" si="19"/>
        <v>0</v>
      </c>
      <c r="I31" s="203"/>
      <c r="J31" s="203"/>
      <c r="K31" s="203"/>
      <c r="L31" s="203"/>
      <c r="M31" s="58"/>
      <c r="N31" s="58"/>
      <c r="O31" s="59"/>
      <c r="P31" s="56"/>
      <c r="Q31" s="60"/>
      <c r="R31" s="61">
        <f t="shared" si="2"/>
        <v>0</v>
      </c>
      <c r="S31" s="62">
        <f t="shared" si="3"/>
        <v>0</v>
      </c>
      <c r="T31" s="63">
        <f t="shared" si="4"/>
        <v>0</v>
      </c>
      <c r="U31" s="64"/>
      <c r="V31" s="65"/>
      <c r="W31" s="66"/>
      <c r="X31" s="67"/>
      <c r="Y31" s="68"/>
      <c r="Z31" s="68"/>
      <c r="AA31" s="62">
        <f t="shared" si="5"/>
        <v>0</v>
      </c>
      <c r="AB31" s="63">
        <f t="shared" si="6"/>
        <v>0</v>
      </c>
      <c r="AC31" s="69"/>
      <c r="AD31" s="70"/>
      <c r="AE31" s="70"/>
      <c r="AF31" s="62">
        <f t="shared" si="7"/>
        <v>0</v>
      </c>
      <c r="AG31" s="63">
        <f t="shared" si="8"/>
        <v>0</v>
      </c>
      <c r="AH31" s="89"/>
      <c r="AI31" s="66"/>
      <c r="AJ31" s="66"/>
      <c r="AK31" s="62">
        <f t="shared" si="9"/>
        <v>0</v>
      </c>
      <c r="AL31" s="72">
        <f t="shared" si="10"/>
        <v>0</v>
      </c>
      <c r="AM31" s="73">
        <f t="shared" si="11"/>
        <v>0</v>
      </c>
      <c r="AN31" s="74">
        <f t="shared" si="20"/>
        <v>0</v>
      </c>
      <c r="AO31" s="74">
        <f t="shared" si="20"/>
        <v>0</v>
      </c>
      <c r="AP31" s="75" t="e">
        <f t="shared" si="13"/>
        <v>#DIV/0!</v>
      </c>
      <c r="AQ31" s="76">
        <f t="shared" si="14"/>
        <v>0</v>
      </c>
      <c r="AR31" s="90">
        <f t="shared" si="15"/>
        <v>0</v>
      </c>
    </row>
    <row r="32" spans="1:48" x14ac:dyDescent="0.25">
      <c r="A32" t="str">
        <f t="shared" si="16"/>
        <v>46188M</v>
      </c>
      <c r="B32" s="51">
        <f t="shared" si="17"/>
        <v>46188</v>
      </c>
      <c r="C32" s="52" t="s">
        <v>87</v>
      </c>
      <c r="D32" s="91"/>
      <c r="E32" s="62"/>
      <c r="F32" s="62"/>
      <c r="G32" s="62">
        <f t="shared" si="18"/>
        <v>0</v>
      </c>
      <c r="H32" s="63">
        <f t="shared" si="19"/>
        <v>0</v>
      </c>
      <c r="I32" s="203"/>
      <c r="J32" s="203"/>
      <c r="K32" s="203"/>
      <c r="L32" s="203"/>
      <c r="M32" s="58"/>
      <c r="N32" s="57"/>
      <c r="O32" s="59"/>
      <c r="P32" s="56"/>
      <c r="Q32" s="60"/>
      <c r="R32" s="61">
        <f t="shared" si="2"/>
        <v>0</v>
      </c>
      <c r="S32" s="62">
        <f t="shared" si="3"/>
        <v>0</v>
      </c>
      <c r="T32" s="63">
        <f t="shared" si="4"/>
        <v>0</v>
      </c>
      <c r="U32" s="64"/>
      <c r="V32" s="65"/>
      <c r="W32" s="66"/>
      <c r="X32" s="67"/>
      <c r="Y32" s="68"/>
      <c r="Z32" s="68"/>
      <c r="AA32" s="62">
        <f t="shared" si="5"/>
        <v>0</v>
      </c>
      <c r="AB32" s="63">
        <f t="shared" si="6"/>
        <v>0</v>
      </c>
      <c r="AC32" s="69"/>
      <c r="AD32" s="70"/>
      <c r="AE32" s="70"/>
      <c r="AF32" s="62">
        <f t="shared" si="7"/>
        <v>0</v>
      </c>
      <c r="AG32" s="63">
        <f t="shared" si="8"/>
        <v>0</v>
      </c>
      <c r="AH32" s="89"/>
      <c r="AI32" s="66"/>
      <c r="AJ32" s="66"/>
      <c r="AK32" s="62">
        <f t="shared" si="9"/>
        <v>0</v>
      </c>
      <c r="AL32" s="72">
        <f t="shared" si="10"/>
        <v>0</v>
      </c>
      <c r="AM32" s="73">
        <f t="shared" si="11"/>
        <v>0</v>
      </c>
      <c r="AN32" s="74">
        <f t="shared" si="20"/>
        <v>0</v>
      </c>
      <c r="AO32" s="74">
        <f t="shared" si="20"/>
        <v>0</v>
      </c>
      <c r="AP32" s="75" t="e">
        <f t="shared" si="13"/>
        <v>#DIV/0!</v>
      </c>
      <c r="AQ32" s="76">
        <f t="shared" si="14"/>
        <v>0</v>
      </c>
      <c r="AR32" s="90">
        <f t="shared" si="15"/>
        <v>0</v>
      </c>
    </row>
    <row r="33" spans="1:44" x14ac:dyDescent="0.25">
      <c r="A33" t="str">
        <f t="shared" si="16"/>
        <v>46188E</v>
      </c>
      <c r="B33" s="51">
        <f t="shared" si="17"/>
        <v>46188</v>
      </c>
      <c r="C33" s="52" t="s">
        <v>88</v>
      </c>
      <c r="D33" s="91"/>
      <c r="E33" s="62"/>
      <c r="F33" s="62"/>
      <c r="G33" s="62">
        <f t="shared" si="18"/>
        <v>0</v>
      </c>
      <c r="H33" s="63">
        <f t="shared" si="19"/>
        <v>0</v>
      </c>
      <c r="I33" s="203"/>
      <c r="J33" s="203"/>
      <c r="K33" s="203"/>
      <c r="L33" s="203"/>
      <c r="M33" s="58"/>
      <c r="N33" s="58"/>
      <c r="O33" s="59"/>
      <c r="P33" s="56"/>
      <c r="Q33" s="60"/>
      <c r="R33" s="61">
        <f t="shared" si="2"/>
        <v>0</v>
      </c>
      <c r="S33" s="62">
        <f t="shared" si="3"/>
        <v>0</v>
      </c>
      <c r="T33" s="63">
        <f t="shared" si="4"/>
        <v>0</v>
      </c>
      <c r="U33" s="64"/>
      <c r="V33" s="65"/>
      <c r="W33" s="66"/>
      <c r="X33" s="67"/>
      <c r="Y33" s="68"/>
      <c r="Z33" s="68"/>
      <c r="AA33" s="62">
        <f t="shared" si="5"/>
        <v>0</v>
      </c>
      <c r="AB33" s="63">
        <f t="shared" si="6"/>
        <v>0</v>
      </c>
      <c r="AC33" s="69"/>
      <c r="AD33" s="70"/>
      <c r="AE33" s="70"/>
      <c r="AF33" s="62">
        <f t="shared" si="7"/>
        <v>0</v>
      </c>
      <c r="AG33" s="63">
        <f t="shared" si="8"/>
        <v>0</v>
      </c>
      <c r="AH33" s="89"/>
      <c r="AI33" s="66"/>
      <c r="AJ33" s="66"/>
      <c r="AK33" s="62">
        <f t="shared" si="9"/>
        <v>0</v>
      </c>
      <c r="AL33" s="72">
        <f t="shared" si="10"/>
        <v>0</v>
      </c>
      <c r="AM33" s="73">
        <f t="shared" si="11"/>
        <v>0</v>
      </c>
      <c r="AN33" s="74">
        <f t="shared" si="20"/>
        <v>0</v>
      </c>
      <c r="AO33" s="74">
        <f t="shared" si="20"/>
        <v>0</v>
      </c>
      <c r="AP33" s="75" t="e">
        <f t="shared" si="13"/>
        <v>#DIV/0!</v>
      </c>
      <c r="AQ33" s="76">
        <f t="shared" si="14"/>
        <v>0</v>
      </c>
      <c r="AR33" s="90">
        <f t="shared" si="15"/>
        <v>0</v>
      </c>
    </row>
    <row r="34" spans="1:44" x14ac:dyDescent="0.25">
      <c r="A34" t="str">
        <f t="shared" si="16"/>
        <v>46189M</v>
      </c>
      <c r="B34" s="51">
        <f t="shared" si="17"/>
        <v>46189</v>
      </c>
      <c r="C34" s="52" t="s">
        <v>87</v>
      </c>
      <c r="D34" s="91"/>
      <c r="E34" s="62"/>
      <c r="F34" s="62"/>
      <c r="G34" s="62">
        <f t="shared" si="18"/>
        <v>0</v>
      </c>
      <c r="H34" s="63">
        <f t="shared" si="19"/>
        <v>0</v>
      </c>
      <c r="I34" s="203"/>
      <c r="J34" s="203"/>
      <c r="K34" s="203"/>
      <c r="L34" s="203"/>
      <c r="M34" s="58"/>
      <c r="N34" s="58"/>
      <c r="O34" s="59"/>
      <c r="P34" s="56"/>
      <c r="Q34" s="60"/>
      <c r="R34" s="61">
        <f t="shared" si="2"/>
        <v>0</v>
      </c>
      <c r="S34" s="62">
        <f t="shared" si="3"/>
        <v>0</v>
      </c>
      <c r="T34" s="63">
        <f t="shared" si="4"/>
        <v>0</v>
      </c>
      <c r="U34" s="64"/>
      <c r="V34" s="65"/>
      <c r="W34" s="66"/>
      <c r="X34" s="67"/>
      <c r="Y34" s="68"/>
      <c r="Z34" s="68"/>
      <c r="AA34" s="62">
        <f t="shared" si="5"/>
        <v>0</v>
      </c>
      <c r="AB34" s="63">
        <f t="shared" si="6"/>
        <v>0</v>
      </c>
      <c r="AC34" s="69"/>
      <c r="AD34" s="70"/>
      <c r="AE34" s="70"/>
      <c r="AF34" s="62">
        <f t="shared" si="7"/>
        <v>0</v>
      </c>
      <c r="AG34" s="63">
        <f t="shared" si="8"/>
        <v>0</v>
      </c>
      <c r="AH34" s="89"/>
      <c r="AI34" s="66"/>
      <c r="AJ34" s="66"/>
      <c r="AK34" s="62">
        <f t="shared" si="9"/>
        <v>0</v>
      </c>
      <c r="AL34" s="72">
        <f t="shared" si="10"/>
        <v>0</v>
      </c>
      <c r="AM34" s="73">
        <f t="shared" si="11"/>
        <v>0</v>
      </c>
      <c r="AN34" s="74">
        <f t="shared" si="20"/>
        <v>0</v>
      </c>
      <c r="AO34" s="74">
        <f t="shared" si="20"/>
        <v>0</v>
      </c>
      <c r="AP34" s="75" t="e">
        <f t="shared" si="13"/>
        <v>#DIV/0!</v>
      </c>
      <c r="AQ34" s="76">
        <f t="shared" si="14"/>
        <v>0</v>
      </c>
      <c r="AR34" s="90">
        <f t="shared" si="15"/>
        <v>0</v>
      </c>
    </row>
    <row r="35" spans="1:44" x14ac:dyDescent="0.25">
      <c r="A35" t="str">
        <f t="shared" si="16"/>
        <v>46189E</v>
      </c>
      <c r="B35" s="51">
        <f t="shared" si="17"/>
        <v>46189</v>
      </c>
      <c r="C35" s="52" t="s">
        <v>88</v>
      </c>
      <c r="D35" s="91"/>
      <c r="E35" s="62"/>
      <c r="F35" s="62"/>
      <c r="G35" s="62">
        <f t="shared" si="18"/>
        <v>0</v>
      </c>
      <c r="H35" s="63">
        <f t="shared" si="19"/>
        <v>0</v>
      </c>
      <c r="I35" s="203"/>
      <c r="J35" s="203"/>
      <c r="K35" s="203"/>
      <c r="L35" s="203"/>
      <c r="M35" s="58"/>
      <c r="N35" s="58"/>
      <c r="O35" s="59"/>
      <c r="P35" s="56"/>
      <c r="Q35" s="60"/>
      <c r="R35" s="61">
        <f t="shared" si="2"/>
        <v>0</v>
      </c>
      <c r="S35" s="62">
        <f t="shared" si="3"/>
        <v>0</v>
      </c>
      <c r="T35" s="63">
        <f t="shared" si="4"/>
        <v>0</v>
      </c>
      <c r="U35" s="64"/>
      <c r="V35" s="65"/>
      <c r="W35" s="66"/>
      <c r="X35" s="67"/>
      <c r="Y35" s="68"/>
      <c r="Z35" s="68"/>
      <c r="AA35" s="62">
        <f t="shared" si="5"/>
        <v>0</v>
      </c>
      <c r="AB35" s="63">
        <f t="shared" si="6"/>
        <v>0</v>
      </c>
      <c r="AC35" s="69"/>
      <c r="AD35" s="70"/>
      <c r="AE35" s="70"/>
      <c r="AF35" s="62">
        <f t="shared" si="7"/>
        <v>0</v>
      </c>
      <c r="AG35" s="63">
        <f t="shared" si="8"/>
        <v>0</v>
      </c>
      <c r="AH35" s="89"/>
      <c r="AI35" s="66"/>
      <c r="AJ35" s="66"/>
      <c r="AK35" s="62">
        <f t="shared" si="9"/>
        <v>0</v>
      </c>
      <c r="AL35" s="72">
        <f t="shared" si="10"/>
        <v>0</v>
      </c>
      <c r="AM35" s="73">
        <f t="shared" si="11"/>
        <v>0</v>
      </c>
      <c r="AN35" s="74">
        <f t="shared" si="20"/>
        <v>0</v>
      </c>
      <c r="AO35" s="74">
        <f t="shared" si="20"/>
        <v>0</v>
      </c>
      <c r="AP35" s="75" t="e">
        <f t="shared" si="13"/>
        <v>#DIV/0!</v>
      </c>
      <c r="AQ35" s="76">
        <f t="shared" si="14"/>
        <v>0</v>
      </c>
      <c r="AR35" s="90">
        <f t="shared" si="15"/>
        <v>0</v>
      </c>
    </row>
    <row r="36" spans="1:44" x14ac:dyDescent="0.25">
      <c r="A36" t="str">
        <f t="shared" si="16"/>
        <v>46190M</v>
      </c>
      <c r="B36" s="51">
        <f t="shared" si="17"/>
        <v>46190</v>
      </c>
      <c r="C36" s="52" t="s">
        <v>87</v>
      </c>
      <c r="D36" s="91"/>
      <c r="E36" s="62"/>
      <c r="F36" s="62"/>
      <c r="G36" s="62">
        <f t="shared" si="18"/>
        <v>0</v>
      </c>
      <c r="H36" s="63">
        <f t="shared" si="19"/>
        <v>0</v>
      </c>
      <c r="I36" s="203"/>
      <c r="J36" s="203"/>
      <c r="K36" s="203"/>
      <c r="L36" s="203"/>
      <c r="M36" s="58"/>
      <c r="N36" s="58"/>
      <c r="O36" s="59"/>
      <c r="P36" s="56"/>
      <c r="Q36" s="60"/>
      <c r="R36" s="61">
        <f t="shared" si="2"/>
        <v>0</v>
      </c>
      <c r="S36" s="62">
        <f t="shared" si="3"/>
        <v>0</v>
      </c>
      <c r="T36" s="63">
        <f t="shared" si="4"/>
        <v>0</v>
      </c>
      <c r="U36" s="64"/>
      <c r="V36" s="85"/>
      <c r="W36" s="66"/>
      <c r="X36" s="67"/>
      <c r="Y36" s="68"/>
      <c r="Z36" s="68"/>
      <c r="AA36" s="62">
        <f t="shared" si="5"/>
        <v>0</v>
      </c>
      <c r="AB36" s="63">
        <f t="shared" si="6"/>
        <v>0</v>
      </c>
      <c r="AC36" s="69"/>
      <c r="AD36" s="70"/>
      <c r="AE36" s="70"/>
      <c r="AF36" s="62">
        <f t="shared" si="7"/>
        <v>0</v>
      </c>
      <c r="AG36" s="63">
        <f t="shared" si="8"/>
        <v>0</v>
      </c>
      <c r="AH36" s="89"/>
      <c r="AI36" s="66"/>
      <c r="AJ36" s="66"/>
      <c r="AK36" s="62">
        <f t="shared" si="9"/>
        <v>0</v>
      </c>
      <c r="AL36" s="72">
        <f t="shared" si="10"/>
        <v>0</v>
      </c>
      <c r="AM36" s="73">
        <f t="shared" si="11"/>
        <v>0</v>
      </c>
      <c r="AN36" s="74">
        <f t="shared" si="20"/>
        <v>0</v>
      </c>
      <c r="AO36" s="74">
        <f t="shared" si="20"/>
        <v>0</v>
      </c>
      <c r="AP36" s="75" t="e">
        <f t="shared" si="13"/>
        <v>#DIV/0!</v>
      </c>
      <c r="AQ36" s="76">
        <f t="shared" si="14"/>
        <v>0</v>
      </c>
      <c r="AR36" s="90">
        <f t="shared" si="15"/>
        <v>0</v>
      </c>
    </row>
    <row r="37" spans="1:44" x14ac:dyDescent="0.25">
      <c r="A37" t="str">
        <f t="shared" si="16"/>
        <v>46190E</v>
      </c>
      <c r="B37" s="51">
        <f t="shared" si="17"/>
        <v>46190</v>
      </c>
      <c r="C37" s="52" t="s">
        <v>88</v>
      </c>
      <c r="D37" s="91"/>
      <c r="E37" s="62"/>
      <c r="F37" s="62"/>
      <c r="G37" s="62">
        <f t="shared" si="18"/>
        <v>0</v>
      </c>
      <c r="H37" s="63">
        <f t="shared" si="19"/>
        <v>0</v>
      </c>
      <c r="I37" s="203"/>
      <c r="J37" s="203"/>
      <c r="K37" s="203"/>
      <c r="L37" s="203"/>
      <c r="M37" s="58"/>
      <c r="N37" s="58"/>
      <c r="O37" s="59"/>
      <c r="P37" s="56"/>
      <c r="Q37" s="60"/>
      <c r="R37" s="61">
        <f t="shared" si="2"/>
        <v>0</v>
      </c>
      <c r="S37" s="62">
        <f t="shared" si="3"/>
        <v>0</v>
      </c>
      <c r="T37" s="63">
        <f t="shared" si="4"/>
        <v>0</v>
      </c>
      <c r="U37" s="64"/>
      <c r="V37" s="65"/>
      <c r="W37" s="66"/>
      <c r="X37" s="67"/>
      <c r="Y37" s="68"/>
      <c r="Z37" s="68"/>
      <c r="AA37" s="62">
        <f t="shared" si="5"/>
        <v>0</v>
      </c>
      <c r="AB37" s="63">
        <f t="shared" si="6"/>
        <v>0</v>
      </c>
      <c r="AC37" s="69"/>
      <c r="AD37" s="70"/>
      <c r="AE37" s="70"/>
      <c r="AF37" s="62">
        <f t="shared" si="7"/>
        <v>0</v>
      </c>
      <c r="AG37" s="63">
        <f t="shared" si="8"/>
        <v>0</v>
      </c>
      <c r="AH37" s="89"/>
      <c r="AI37" s="66"/>
      <c r="AJ37" s="66"/>
      <c r="AK37" s="62">
        <f t="shared" si="9"/>
        <v>0</v>
      </c>
      <c r="AL37" s="72">
        <f t="shared" si="10"/>
        <v>0</v>
      </c>
      <c r="AM37" s="73">
        <f t="shared" si="11"/>
        <v>0</v>
      </c>
      <c r="AN37" s="74">
        <f t="shared" si="20"/>
        <v>0</v>
      </c>
      <c r="AO37" s="74">
        <f t="shared" si="20"/>
        <v>0</v>
      </c>
      <c r="AP37" s="75" t="e">
        <f t="shared" si="13"/>
        <v>#DIV/0!</v>
      </c>
      <c r="AQ37" s="76">
        <f t="shared" si="14"/>
        <v>0</v>
      </c>
      <c r="AR37" s="90">
        <f t="shared" si="15"/>
        <v>0</v>
      </c>
    </row>
    <row r="38" spans="1:44" x14ac:dyDescent="0.25">
      <c r="A38" t="str">
        <f t="shared" si="16"/>
        <v>46191M</v>
      </c>
      <c r="B38" s="51">
        <f t="shared" si="17"/>
        <v>46191</v>
      </c>
      <c r="C38" s="52" t="s">
        <v>87</v>
      </c>
      <c r="D38" s="91"/>
      <c r="E38" s="62"/>
      <c r="F38" s="62"/>
      <c r="G38" s="62">
        <f t="shared" si="18"/>
        <v>0</v>
      </c>
      <c r="H38" s="63">
        <f t="shared" si="19"/>
        <v>0</v>
      </c>
      <c r="I38" s="203"/>
      <c r="J38" s="203"/>
      <c r="K38" s="203"/>
      <c r="L38" s="203"/>
      <c r="M38" s="58"/>
      <c r="N38" s="58"/>
      <c r="O38" s="59"/>
      <c r="P38" s="56"/>
      <c r="Q38" s="60"/>
      <c r="R38" s="61">
        <f t="shared" si="2"/>
        <v>0</v>
      </c>
      <c r="S38" s="62">
        <f t="shared" si="3"/>
        <v>0</v>
      </c>
      <c r="T38" s="63">
        <f t="shared" si="4"/>
        <v>0</v>
      </c>
      <c r="U38" s="64"/>
      <c r="V38" s="65"/>
      <c r="W38" s="66"/>
      <c r="X38" s="67"/>
      <c r="Y38" s="68"/>
      <c r="Z38" s="68"/>
      <c r="AA38" s="62">
        <f t="shared" si="5"/>
        <v>0</v>
      </c>
      <c r="AB38" s="63">
        <f t="shared" si="6"/>
        <v>0</v>
      </c>
      <c r="AC38" s="69"/>
      <c r="AD38" s="70"/>
      <c r="AE38" s="70"/>
      <c r="AF38" s="62">
        <f t="shared" si="7"/>
        <v>0</v>
      </c>
      <c r="AG38" s="63">
        <f t="shared" si="8"/>
        <v>0</v>
      </c>
      <c r="AH38" s="89"/>
      <c r="AI38" s="71"/>
      <c r="AJ38" s="71"/>
      <c r="AK38" s="62">
        <f t="shared" si="9"/>
        <v>0</v>
      </c>
      <c r="AL38" s="72">
        <f t="shared" si="10"/>
        <v>0</v>
      </c>
      <c r="AM38" s="73">
        <f t="shared" si="11"/>
        <v>0</v>
      </c>
      <c r="AN38" s="74">
        <f t="shared" si="20"/>
        <v>0</v>
      </c>
      <c r="AO38" s="74">
        <f t="shared" si="20"/>
        <v>0</v>
      </c>
      <c r="AP38" s="75" t="e">
        <f t="shared" si="13"/>
        <v>#DIV/0!</v>
      </c>
      <c r="AQ38" s="76">
        <f t="shared" si="14"/>
        <v>0</v>
      </c>
      <c r="AR38" s="90">
        <f t="shared" si="15"/>
        <v>0</v>
      </c>
    </row>
    <row r="39" spans="1:44" x14ac:dyDescent="0.25">
      <c r="A39" t="str">
        <f t="shared" si="16"/>
        <v>46191E</v>
      </c>
      <c r="B39" s="51">
        <f t="shared" si="17"/>
        <v>46191</v>
      </c>
      <c r="C39" s="52" t="s">
        <v>88</v>
      </c>
      <c r="D39" s="91"/>
      <c r="E39" s="62"/>
      <c r="F39" s="62"/>
      <c r="G39" s="62">
        <f t="shared" si="18"/>
        <v>0</v>
      </c>
      <c r="H39" s="63">
        <f t="shared" si="19"/>
        <v>0</v>
      </c>
      <c r="I39" s="203"/>
      <c r="J39" s="203"/>
      <c r="K39" s="203"/>
      <c r="L39" s="203"/>
      <c r="M39" s="58"/>
      <c r="N39" s="58"/>
      <c r="O39" s="59"/>
      <c r="P39" s="56"/>
      <c r="Q39" s="60"/>
      <c r="R39" s="61">
        <f t="shared" si="2"/>
        <v>0</v>
      </c>
      <c r="S39" s="62">
        <f t="shared" si="3"/>
        <v>0</v>
      </c>
      <c r="T39" s="63">
        <f t="shared" si="4"/>
        <v>0</v>
      </c>
      <c r="U39" s="64"/>
      <c r="V39" s="65"/>
      <c r="W39" s="66"/>
      <c r="X39" s="67"/>
      <c r="Y39" s="68"/>
      <c r="Z39" s="68"/>
      <c r="AA39" s="62">
        <f t="shared" si="5"/>
        <v>0</v>
      </c>
      <c r="AB39" s="63">
        <f t="shared" si="6"/>
        <v>0</v>
      </c>
      <c r="AC39" s="69"/>
      <c r="AD39" s="70"/>
      <c r="AE39" s="70"/>
      <c r="AF39" s="62">
        <f t="shared" si="7"/>
        <v>0</v>
      </c>
      <c r="AG39" s="63">
        <f t="shared" si="8"/>
        <v>0</v>
      </c>
      <c r="AH39" s="89"/>
      <c r="AI39" s="66"/>
      <c r="AJ39" s="66"/>
      <c r="AK39" s="62">
        <f t="shared" si="9"/>
        <v>0</v>
      </c>
      <c r="AL39" s="72">
        <f t="shared" si="10"/>
        <v>0</v>
      </c>
      <c r="AM39" s="73">
        <f t="shared" si="11"/>
        <v>0</v>
      </c>
      <c r="AN39" s="74">
        <f t="shared" si="20"/>
        <v>0</v>
      </c>
      <c r="AO39" s="74">
        <f t="shared" si="20"/>
        <v>0</v>
      </c>
      <c r="AP39" s="75" t="e">
        <f t="shared" si="13"/>
        <v>#DIV/0!</v>
      </c>
      <c r="AQ39" s="76">
        <f t="shared" si="14"/>
        <v>0</v>
      </c>
      <c r="AR39" s="90">
        <f t="shared" si="15"/>
        <v>0</v>
      </c>
    </row>
    <row r="40" spans="1:44" x14ac:dyDescent="0.25">
      <c r="A40" t="str">
        <f t="shared" si="16"/>
        <v>46192M</v>
      </c>
      <c r="B40" s="51">
        <f t="shared" si="17"/>
        <v>46192</v>
      </c>
      <c r="C40" s="52" t="s">
        <v>87</v>
      </c>
      <c r="D40" s="91"/>
      <c r="E40" s="62"/>
      <c r="F40" s="62"/>
      <c r="G40" s="62">
        <f t="shared" si="18"/>
        <v>0</v>
      </c>
      <c r="H40" s="63">
        <f t="shared" si="19"/>
        <v>0</v>
      </c>
      <c r="I40" s="203"/>
      <c r="J40" s="203"/>
      <c r="K40" s="203"/>
      <c r="L40" s="203"/>
      <c r="M40" s="58"/>
      <c r="N40" s="58"/>
      <c r="O40" s="59"/>
      <c r="P40" s="56"/>
      <c r="Q40" s="60"/>
      <c r="R40" s="61">
        <f t="shared" si="2"/>
        <v>0</v>
      </c>
      <c r="S40" s="62">
        <f t="shared" si="3"/>
        <v>0</v>
      </c>
      <c r="T40" s="63">
        <f t="shared" si="4"/>
        <v>0</v>
      </c>
      <c r="U40" s="64"/>
      <c r="V40" s="65"/>
      <c r="W40" s="66"/>
      <c r="X40" s="67"/>
      <c r="Y40" s="68"/>
      <c r="Z40" s="68"/>
      <c r="AA40" s="62">
        <f t="shared" si="5"/>
        <v>0</v>
      </c>
      <c r="AB40" s="63">
        <f t="shared" si="6"/>
        <v>0</v>
      </c>
      <c r="AC40" s="69"/>
      <c r="AD40" s="70"/>
      <c r="AE40" s="70"/>
      <c r="AF40" s="62">
        <f t="shared" si="7"/>
        <v>0</v>
      </c>
      <c r="AG40" s="63">
        <f t="shared" si="8"/>
        <v>0</v>
      </c>
      <c r="AH40" s="89"/>
      <c r="AI40" s="66"/>
      <c r="AJ40" s="66"/>
      <c r="AK40" s="62">
        <f t="shared" si="9"/>
        <v>0</v>
      </c>
      <c r="AL40" s="72">
        <f t="shared" si="10"/>
        <v>0</v>
      </c>
      <c r="AM40" s="73">
        <f t="shared" si="11"/>
        <v>0</v>
      </c>
      <c r="AN40" s="74">
        <f t="shared" si="20"/>
        <v>0</v>
      </c>
      <c r="AO40" s="74">
        <f t="shared" si="20"/>
        <v>0</v>
      </c>
      <c r="AP40" s="75" t="e">
        <f t="shared" si="13"/>
        <v>#DIV/0!</v>
      </c>
      <c r="AQ40" s="76">
        <f t="shared" si="14"/>
        <v>0</v>
      </c>
      <c r="AR40" s="90">
        <f t="shared" si="15"/>
        <v>0</v>
      </c>
    </row>
    <row r="41" spans="1:44" x14ac:dyDescent="0.25">
      <c r="A41" t="str">
        <f t="shared" si="16"/>
        <v>46192E</v>
      </c>
      <c r="B41" s="51">
        <f t="shared" si="17"/>
        <v>46192</v>
      </c>
      <c r="C41" s="52" t="s">
        <v>88</v>
      </c>
      <c r="D41" s="91"/>
      <c r="E41" s="62"/>
      <c r="F41" s="62"/>
      <c r="G41" s="62">
        <f t="shared" si="18"/>
        <v>0</v>
      </c>
      <c r="H41" s="63">
        <f t="shared" si="19"/>
        <v>0</v>
      </c>
      <c r="I41" s="203"/>
      <c r="J41" s="203"/>
      <c r="K41" s="203"/>
      <c r="L41" s="203"/>
      <c r="M41" s="58"/>
      <c r="N41" s="58"/>
      <c r="O41" s="59"/>
      <c r="P41" s="56"/>
      <c r="Q41" s="60"/>
      <c r="R41" s="61">
        <f t="shared" si="2"/>
        <v>0</v>
      </c>
      <c r="S41" s="62">
        <f t="shared" si="3"/>
        <v>0</v>
      </c>
      <c r="T41" s="63">
        <f t="shared" si="4"/>
        <v>0</v>
      </c>
      <c r="U41" s="64"/>
      <c r="V41" s="65"/>
      <c r="W41" s="66"/>
      <c r="X41" s="67"/>
      <c r="Y41" s="68"/>
      <c r="Z41" s="68"/>
      <c r="AA41" s="62">
        <f t="shared" si="5"/>
        <v>0</v>
      </c>
      <c r="AB41" s="63">
        <f t="shared" si="6"/>
        <v>0</v>
      </c>
      <c r="AC41" s="69"/>
      <c r="AD41" s="70"/>
      <c r="AE41" s="70"/>
      <c r="AF41" s="62">
        <f t="shared" si="7"/>
        <v>0</v>
      </c>
      <c r="AG41" s="63">
        <f t="shared" si="8"/>
        <v>0</v>
      </c>
      <c r="AH41" s="89"/>
      <c r="AI41" s="71"/>
      <c r="AJ41" s="71"/>
      <c r="AK41" s="62">
        <f t="shared" si="9"/>
        <v>0</v>
      </c>
      <c r="AL41" s="72">
        <f t="shared" si="10"/>
        <v>0</v>
      </c>
      <c r="AM41" s="73">
        <f t="shared" si="11"/>
        <v>0</v>
      </c>
      <c r="AN41" s="74">
        <f t="shared" si="20"/>
        <v>0</v>
      </c>
      <c r="AO41" s="74">
        <f t="shared" si="20"/>
        <v>0</v>
      </c>
      <c r="AP41" s="75" t="e">
        <f t="shared" si="13"/>
        <v>#DIV/0!</v>
      </c>
      <c r="AQ41" s="76">
        <f t="shared" si="14"/>
        <v>0</v>
      </c>
      <c r="AR41" s="90">
        <f t="shared" si="15"/>
        <v>0</v>
      </c>
    </row>
    <row r="42" spans="1:44" x14ac:dyDescent="0.25">
      <c r="A42" t="str">
        <f t="shared" si="16"/>
        <v>46193M</v>
      </c>
      <c r="B42" s="51">
        <f t="shared" si="17"/>
        <v>46193</v>
      </c>
      <c r="C42" s="52" t="s">
        <v>87</v>
      </c>
      <c r="D42" s="91"/>
      <c r="E42" s="62"/>
      <c r="F42" s="62"/>
      <c r="G42" s="62">
        <f t="shared" si="18"/>
        <v>0</v>
      </c>
      <c r="H42" s="63">
        <f t="shared" si="19"/>
        <v>0</v>
      </c>
      <c r="I42" s="203"/>
      <c r="J42" s="203"/>
      <c r="K42" s="203"/>
      <c r="L42" s="203"/>
      <c r="M42" s="58"/>
      <c r="N42" s="58"/>
      <c r="O42" s="59"/>
      <c r="P42" s="56"/>
      <c r="Q42" s="60"/>
      <c r="R42" s="61">
        <f t="shared" si="2"/>
        <v>0</v>
      </c>
      <c r="S42" s="62">
        <f t="shared" si="3"/>
        <v>0</v>
      </c>
      <c r="T42" s="63">
        <f t="shared" si="4"/>
        <v>0</v>
      </c>
      <c r="U42" s="64"/>
      <c r="V42" s="65"/>
      <c r="W42" s="66"/>
      <c r="X42" s="67"/>
      <c r="Y42" s="68"/>
      <c r="Z42" s="68"/>
      <c r="AA42" s="62">
        <f t="shared" si="5"/>
        <v>0</v>
      </c>
      <c r="AB42" s="63">
        <f t="shared" si="6"/>
        <v>0</v>
      </c>
      <c r="AC42" s="69"/>
      <c r="AD42" s="70"/>
      <c r="AE42" s="70"/>
      <c r="AF42" s="62">
        <f t="shared" si="7"/>
        <v>0</v>
      </c>
      <c r="AG42" s="63">
        <f t="shared" si="8"/>
        <v>0</v>
      </c>
      <c r="AH42" s="89"/>
      <c r="AI42" s="66"/>
      <c r="AJ42" s="66"/>
      <c r="AK42" s="62">
        <f t="shared" si="9"/>
        <v>0</v>
      </c>
      <c r="AL42" s="72">
        <f t="shared" si="10"/>
        <v>0</v>
      </c>
      <c r="AM42" s="73">
        <f t="shared" si="11"/>
        <v>0</v>
      </c>
      <c r="AN42" s="74">
        <f t="shared" si="20"/>
        <v>0</v>
      </c>
      <c r="AO42" s="74">
        <f t="shared" si="20"/>
        <v>0</v>
      </c>
      <c r="AP42" s="75" t="e">
        <f t="shared" si="13"/>
        <v>#DIV/0!</v>
      </c>
      <c r="AQ42" s="76">
        <f t="shared" si="14"/>
        <v>0</v>
      </c>
      <c r="AR42" s="90">
        <f t="shared" si="15"/>
        <v>0</v>
      </c>
    </row>
    <row r="43" spans="1:44" x14ac:dyDescent="0.25">
      <c r="A43" t="str">
        <f t="shared" si="16"/>
        <v>46193E</v>
      </c>
      <c r="B43" s="51">
        <f t="shared" si="17"/>
        <v>46193</v>
      </c>
      <c r="C43" s="52" t="s">
        <v>88</v>
      </c>
      <c r="D43" s="91"/>
      <c r="E43" s="62"/>
      <c r="F43" s="62"/>
      <c r="G43" s="62">
        <f t="shared" si="18"/>
        <v>0</v>
      </c>
      <c r="H43" s="63">
        <f t="shared" si="19"/>
        <v>0</v>
      </c>
      <c r="I43" s="203"/>
      <c r="J43" s="203"/>
      <c r="K43" s="203"/>
      <c r="L43" s="203"/>
      <c r="M43" s="58"/>
      <c r="N43" s="58"/>
      <c r="O43" s="59"/>
      <c r="P43" s="56"/>
      <c r="Q43" s="60"/>
      <c r="R43" s="61">
        <f t="shared" si="2"/>
        <v>0</v>
      </c>
      <c r="S43" s="62">
        <f t="shared" si="3"/>
        <v>0</v>
      </c>
      <c r="T43" s="63">
        <f t="shared" si="4"/>
        <v>0</v>
      </c>
      <c r="U43" s="64"/>
      <c r="V43" s="65"/>
      <c r="W43" s="66"/>
      <c r="X43" s="67"/>
      <c r="Y43" s="68"/>
      <c r="Z43" s="68"/>
      <c r="AA43" s="62">
        <f t="shared" si="5"/>
        <v>0</v>
      </c>
      <c r="AB43" s="63">
        <f t="shared" si="6"/>
        <v>0</v>
      </c>
      <c r="AC43" s="69"/>
      <c r="AD43" s="70"/>
      <c r="AE43" s="70"/>
      <c r="AF43" s="62">
        <f t="shared" si="7"/>
        <v>0</v>
      </c>
      <c r="AG43" s="63">
        <f t="shared" si="8"/>
        <v>0</v>
      </c>
      <c r="AH43" s="89"/>
      <c r="AI43" s="71"/>
      <c r="AJ43" s="71"/>
      <c r="AK43" s="62">
        <f t="shared" si="9"/>
        <v>0</v>
      </c>
      <c r="AL43" s="72">
        <f t="shared" si="10"/>
        <v>0</v>
      </c>
      <c r="AM43" s="73">
        <f t="shared" si="11"/>
        <v>0</v>
      </c>
      <c r="AN43" s="74">
        <f t="shared" si="20"/>
        <v>0</v>
      </c>
      <c r="AO43" s="74">
        <f t="shared" si="20"/>
        <v>0</v>
      </c>
      <c r="AP43" s="75" t="e">
        <f t="shared" si="13"/>
        <v>#DIV/0!</v>
      </c>
      <c r="AQ43" s="76">
        <f t="shared" si="14"/>
        <v>0</v>
      </c>
      <c r="AR43" s="90">
        <f t="shared" si="15"/>
        <v>0</v>
      </c>
    </row>
    <row r="44" spans="1:44" x14ac:dyDescent="0.25">
      <c r="A44" t="str">
        <f t="shared" si="16"/>
        <v>46194M</v>
      </c>
      <c r="B44" s="51">
        <f t="shared" si="17"/>
        <v>46194</v>
      </c>
      <c r="C44" s="52" t="s">
        <v>87</v>
      </c>
      <c r="D44" s="91"/>
      <c r="E44" s="62"/>
      <c r="F44" s="62"/>
      <c r="G44" s="62">
        <f t="shared" si="18"/>
        <v>0</v>
      </c>
      <c r="H44" s="63">
        <f t="shared" si="19"/>
        <v>0</v>
      </c>
      <c r="I44" s="203"/>
      <c r="J44" s="203"/>
      <c r="K44" s="203"/>
      <c r="L44" s="203"/>
      <c r="M44" s="58"/>
      <c r="N44" s="58"/>
      <c r="O44" s="59"/>
      <c r="P44" s="56"/>
      <c r="Q44" s="60"/>
      <c r="R44" s="61">
        <f t="shared" si="2"/>
        <v>0</v>
      </c>
      <c r="S44" s="62">
        <f t="shared" si="3"/>
        <v>0</v>
      </c>
      <c r="T44" s="63">
        <f t="shared" si="4"/>
        <v>0</v>
      </c>
      <c r="U44" s="64"/>
      <c r="V44" s="65"/>
      <c r="W44" s="66"/>
      <c r="X44" s="67"/>
      <c r="Y44" s="68"/>
      <c r="Z44" s="68"/>
      <c r="AA44" s="62">
        <f t="shared" si="5"/>
        <v>0</v>
      </c>
      <c r="AB44" s="63">
        <f t="shared" si="6"/>
        <v>0</v>
      </c>
      <c r="AC44" s="69"/>
      <c r="AD44" s="70"/>
      <c r="AE44" s="70"/>
      <c r="AF44" s="62">
        <f t="shared" si="7"/>
        <v>0</v>
      </c>
      <c r="AG44" s="63">
        <f t="shared" si="8"/>
        <v>0</v>
      </c>
      <c r="AH44" s="89"/>
      <c r="AI44" s="66"/>
      <c r="AJ44" s="66"/>
      <c r="AK44" s="62">
        <f t="shared" si="9"/>
        <v>0</v>
      </c>
      <c r="AL44" s="72">
        <f t="shared" si="10"/>
        <v>0</v>
      </c>
      <c r="AM44" s="73">
        <f t="shared" si="11"/>
        <v>0</v>
      </c>
      <c r="AN44" s="74">
        <f t="shared" si="20"/>
        <v>0</v>
      </c>
      <c r="AO44" s="74">
        <f t="shared" si="20"/>
        <v>0</v>
      </c>
      <c r="AP44" s="75" t="e">
        <f t="shared" si="13"/>
        <v>#DIV/0!</v>
      </c>
      <c r="AQ44" s="76">
        <f t="shared" si="14"/>
        <v>0</v>
      </c>
      <c r="AR44" s="90">
        <f t="shared" si="15"/>
        <v>0</v>
      </c>
    </row>
    <row r="45" spans="1:44" x14ac:dyDescent="0.25">
      <c r="A45" t="str">
        <f t="shared" si="16"/>
        <v>46194E</v>
      </c>
      <c r="B45" s="51">
        <f t="shared" si="17"/>
        <v>46194</v>
      </c>
      <c r="C45" s="52" t="s">
        <v>88</v>
      </c>
      <c r="D45" s="91"/>
      <c r="E45" s="62"/>
      <c r="F45" s="62"/>
      <c r="G45" s="62">
        <f t="shared" si="18"/>
        <v>0</v>
      </c>
      <c r="H45" s="63">
        <f t="shared" si="19"/>
        <v>0</v>
      </c>
      <c r="I45" s="203"/>
      <c r="J45" s="203"/>
      <c r="K45" s="203"/>
      <c r="L45" s="203"/>
      <c r="M45" s="58"/>
      <c r="N45" s="58"/>
      <c r="O45" s="59"/>
      <c r="P45" s="56"/>
      <c r="Q45" s="60"/>
      <c r="R45" s="61">
        <f t="shared" si="2"/>
        <v>0</v>
      </c>
      <c r="S45" s="62">
        <f t="shared" si="3"/>
        <v>0</v>
      </c>
      <c r="T45" s="63">
        <f t="shared" si="4"/>
        <v>0</v>
      </c>
      <c r="U45" s="64"/>
      <c r="V45" s="65"/>
      <c r="W45" s="66"/>
      <c r="X45" s="67"/>
      <c r="Y45" s="68"/>
      <c r="Z45" s="68"/>
      <c r="AA45" s="62">
        <f t="shared" si="5"/>
        <v>0</v>
      </c>
      <c r="AB45" s="63">
        <f t="shared" si="6"/>
        <v>0</v>
      </c>
      <c r="AC45" s="69"/>
      <c r="AD45" s="70"/>
      <c r="AE45" s="70"/>
      <c r="AF45" s="62">
        <f t="shared" si="7"/>
        <v>0</v>
      </c>
      <c r="AG45" s="63">
        <f t="shared" si="8"/>
        <v>0</v>
      </c>
      <c r="AH45" s="89"/>
      <c r="AI45" s="71"/>
      <c r="AJ45" s="71"/>
      <c r="AK45" s="62">
        <f t="shared" si="9"/>
        <v>0</v>
      </c>
      <c r="AL45" s="72">
        <f t="shared" si="10"/>
        <v>0</v>
      </c>
      <c r="AM45" s="73">
        <f t="shared" si="11"/>
        <v>0</v>
      </c>
      <c r="AN45" s="74">
        <f t="shared" si="20"/>
        <v>0</v>
      </c>
      <c r="AO45" s="74">
        <f t="shared" si="20"/>
        <v>0</v>
      </c>
      <c r="AP45" s="75" t="e">
        <f t="shared" si="13"/>
        <v>#DIV/0!</v>
      </c>
      <c r="AQ45" s="76">
        <f t="shared" si="14"/>
        <v>0</v>
      </c>
      <c r="AR45" s="90">
        <f t="shared" si="15"/>
        <v>0</v>
      </c>
    </row>
    <row r="46" spans="1:44" x14ac:dyDescent="0.25">
      <c r="A46" t="str">
        <f t="shared" si="16"/>
        <v>46195M</v>
      </c>
      <c r="B46" s="51">
        <f t="shared" si="17"/>
        <v>46195</v>
      </c>
      <c r="C46" s="52" t="s">
        <v>87</v>
      </c>
      <c r="D46" s="91"/>
      <c r="E46" s="62"/>
      <c r="F46" s="62"/>
      <c r="G46" s="62">
        <f t="shared" si="18"/>
        <v>0</v>
      </c>
      <c r="H46" s="63">
        <f t="shared" si="19"/>
        <v>0</v>
      </c>
      <c r="I46" s="203"/>
      <c r="J46" s="203"/>
      <c r="K46" s="203"/>
      <c r="L46" s="203"/>
      <c r="M46" s="58"/>
      <c r="N46" s="58"/>
      <c r="O46" s="59"/>
      <c r="P46" s="56"/>
      <c r="Q46" s="60"/>
      <c r="R46" s="61">
        <f t="shared" si="2"/>
        <v>0</v>
      </c>
      <c r="S46" s="62">
        <f t="shared" si="3"/>
        <v>0</v>
      </c>
      <c r="T46" s="63">
        <f t="shared" si="4"/>
        <v>0</v>
      </c>
      <c r="U46" s="64"/>
      <c r="V46" s="65"/>
      <c r="W46" s="66"/>
      <c r="X46" s="67"/>
      <c r="Y46" s="68"/>
      <c r="Z46" s="68"/>
      <c r="AA46" s="62">
        <f t="shared" si="5"/>
        <v>0</v>
      </c>
      <c r="AB46" s="63">
        <f t="shared" si="6"/>
        <v>0</v>
      </c>
      <c r="AC46" s="69"/>
      <c r="AD46" s="70"/>
      <c r="AE46" s="70"/>
      <c r="AF46" s="62">
        <f t="shared" si="7"/>
        <v>0</v>
      </c>
      <c r="AG46" s="63">
        <f t="shared" si="8"/>
        <v>0</v>
      </c>
      <c r="AH46" s="89"/>
      <c r="AI46" s="66"/>
      <c r="AJ46" s="66"/>
      <c r="AK46" s="62">
        <f t="shared" si="9"/>
        <v>0</v>
      </c>
      <c r="AL46" s="72">
        <f t="shared" si="10"/>
        <v>0</v>
      </c>
      <c r="AM46" s="73">
        <f t="shared" si="11"/>
        <v>0</v>
      </c>
      <c r="AN46" s="74">
        <f t="shared" si="20"/>
        <v>0</v>
      </c>
      <c r="AO46" s="74">
        <f t="shared" si="20"/>
        <v>0</v>
      </c>
      <c r="AP46" s="75" t="e">
        <f t="shared" si="13"/>
        <v>#DIV/0!</v>
      </c>
      <c r="AQ46" s="76">
        <f t="shared" si="14"/>
        <v>0</v>
      </c>
      <c r="AR46" s="90">
        <f t="shared" si="15"/>
        <v>0</v>
      </c>
    </row>
    <row r="47" spans="1:44" x14ac:dyDescent="0.25">
      <c r="A47" t="str">
        <f t="shared" si="16"/>
        <v>46195E</v>
      </c>
      <c r="B47" s="51">
        <f t="shared" si="17"/>
        <v>46195</v>
      </c>
      <c r="C47" s="52" t="s">
        <v>88</v>
      </c>
      <c r="D47" s="91"/>
      <c r="E47" s="62"/>
      <c r="F47" s="62"/>
      <c r="G47" s="62">
        <f t="shared" si="18"/>
        <v>0</v>
      </c>
      <c r="H47" s="63">
        <f t="shared" si="19"/>
        <v>0</v>
      </c>
      <c r="I47" s="203"/>
      <c r="J47" s="203"/>
      <c r="K47" s="203"/>
      <c r="L47" s="203"/>
      <c r="M47" s="58"/>
      <c r="N47" s="58"/>
      <c r="O47" s="59"/>
      <c r="P47" s="56"/>
      <c r="Q47" s="60"/>
      <c r="R47" s="61">
        <f t="shared" si="2"/>
        <v>0</v>
      </c>
      <c r="S47" s="62">
        <f t="shared" si="3"/>
        <v>0</v>
      </c>
      <c r="T47" s="63">
        <f t="shared" si="4"/>
        <v>0</v>
      </c>
      <c r="U47" s="64"/>
      <c r="V47" s="65"/>
      <c r="W47" s="66"/>
      <c r="X47" s="67"/>
      <c r="Y47" s="68"/>
      <c r="Z47" s="68"/>
      <c r="AA47" s="62">
        <f t="shared" si="5"/>
        <v>0</v>
      </c>
      <c r="AB47" s="63">
        <f t="shared" si="6"/>
        <v>0</v>
      </c>
      <c r="AC47" s="69"/>
      <c r="AD47" s="70"/>
      <c r="AE47" s="70"/>
      <c r="AF47" s="62">
        <f t="shared" si="7"/>
        <v>0</v>
      </c>
      <c r="AG47" s="63">
        <f t="shared" si="8"/>
        <v>0</v>
      </c>
      <c r="AH47" s="89"/>
      <c r="AI47" s="66"/>
      <c r="AJ47" s="66"/>
      <c r="AK47" s="62">
        <f t="shared" si="9"/>
        <v>0</v>
      </c>
      <c r="AL47" s="72">
        <f t="shared" si="10"/>
        <v>0</v>
      </c>
      <c r="AM47" s="73">
        <f t="shared" si="11"/>
        <v>0</v>
      </c>
      <c r="AN47" s="74">
        <f t="shared" si="20"/>
        <v>0</v>
      </c>
      <c r="AO47" s="74">
        <f t="shared" si="20"/>
        <v>0</v>
      </c>
      <c r="AP47" s="75" t="e">
        <f t="shared" si="13"/>
        <v>#DIV/0!</v>
      </c>
      <c r="AQ47" s="76">
        <f t="shared" si="14"/>
        <v>0</v>
      </c>
      <c r="AR47" s="90">
        <f t="shared" si="15"/>
        <v>0</v>
      </c>
    </row>
    <row r="48" spans="1:44" x14ac:dyDescent="0.25">
      <c r="A48" t="str">
        <f t="shared" si="16"/>
        <v>46196M</v>
      </c>
      <c r="B48" s="51">
        <f t="shared" si="17"/>
        <v>46196</v>
      </c>
      <c r="C48" s="52" t="s">
        <v>87</v>
      </c>
      <c r="D48" s="91"/>
      <c r="E48" s="62"/>
      <c r="F48" s="62"/>
      <c r="G48" s="62">
        <f t="shared" si="18"/>
        <v>0</v>
      </c>
      <c r="H48" s="63">
        <f t="shared" si="19"/>
        <v>0</v>
      </c>
      <c r="I48" s="203"/>
      <c r="J48" s="203"/>
      <c r="K48" s="203"/>
      <c r="L48" s="203"/>
      <c r="M48" s="58"/>
      <c r="N48" s="58"/>
      <c r="O48" s="59"/>
      <c r="P48" s="56"/>
      <c r="Q48" s="60"/>
      <c r="R48" s="61">
        <f t="shared" si="2"/>
        <v>0</v>
      </c>
      <c r="S48" s="62">
        <f t="shared" si="3"/>
        <v>0</v>
      </c>
      <c r="T48" s="63">
        <f t="shared" si="4"/>
        <v>0</v>
      </c>
      <c r="U48" s="64"/>
      <c r="V48" s="65"/>
      <c r="W48" s="66"/>
      <c r="X48" s="67"/>
      <c r="Y48" s="68"/>
      <c r="Z48" s="68"/>
      <c r="AA48" s="62">
        <f t="shared" si="5"/>
        <v>0</v>
      </c>
      <c r="AB48" s="63">
        <f t="shared" si="6"/>
        <v>0</v>
      </c>
      <c r="AC48" s="69"/>
      <c r="AD48" s="70"/>
      <c r="AE48" s="70"/>
      <c r="AF48" s="62">
        <f t="shared" si="7"/>
        <v>0</v>
      </c>
      <c r="AG48" s="63">
        <f t="shared" si="8"/>
        <v>0</v>
      </c>
      <c r="AH48" s="89"/>
      <c r="AI48" s="71"/>
      <c r="AJ48" s="71"/>
      <c r="AK48" s="62">
        <f t="shared" si="9"/>
        <v>0</v>
      </c>
      <c r="AL48" s="72">
        <f t="shared" si="10"/>
        <v>0</v>
      </c>
      <c r="AM48" s="73">
        <f t="shared" si="11"/>
        <v>0</v>
      </c>
      <c r="AN48" s="74">
        <f t="shared" si="20"/>
        <v>0</v>
      </c>
      <c r="AO48" s="74">
        <f t="shared" si="20"/>
        <v>0</v>
      </c>
      <c r="AP48" s="75" t="e">
        <f t="shared" si="13"/>
        <v>#DIV/0!</v>
      </c>
      <c r="AQ48" s="76">
        <f t="shared" si="14"/>
        <v>0</v>
      </c>
      <c r="AR48" s="90">
        <f t="shared" si="15"/>
        <v>0</v>
      </c>
    </row>
    <row r="49" spans="1:44" x14ac:dyDescent="0.25">
      <c r="A49" t="str">
        <f t="shared" si="16"/>
        <v>46196E</v>
      </c>
      <c r="B49" s="51">
        <f t="shared" si="17"/>
        <v>46196</v>
      </c>
      <c r="C49" s="52" t="s">
        <v>88</v>
      </c>
      <c r="D49" s="91"/>
      <c r="E49" s="62"/>
      <c r="F49" s="62"/>
      <c r="G49" s="62">
        <f t="shared" si="18"/>
        <v>0</v>
      </c>
      <c r="H49" s="63">
        <f t="shared" si="19"/>
        <v>0</v>
      </c>
      <c r="I49" s="203"/>
      <c r="J49" s="203"/>
      <c r="K49" s="203"/>
      <c r="L49" s="203"/>
      <c r="M49" s="58"/>
      <c r="N49" s="58"/>
      <c r="O49" s="59"/>
      <c r="P49" s="56"/>
      <c r="Q49" s="60"/>
      <c r="R49" s="61">
        <f t="shared" si="2"/>
        <v>0</v>
      </c>
      <c r="S49" s="62">
        <f t="shared" si="3"/>
        <v>0</v>
      </c>
      <c r="T49" s="63">
        <f t="shared" si="4"/>
        <v>0</v>
      </c>
      <c r="U49" s="64"/>
      <c r="V49" s="65"/>
      <c r="W49" s="66"/>
      <c r="X49" s="67"/>
      <c r="Y49" s="68"/>
      <c r="Z49" s="68"/>
      <c r="AA49" s="62">
        <f t="shared" si="5"/>
        <v>0</v>
      </c>
      <c r="AB49" s="63">
        <f t="shared" si="6"/>
        <v>0</v>
      </c>
      <c r="AC49" s="69"/>
      <c r="AD49" s="70"/>
      <c r="AE49" s="70"/>
      <c r="AF49" s="62">
        <f t="shared" si="7"/>
        <v>0</v>
      </c>
      <c r="AG49" s="63">
        <f t="shared" si="8"/>
        <v>0</v>
      </c>
      <c r="AH49" s="89"/>
      <c r="AI49" s="66"/>
      <c r="AJ49" s="66"/>
      <c r="AK49" s="62">
        <f t="shared" si="9"/>
        <v>0</v>
      </c>
      <c r="AL49" s="72">
        <f t="shared" si="10"/>
        <v>0</v>
      </c>
      <c r="AM49" s="73">
        <f t="shared" si="11"/>
        <v>0</v>
      </c>
      <c r="AN49" s="74">
        <f t="shared" si="20"/>
        <v>0</v>
      </c>
      <c r="AO49" s="74">
        <f t="shared" si="20"/>
        <v>0</v>
      </c>
      <c r="AP49" s="75" t="e">
        <f t="shared" si="13"/>
        <v>#DIV/0!</v>
      </c>
      <c r="AQ49" s="76">
        <f t="shared" si="14"/>
        <v>0</v>
      </c>
      <c r="AR49" s="90">
        <f t="shared" si="15"/>
        <v>0</v>
      </c>
    </row>
    <row r="50" spans="1:44" x14ac:dyDescent="0.25">
      <c r="A50" t="str">
        <f t="shared" si="16"/>
        <v>46197M</v>
      </c>
      <c r="B50" s="51">
        <f t="shared" si="17"/>
        <v>46197</v>
      </c>
      <c r="C50" s="52" t="s">
        <v>87</v>
      </c>
      <c r="D50" s="91"/>
      <c r="E50" s="62"/>
      <c r="F50" s="62"/>
      <c r="G50" s="62">
        <f t="shared" si="18"/>
        <v>0</v>
      </c>
      <c r="H50" s="63">
        <f t="shared" si="19"/>
        <v>0</v>
      </c>
      <c r="I50" s="203"/>
      <c r="J50" s="203"/>
      <c r="K50" s="203"/>
      <c r="L50" s="203"/>
      <c r="M50" s="58"/>
      <c r="N50" s="58"/>
      <c r="O50" s="59"/>
      <c r="P50" s="56"/>
      <c r="Q50" s="60"/>
      <c r="R50" s="61">
        <f t="shared" si="2"/>
        <v>0</v>
      </c>
      <c r="S50" s="62">
        <f t="shared" si="3"/>
        <v>0</v>
      </c>
      <c r="T50" s="63">
        <f t="shared" si="4"/>
        <v>0</v>
      </c>
      <c r="U50" s="64"/>
      <c r="V50" s="65"/>
      <c r="W50" s="66"/>
      <c r="X50" s="67"/>
      <c r="Y50" s="68"/>
      <c r="Z50" s="68"/>
      <c r="AA50" s="62">
        <f t="shared" si="5"/>
        <v>0</v>
      </c>
      <c r="AB50" s="63">
        <f t="shared" si="6"/>
        <v>0</v>
      </c>
      <c r="AC50" s="69"/>
      <c r="AD50" s="70"/>
      <c r="AE50" s="70"/>
      <c r="AF50" s="62">
        <f t="shared" si="7"/>
        <v>0</v>
      </c>
      <c r="AG50" s="63">
        <f t="shared" si="8"/>
        <v>0</v>
      </c>
      <c r="AH50" s="89"/>
      <c r="AI50" s="71"/>
      <c r="AJ50" s="71"/>
      <c r="AK50" s="62">
        <f t="shared" si="9"/>
        <v>0</v>
      </c>
      <c r="AL50" s="72">
        <f t="shared" si="10"/>
        <v>0</v>
      </c>
      <c r="AM50" s="73">
        <f t="shared" si="11"/>
        <v>0</v>
      </c>
      <c r="AN50" s="74">
        <f t="shared" si="20"/>
        <v>0</v>
      </c>
      <c r="AO50" s="74">
        <f t="shared" si="20"/>
        <v>0</v>
      </c>
      <c r="AP50" s="75" t="e">
        <f t="shared" si="13"/>
        <v>#DIV/0!</v>
      </c>
      <c r="AQ50" s="76">
        <f t="shared" si="14"/>
        <v>0</v>
      </c>
      <c r="AR50" s="90">
        <f t="shared" si="15"/>
        <v>0</v>
      </c>
    </row>
    <row r="51" spans="1:44" x14ac:dyDescent="0.25">
      <c r="A51" t="str">
        <f t="shared" si="16"/>
        <v>46197E</v>
      </c>
      <c r="B51" s="51">
        <f t="shared" si="17"/>
        <v>46197</v>
      </c>
      <c r="C51" s="52" t="s">
        <v>88</v>
      </c>
      <c r="D51" s="91"/>
      <c r="E51" s="62"/>
      <c r="F51" s="62"/>
      <c r="G51" s="62">
        <f t="shared" si="18"/>
        <v>0</v>
      </c>
      <c r="H51" s="63">
        <f t="shared" si="19"/>
        <v>0</v>
      </c>
      <c r="I51" s="203"/>
      <c r="J51" s="203"/>
      <c r="K51" s="203"/>
      <c r="L51" s="203"/>
      <c r="M51" s="58"/>
      <c r="N51" s="58"/>
      <c r="O51" s="59"/>
      <c r="P51" s="56"/>
      <c r="Q51" s="60"/>
      <c r="R51" s="61">
        <f t="shared" si="2"/>
        <v>0</v>
      </c>
      <c r="S51" s="62">
        <f t="shared" si="3"/>
        <v>0</v>
      </c>
      <c r="T51" s="63">
        <f t="shared" si="4"/>
        <v>0</v>
      </c>
      <c r="U51" s="64"/>
      <c r="V51" s="85"/>
      <c r="W51" s="66"/>
      <c r="X51" s="67"/>
      <c r="Y51" s="68"/>
      <c r="Z51" s="68"/>
      <c r="AA51" s="62">
        <f t="shared" si="5"/>
        <v>0</v>
      </c>
      <c r="AB51" s="63">
        <f t="shared" si="6"/>
        <v>0</v>
      </c>
      <c r="AC51" s="69"/>
      <c r="AD51" s="70"/>
      <c r="AE51" s="70"/>
      <c r="AF51" s="62">
        <f t="shared" si="7"/>
        <v>0</v>
      </c>
      <c r="AG51" s="63">
        <f t="shared" si="8"/>
        <v>0</v>
      </c>
      <c r="AH51" s="89"/>
      <c r="AI51" s="66"/>
      <c r="AJ51" s="66"/>
      <c r="AK51" s="62">
        <f t="shared" si="9"/>
        <v>0</v>
      </c>
      <c r="AL51" s="72">
        <f t="shared" si="10"/>
        <v>0</v>
      </c>
      <c r="AM51" s="73">
        <f t="shared" si="11"/>
        <v>0</v>
      </c>
      <c r="AN51" s="74">
        <f t="shared" si="20"/>
        <v>0</v>
      </c>
      <c r="AO51" s="74">
        <f t="shared" si="20"/>
        <v>0</v>
      </c>
      <c r="AP51" s="75" t="e">
        <f t="shared" si="13"/>
        <v>#DIV/0!</v>
      </c>
      <c r="AQ51" s="76">
        <f t="shared" si="14"/>
        <v>0</v>
      </c>
      <c r="AR51" s="90">
        <f t="shared" si="15"/>
        <v>0</v>
      </c>
    </row>
    <row r="52" spans="1:44" x14ac:dyDescent="0.25">
      <c r="A52" t="str">
        <f t="shared" si="16"/>
        <v>46198M</v>
      </c>
      <c r="B52" s="51">
        <f t="shared" si="17"/>
        <v>46198</v>
      </c>
      <c r="C52" s="52" t="s">
        <v>87</v>
      </c>
      <c r="D52" s="91"/>
      <c r="E52" s="62"/>
      <c r="F52" s="62"/>
      <c r="G52" s="62">
        <f t="shared" si="18"/>
        <v>0</v>
      </c>
      <c r="H52" s="63">
        <f t="shared" si="19"/>
        <v>0</v>
      </c>
      <c r="I52" s="119"/>
      <c r="J52" s="119"/>
      <c r="K52" s="119"/>
      <c r="L52" s="119"/>
      <c r="M52" s="58"/>
      <c r="N52" s="58"/>
      <c r="O52" s="59"/>
      <c r="P52" s="56"/>
      <c r="Q52" s="60"/>
      <c r="R52" s="61">
        <f t="shared" si="2"/>
        <v>0</v>
      </c>
      <c r="S52" s="62">
        <f t="shared" si="3"/>
        <v>0</v>
      </c>
      <c r="T52" s="63">
        <f t="shared" si="4"/>
        <v>0</v>
      </c>
      <c r="U52" s="64"/>
      <c r="V52" s="65"/>
      <c r="W52" s="66"/>
      <c r="X52" s="67"/>
      <c r="Y52" s="68"/>
      <c r="Z52" s="68"/>
      <c r="AA52" s="62">
        <f t="shared" si="5"/>
        <v>0</v>
      </c>
      <c r="AB52" s="63">
        <f t="shared" si="6"/>
        <v>0</v>
      </c>
      <c r="AC52" s="69"/>
      <c r="AD52" s="70"/>
      <c r="AE52" s="70"/>
      <c r="AF52" s="62">
        <f t="shared" si="7"/>
        <v>0</v>
      </c>
      <c r="AG52" s="63">
        <f t="shared" si="8"/>
        <v>0</v>
      </c>
      <c r="AH52" s="89"/>
      <c r="AI52" s="66"/>
      <c r="AJ52" s="66"/>
      <c r="AK52" s="62">
        <f t="shared" si="9"/>
        <v>0</v>
      </c>
      <c r="AL52" s="72">
        <f t="shared" si="10"/>
        <v>0</v>
      </c>
      <c r="AM52" s="73">
        <f t="shared" si="11"/>
        <v>0</v>
      </c>
      <c r="AN52" s="74">
        <f t="shared" si="20"/>
        <v>0</v>
      </c>
      <c r="AO52" s="74">
        <f t="shared" si="20"/>
        <v>0</v>
      </c>
      <c r="AP52" s="75" t="e">
        <f t="shared" si="13"/>
        <v>#DIV/0!</v>
      </c>
      <c r="AQ52" s="76">
        <f t="shared" si="14"/>
        <v>0</v>
      </c>
      <c r="AR52" s="90">
        <f t="shared" si="15"/>
        <v>0</v>
      </c>
    </row>
    <row r="53" spans="1:44" x14ac:dyDescent="0.25">
      <c r="A53" t="str">
        <f t="shared" si="16"/>
        <v>46198E</v>
      </c>
      <c r="B53" s="51">
        <f t="shared" si="17"/>
        <v>46198</v>
      </c>
      <c r="C53" s="52" t="s">
        <v>88</v>
      </c>
      <c r="D53" s="91"/>
      <c r="E53" s="62"/>
      <c r="F53" s="62"/>
      <c r="G53" s="62">
        <f t="shared" si="18"/>
        <v>0</v>
      </c>
      <c r="H53" s="63">
        <f t="shared" si="19"/>
        <v>0</v>
      </c>
      <c r="I53" s="119"/>
      <c r="J53" s="119"/>
      <c r="K53" s="119"/>
      <c r="L53" s="119"/>
      <c r="M53" s="58"/>
      <c r="N53" s="58"/>
      <c r="O53" s="59"/>
      <c r="P53" s="56"/>
      <c r="Q53" s="60"/>
      <c r="R53" s="61">
        <f t="shared" si="2"/>
        <v>0</v>
      </c>
      <c r="S53" s="62">
        <f t="shared" si="3"/>
        <v>0</v>
      </c>
      <c r="T53" s="63">
        <f t="shared" si="4"/>
        <v>0</v>
      </c>
      <c r="U53" s="64"/>
      <c r="V53" s="65"/>
      <c r="W53" s="66"/>
      <c r="X53" s="67"/>
      <c r="Y53" s="68"/>
      <c r="Z53" s="68"/>
      <c r="AA53" s="62">
        <f t="shared" si="5"/>
        <v>0</v>
      </c>
      <c r="AB53" s="63">
        <f t="shared" si="6"/>
        <v>0</v>
      </c>
      <c r="AC53" s="69"/>
      <c r="AD53" s="70"/>
      <c r="AE53" s="70"/>
      <c r="AF53" s="62">
        <f t="shared" si="7"/>
        <v>0</v>
      </c>
      <c r="AG53" s="63">
        <f t="shared" si="8"/>
        <v>0</v>
      </c>
      <c r="AH53" s="89"/>
      <c r="AI53" s="66"/>
      <c r="AJ53" s="66"/>
      <c r="AK53" s="62">
        <f t="shared" si="9"/>
        <v>0</v>
      </c>
      <c r="AL53" s="72">
        <f t="shared" si="10"/>
        <v>0</v>
      </c>
      <c r="AM53" s="73">
        <f t="shared" si="11"/>
        <v>0</v>
      </c>
      <c r="AN53" s="74">
        <f t="shared" si="20"/>
        <v>0</v>
      </c>
      <c r="AO53" s="74">
        <f t="shared" si="20"/>
        <v>0</v>
      </c>
      <c r="AP53" s="75" t="e">
        <f t="shared" si="13"/>
        <v>#DIV/0!</v>
      </c>
      <c r="AQ53" s="76">
        <f t="shared" si="14"/>
        <v>0</v>
      </c>
      <c r="AR53" s="90">
        <f t="shared" si="15"/>
        <v>0</v>
      </c>
    </row>
    <row r="54" spans="1:44" x14ac:dyDescent="0.25">
      <c r="A54" t="str">
        <f t="shared" si="16"/>
        <v>46199M</v>
      </c>
      <c r="B54" s="51">
        <f t="shared" si="17"/>
        <v>46199</v>
      </c>
      <c r="C54" s="52" t="s">
        <v>87</v>
      </c>
      <c r="D54" s="91"/>
      <c r="E54" s="62"/>
      <c r="F54" s="62"/>
      <c r="G54" s="62">
        <f t="shared" si="18"/>
        <v>0</v>
      </c>
      <c r="H54" s="63">
        <f t="shared" si="19"/>
        <v>0</v>
      </c>
      <c r="I54" s="119"/>
      <c r="J54" s="119"/>
      <c r="K54" s="119"/>
      <c r="L54" s="119"/>
      <c r="M54" s="58"/>
      <c r="N54" s="58"/>
      <c r="O54" s="59"/>
      <c r="P54" s="56"/>
      <c r="Q54" s="60"/>
      <c r="R54" s="61">
        <f t="shared" si="2"/>
        <v>0</v>
      </c>
      <c r="S54" s="62">
        <f t="shared" si="3"/>
        <v>0</v>
      </c>
      <c r="T54" s="63">
        <f t="shared" si="4"/>
        <v>0</v>
      </c>
      <c r="U54" s="64"/>
      <c r="V54" s="65"/>
      <c r="W54" s="66"/>
      <c r="X54" s="67"/>
      <c r="Y54" s="68"/>
      <c r="Z54" s="68"/>
      <c r="AA54" s="62">
        <f t="shared" si="5"/>
        <v>0</v>
      </c>
      <c r="AB54" s="63">
        <f t="shared" si="6"/>
        <v>0</v>
      </c>
      <c r="AC54" s="69"/>
      <c r="AD54" s="70"/>
      <c r="AE54" s="70"/>
      <c r="AF54" s="62">
        <f t="shared" si="7"/>
        <v>0</v>
      </c>
      <c r="AG54" s="63">
        <f t="shared" si="8"/>
        <v>0</v>
      </c>
      <c r="AH54" s="89"/>
      <c r="AI54" s="66"/>
      <c r="AJ54" s="66"/>
      <c r="AK54" s="62">
        <f t="shared" si="9"/>
        <v>0</v>
      </c>
      <c r="AL54" s="72">
        <f t="shared" si="10"/>
        <v>0</v>
      </c>
      <c r="AM54" s="73">
        <f t="shared" si="11"/>
        <v>0</v>
      </c>
      <c r="AN54" s="74">
        <f t="shared" si="20"/>
        <v>0</v>
      </c>
      <c r="AO54" s="74">
        <f t="shared" si="20"/>
        <v>0</v>
      </c>
      <c r="AP54" s="75" t="e">
        <f t="shared" si="13"/>
        <v>#DIV/0!</v>
      </c>
      <c r="AQ54" s="76">
        <f t="shared" si="14"/>
        <v>0</v>
      </c>
      <c r="AR54" s="90">
        <f t="shared" si="15"/>
        <v>0</v>
      </c>
    </row>
    <row r="55" spans="1:44" x14ac:dyDescent="0.25">
      <c r="A55" t="str">
        <f t="shared" si="16"/>
        <v>46199E</v>
      </c>
      <c r="B55" s="51">
        <f t="shared" si="17"/>
        <v>46199</v>
      </c>
      <c r="C55" s="52" t="s">
        <v>88</v>
      </c>
      <c r="D55" s="91"/>
      <c r="E55" s="62"/>
      <c r="F55" s="62"/>
      <c r="G55" s="62">
        <f t="shared" si="18"/>
        <v>0</v>
      </c>
      <c r="H55" s="63">
        <f t="shared" si="19"/>
        <v>0</v>
      </c>
      <c r="I55" s="119"/>
      <c r="J55" s="119"/>
      <c r="K55" s="119"/>
      <c r="L55" s="119"/>
      <c r="M55" s="58"/>
      <c r="N55" s="58"/>
      <c r="O55" s="59"/>
      <c r="P55" s="56"/>
      <c r="Q55" s="60"/>
      <c r="R55" s="61">
        <f t="shared" si="2"/>
        <v>0</v>
      </c>
      <c r="S55" s="62">
        <f t="shared" si="3"/>
        <v>0</v>
      </c>
      <c r="T55" s="63">
        <f t="shared" si="4"/>
        <v>0</v>
      </c>
      <c r="U55" s="64"/>
      <c r="V55" s="65"/>
      <c r="W55" s="66"/>
      <c r="X55" s="67"/>
      <c r="Y55" s="68"/>
      <c r="Z55" s="68"/>
      <c r="AA55" s="62">
        <f t="shared" si="5"/>
        <v>0</v>
      </c>
      <c r="AB55" s="63">
        <f t="shared" si="6"/>
        <v>0</v>
      </c>
      <c r="AC55" s="69"/>
      <c r="AD55" s="70"/>
      <c r="AE55" s="70"/>
      <c r="AF55" s="62">
        <f t="shared" si="7"/>
        <v>0</v>
      </c>
      <c r="AG55" s="63">
        <f t="shared" si="8"/>
        <v>0</v>
      </c>
      <c r="AH55" s="89"/>
      <c r="AI55" s="66"/>
      <c r="AJ55" s="66"/>
      <c r="AK55" s="62">
        <f t="shared" si="9"/>
        <v>0</v>
      </c>
      <c r="AL55" s="72">
        <f t="shared" si="10"/>
        <v>0</v>
      </c>
      <c r="AM55" s="73">
        <f t="shared" si="11"/>
        <v>0</v>
      </c>
      <c r="AN55" s="74">
        <f t="shared" si="20"/>
        <v>0</v>
      </c>
      <c r="AO55" s="74">
        <f t="shared" si="20"/>
        <v>0</v>
      </c>
      <c r="AP55" s="75" t="e">
        <f t="shared" si="13"/>
        <v>#DIV/0!</v>
      </c>
      <c r="AQ55" s="76">
        <f t="shared" si="14"/>
        <v>0</v>
      </c>
      <c r="AR55" s="90">
        <f t="shared" si="15"/>
        <v>0</v>
      </c>
    </row>
    <row r="56" spans="1:44" x14ac:dyDescent="0.25">
      <c r="A56" t="str">
        <f t="shared" si="16"/>
        <v>46200M</v>
      </c>
      <c r="B56" s="51">
        <f t="shared" si="17"/>
        <v>46200</v>
      </c>
      <c r="C56" s="52" t="s">
        <v>87</v>
      </c>
      <c r="D56" s="91"/>
      <c r="E56" s="62"/>
      <c r="F56" s="62"/>
      <c r="G56" s="62">
        <f t="shared" si="18"/>
        <v>0</v>
      </c>
      <c r="H56" s="63">
        <f t="shared" si="19"/>
        <v>0</v>
      </c>
      <c r="I56" s="119"/>
      <c r="J56" s="119"/>
      <c r="K56" s="119"/>
      <c r="L56" s="119"/>
      <c r="M56" s="58"/>
      <c r="N56" s="58"/>
      <c r="O56" s="59"/>
      <c r="P56" s="56"/>
      <c r="Q56" s="60"/>
      <c r="R56" s="61">
        <f t="shared" si="2"/>
        <v>0</v>
      </c>
      <c r="S56" s="62">
        <f t="shared" si="3"/>
        <v>0</v>
      </c>
      <c r="T56" s="63">
        <f t="shared" si="4"/>
        <v>0</v>
      </c>
      <c r="U56" s="64"/>
      <c r="V56" s="65"/>
      <c r="W56" s="66"/>
      <c r="X56" s="67"/>
      <c r="Y56" s="68"/>
      <c r="Z56" s="68"/>
      <c r="AA56" s="62">
        <f t="shared" si="5"/>
        <v>0</v>
      </c>
      <c r="AB56" s="63">
        <f t="shared" si="6"/>
        <v>0</v>
      </c>
      <c r="AC56" s="69"/>
      <c r="AD56" s="70"/>
      <c r="AE56" s="70"/>
      <c r="AF56" s="62">
        <f t="shared" si="7"/>
        <v>0</v>
      </c>
      <c r="AG56" s="63">
        <f t="shared" si="8"/>
        <v>0</v>
      </c>
      <c r="AH56" s="89"/>
      <c r="AI56" s="66"/>
      <c r="AJ56" s="66"/>
      <c r="AK56" s="62">
        <f t="shared" si="9"/>
        <v>0</v>
      </c>
      <c r="AL56" s="72">
        <f t="shared" si="10"/>
        <v>0</v>
      </c>
      <c r="AM56" s="73">
        <f t="shared" si="11"/>
        <v>0</v>
      </c>
      <c r="AN56" s="74">
        <f t="shared" si="20"/>
        <v>0</v>
      </c>
      <c r="AO56" s="74">
        <f t="shared" si="20"/>
        <v>0</v>
      </c>
      <c r="AP56" s="75" t="e">
        <f t="shared" si="13"/>
        <v>#DIV/0!</v>
      </c>
      <c r="AQ56" s="76">
        <f t="shared" si="14"/>
        <v>0</v>
      </c>
      <c r="AR56" s="90">
        <f t="shared" si="15"/>
        <v>0</v>
      </c>
    </row>
    <row r="57" spans="1:44" x14ac:dyDescent="0.25">
      <c r="A57" t="str">
        <f t="shared" si="16"/>
        <v>46200E</v>
      </c>
      <c r="B57" s="51">
        <f t="shared" si="17"/>
        <v>46200</v>
      </c>
      <c r="C57" s="52" t="s">
        <v>88</v>
      </c>
      <c r="D57" s="91"/>
      <c r="E57" s="62"/>
      <c r="F57" s="62"/>
      <c r="G57" s="62">
        <f t="shared" si="18"/>
        <v>0</v>
      </c>
      <c r="H57" s="63">
        <f t="shared" si="19"/>
        <v>0</v>
      </c>
      <c r="I57" s="119"/>
      <c r="J57" s="119"/>
      <c r="K57" s="119"/>
      <c r="L57" s="119"/>
      <c r="M57" s="58"/>
      <c r="N57" s="58"/>
      <c r="O57" s="59"/>
      <c r="P57" s="56"/>
      <c r="Q57" s="60"/>
      <c r="R57" s="61">
        <f t="shared" si="2"/>
        <v>0</v>
      </c>
      <c r="S57" s="62">
        <f t="shared" si="3"/>
        <v>0</v>
      </c>
      <c r="T57" s="63">
        <f t="shared" si="4"/>
        <v>0</v>
      </c>
      <c r="U57" s="64"/>
      <c r="V57" s="65"/>
      <c r="W57" s="66"/>
      <c r="X57" s="67"/>
      <c r="Y57" s="68"/>
      <c r="Z57" s="68"/>
      <c r="AA57" s="62">
        <f t="shared" si="5"/>
        <v>0</v>
      </c>
      <c r="AB57" s="63">
        <f t="shared" si="6"/>
        <v>0</v>
      </c>
      <c r="AC57" s="69"/>
      <c r="AD57" s="70"/>
      <c r="AE57" s="70"/>
      <c r="AF57" s="62">
        <f t="shared" si="7"/>
        <v>0</v>
      </c>
      <c r="AG57" s="63">
        <f t="shared" si="8"/>
        <v>0</v>
      </c>
      <c r="AH57" s="89"/>
      <c r="AI57" s="66"/>
      <c r="AJ57" s="66"/>
      <c r="AK57" s="62">
        <f t="shared" si="9"/>
        <v>0</v>
      </c>
      <c r="AL57" s="72">
        <f t="shared" si="10"/>
        <v>0</v>
      </c>
      <c r="AM57" s="73">
        <f t="shared" si="11"/>
        <v>0</v>
      </c>
      <c r="AN57" s="74">
        <f t="shared" si="20"/>
        <v>0</v>
      </c>
      <c r="AO57" s="74">
        <f t="shared" si="20"/>
        <v>0</v>
      </c>
      <c r="AP57" s="75" t="e">
        <f t="shared" si="13"/>
        <v>#DIV/0!</v>
      </c>
      <c r="AQ57" s="76">
        <f t="shared" si="14"/>
        <v>0</v>
      </c>
      <c r="AR57" s="90">
        <f t="shared" si="15"/>
        <v>0</v>
      </c>
    </row>
    <row r="58" spans="1:44" x14ac:dyDescent="0.25">
      <c r="A58" t="str">
        <f t="shared" si="16"/>
        <v>46201M</v>
      </c>
      <c r="B58" s="51">
        <f t="shared" si="17"/>
        <v>46201</v>
      </c>
      <c r="C58" s="52" t="s">
        <v>87</v>
      </c>
      <c r="D58" s="91"/>
      <c r="E58" s="62"/>
      <c r="F58" s="62"/>
      <c r="G58" s="62">
        <f t="shared" si="18"/>
        <v>0</v>
      </c>
      <c r="H58" s="63">
        <f t="shared" si="19"/>
        <v>0</v>
      </c>
      <c r="I58" s="119"/>
      <c r="J58" s="119"/>
      <c r="K58" s="119"/>
      <c r="L58" s="119"/>
      <c r="M58" s="58"/>
      <c r="N58" s="58"/>
      <c r="O58" s="59"/>
      <c r="P58" s="56"/>
      <c r="Q58" s="60"/>
      <c r="R58" s="61">
        <f t="shared" si="2"/>
        <v>0</v>
      </c>
      <c r="S58" s="62">
        <f t="shared" si="3"/>
        <v>0</v>
      </c>
      <c r="T58" s="63">
        <f t="shared" si="4"/>
        <v>0</v>
      </c>
      <c r="U58" s="64"/>
      <c r="V58" s="65"/>
      <c r="W58" s="66"/>
      <c r="X58" s="67"/>
      <c r="Y58" s="68"/>
      <c r="Z58" s="68"/>
      <c r="AA58" s="62">
        <f t="shared" si="5"/>
        <v>0</v>
      </c>
      <c r="AB58" s="63">
        <f t="shared" si="6"/>
        <v>0</v>
      </c>
      <c r="AC58" s="69"/>
      <c r="AD58" s="70"/>
      <c r="AE58" s="70"/>
      <c r="AF58" s="62">
        <f t="shared" si="7"/>
        <v>0</v>
      </c>
      <c r="AG58" s="63">
        <f t="shared" si="8"/>
        <v>0</v>
      </c>
      <c r="AH58" s="89"/>
      <c r="AI58" s="66"/>
      <c r="AJ58" s="66"/>
      <c r="AK58" s="62">
        <f t="shared" si="9"/>
        <v>0</v>
      </c>
      <c r="AL58" s="72">
        <f t="shared" si="10"/>
        <v>0</v>
      </c>
      <c r="AM58" s="73">
        <f t="shared" si="11"/>
        <v>0</v>
      </c>
      <c r="AN58" s="74">
        <f t="shared" si="20"/>
        <v>0</v>
      </c>
      <c r="AO58" s="74">
        <f t="shared" si="20"/>
        <v>0</v>
      </c>
      <c r="AP58" s="75" t="e">
        <f t="shared" si="13"/>
        <v>#DIV/0!</v>
      </c>
      <c r="AQ58" s="76">
        <f t="shared" si="14"/>
        <v>0</v>
      </c>
      <c r="AR58" s="90">
        <f t="shared" si="15"/>
        <v>0</v>
      </c>
    </row>
    <row r="59" spans="1:44" x14ac:dyDescent="0.25">
      <c r="A59" t="str">
        <f t="shared" si="16"/>
        <v>46201E</v>
      </c>
      <c r="B59" s="51">
        <f t="shared" si="17"/>
        <v>46201</v>
      </c>
      <c r="C59" s="52" t="s">
        <v>88</v>
      </c>
      <c r="D59" s="91"/>
      <c r="E59" s="62"/>
      <c r="F59" s="62"/>
      <c r="G59" s="62">
        <f t="shared" si="18"/>
        <v>0</v>
      </c>
      <c r="H59" s="63">
        <f t="shared" si="19"/>
        <v>0</v>
      </c>
      <c r="I59" s="119"/>
      <c r="J59" s="119"/>
      <c r="K59" s="119"/>
      <c r="L59" s="119"/>
      <c r="M59" s="58"/>
      <c r="N59" s="58"/>
      <c r="O59" s="59"/>
      <c r="P59" s="56"/>
      <c r="Q59" s="60"/>
      <c r="R59" s="61">
        <f t="shared" si="2"/>
        <v>0</v>
      </c>
      <c r="S59" s="62">
        <f t="shared" si="3"/>
        <v>0</v>
      </c>
      <c r="T59" s="63">
        <f t="shared" si="4"/>
        <v>0</v>
      </c>
      <c r="U59" s="64"/>
      <c r="V59" s="65"/>
      <c r="W59" s="66"/>
      <c r="X59" s="67"/>
      <c r="Y59" s="68"/>
      <c r="Z59" s="68"/>
      <c r="AA59" s="62">
        <f t="shared" si="5"/>
        <v>0</v>
      </c>
      <c r="AB59" s="63">
        <f t="shared" si="6"/>
        <v>0</v>
      </c>
      <c r="AC59" s="69"/>
      <c r="AD59" s="70"/>
      <c r="AE59" s="70"/>
      <c r="AF59" s="62">
        <f t="shared" si="7"/>
        <v>0</v>
      </c>
      <c r="AG59" s="63">
        <f t="shared" si="8"/>
        <v>0</v>
      </c>
      <c r="AH59" s="89"/>
      <c r="AI59" s="66"/>
      <c r="AJ59" s="66"/>
      <c r="AK59" s="62">
        <f t="shared" si="9"/>
        <v>0</v>
      </c>
      <c r="AL59" s="72">
        <f t="shared" si="10"/>
        <v>0</v>
      </c>
      <c r="AM59" s="73">
        <f t="shared" si="11"/>
        <v>0</v>
      </c>
      <c r="AN59" s="74">
        <f t="shared" si="20"/>
        <v>0</v>
      </c>
      <c r="AO59" s="74">
        <f t="shared" si="20"/>
        <v>0</v>
      </c>
      <c r="AP59" s="75" t="e">
        <f t="shared" si="13"/>
        <v>#DIV/0!</v>
      </c>
      <c r="AQ59" s="76">
        <f t="shared" si="14"/>
        <v>0</v>
      </c>
      <c r="AR59" s="90">
        <f t="shared" si="15"/>
        <v>0</v>
      </c>
    </row>
    <row r="60" spans="1:44" x14ac:dyDescent="0.25">
      <c r="A60" t="str">
        <f t="shared" si="16"/>
        <v>46202M</v>
      </c>
      <c r="B60" s="51">
        <f t="shared" si="17"/>
        <v>46202</v>
      </c>
      <c r="C60" s="52" t="s">
        <v>87</v>
      </c>
      <c r="D60" s="91"/>
      <c r="E60" s="62"/>
      <c r="F60" s="62"/>
      <c r="G60" s="62">
        <f t="shared" si="18"/>
        <v>0</v>
      </c>
      <c r="H60" s="63">
        <f t="shared" si="19"/>
        <v>0</v>
      </c>
      <c r="I60" s="119"/>
      <c r="J60" s="119"/>
      <c r="K60" s="119"/>
      <c r="L60" s="119"/>
      <c r="M60" s="58"/>
      <c r="N60" s="58"/>
      <c r="O60" s="59"/>
      <c r="P60" s="56"/>
      <c r="Q60" s="60"/>
      <c r="R60" s="61">
        <f t="shared" si="2"/>
        <v>0</v>
      </c>
      <c r="S60" s="62">
        <f t="shared" si="3"/>
        <v>0</v>
      </c>
      <c r="T60" s="63">
        <f t="shared" si="4"/>
        <v>0</v>
      </c>
      <c r="U60" s="64"/>
      <c r="V60" s="65"/>
      <c r="W60" s="66"/>
      <c r="X60" s="67"/>
      <c r="Y60" s="68"/>
      <c r="Z60" s="68"/>
      <c r="AA60" s="62">
        <f t="shared" si="5"/>
        <v>0</v>
      </c>
      <c r="AB60" s="63">
        <f t="shared" si="6"/>
        <v>0</v>
      </c>
      <c r="AC60" s="69"/>
      <c r="AD60" s="70"/>
      <c r="AE60" s="70"/>
      <c r="AF60" s="62">
        <f t="shared" si="7"/>
        <v>0</v>
      </c>
      <c r="AG60" s="63">
        <f t="shared" si="8"/>
        <v>0</v>
      </c>
      <c r="AH60" s="89"/>
      <c r="AI60" s="66"/>
      <c r="AJ60" s="66"/>
      <c r="AK60" s="62">
        <f t="shared" si="9"/>
        <v>0</v>
      </c>
      <c r="AL60" s="72">
        <f t="shared" si="10"/>
        <v>0</v>
      </c>
      <c r="AM60" s="73">
        <f t="shared" si="11"/>
        <v>0</v>
      </c>
      <c r="AN60" s="74">
        <f t="shared" si="20"/>
        <v>0</v>
      </c>
      <c r="AO60" s="74">
        <f t="shared" si="20"/>
        <v>0</v>
      </c>
      <c r="AP60" s="75" t="e">
        <f t="shared" si="13"/>
        <v>#DIV/0!</v>
      </c>
      <c r="AQ60" s="76">
        <f t="shared" si="14"/>
        <v>0</v>
      </c>
      <c r="AR60" s="90">
        <f t="shared" si="15"/>
        <v>0</v>
      </c>
    </row>
    <row r="61" spans="1:44" x14ac:dyDescent="0.25">
      <c r="A61" t="str">
        <f t="shared" si="16"/>
        <v>46202E</v>
      </c>
      <c r="B61" s="51">
        <f t="shared" si="17"/>
        <v>46202</v>
      </c>
      <c r="C61" s="52" t="s">
        <v>88</v>
      </c>
      <c r="D61" s="91"/>
      <c r="E61" s="62"/>
      <c r="F61" s="62"/>
      <c r="G61" s="62">
        <f t="shared" si="18"/>
        <v>0</v>
      </c>
      <c r="H61" s="63">
        <f t="shared" si="19"/>
        <v>0</v>
      </c>
      <c r="I61" s="119"/>
      <c r="J61" s="119"/>
      <c r="K61" s="119"/>
      <c r="L61" s="119"/>
      <c r="M61" s="58"/>
      <c r="N61" s="58"/>
      <c r="O61" s="59"/>
      <c r="P61" s="56"/>
      <c r="Q61" s="60"/>
      <c r="R61" s="61">
        <f t="shared" si="2"/>
        <v>0</v>
      </c>
      <c r="S61" s="62">
        <f t="shared" si="3"/>
        <v>0</v>
      </c>
      <c r="T61" s="63">
        <f t="shared" si="4"/>
        <v>0</v>
      </c>
      <c r="U61" s="64"/>
      <c r="V61" s="65"/>
      <c r="W61" s="66"/>
      <c r="X61" s="67"/>
      <c r="Y61" s="68"/>
      <c r="Z61" s="68"/>
      <c r="AA61" s="62">
        <f t="shared" si="5"/>
        <v>0</v>
      </c>
      <c r="AB61" s="63">
        <f t="shared" si="6"/>
        <v>0</v>
      </c>
      <c r="AC61" s="69"/>
      <c r="AD61" s="70"/>
      <c r="AE61" s="70"/>
      <c r="AF61" s="62">
        <f t="shared" si="7"/>
        <v>0</v>
      </c>
      <c r="AG61" s="63">
        <f t="shared" si="8"/>
        <v>0</v>
      </c>
      <c r="AH61" s="89"/>
      <c r="AI61" s="66"/>
      <c r="AJ61" s="66"/>
      <c r="AK61" s="62">
        <f t="shared" si="9"/>
        <v>0</v>
      </c>
      <c r="AL61" s="72">
        <f t="shared" si="10"/>
        <v>0</v>
      </c>
      <c r="AM61" s="73">
        <f t="shared" si="11"/>
        <v>0</v>
      </c>
      <c r="AN61" s="74">
        <f t="shared" si="20"/>
        <v>0</v>
      </c>
      <c r="AO61" s="74">
        <f t="shared" si="20"/>
        <v>0</v>
      </c>
      <c r="AP61" s="75" t="e">
        <f t="shared" si="13"/>
        <v>#DIV/0!</v>
      </c>
      <c r="AQ61" s="76">
        <f t="shared" si="14"/>
        <v>0</v>
      </c>
      <c r="AR61" s="90">
        <f t="shared" si="15"/>
        <v>0</v>
      </c>
    </row>
    <row r="62" spans="1:44" x14ac:dyDescent="0.25">
      <c r="A62" t="str">
        <f t="shared" si="16"/>
        <v>46203M</v>
      </c>
      <c r="B62" s="51">
        <f t="shared" si="17"/>
        <v>46203</v>
      </c>
      <c r="C62" s="52" t="s">
        <v>87</v>
      </c>
      <c r="D62" s="91"/>
      <c r="E62" s="62"/>
      <c r="F62" s="62"/>
      <c r="G62" s="62">
        <f t="shared" si="18"/>
        <v>0</v>
      </c>
      <c r="H62" s="63">
        <f t="shared" si="19"/>
        <v>0</v>
      </c>
      <c r="I62" s="119"/>
      <c r="J62" s="119"/>
      <c r="K62" s="119"/>
      <c r="L62" s="119"/>
      <c r="M62" s="58"/>
      <c r="N62" s="58"/>
      <c r="O62" s="59"/>
      <c r="P62" s="56"/>
      <c r="Q62" s="60"/>
      <c r="R62" s="61">
        <f t="shared" si="2"/>
        <v>0</v>
      </c>
      <c r="S62" s="62">
        <f t="shared" si="3"/>
        <v>0</v>
      </c>
      <c r="T62" s="63">
        <f t="shared" si="4"/>
        <v>0</v>
      </c>
      <c r="U62" s="64"/>
      <c r="V62" s="65"/>
      <c r="W62" s="66"/>
      <c r="X62" s="67"/>
      <c r="Y62" s="68"/>
      <c r="Z62" s="68"/>
      <c r="AA62" s="62">
        <f t="shared" si="5"/>
        <v>0</v>
      </c>
      <c r="AB62" s="63">
        <f t="shared" si="6"/>
        <v>0</v>
      </c>
      <c r="AC62" s="69"/>
      <c r="AD62" s="70"/>
      <c r="AE62" s="70"/>
      <c r="AF62" s="62">
        <f t="shared" si="7"/>
        <v>0</v>
      </c>
      <c r="AG62" s="63">
        <f t="shared" si="8"/>
        <v>0</v>
      </c>
      <c r="AH62" s="89"/>
      <c r="AI62" s="66"/>
      <c r="AJ62" s="66"/>
      <c r="AK62" s="62">
        <f t="shared" si="9"/>
        <v>0</v>
      </c>
      <c r="AL62" s="72">
        <f t="shared" si="10"/>
        <v>0</v>
      </c>
      <c r="AM62" s="73">
        <f t="shared" si="11"/>
        <v>0</v>
      </c>
      <c r="AN62" s="74">
        <f t="shared" si="20"/>
        <v>0</v>
      </c>
      <c r="AO62" s="74">
        <f t="shared" si="20"/>
        <v>0</v>
      </c>
      <c r="AP62" s="75" t="e">
        <f t="shared" si="13"/>
        <v>#DIV/0!</v>
      </c>
      <c r="AQ62" s="76">
        <f t="shared" si="14"/>
        <v>0</v>
      </c>
      <c r="AR62" s="90">
        <f t="shared" si="15"/>
        <v>0</v>
      </c>
    </row>
    <row r="63" spans="1:44" x14ac:dyDescent="0.25">
      <c r="A63" t="str">
        <f t="shared" si="16"/>
        <v>46203E</v>
      </c>
      <c r="B63" s="51">
        <f t="shared" si="17"/>
        <v>46203</v>
      </c>
      <c r="C63" s="52" t="s">
        <v>88</v>
      </c>
      <c r="D63" s="91"/>
      <c r="E63" s="62"/>
      <c r="F63" s="62"/>
      <c r="G63" s="62">
        <f t="shared" si="18"/>
        <v>0</v>
      </c>
      <c r="H63" s="63">
        <f t="shared" si="19"/>
        <v>0</v>
      </c>
      <c r="I63" s="119"/>
      <c r="J63" s="119"/>
      <c r="K63" s="119"/>
      <c r="L63" s="119"/>
      <c r="M63" s="58"/>
      <c r="N63" s="58"/>
      <c r="O63" s="59"/>
      <c r="P63" s="56"/>
      <c r="Q63" s="60"/>
      <c r="R63" s="61">
        <f t="shared" si="2"/>
        <v>0</v>
      </c>
      <c r="S63" s="62">
        <f t="shared" si="3"/>
        <v>0</v>
      </c>
      <c r="T63" s="63">
        <f t="shared" si="4"/>
        <v>0</v>
      </c>
      <c r="U63" s="64"/>
      <c r="V63" s="65"/>
      <c r="W63" s="66"/>
      <c r="X63" s="67"/>
      <c r="Y63" s="68"/>
      <c r="Z63" s="68"/>
      <c r="AA63" s="62">
        <f t="shared" si="5"/>
        <v>0</v>
      </c>
      <c r="AB63" s="63">
        <f t="shared" si="6"/>
        <v>0</v>
      </c>
      <c r="AC63" s="69"/>
      <c r="AD63" s="70"/>
      <c r="AE63" s="70"/>
      <c r="AF63" s="62">
        <f t="shared" si="7"/>
        <v>0</v>
      </c>
      <c r="AG63" s="63">
        <f t="shared" si="8"/>
        <v>0</v>
      </c>
      <c r="AH63" s="89"/>
      <c r="AI63" s="66"/>
      <c r="AJ63" s="66"/>
      <c r="AK63" s="62">
        <f t="shared" si="9"/>
        <v>0</v>
      </c>
      <c r="AL63" s="72">
        <f t="shared" si="10"/>
        <v>0</v>
      </c>
      <c r="AM63" s="73">
        <f t="shared" si="11"/>
        <v>0</v>
      </c>
      <c r="AN63" s="74">
        <f t="shared" si="20"/>
        <v>0</v>
      </c>
      <c r="AO63" s="74">
        <f t="shared" si="20"/>
        <v>0</v>
      </c>
      <c r="AP63" s="75" t="e">
        <f t="shared" si="13"/>
        <v>#DIV/0!</v>
      </c>
      <c r="AQ63" s="76">
        <f t="shared" si="14"/>
        <v>0</v>
      </c>
      <c r="AR63" s="90">
        <v>0</v>
      </c>
    </row>
    <row r="64" spans="1:44" x14ac:dyDescent="0.25">
      <c r="A64" t="str">
        <f t="shared" si="16"/>
        <v>46204M</v>
      </c>
      <c r="B64" s="51">
        <f t="shared" si="17"/>
        <v>46204</v>
      </c>
      <c r="C64" s="52" t="s">
        <v>87</v>
      </c>
      <c r="D64" s="91"/>
      <c r="E64" s="62"/>
      <c r="F64" s="62"/>
      <c r="G64" s="62">
        <f t="shared" si="18"/>
        <v>0</v>
      </c>
      <c r="H64" s="63">
        <f t="shared" si="19"/>
        <v>0</v>
      </c>
      <c r="I64" s="119"/>
      <c r="J64" s="119"/>
      <c r="K64" s="119"/>
      <c r="L64" s="119"/>
      <c r="M64" s="57"/>
      <c r="N64" s="58"/>
      <c r="O64" s="59"/>
      <c r="P64" s="56"/>
      <c r="Q64" s="60"/>
      <c r="R64" s="61">
        <f t="shared" si="2"/>
        <v>0</v>
      </c>
      <c r="S64" s="62">
        <f t="shared" si="3"/>
        <v>0</v>
      </c>
      <c r="T64" s="63">
        <f t="shared" si="4"/>
        <v>0</v>
      </c>
      <c r="U64" s="64"/>
      <c r="V64" s="65"/>
      <c r="W64" s="66"/>
      <c r="X64" s="67"/>
      <c r="Y64" s="68"/>
      <c r="Z64" s="68"/>
      <c r="AA64" s="62">
        <f t="shared" si="5"/>
        <v>0</v>
      </c>
      <c r="AB64" s="63">
        <f t="shared" si="6"/>
        <v>0</v>
      </c>
      <c r="AC64" s="69"/>
      <c r="AD64" s="70"/>
      <c r="AE64" s="70"/>
      <c r="AF64" s="62">
        <f t="shared" si="7"/>
        <v>0</v>
      </c>
      <c r="AG64" s="63">
        <f t="shared" si="8"/>
        <v>0</v>
      </c>
      <c r="AH64" s="89"/>
      <c r="AI64" s="71"/>
      <c r="AJ64" s="71"/>
      <c r="AK64" s="62">
        <f t="shared" si="9"/>
        <v>0</v>
      </c>
      <c r="AL64" s="72">
        <f t="shared" si="10"/>
        <v>0</v>
      </c>
      <c r="AM64" s="73">
        <f t="shared" si="11"/>
        <v>0</v>
      </c>
      <c r="AN64" s="74">
        <f t="shared" si="20"/>
        <v>0</v>
      </c>
      <c r="AO64" s="74">
        <f t="shared" si="20"/>
        <v>0</v>
      </c>
      <c r="AP64" s="75" t="e">
        <f t="shared" si="13"/>
        <v>#DIV/0!</v>
      </c>
      <c r="AQ64" s="76">
        <f t="shared" si="14"/>
        <v>0</v>
      </c>
      <c r="AR64" s="90">
        <f t="shared" si="15"/>
        <v>0</v>
      </c>
    </row>
    <row r="65" spans="1:44" x14ac:dyDescent="0.25">
      <c r="A65" t="str">
        <f t="shared" si="16"/>
        <v>46204E</v>
      </c>
      <c r="B65" s="51">
        <f t="shared" si="17"/>
        <v>46204</v>
      </c>
      <c r="C65" s="52" t="s">
        <v>88</v>
      </c>
      <c r="D65" s="91"/>
      <c r="E65" s="62"/>
      <c r="F65" s="62"/>
      <c r="G65" s="62">
        <f t="shared" si="18"/>
        <v>0</v>
      </c>
      <c r="H65" s="63">
        <f t="shared" si="19"/>
        <v>0</v>
      </c>
      <c r="I65" s="119"/>
      <c r="J65" s="119"/>
      <c r="K65" s="119"/>
      <c r="L65" s="119"/>
      <c r="M65" s="57"/>
      <c r="N65" s="58"/>
      <c r="O65" s="59"/>
      <c r="P65" s="56"/>
      <c r="Q65" s="60"/>
      <c r="R65" s="61">
        <f t="shared" si="2"/>
        <v>0</v>
      </c>
      <c r="S65" s="62">
        <f t="shared" si="3"/>
        <v>0</v>
      </c>
      <c r="T65" s="63">
        <f t="shared" si="4"/>
        <v>0</v>
      </c>
      <c r="U65" s="64"/>
      <c r="V65" s="65"/>
      <c r="W65" s="66"/>
      <c r="X65" s="67"/>
      <c r="Y65" s="68"/>
      <c r="Z65" s="68"/>
      <c r="AA65" s="62">
        <f t="shared" si="5"/>
        <v>0</v>
      </c>
      <c r="AB65" s="63">
        <f t="shared" si="6"/>
        <v>0</v>
      </c>
      <c r="AC65" s="69"/>
      <c r="AD65" s="70"/>
      <c r="AE65" s="70"/>
      <c r="AF65" s="62">
        <f t="shared" si="7"/>
        <v>0</v>
      </c>
      <c r="AG65" s="63">
        <f t="shared" si="8"/>
        <v>0</v>
      </c>
      <c r="AH65" s="89"/>
      <c r="AI65" s="71"/>
      <c r="AJ65" s="71"/>
      <c r="AK65" s="62">
        <f t="shared" si="9"/>
        <v>0</v>
      </c>
      <c r="AL65" s="72">
        <f t="shared" si="10"/>
        <v>0</v>
      </c>
      <c r="AM65" s="73">
        <f t="shared" si="11"/>
        <v>0</v>
      </c>
      <c r="AN65" s="74">
        <f t="shared" si="20"/>
        <v>0</v>
      </c>
      <c r="AO65" s="74">
        <f t="shared" si="20"/>
        <v>0</v>
      </c>
      <c r="AP65" s="75" t="e">
        <f t="shared" si="13"/>
        <v>#DIV/0!</v>
      </c>
      <c r="AQ65" s="76">
        <f t="shared" si="14"/>
        <v>0</v>
      </c>
      <c r="AR65" s="90">
        <f t="shared" si="15"/>
        <v>0</v>
      </c>
    </row>
    <row r="66" spans="1:44" x14ac:dyDescent="0.25">
      <c r="J66" s="83">
        <f>SUM(J4:J65)</f>
        <v>56583.152999999998</v>
      </c>
      <c r="R66" s="83">
        <f>SUM(R4:R65)</f>
        <v>56583.152999999998</v>
      </c>
      <c r="S66" s="83">
        <f t="shared" ref="S66:T66" si="21">SUM(S4:S65)</f>
        <v>2582.9657007000001</v>
      </c>
      <c r="T66" s="83">
        <f t="shared" si="21"/>
        <v>4621.314585699999</v>
      </c>
      <c r="AH66" s="90"/>
      <c r="AI66" s="77"/>
      <c r="AJ66" s="77"/>
      <c r="AM66" s="83">
        <f>-SUM(AM4:AM65)</f>
        <v>-151.05299999999767</v>
      </c>
      <c r="AN66" s="83">
        <f>-SUM(AN4:AN65)</f>
        <v>12.796429300000021</v>
      </c>
      <c r="AO66" s="83">
        <f>-SUM(AO4:AO65)</f>
        <v>20.613994300000044</v>
      </c>
      <c r="AQ66" s="127">
        <f>-SUM(AQ4:AQ65)</f>
        <v>11913.663864538357</v>
      </c>
    </row>
    <row r="67" spans="1:44" x14ac:dyDescent="0.25">
      <c r="X67" s="90"/>
      <c r="Y67" s="77"/>
      <c r="Z67" s="77"/>
      <c r="AH67" s="90"/>
      <c r="AI67" s="77"/>
      <c r="AJ67" s="77"/>
    </row>
    <row r="68" spans="1:44" x14ac:dyDescent="0.25">
      <c r="AH68" s="90"/>
      <c r="AI68" s="90"/>
      <c r="AJ68" s="90"/>
    </row>
    <row r="69" spans="1:44" x14ac:dyDescent="0.25">
      <c r="V69" s="194">
        <v>4640</v>
      </c>
      <c r="W69" s="195">
        <v>4.9000000000000004</v>
      </c>
      <c r="X69" s="195">
        <v>8.39</v>
      </c>
      <c r="Y69" s="90">
        <f>+V69*W69%</f>
        <v>227.36</v>
      </c>
      <c r="Z69" s="90">
        <f>+V69*X69%</f>
        <v>389.29599999999999</v>
      </c>
      <c r="AH69" s="90"/>
      <c r="AI69" s="90"/>
      <c r="AJ69" s="90"/>
    </row>
    <row r="70" spans="1:44" x14ac:dyDescent="0.25">
      <c r="V70" s="59">
        <v>5300</v>
      </c>
      <c r="W70" s="56">
        <v>4.3</v>
      </c>
      <c r="X70" s="60">
        <v>8.52</v>
      </c>
      <c r="Y70" s="90">
        <f>+V70*W70%</f>
        <v>227.89999999999998</v>
      </c>
      <c r="Z70" s="90">
        <f>+V70*X70%</f>
        <v>451.56</v>
      </c>
    </row>
    <row r="71" spans="1:44" x14ac:dyDescent="0.25">
      <c r="V71">
        <f>SUM(V69:V70)</f>
        <v>9940</v>
      </c>
      <c r="W71">
        <f>+Y71/V71%</f>
        <v>4.580080482897384</v>
      </c>
      <c r="X71">
        <f>+Z71/V71%</f>
        <v>8.4593158953722334</v>
      </c>
      <c r="Y71" s="90">
        <f>SUM(Y69:Y70)</f>
        <v>455.26</v>
      </c>
      <c r="Z71" s="90">
        <f>SUM(Z69:Z70)</f>
        <v>840.85599999999999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89" priority="2" operator="lessThan">
      <formula>0.1</formula>
    </cfRule>
    <cfRule type="cellIs" dxfId="88" priority="3" operator="greaterThan">
      <formula>0.1</formula>
    </cfRule>
  </conditionalFormatting>
  <conditionalFormatting sqref="AP1:AQ1">
    <cfRule type="cellIs" dxfId="87" priority="1" operator="lessThan">
      <formula>1</formula>
    </cfRule>
  </conditionalFormatting>
  <conditionalFormatting sqref="AQ4:AQ65">
    <cfRule type="cellIs" dxfId="86" priority="4" operator="lessThan">
      <formula>0</formula>
    </cfRule>
    <cfRule type="cellIs" dxfId="85" priority="5" operator="greater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/>
  <dimension ref="A1:AV68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C22" sqref="AC22:AE23"/>
    </sheetView>
  </sheetViews>
  <sheetFormatPr defaultRowHeight="15" x14ac:dyDescent="0.25"/>
  <cols>
    <col min="1" max="1" width="3" customWidth="1"/>
    <col min="2" max="2" width="9.7109375" customWidth="1"/>
    <col min="3" max="3" width="5.7109375" bestFit="1" customWidth="1"/>
    <col min="4" max="4" width="7.42578125" customWidth="1"/>
    <col min="5" max="6" width="5.85546875" bestFit="1" customWidth="1"/>
    <col min="7" max="7" width="7.28515625" bestFit="1" customWidth="1"/>
    <col min="8" max="8" width="7.42578125" bestFit="1" customWidth="1"/>
    <col min="9" max="9" width="8.7109375" customWidth="1"/>
    <col min="10" max="10" width="9.28515625" bestFit="1" customWidth="1"/>
    <col min="11" max="12" width="5.85546875" bestFit="1" customWidth="1"/>
    <col min="13" max="13" width="6" bestFit="1" customWidth="1"/>
    <col min="14" max="14" width="8.28515625" customWidth="1"/>
    <col min="15" max="15" width="7" bestFit="1" customWidth="1"/>
    <col min="16" max="17" width="5.85546875" bestFit="1" customWidth="1"/>
    <col min="18" max="18" width="9.28515625" bestFit="1" customWidth="1"/>
    <col min="19" max="19" width="7.28515625" bestFit="1" customWidth="1"/>
    <col min="20" max="20" width="8.140625" bestFit="1" customWidth="1"/>
    <col min="21" max="21" width="8.28515625" customWidth="1"/>
    <col min="22" max="22" width="9.28515625" customWidth="1"/>
    <col min="23" max="23" width="11.7109375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8.140625" bestFit="1" customWidth="1"/>
    <col min="29" max="29" width="8" customWidth="1"/>
    <col min="30" max="31" width="5.85546875" bestFit="1" customWidth="1"/>
    <col min="32" max="33" width="7.28515625" customWidth="1"/>
    <col min="34" max="34" width="9.28515625" bestFit="1" customWidth="1"/>
    <col min="35" max="35" width="5.85546875" bestFit="1" customWidth="1"/>
    <col min="36" max="36" width="7.7109375" bestFit="1" customWidth="1"/>
    <col min="37" max="37" width="7.28515625" bestFit="1" customWidth="1"/>
    <col min="38" max="38" width="8.1406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9.42578125" bestFit="1" customWidth="1"/>
    <col min="44" max="44" width="6.7109375" bestFit="1" customWidth="1"/>
    <col min="45" max="49" width="8.7109375" bestFit="1" customWidth="1"/>
  </cols>
  <sheetData>
    <row r="1" spans="1:46" ht="15.75" thickBot="1" x14ac:dyDescent="0.3">
      <c r="B1" s="43" t="s">
        <v>92</v>
      </c>
      <c r="C1" s="44"/>
      <c r="AG1">
        <v>392</v>
      </c>
      <c r="AP1" s="126">
        <f>Sumarry!$K$4</f>
        <v>448.91</v>
      </c>
      <c r="AQ1" s="126">
        <f>Sumarry!$L$4</f>
        <v>299.27333333333337</v>
      </c>
    </row>
    <row r="2" spans="1:46" x14ac:dyDescent="0.25">
      <c r="B2" s="259" t="s">
        <v>64</v>
      </c>
      <c r="C2" s="261" t="s">
        <v>65</v>
      </c>
      <c r="D2" s="263" t="s">
        <v>66</v>
      </c>
      <c r="E2" s="263"/>
      <c r="F2" s="263"/>
      <c r="G2" s="263"/>
      <c r="H2" s="264"/>
      <c r="I2" s="255" t="s">
        <v>67</v>
      </c>
      <c r="J2" s="256"/>
      <c r="K2" s="256"/>
      <c r="L2" s="257"/>
      <c r="M2" s="255" t="s">
        <v>68</v>
      </c>
      <c r="N2" s="265"/>
      <c r="O2" s="256"/>
      <c r="P2" s="256"/>
      <c r="Q2" s="257"/>
      <c r="R2" s="265" t="s">
        <v>69</v>
      </c>
      <c r="S2" s="256"/>
      <c r="T2" s="257"/>
      <c r="U2" s="252" t="s">
        <v>70</v>
      </c>
      <c r="V2" s="253"/>
      <c r="W2" s="253"/>
      <c r="X2" s="253"/>
      <c r="Y2" s="253"/>
      <c r="Z2" s="253"/>
      <c r="AA2" s="253"/>
      <c r="AB2" s="254"/>
      <c r="AC2" s="255" t="s">
        <v>71</v>
      </c>
      <c r="AD2" s="256"/>
      <c r="AE2" s="256"/>
      <c r="AF2" s="256"/>
      <c r="AG2" s="257"/>
      <c r="AH2" s="255" t="s">
        <v>72</v>
      </c>
      <c r="AI2" s="256"/>
      <c r="AJ2" s="256"/>
      <c r="AK2" s="256"/>
      <c r="AL2" s="258"/>
      <c r="AM2" s="252" t="s">
        <v>73</v>
      </c>
      <c r="AN2" s="253"/>
      <c r="AO2" s="253"/>
      <c r="AP2" s="253"/>
      <c r="AQ2" s="254"/>
    </row>
    <row r="3" spans="1:46" x14ac:dyDescent="0.25">
      <c r="B3" s="260"/>
      <c r="C3" s="26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6" x14ac:dyDescent="0.25">
      <c r="A4" t="str">
        <f>CONCATENATE(B4,C4)</f>
        <v>46174M</v>
      </c>
      <c r="B4" s="51">
        <v>46174</v>
      </c>
      <c r="C4" s="52" t="s">
        <v>87</v>
      </c>
      <c r="D4" s="55">
        <v>28083</v>
      </c>
      <c r="E4" s="54">
        <v>3.8</v>
      </c>
      <c r="F4" s="55">
        <v>8.1300000000000008</v>
      </c>
      <c r="G4" s="62">
        <f t="shared" ref="G4" si="0">+D4*E4%</f>
        <v>1067.154</v>
      </c>
      <c r="H4" s="63">
        <f t="shared" ref="H4" si="1">+D4*F4%</f>
        <v>2283.1479000000004</v>
      </c>
      <c r="I4" s="203">
        <v>2711.1000000000008</v>
      </c>
      <c r="J4" s="204">
        <v>2792.4330000000009</v>
      </c>
      <c r="K4" s="121">
        <v>4.933512227509131</v>
      </c>
      <c r="L4" s="122">
        <v>8.6339419423850128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2792.4330000000009</v>
      </c>
      <c r="S4" s="62">
        <f t="shared" ref="S4" si="2">+J4*K4%+O4*P4%</f>
        <v>137.7650235000001</v>
      </c>
      <c r="T4" s="63">
        <f t="shared" ref="T4" si="3">+J4*L4%+O4*Q4%</f>
        <v>241.09704400000015</v>
      </c>
      <c r="U4" s="64" t="s">
        <v>244</v>
      </c>
      <c r="V4" s="65" t="s">
        <v>245</v>
      </c>
      <c r="W4" s="66" t="s">
        <v>189</v>
      </c>
      <c r="X4" s="67">
        <v>15480</v>
      </c>
      <c r="Y4" s="68">
        <v>4.2</v>
      </c>
      <c r="Z4" s="68">
        <v>8.3699999999999992</v>
      </c>
      <c r="AA4" s="62">
        <f t="shared" ref="AA4" si="4">X4*Y4%</f>
        <v>650.16000000000008</v>
      </c>
      <c r="AB4" s="62">
        <f t="shared" ref="AB4" si="5">X4*Z4%</f>
        <v>1295.6759999999999</v>
      </c>
      <c r="AC4" s="69">
        <v>15460</v>
      </c>
      <c r="AD4" s="70">
        <v>4.1500000000000004</v>
      </c>
      <c r="AE4" s="70">
        <v>8.17</v>
      </c>
      <c r="AF4" s="62">
        <f t="shared" ref="AF4" si="6">AC4*AD4%</f>
        <v>641.59</v>
      </c>
      <c r="AG4" s="63">
        <f t="shared" ref="AG4" si="7">AC4*AE4%</f>
        <v>1263.0819999999999</v>
      </c>
      <c r="AH4" s="66">
        <v>15394</v>
      </c>
      <c r="AI4" s="66">
        <v>3.9</v>
      </c>
      <c r="AJ4" s="66">
        <v>8.17</v>
      </c>
      <c r="AK4" s="62">
        <f t="shared" ref="AK4" si="8">AH4*AI4%</f>
        <v>600.36599999999999</v>
      </c>
      <c r="AL4" s="72">
        <f t="shared" ref="AL4" si="9">AH4*AJ4%</f>
        <v>1257.6897999999999</v>
      </c>
      <c r="AM4" s="73">
        <f t="shared" ref="AM4" si="10">+D4+R4-AC4-AH4</f>
        <v>21.433000000000902</v>
      </c>
      <c r="AN4" s="74">
        <f t="shared" ref="AN4:AO4" si="11">+G4+S4-AF4-AK4</f>
        <v>-37.036976499999923</v>
      </c>
      <c r="AO4" s="74">
        <f t="shared" si="11"/>
        <v>3.4731440000007296</v>
      </c>
      <c r="AP4" s="75">
        <f t="shared" ref="AP4" si="12">(AN4+AO4)/(S4+T4)</f>
        <v>-8.8591166493592471E-2</v>
      </c>
      <c r="AQ4" s="76">
        <f t="shared" ref="AQ4" si="13">($AP$1*AN4+$AQ$1*AO4)</f>
        <v>-15586.84973858808</v>
      </c>
      <c r="AR4" s="77">
        <f t="shared" ref="AR4:AR9" si="14">(D4+J4+O4)-(X4+AH4)</f>
        <v>1.4330000000009022</v>
      </c>
      <c r="AT4" s="78"/>
    </row>
    <row r="5" spans="1:46" x14ac:dyDescent="0.25">
      <c r="A5" t="str">
        <f t="shared" ref="A5:A65" si="15">CONCATENATE(B5,C5)</f>
        <v>46174E</v>
      </c>
      <c r="B5" s="51">
        <f>+B4</f>
        <v>46174</v>
      </c>
      <c r="C5" s="52" t="s">
        <v>88</v>
      </c>
      <c r="D5" s="91">
        <v>15394</v>
      </c>
      <c r="E5" s="62">
        <v>3.9</v>
      </c>
      <c r="F5" s="62">
        <v>8.17</v>
      </c>
      <c r="G5" s="62">
        <f t="shared" ref="G5:G65" si="16">+D5*E5%</f>
        <v>600.36599999999999</v>
      </c>
      <c r="H5" s="63">
        <f t="shared" ref="H5:H65" si="17">+D5*F5%</f>
        <v>1257.6897999999999</v>
      </c>
      <c r="I5" s="203">
        <v>4384.2999999999993</v>
      </c>
      <c r="J5" s="204">
        <v>4515.8289999999997</v>
      </c>
      <c r="K5" s="121">
        <v>4.1834967953835278</v>
      </c>
      <c r="L5" s="122">
        <v>8.4696975571927133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8">+J5+O5</f>
        <v>4515.8289999999997</v>
      </c>
      <c r="S5" s="62">
        <f t="shared" ref="S5:S65" si="19">+J5*K5%+O5*P5%</f>
        <v>188.91956149999999</v>
      </c>
      <c r="T5" s="63">
        <f t="shared" ref="T5:T65" si="20">+J5*L5%+O5*Q5%</f>
        <v>382.47705850000011</v>
      </c>
      <c r="U5" s="64" t="s">
        <v>246</v>
      </c>
      <c r="V5" s="65" t="s">
        <v>247</v>
      </c>
      <c r="W5" s="66" t="s">
        <v>189</v>
      </c>
      <c r="X5" s="67">
        <v>9030</v>
      </c>
      <c r="Y5" s="68">
        <v>4.0999999999999996</v>
      </c>
      <c r="Z5" s="68">
        <v>8.35</v>
      </c>
      <c r="AA5" s="62">
        <f t="shared" ref="AA5:AA11" si="21">X5*Y5%</f>
        <v>370.22999999999996</v>
      </c>
      <c r="AB5" s="62">
        <f t="shared" ref="AB5:AB11" si="22">X5*Z5%</f>
        <v>754.00499999999988</v>
      </c>
      <c r="AC5" s="69">
        <v>9030</v>
      </c>
      <c r="AD5" s="70">
        <v>4.0500000000000007</v>
      </c>
      <c r="AE5" s="70">
        <v>8.15</v>
      </c>
      <c r="AF5" s="62">
        <f t="shared" ref="AF5:AF36" si="23">AC5*AD5%</f>
        <v>365.71500000000009</v>
      </c>
      <c r="AG5" s="63">
        <f t="shared" ref="AG5:AG36" si="24">AC5*AE5%</f>
        <v>735.94500000000005</v>
      </c>
      <c r="AH5" s="66">
        <v>10878</v>
      </c>
      <c r="AI5" s="66">
        <v>3.95</v>
      </c>
      <c r="AJ5" s="66">
        <v>8.23</v>
      </c>
      <c r="AK5" s="62">
        <f t="shared" ref="AK5:AK65" si="25">AH5*AI5%</f>
        <v>429.68099999999998</v>
      </c>
      <c r="AL5" s="72">
        <f t="shared" ref="AL5:AL65" si="26">AH5*AJ5%</f>
        <v>895.25940000000003</v>
      </c>
      <c r="AM5" s="73">
        <f t="shared" ref="AM5:AM65" si="27">+D5+R5-AC5-AH5</f>
        <v>1.8289999999979045</v>
      </c>
      <c r="AN5" s="74">
        <f t="shared" ref="AN5:AN65" si="28">+G5+S5-AF5-AK5</f>
        <v>-6.1104385000001002</v>
      </c>
      <c r="AO5" s="74">
        <f t="shared" ref="AO5:AO65" si="29">+H5+T5-AG5-AL5</f>
        <v>8.9624584999999115</v>
      </c>
      <c r="AP5" s="75">
        <f t="shared" ref="AP5:AP65" si="30">(AN5+AO5)/(S5+T5)</f>
        <v>4.9913140893269739E-3</v>
      </c>
      <c r="AQ5" s="76">
        <f t="shared" ref="AQ5:AQ65" si="31">($AP$1*AN5+$AQ$1*AO5)</f>
        <v>-60.812116878404595</v>
      </c>
      <c r="AR5" s="77">
        <f t="shared" si="14"/>
        <v>1.8289999999979045</v>
      </c>
    </row>
    <row r="6" spans="1:46" x14ac:dyDescent="0.25">
      <c r="A6" t="str">
        <f t="shared" si="15"/>
        <v>46175M</v>
      </c>
      <c r="B6" s="51">
        <f>+B4+1</f>
        <v>46175</v>
      </c>
      <c r="C6" s="52" t="s">
        <v>87</v>
      </c>
      <c r="D6" s="91">
        <v>10878</v>
      </c>
      <c r="E6" s="62">
        <v>3.95</v>
      </c>
      <c r="F6" s="62">
        <v>8.23</v>
      </c>
      <c r="G6" s="62">
        <f t="shared" si="16"/>
        <v>429.68099999999998</v>
      </c>
      <c r="H6" s="63">
        <f t="shared" si="17"/>
        <v>895.25940000000003</v>
      </c>
      <c r="I6" s="203">
        <v>3437.6999999999994</v>
      </c>
      <c r="J6" s="204">
        <v>3540.8309999999992</v>
      </c>
      <c r="K6" s="121">
        <v>4.646262035663379</v>
      </c>
      <c r="L6" s="122">
        <v>8.4788652296593625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8"/>
        <v>3540.8309999999992</v>
      </c>
      <c r="S6" s="62">
        <f t="shared" si="19"/>
        <v>164.51628649999995</v>
      </c>
      <c r="T6" s="63">
        <f t="shared" si="20"/>
        <v>300.22228849999988</v>
      </c>
      <c r="U6" s="64" t="s">
        <v>167</v>
      </c>
      <c r="V6" s="65" t="s">
        <v>187</v>
      </c>
      <c r="W6" s="66" t="s">
        <v>167</v>
      </c>
      <c r="X6" s="67">
        <v>0</v>
      </c>
      <c r="Y6" s="68">
        <v>0</v>
      </c>
      <c r="Z6" s="68">
        <v>0</v>
      </c>
      <c r="AA6" s="62">
        <f t="shared" si="21"/>
        <v>0</v>
      </c>
      <c r="AB6" s="62">
        <f t="shared" si="22"/>
        <v>0</v>
      </c>
      <c r="AC6" s="69"/>
      <c r="AD6" s="70"/>
      <c r="AE6" s="70"/>
      <c r="AF6" s="62">
        <f t="shared" si="23"/>
        <v>0</v>
      </c>
      <c r="AG6" s="63">
        <f t="shared" si="24"/>
        <v>0</v>
      </c>
      <c r="AH6" s="66">
        <v>14417</v>
      </c>
      <c r="AI6" s="66">
        <v>4.13</v>
      </c>
      <c r="AJ6" s="66">
        <v>8.2799999999999994</v>
      </c>
      <c r="AK6" s="62">
        <f t="shared" si="25"/>
        <v>595.4221</v>
      </c>
      <c r="AL6" s="72">
        <f t="shared" si="26"/>
        <v>1193.7275999999999</v>
      </c>
      <c r="AM6" s="73">
        <f t="shared" si="27"/>
        <v>1.830999999998312</v>
      </c>
      <c r="AN6" s="74">
        <f t="shared" si="28"/>
        <v>-1.2248135000000957</v>
      </c>
      <c r="AO6" s="74">
        <f t="shared" si="29"/>
        <v>1.7540885000000799</v>
      </c>
      <c r="AP6" s="75">
        <f t="shared" si="30"/>
        <v>1.1388660818611503E-3</v>
      </c>
      <c r="AQ6" s="76">
        <f t="shared" si="31"/>
        <v>-24.879115928352348</v>
      </c>
      <c r="AR6" s="77">
        <f t="shared" si="14"/>
        <v>1.830999999998312</v>
      </c>
    </row>
    <row r="7" spans="1:46" x14ac:dyDescent="0.25">
      <c r="A7" t="str">
        <f t="shared" si="15"/>
        <v>46175E</v>
      </c>
      <c r="B7" s="51">
        <f>+B5+1</f>
        <v>46175</v>
      </c>
      <c r="C7" s="52" t="s">
        <v>88</v>
      </c>
      <c r="D7" s="91">
        <v>14417</v>
      </c>
      <c r="E7" s="62">
        <v>4.13</v>
      </c>
      <c r="F7" s="62">
        <v>8.2799999999999994</v>
      </c>
      <c r="G7" s="62">
        <f t="shared" si="16"/>
        <v>595.4221</v>
      </c>
      <c r="H7" s="63">
        <f t="shared" si="17"/>
        <v>1193.7275999999999</v>
      </c>
      <c r="I7" s="203">
        <v>4480.1000000000004</v>
      </c>
      <c r="J7" s="204">
        <v>4614.5030000000006</v>
      </c>
      <c r="K7" s="121">
        <v>4.1005357023280737</v>
      </c>
      <c r="L7" s="122">
        <v>8.3788341778085318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8"/>
        <v>4614.5030000000006</v>
      </c>
      <c r="S7" s="62">
        <f t="shared" si="19"/>
        <v>189.21934300000007</v>
      </c>
      <c r="T7" s="63">
        <f t="shared" si="20"/>
        <v>386.6415545000001</v>
      </c>
      <c r="U7" s="64" t="s">
        <v>244</v>
      </c>
      <c r="V7" s="65" t="s">
        <v>248</v>
      </c>
      <c r="W7" s="66" t="s">
        <v>225</v>
      </c>
      <c r="X7" s="67">
        <v>15220</v>
      </c>
      <c r="Y7" s="68">
        <v>4.45</v>
      </c>
      <c r="Z7" s="68">
        <v>8.42</v>
      </c>
      <c r="AA7" s="62">
        <f t="shared" si="21"/>
        <v>677.29000000000008</v>
      </c>
      <c r="AB7" s="62">
        <f t="shared" si="22"/>
        <v>1281.5239999999999</v>
      </c>
      <c r="AC7" s="69">
        <v>15160</v>
      </c>
      <c r="AD7" s="70">
        <v>4.3</v>
      </c>
      <c r="AE7" s="70">
        <v>8.14</v>
      </c>
      <c r="AF7" s="62">
        <f t="shared" si="23"/>
        <v>651.88</v>
      </c>
      <c r="AG7" s="63">
        <f t="shared" si="24"/>
        <v>1234.0240000000001</v>
      </c>
      <c r="AH7" s="66">
        <v>3809</v>
      </c>
      <c r="AI7" s="66">
        <v>4.12</v>
      </c>
      <c r="AJ7" s="66">
        <v>8.3000000000000007</v>
      </c>
      <c r="AK7" s="62">
        <f t="shared" si="25"/>
        <v>156.9308</v>
      </c>
      <c r="AL7" s="72">
        <f t="shared" si="26"/>
        <v>316.14699999999999</v>
      </c>
      <c r="AM7" s="73">
        <f t="shared" si="27"/>
        <v>62.503000000000611</v>
      </c>
      <c r="AN7" s="74">
        <f t="shared" si="28"/>
        <v>-24.169356999999906</v>
      </c>
      <c r="AO7" s="74">
        <f t="shared" si="29"/>
        <v>30.198154500000044</v>
      </c>
      <c r="AP7" s="75">
        <f t="shared" si="30"/>
        <v>1.0469190608657598E-2</v>
      </c>
      <c r="AQ7" s="76">
        <f t="shared" si="31"/>
        <v>-1812.3636931399433</v>
      </c>
      <c r="AR7" s="77">
        <f t="shared" si="14"/>
        <v>2.5030000000006112</v>
      </c>
    </row>
    <row r="8" spans="1:46" x14ac:dyDescent="0.25">
      <c r="A8" t="str">
        <f t="shared" si="15"/>
        <v>46176M</v>
      </c>
      <c r="B8" s="51">
        <f>+B6+1</f>
        <v>46176</v>
      </c>
      <c r="C8" s="52" t="s">
        <v>87</v>
      </c>
      <c r="D8" s="91">
        <v>3809</v>
      </c>
      <c r="E8" s="62">
        <v>4.12</v>
      </c>
      <c r="F8" s="62">
        <v>8.3000000000000007</v>
      </c>
      <c r="G8" s="62">
        <f t="shared" si="16"/>
        <v>156.9308</v>
      </c>
      <c r="H8" s="63">
        <f t="shared" si="17"/>
        <v>316.14699999999999</v>
      </c>
      <c r="I8" s="203">
        <v>2732.4999999999995</v>
      </c>
      <c r="J8" s="204">
        <v>2814.4749999999995</v>
      </c>
      <c r="K8" s="121">
        <v>4.6962287282708139</v>
      </c>
      <c r="L8" s="122">
        <v>8.4974784995425452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8"/>
        <v>2814.4749999999995</v>
      </c>
      <c r="S8" s="62">
        <f t="shared" si="19"/>
        <v>132.17418349999997</v>
      </c>
      <c r="T8" s="63">
        <f t="shared" si="20"/>
        <v>239.15940799999998</v>
      </c>
      <c r="U8" s="64" t="s">
        <v>167</v>
      </c>
      <c r="V8" s="65" t="s">
        <v>167</v>
      </c>
      <c r="W8" s="66">
        <v>0</v>
      </c>
      <c r="X8" s="67">
        <v>0</v>
      </c>
      <c r="Y8" s="68">
        <v>0</v>
      </c>
      <c r="Z8" s="68">
        <v>0</v>
      </c>
      <c r="AA8" s="62">
        <f t="shared" si="21"/>
        <v>0</v>
      </c>
      <c r="AB8" s="62">
        <f t="shared" si="22"/>
        <v>0</v>
      </c>
      <c r="AC8" s="69"/>
      <c r="AD8" s="70"/>
      <c r="AE8" s="70"/>
      <c r="AF8" s="62">
        <f t="shared" si="23"/>
        <v>0</v>
      </c>
      <c r="AG8" s="63">
        <f t="shared" si="24"/>
        <v>0</v>
      </c>
      <c r="AH8" s="66">
        <v>6621</v>
      </c>
      <c r="AI8" s="66">
        <v>4.2300000000000004</v>
      </c>
      <c r="AJ8" s="66">
        <v>8.31</v>
      </c>
      <c r="AK8" s="62">
        <f t="shared" si="25"/>
        <v>280.06830000000002</v>
      </c>
      <c r="AL8" s="72">
        <f t="shared" si="26"/>
        <v>550.20510000000002</v>
      </c>
      <c r="AM8" s="73">
        <f t="shared" si="27"/>
        <v>2.4749999999994543</v>
      </c>
      <c r="AN8" s="74">
        <f t="shared" si="28"/>
        <v>9.036683499999981</v>
      </c>
      <c r="AO8" s="74">
        <f t="shared" si="29"/>
        <v>5.1013079999999036</v>
      </c>
      <c r="AP8" s="75">
        <f t="shared" si="30"/>
        <v>3.8073559256757643E-2</v>
      </c>
      <c r="AQ8" s="76">
        <f t="shared" si="31"/>
        <v>5583.3430395049636</v>
      </c>
      <c r="AR8" s="77">
        <f t="shared" si="14"/>
        <v>2.4749999999994543</v>
      </c>
    </row>
    <row r="9" spans="1:46" x14ac:dyDescent="0.25">
      <c r="A9" t="str">
        <f t="shared" si="15"/>
        <v>46176E</v>
      </c>
      <c r="B9" s="51">
        <f t="shared" ref="B9:B65" si="32">+B7+1</f>
        <v>46176</v>
      </c>
      <c r="C9" s="52" t="s">
        <v>88</v>
      </c>
      <c r="D9" s="91">
        <v>6621</v>
      </c>
      <c r="E9" s="62">
        <v>4.2300000000000004</v>
      </c>
      <c r="F9" s="62">
        <v>8.31</v>
      </c>
      <c r="G9" s="62">
        <f t="shared" si="16"/>
        <v>280.06830000000002</v>
      </c>
      <c r="H9" s="63">
        <f t="shared" si="17"/>
        <v>550.20510000000002</v>
      </c>
      <c r="I9" s="203">
        <v>6850.35</v>
      </c>
      <c r="J9" s="204">
        <v>7055.8605000000007</v>
      </c>
      <c r="K9" s="121">
        <v>4.0955374542906569</v>
      </c>
      <c r="L9" s="122">
        <v>8.3205171998511052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8"/>
        <v>7055.8605000000007</v>
      </c>
      <c r="S9" s="62">
        <f t="shared" si="19"/>
        <v>288.97540950000007</v>
      </c>
      <c r="T9" s="63">
        <f t="shared" si="20"/>
        <v>587.08408650000024</v>
      </c>
      <c r="U9" s="64" t="s">
        <v>246</v>
      </c>
      <c r="V9" s="65" t="s">
        <v>249</v>
      </c>
      <c r="W9" s="66" t="s">
        <v>225</v>
      </c>
      <c r="X9" s="67">
        <v>9030</v>
      </c>
      <c r="Y9" s="68">
        <v>4.3499999999999996</v>
      </c>
      <c r="Z9" s="68">
        <v>8.34</v>
      </c>
      <c r="AA9" s="62">
        <f t="shared" si="21"/>
        <v>392.80499999999995</v>
      </c>
      <c r="AB9" s="62">
        <f t="shared" si="22"/>
        <v>753.10199999999998</v>
      </c>
      <c r="AC9" s="69">
        <v>9020</v>
      </c>
      <c r="AD9" s="70">
        <v>4.25</v>
      </c>
      <c r="AE9" s="70">
        <v>8.1999999999999975</v>
      </c>
      <c r="AF9" s="62">
        <f t="shared" si="23"/>
        <v>383.35</v>
      </c>
      <c r="AG9" s="63">
        <f t="shared" si="24"/>
        <v>739.63999999999976</v>
      </c>
      <c r="AH9" s="66">
        <v>4645</v>
      </c>
      <c r="AI9" s="66">
        <v>4.1500000000000004</v>
      </c>
      <c r="AJ9" s="66">
        <v>8.31</v>
      </c>
      <c r="AK9" s="62">
        <f t="shared" si="25"/>
        <v>192.76750000000001</v>
      </c>
      <c r="AL9" s="72">
        <f t="shared" si="26"/>
        <v>385.99950000000001</v>
      </c>
      <c r="AM9" s="73">
        <f t="shared" si="27"/>
        <v>11.860500000000684</v>
      </c>
      <c r="AN9" s="74">
        <f t="shared" si="28"/>
        <v>-7.0737904999999444</v>
      </c>
      <c r="AO9" s="74">
        <f t="shared" si="29"/>
        <v>11.649686500000371</v>
      </c>
      <c r="AP9" s="75">
        <f t="shared" si="30"/>
        <v>5.2232708176710692E-3</v>
      </c>
      <c r="AQ9" s="76">
        <f t="shared" si="31"/>
        <v>310.94521778846956</v>
      </c>
      <c r="AR9" s="77">
        <f t="shared" si="14"/>
        <v>1.8605000000006839</v>
      </c>
    </row>
    <row r="10" spans="1:46" x14ac:dyDescent="0.25">
      <c r="A10" t="str">
        <f t="shared" si="15"/>
        <v>46177M</v>
      </c>
      <c r="B10" s="51">
        <f t="shared" si="32"/>
        <v>46177</v>
      </c>
      <c r="C10" s="52" t="s">
        <v>87</v>
      </c>
      <c r="D10" s="91">
        <v>4645</v>
      </c>
      <c r="E10" s="62">
        <v>4.1500000000000004</v>
      </c>
      <c r="F10" s="62">
        <v>8.31</v>
      </c>
      <c r="G10" s="62">
        <f t="shared" si="16"/>
        <v>192.76750000000001</v>
      </c>
      <c r="H10" s="63">
        <f t="shared" si="17"/>
        <v>385.99950000000001</v>
      </c>
      <c r="I10" s="203">
        <v>4408.8999999999996</v>
      </c>
      <c r="J10" s="204">
        <v>4541.1669999999995</v>
      </c>
      <c r="K10" s="121">
        <v>4.5144820703576851</v>
      </c>
      <c r="L10" s="122">
        <v>8.3834108280977127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8"/>
        <v>4541.1669999999995</v>
      </c>
      <c r="S10" s="62">
        <f t="shared" si="19"/>
        <v>205.01016999999996</v>
      </c>
      <c r="T10" s="63">
        <f t="shared" si="20"/>
        <v>380.70468599999998</v>
      </c>
      <c r="U10" s="64" t="s">
        <v>167</v>
      </c>
      <c r="V10" s="65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f t="shared" si="21"/>
        <v>0</v>
      </c>
      <c r="AB10" s="62">
        <f t="shared" si="22"/>
        <v>0</v>
      </c>
      <c r="AC10" s="69"/>
      <c r="AD10" s="70"/>
      <c r="AE10" s="70"/>
      <c r="AF10" s="62">
        <f t="shared" si="23"/>
        <v>0</v>
      </c>
      <c r="AG10" s="63">
        <f t="shared" si="24"/>
        <v>0</v>
      </c>
      <c r="AH10" s="66">
        <v>9180</v>
      </c>
      <c r="AI10" s="66">
        <v>4.32</v>
      </c>
      <c r="AJ10" s="66">
        <v>8.34</v>
      </c>
      <c r="AK10" s="62">
        <f t="shared" si="25"/>
        <v>396.57600000000002</v>
      </c>
      <c r="AL10" s="72">
        <f t="shared" si="26"/>
        <v>765.61199999999997</v>
      </c>
      <c r="AM10" s="73">
        <f t="shared" si="27"/>
        <v>6.1669999999994616</v>
      </c>
      <c r="AN10" s="74">
        <f t="shared" si="28"/>
        <v>1.2016699999999219</v>
      </c>
      <c r="AO10" s="74">
        <f t="shared" si="29"/>
        <v>1.0921859999999697</v>
      </c>
      <c r="AP10" s="75">
        <f t="shared" si="30"/>
        <v>3.9163356990212514E-3</v>
      </c>
      <c r="AQ10" s="76">
        <f t="shared" si="31"/>
        <v>866.30382453995594</v>
      </c>
      <c r="AR10" s="77">
        <f>(D10+J10+O10)-(X10+AH10)</f>
        <v>6.1669999999994616</v>
      </c>
    </row>
    <row r="11" spans="1:46" x14ac:dyDescent="0.25">
      <c r="A11" t="str">
        <f t="shared" si="15"/>
        <v>46177E</v>
      </c>
      <c r="B11" s="51">
        <f t="shared" si="32"/>
        <v>46177</v>
      </c>
      <c r="C11" s="52" t="s">
        <v>88</v>
      </c>
      <c r="D11" s="91">
        <v>9180</v>
      </c>
      <c r="E11" s="62">
        <v>4.32</v>
      </c>
      <c r="F11" s="62">
        <v>8.34</v>
      </c>
      <c r="G11" s="62">
        <f t="shared" si="16"/>
        <v>396.57600000000002</v>
      </c>
      <c r="H11" s="63">
        <f t="shared" si="17"/>
        <v>765.61199999999997</v>
      </c>
      <c r="I11" s="203">
        <v>8526.2999999999993</v>
      </c>
      <c r="J11" s="204">
        <v>8782.0889999999999</v>
      </c>
      <c r="K11" s="121">
        <v>3.9179560888075726</v>
      </c>
      <c r="L11" s="122">
        <v>8.2064656416030424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8"/>
        <v>8782.0889999999999</v>
      </c>
      <c r="S11" s="62">
        <f t="shared" si="19"/>
        <v>344.07839070000006</v>
      </c>
      <c r="T11" s="63">
        <f t="shared" si="20"/>
        <v>720.69911640000021</v>
      </c>
      <c r="U11" s="64" t="s">
        <v>244</v>
      </c>
      <c r="V11" s="65" t="s">
        <v>250</v>
      </c>
      <c r="W11" s="66" t="s">
        <v>225</v>
      </c>
      <c r="X11" s="67">
        <v>13760</v>
      </c>
      <c r="Y11" s="68">
        <v>4.0999999999999996</v>
      </c>
      <c r="Z11" s="68">
        <v>8.23</v>
      </c>
      <c r="AA11" s="62">
        <f t="shared" si="21"/>
        <v>564.16</v>
      </c>
      <c r="AB11" s="62">
        <f t="shared" si="22"/>
        <v>1132.4479999999999</v>
      </c>
      <c r="AC11" s="69">
        <v>13730</v>
      </c>
      <c r="AD11" s="70">
        <v>4</v>
      </c>
      <c r="AE11" s="70">
        <v>8.02</v>
      </c>
      <c r="AF11" s="62">
        <f t="shared" si="23"/>
        <v>549.20000000000005</v>
      </c>
      <c r="AG11" s="63">
        <f t="shared" si="24"/>
        <v>1101.146</v>
      </c>
      <c r="AH11" s="66">
        <v>4200</v>
      </c>
      <c r="AI11" s="66">
        <v>4.0999999999999996</v>
      </c>
      <c r="AJ11" s="66">
        <v>8.17</v>
      </c>
      <c r="AK11" s="62">
        <f t="shared" si="25"/>
        <v>172.2</v>
      </c>
      <c r="AL11" s="72">
        <f t="shared" si="26"/>
        <v>343.14</v>
      </c>
      <c r="AM11" s="73">
        <f t="shared" si="27"/>
        <v>32.088999999999942</v>
      </c>
      <c r="AN11" s="74">
        <f t="shared" si="28"/>
        <v>19.254390699999988</v>
      </c>
      <c r="AO11" s="74">
        <f t="shared" si="29"/>
        <v>42.025116400000229</v>
      </c>
      <c r="AP11" s="75">
        <f t="shared" si="30"/>
        <v>5.7551466565911459E-2</v>
      </c>
      <c r="AQ11" s="76">
        <f t="shared" si="31"/>
        <v>21220.485197886399</v>
      </c>
      <c r="AR11" s="77">
        <f t="shared" ref="AR11:AR65" si="33">(D11+J11+O11)-(X11+AH11)</f>
        <v>2.0889999999999418</v>
      </c>
    </row>
    <row r="12" spans="1:46" x14ac:dyDescent="0.25">
      <c r="A12" t="str">
        <f t="shared" si="15"/>
        <v>46178M</v>
      </c>
      <c r="B12" s="51">
        <f t="shared" si="32"/>
        <v>46178</v>
      </c>
      <c r="C12" s="52" t="s">
        <v>87</v>
      </c>
      <c r="D12" s="91">
        <v>4200</v>
      </c>
      <c r="E12" s="62">
        <v>4.0999999999999996</v>
      </c>
      <c r="F12" s="62">
        <v>8.17</v>
      </c>
      <c r="G12" s="62">
        <f t="shared" si="16"/>
        <v>172.2</v>
      </c>
      <c r="H12" s="63">
        <f t="shared" si="17"/>
        <v>343.14</v>
      </c>
      <c r="I12" s="203">
        <v>2021.4</v>
      </c>
      <c r="J12" s="204">
        <v>2082.0420000000004</v>
      </c>
      <c r="K12" s="121">
        <v>4.8499999999999996</v>
      </c>
      <c r="L12" s="122">
        <v>8.44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8"/>
        <v>2082.0420000000004</v>
      </c>
      <c r="S12" s="62">
        <f t="shared" si="19"/>
        <v>100.97903700000001</v>
      </c>
      <c r="T12" s="63">
        <f t="shared" si="20"/>
        <v>175.72434480000001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ref="AA12:AA65" si="34">X12*Y12%</f>
        <v>0</v>
      </c>
      <c r="AB12" s="62">
        <f t="shared" ref="AB12:AB65" si="35">X12*Z12%</f>
        <v>0</v>
      </c>
      <c r="AC12" s="69"/>
      <c r="AD12" s="70"/>
      <c r="AE12" s="70"/>
      <c r="AF12" s="62">
        <f t="shared" si="23"/>
        <v>0</v>
      </c>
      <c r="AG12" s="63">
        <f t="shared" si="24"/>
        <v>0</v>
      </c>
      <c r="AH12" s="66">
        <v>6282</v>
      </c>
      <c r="AI12" s="66">
        <v>4.34</v>
      </c>
      <c r="AJ12" s="66">
        <v>8.25</v>
      </c>
      <c r="AK12" s="62">
        <f t="shared" si="25"/>
        <v>272.6388</v>
      </c>
      <c r="AL12" s="72">
        <f t="shared" si="26"/>
        <v>518.26499999999999</v>
      </c>
      <c r="AM12" s="73">
        <f t="shared" si="27"/>
        <v>4.2000000000371074E-2</v>
      </c>
      <c r="AN12" s="74">
        <f t="shared" si="28"/>
        <v>0.54023699999999053</v>
      </c>
      <c r="AO12" s="74">
        <f t="shared" si="29"/>
        <v>0.59934480000003987</v>
      </c>
      <c r="AP12" s="75">
        <f t="shared" si="30"/>
        <v>4.1184238247717374E-3</v>
      </c>
      <c r="AQ12" s="76">
        <f t="shared" si="31"/>
        <v>421.88570778200773</v>
      </c>
      <c r="AR12" s="77">
        <f t="shared" si="33"/>
        <v>4.2000000000371074E-2</v>
      </c>
    </row>
    <row r="13" spans="1:46" x14ac:dyDescent="0.25">
      <c r="A13" t="str">
        <f t="shared" si="15"/>
        <v>46178E</v>
      </c>
      <c r="B13" s="51">
        <f t="shared" si="32"/>
        <v>46178</v>
      </c>
      <c r="C13" s="52" t="s">
        <v>88</v>
      </c>
      <c r="D13" s="91">
        <v>6282</v>
      </c>
      <c r="E13" s="62">
        <v>4.34</v>
      </c>
      <c r="F13" s="62">
        <v>8.25</v>
      </c>
      <c r="G13" s="62">
        <f t="shared" si="16"/>
        <v>272.6388</v>
      </c>
      <c r="H13" s="63">
        <f t="shared" si="17"/>
        <v>518.26499999999999</v>
      </c>
      <c r="I13" s="203">
        <v>9503.7000000000007</v>
      </c>
      <c r="J13" s="204">
        <v>9788.8110000000015</v>
      </c>
      <c r="K13" s="121">
        <v>3.84</v>
      </c>
      <c r="L13" s="122">
        <v>8.16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8"/>
        <v>9788.8110000000015</v>
      </c>
      <c r="S13" s="62">
        <f t="shared" si="19"/>
        <v>375.89034240000001</v>
      </c>
      <c r="T13" s="63">
        <f t="shared" si="20"/>
        <v>798.76697760000013</v>
      </c>
      <c r="U13" s="64" t="s">
        <v>251</v>
      </c>
      <c r="V13" s="65" t="s">
        <v>356</v>
      </c>
      <c r="W13" s="66" t="s">
        <v>225</v>
      </c>
      <c r="X13" s="67">
        <v>9520</v>
      </c>
      <c r="Y13" s="68">
        <v>4.5</v>
      </c>
      <c r="Z13" s="68">
        <v>8.3699999999999992</v>
      </c>
      <c r="AA13" s="62">
        <f t="shared" si="34"/>
        <v>428.4</v>
      </c>
      <c r="AB13" s="62">
        <f t="shared" si="35"/>
        <v>796.82399999999996</v>
      </c>
      <c r="AC13" s="69">
        <v>9510</v>
      </c>
      <c r="AD13" s="70">
        <v>4.4500000000000011</v>
      </c>
      <c r="AE13" s="70">
        <v>8.3000000000000007</v>
      </c>
      <c r="AF13" s="62">
        <f t="shared" si="23"/>
        <v>423.19500000000011</v>
      </c>
      <c r="AG13" s="63">
        <f t="shared" si="24"/>
        <v>789.33</v>
      </c>
      <c r="AH13" s="66">
        <v>6550</v>
      </c>
      <c r="AI13" s="66">
        <v>4.03</v>
      </c>
      <c r="AJ13" s="66">
        <v>8.19</v>
      </c>
      <c r="AK13" s="62">
        <f t="shared" si="25"/>
        <v>263.96500000000003</v>
      </c>
      <c r="AL13" s="72">
        <f t="shared" si="26"/>
        <v>536.44500000000005</v>
      </c>
      <c r="AM13" s="73">
        <f t="shared" si="27"/>
        <v>10.811000000001513</v>
      </c>
      <c r="AN13" s="74">
        <f t="shared" si="28"/>
        <v>-38.630857600000184</v>
      </c>
      <c r="AO13" s="74">
        <f t="shared" si="29"/>
        <v>-8.7430223999999725</v>
      </c>
      <c r="AP13" s="75">
        <f t="shared" si="30"/>
        <v>-4.0329957676507856E-2</v>
      </c>
      <c r="AQ13" s="76">
        <f t="shared" si="31"/>
        <v>-19958.331742272072</v>
      </c>
      <c r="AR13" s="77">
        <f t="shared" si="33"/>
        <v>0.8110000000015134</v>
      </c>
    </row>
    <row r="14" spans="1:46" x14ac:dyDescent="0.25">
      <c r="A14" t="str">
        <f t="shared" si="15"/>
        <v>46179M</v>
      </c>
      <c r="B14" s="51">
        <f t="shared" si="32"/>
        <v>46179</v>
      </c>
      <c r="C14" s="52" t="s">
        <v>87</v>
      </c>
      <c r="D14" s="91">
        <v>6550</v>
      </c>
      <c r="E14" s="62">
        <v>4.03</v>
      </c>
      <c r="F14" s="62">
        <v>8.19</v>
      </c>
      <c r="G14" s="62">
        <f t="shared" si="16"/>
        <v>263.96500000000003</v>
      </c>
      <c r="H14" s="63">
        <f t="shared" si="17"/>
        <v>536.44500000000005</v>
      </c>
      <c r="I14" s="203">
        <v>7656.1</v>
      </c>
      <c r="J14" s="204">
        <v>7885.7830000000004</v>
      </c>
      <c r="K14" s="121">
        <v>4.13</v>
      </c>
      <c r="L14" s="122">
        <v>8.19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8"/>
        <v>7885.7830000000004</v>
      </c>
      <c r="S14" s="62">
        <f t="shared" si="19"/>
        <v>325.68283789999998</v>
      </c>
      <c r="T14" s="63">
        <f t="shared" si="20"/>
        <v>645.84562770000002</v>
      </c>
      <c r="U14" s="64" t="s">
        <v>246</v>
      </c>
      <c r="V14" s="65" t="s">
        <v>357</v>
      </c>
      <c r="W14" s="66" t="s">
        <v>225</v>
      </c>
      <c r="X14" s="67">
        <v>9030</v>
      </c>
      <c r="Y14" s="68">
        <v>4.05</v>
      </c>
      <c r="Z14" s="68">
        <v>8.2799999999999994</v>
      </c>
      <c r="AA14" s="62">
        <f t="shared" si="34"/>
        <v>365.71500000000003</v>
      </c>
      <c r="AB14" s="62">
        <f t="shared" si="35"/>
        <v>747.68399999999997</v>
      </c>
      <c r="AC14" s="69">
        <v>9030</v>
      </c>
      <c r="AD14" s="70">
        <v>3.95</v>
      </c>
      <c r="AE14" s="70">
        <v>8.14</v>
      </c>
      <c r="AF14" s="62">
        <f t="shared" si="23"/>
        <v>356.685</v>
      </c>
      <c r="AG14" s="63">
        <f t="shared" si="24"/>
        <v>735.04200000000003</v>
      </c>
      <c r="AH14" s="66">
        <v>5405</v>
      </c>
      <c r="AI14" s="66">
        <v>4.08</v>
      </c>
      <c r="AJ14" s="66">
        <v>8.19</v>
      </c>
      <c r="AK14" s="62">
        <f t="shared" si="25"/>
        <v>220.52400000000003</v>
      </c>
      <c r="AL14" s="72">
        <f t="shared" si="26"/>
        <v>442.66950000000003</v>
      </c>
      <c r="AM14" s="73">
        <f t="shared" si="27"/>
        <v>0.78299999999944703</v>
      </c>
      <c r="AN14" s="74">
        <f t="shared" si="28"/>
        <v>12.438837899999982</v>
      </c>
      <c r="AO14" s="74">
        <f t="shared" si="29"/>
        <v>4.5791277000001287</v>
      </c>
      <c r="AP14" s="75">
        <f t="shared" si="30"/>
        <v>1.7516692719332823E-2</v>
      </c>
      <c r="AQ14" s="76">
        <f t="shared" si="31"/>
        <v>6954.3295322270315</v>
      </c>
      <c r="AR14" s="77">
        <f t="shared" si="33"/>
        <v>0.78299999999944703</v>
      </c>
    </row>
    <row r="15" spans="1:46" x14ac:dyDescent="0.25">
      <c r="A15" t="str">
        <f t="shared" si="15"/>
        <v>46179E</v>
      </c>
      <c r="B15" s="51">
        <f t="shared" si="32"/>
        <v>46179</v>
      </c>
      <c r="C15" s="52" t="s">
        <v>88</v>
      </c>
      <c r="D15" s="91">
        <v>5405</v>
      </c>
      <c r="E15" s="62">
        <v>4.08</v>
      </c>
      <c r="F15" s="62">
        <v>8.19</v>
      </c>
      <c r="G15" s="62">
        <f t="shared" si="16"/>
        <v>220.52400000000003</v>
      </c>
      <c r="H15" s="63">
        <f t="shared" si="17"/>
        <v>442.66950000000003</v>
      </c>
      <c r="I15" s="203">
        <v>9209.1</v>
      </c>
      <c r="J15" s="204">
        <v>9485.3730000000014</v>
      </c>
      <c r="K15" s="121">
        <v>4.09</v>
      </c>
      <c r="L15" s="122">
        <v>8.17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8"/>
        <v>9485.3730000000014</v>
      </c>
      <c r="S15" s="62">
        <f t="shared" si="19"/>
        <v>387.95175570000004</v>
      </c>
      <c r="T15" s="63">
        <f t="shared" si="20"/>
        <v>774.95497410000007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34"/>
        <v>0</v>
      </c>
      <c r="AB15" s="62">
        <f t="shared" si="35"/>
        <v>0</v>
      </c>
      <c r="AC15" s="69"/>
      <c r="AD15" s="70"/>
      <c r="AE15" s="70"/>
      <c r="AF15" s="62">
        <f t="shared" si="23"/>
        <v>0</v>
      </c>
      <c r="AG15" s="63">
        <f t="shared" si="24"/>
        <v>0</v>
      </c>
      <c r="AH15" s="66">
        <v>14890</v>
      </c>
      <c r="AI15" s="66">
        <v>4.08</v>
      </c>
      <c r="AJ15" s="66">
        <v>8.18</v>
      </c>
      <c r="AK15" s="62">
        <f t="shared" si="25"/>
        <v>607.51200000000006</v>
      </c>
      <c r="AL15" s="72">
        <f t="shared" si="26"/>
        <v>1218.002</v>
      </c>
      <c r="AM15" s="73">
        <f t="shared" si="27"/>
        <v>0.37300000000141154</v>
      </c>
      <c r="AN15" s="74">
        <f t="shared" si="28"/>
        <v>0.96375569999997879</v>
      </c>
      <c r="AO15" s="74">
        <f t="shared" si="29"/>
        <v>-0.3775258999999096</v>
      </c>
      <c r="AP15" s="75">
        <f t="shared" si="30"/>
        <v>5.0410732432590755E-4</v>
      </c>
      <c r="AQ15" s="76">
        <f t="shared" si="31"/>
        <v>319.65613677435084</v>
      </c>
      <c r="AR15" s="77">
        <f t="shared" si="33"/>
        <v>0.37300000000141154</v>
      </c>
    </row>
    <row r="16" spans="1:46" x14ac:dyDescent="0.25">
      <c r="A16" t="str">
        <f t="shared" si="15"/>
        <v>46180M</v>
      </c>
      <c r="B16" s="51">
        <f t="shared" si="32"/>
        <v>46180</v>
      </c>
      <c r="C16" s="52" t="s">
        <v>87</v>
      </c>
      <c r="D16" s="91">
        <v>14890</v>
      </c>
      <c r="E16" s="62">
        <v>4.08</v>
      </c>
      <c r="F16" s="62">
        <v>8.18</v>
      </c>
      <c r="G16" s="62">
        <f t="shared" si="16"/>
        <v>607.51200000000006</v>
      </c>
      <c r="H16" s="63">
        <f t="shared" si="17"/>
        <v>1218.002</v>
      </c>
      <c r="I16" s="203">
        <v>2441.8000000000002</v>
      </c>
      <c r="J16" s="204">
        <v>2515.0540000000001</v>
      </c>
      <c r="K16" s="121">
        <v>4.7300000000000004</v>
      </c>
      <c r="L16" s="122">
        <v>8.5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8"/>
        <v>2515.0540000000001</v>
      </c>
      <c r="S16" s="62">
        <f t="shared" si="19"/>
        <v>118.96205420000001</v>
      </c>
      <c r="T16" s="63">
        <f t="shared" si="20"/>
        <v>213.77959000000001</v>
      </c>
      <c r="U16" s="64" t="s">
        <v>244</v>
      </c>
      <c r="V16" s="65" t="s">
        <v>358</v>
      </c>
      <c r="W16" s="66" t="s">
        <v>225</v>
      </c>
      <c r="X16" s="67">
        <v>15480</v>
      </c>
      <c r="Y16" s="68">
        <v>4</v>
      </c>
      <c r="Z16" s="68">
        <v>8.39</v>
      </c>
      <c r="AA16" s="62">
        <f t="shared" si="34"/>
        <v>619.20000000000005</v>
      </c>
      <c r="AB16" s="62">
        <f t="shared" si="35"/>
        <v>1298.7719999999999</v>
      </c>
      <c r="AC16" s="69">
        <v>15470</v>
      </c>
      <c r="AD16" s="70">
        <v>3.9000000000000004</v>
      </c>
      <c r="AE16" s="70">
        <v>8.2500000000000018</v>
      </c>
      <c r="AF16" s="62">
        <f t="shared" si="23"/>
        <v>603.33000000000015</v>
      </c>
      <c r="AG16" s="63">
        <f t="shared" si="24"/>
        <v>1276.2750000000003</v>
      </c>
      <c r="AH16" s="66">
        <v>1925</v>
      </c>
      <c r="AI16" s="66">
        <v>4.17</v>
      </c>
      <c r="AJ16" s="66">
        <v>8.2200000000000006</v>
      </c>
      <c r="AK16" s="62">
        <f t="shared" si="25"/>
        <v>80.272500000000008</v>
      </c>
      <c r="AL16" s="72">
        <f t="shared" si="26"/>
        <v>158.23500000000001</v>
      </c>
      <c r="AM16" s="73">
        <f t="shared" si="27"/>
        <v>10.054000000000087</v>
      </c>
      <c r="AN16" s="74">
        <f t="shared" si="28"/>
        <v>42.871554199999906</v>
      </c>
      <c r="AO16" s="74">
        <f t="shared" si="29"/>
        <v>-2.7284100000002809</v>
      </c>
      <c r="AP16" s="75">
        <f t="shared" si="30"/>
        <v>0.12064358309136355</v>
      </c>
      <c r="AQ16" s="76">
        <f t="shared" si="31"/>
        <v>18428.929040521874</v>
      </c>
      <c r="AR16" s="77">
        <f t="shared" si="33"/>
        <v>5.4000000000087311E-2</v>
      </c>
    </row>
    <row r="17" spans="1:48" x14ac:dyDescent="0.25">
      <c r="A17" t="str">
        <f t="shared" si="15"/>
        <v>46180E</v>
      </c>
      <c r="B17" s="51">
        <f t="shared" si="32"/>
        <v>46180</v>
      </c>
      <c r="C17" s="52" t="s">
        <v>88</v>
      </c>
      <c r="D17" s="91">
        <v>1925</v>
      </c>
      <c r="E17" s="62">
        <v>4.17</v>
      </c>
      <c r="F17" s="62">
        <v>8.2200000000000006</v>
      </c>
      <c r="G17" s="62">
        <f t="shared" si="16"/>
        <v>80.272500000000008</v>
      </c>
      <c r="H17" s="63">
        <f t="shared" si="17"/>
        <v>158.23500000000001</v>
      </c>
      <c r="I17" s="203">
        <v>10071.299999999999</v>
      </c>
      <c r="J17" s="204">
        <v>10373.439</v>
      </c>
      <c r="K17" s="121">
        <v>3.66</v>
      </c>
      <c r="L17" s="122">
        <v>8.18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8"/>
        <v>10373.439</v>
      </c>
      <c r="S17" s="62">
        <f t="shared" si="19"/>
        <v>379.66786740000003</v>
      </c>
      <c r="T17" s="63">
        <f t="shared" si="20"/>
        <v>848.54731019999997</v>
      </c>
      <c r="U17" s="64" t="s">
        <v>251</v>
      </c>
      <c r="V17" s="65" t="s">
        <v>359</v>
      </c>
      <c r="W17" s="66" t="s">
        <v>225</v>
      </c>
      <c r="X17" s="67">
        <v>9520</v>
      </c>
      <c r="Y17" s="68">
        <v>3.9</v>
      </c>
      <c r="Z17" s="68">
        <v>8.31</v>
      </c>
      <c r="AA17" s="62">
        <f t="shared" si="34"/>
        <v>371.28</v>
      </c>
      <c r="AB17" s="62">
        <f t="shared" si="35"/>
        <v>791.11200000000008</v>
      </c>
      <c r="AC17" s="69">
        <v>9650</v>
      </c>
      <c r="AD17" s="70">
        <v>3.8499999999999996</v>
      </c>
      <c r="AE17" s="70">
        <v>8.18</v>
      </c>
      <c r="AF17" s="62">
        <f t="shared" si="23"/>
        <v>371.52499999999998</v>
      </c>
      <c r="AG17" s="63">
        <f t="shared" si="24"/>
        <v>789.37</v>
      </c>
      <c r="AH17" s="66">
        <v>2778</v>
      </c>
      <c r="AI17" s="66">
        <v>3.73</v>
      </c>
      <c r="AJ17" s="66">
        <v>8.18</v>
      </c>
      <c r="AK17" s="62">
        <f t="shared" si="25"/>
        <v>103.6194</v>
      </c>
      <c r="AL17" s="72">
        <f t="shared" si="26"/>
        <v>227.24039999999999</v>
      </c>
      <c r="AM17" s="73">
        <f t="shared" si="27"/>
        <v>-129.56099999999969</v>
      </c>
      <c r="AN17" s="74">
        <f t="shared" si="28"/>
        <v>-15.204032599999962</v>
      </c>
      <c r="AO17" s="74">
        <f t="shared" si="29"/>
        <v>-9.828089800000015</v>
      </c>
      <c r="AP17" s="75">
        <f t="shared" si="30"/>
        <v>-2.0380893231521629E-2</v>
      </c>
      <c r="AQ17" s="76">
        <f t="shared" si="31"/>
        <v>-9766.5274692113217</v>
      </c>
      <c r="AR17" s="77">
        <f t="shared" si="33"/>
        <v>0.43900000000030559</v>
      </c>
    </row>
    <row r="18" spans="1:48" x14ac:dyDescent="0.25">
      <c r="A18" t="str">
        <f t="shared" si="15"/>
        <v>46181M</v>
      </c>
      <c r="B18" s="51">
        <f t="shared" si="32"/>
        <v>46181</v>
      </c>
      <c r="C18" s="52" t="s">
        <v>87</v>
      </c>
      <c r="D18" s="91">
        <v>2778</v>
      </c>
      <c r="E18" s="62">
        <v>3.73</v>
      </c>
      <c r="F18" s="62">
        <v>8.18</v>
      </c>
      <c r="G18" s="62">
        <f t="shared" si="16"/>
        <v>103.6194</v>
      </c>
      <c r="H18" s="63">
        <f t="shared" si="17"/>
        <v>227.24039999999999</v>
      </c>
      <c r="I18" s="203">
        <v>9835.2999999999993</v>
      </c>
      <c r="J18" s="204">
        <v>10130.359</v>
      </c>
      <c r="K18" s="121">
        <v>3.93</v>
      </c>
      <c r="L18" s="122">
        <v>8.16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8"/>
        <v>10130.359</v>
      </c>
      <c r="S18" s="62">
        <f t="shared" si="19"/>
        <v>398.12310870000005</v>
      </c>
      <c r="T18" s="63">
        <f t="shared" si="20"/>
        <v>826.63729440000009</v>
      </c>
      <c r="U18" s="64" t="s">
        <v>167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34"/>
        <v>0</v>
      </c>
      <c r="AB18" s="62">
        <f t="shared" si="35"/>
        <v>0</v>
      </c>
      <c r="AC18" s="69"/>
      <c r="AD18" s="70"/>
      <c r="AE18" s="70"/>
      <c r="AF18" s="62">
        <f t="shared" si="23"/>
        <v>0</v>
      </c>
      <c r="AG18" s="63">
        <f t="shared" si="24"/>
        <v>0</v>
      </c>
      <c r="AH18" s="66">
        <v>12908</v>
      </c>
      <c r="AI18" s="66">
        <v>3.88</v>
      </c>
      <c r="AJ18" s="66">
        <v>8.17</v>
      </c>
      <c r="AK18" s="62">
        <f t="shared" si="25"/>
        <v>500.8304</v>
      </c>
      <c r="AL18" s="72">
        <f t="shared" si="26"/>
        <v>1054.5835999999999</v>
      </c>
      <c r="AM18" s="73">
        <f t="shared" si="27"/>
        <v>0.35900000000037835</v>
      </c>
      <c r="AN18" s="74">
        <f t="shared" si="28"/>
        <v>0.91210870000003297</v>
      </c>
      <c r="AO18" s="74">
        <f t="shared" si="29"/>
        <v>-0.70590559999982361</v>
      </c>
      <c r="AP18" s="75">
        <f t="shared" si="30"/>
        <v>1.6836199102966359E-4</v>
      </c>
      <c r="AQ18" s="76">
        <f t="shared" si="31"/>
        <v>198.19599458640093</v>
      </c>
      <c r="AR18" s="77">
        <f t="shared" si="33"/>
        <v>0.35900000000037835</v>
      </c>
    </row>
    <row r="19" spans="1:48" x14ac:dyDescent="0.25">
      <c r="A19" t="str">
        <f t="shared" si="15"/>
        <v>46181E</v>
      </c>
      <c r="B19" s="51">
        <f t="shared" si="32"/>
        <v>46181</v>
      </c>
      <c r="C19" s="52" t="s">
        <v>88</v>
      </c>
      <c r="D19" s="91">
        <v>12908</v>
      </c>
      <c r="E19" s="62">
        <v>3.88</v>
      </c>
      <c r="F19" s="62">
        <v>8.17</v>
      </c>
      <c r="G19" s="62">
        <f t="shared" si="16"/>
        <v>500.8304</v>
      </c>
      <c r="H19" s="63">
        <f t="shared" si="17"/>
        <v>1054.5835999999999</v>
      </c>
      <c r="I19" s="203">
        <v>11904.7</v>
      </c>
      <c r="J19" s="204">
        <v>12261.841</v>
      </c>
      <c r="K19" s="121">
        <v>3.55</v>
      </c>
      <c r="L19" s="122">
        <v>8.16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8"/>
        <v>12261.841</v>
      </c>
      <c r="S19" s="62">
        <f t="shared" si="19"/>
        <v>435.29535549999997</v>
      </c>
      <c r="T19" s="63">
        <f t="shared" si="20"/>
        <v>1000.5662256000001</v>
      </c>
      <c r="U19" s="64" t="s">
        <v>360</v>
      </c>
      <c r="V19" s="65" t="s">
        <v>361</v>
      </c>
      <c r="W19" s="66" t="s">
        <v>362</v>
      </c>
      <c r="X19" s="67">
        <v>23690</v>
      </c>
      <c r="Y19" s="68">
        <v>4</v>
      </c>
      <c r="Z19" s="68">
        <v>8.31</v>
      </c>
      <c r="AA19" s="62">
        <f t="shared" si="34"/>
        <v>947.6</v>
      </c>
      <c r="AB19" s="62">
        <f t="shared" si="35"/>
        <v>1968.6390000000001</v>
      </c>
      <c r="AC19" s="69">
        <v>23580</v>
      </c>
      <c r="AD19" s="70">
        <v>3.9543256997455472</v>
      </c>
      <c r="AE19" s="70">
        <v>8.1165224766751454</v>
      </c>
      <c r="AF19" s="62">
        <f t="shared" si="23"/>
        <v>932.43000000000006</v>
      </c>
      <c r="AG19" s="63">
        <f t="shared" si="24"/>
        <v>1913.8759999999991</v>
      </c>
      <c r="AH19" s="66">
        <v>1479</v>
      </c>
      <c r="AI19" s="66">
        <v>3.71</v>
      </c>
      <c r="AJ19" s="66">
        <v>8.16</v>
      </c>
      <c r="AK19" s="62">
        <f t="shared" si="25"/>
        <v>54.870899999999999</v>
      </c>
      <c r="AL19" s="72">
        <f t="shared" si="26"/>
        <v>120.68640000000001</v>
      </c>
      <c r="AM19" s="73">
        <f t="shared" si="27"/>
        <v>110.84100000000035</v>
      </c>
      <c r="AN19" s="74">
        <f t="shared" si="28"/>
        <v>-51.175144500000094</v>
      </c>
      <c r="AO19" s="74">
        <f t="shared" si="29"/>
        <v>20.587425600000913</v>
      </c>
      <c r="AP19" s="75">
        <f t="shared" si="30"/>
        <v>-2.1302693311542064E-2</v>
      </c>
      <c r="AQ19" s="76">
        <f t="shared" si="31"/>
        <v>-16811.766633430772</v>
      </c>
      <c r="AR19" s="77">
        <f t="shared" si="33"/>
        <v>0.84100000000034925</v>
      </c>
    </row>
    <row r="20" spans="1:48" x14ac:dyDescent="0.25">
      <c r="A20" t="str">
        <f t="shared" si="15"/>
        <v>46182M</v>
      </c>
      <c r="B20" s="51">
        <f t="shared" si="32"/>
        <v>46182</v>
      </c>
      <c r="C20" s="52" t="s">
        <v>87</v>
      </c>
      <c r="D20" s="91">
        <v>1479</v>
      </c>
      <c r="E20" s="62">
        <v>3.71</v>
      </c>
      <c r="F20" s="62">
        <v>8.16</v>
      </c>
      <c r="G20" s="62">
        <f t="shared" si="16"/>
        <v>54.870899999999999</v>
      </c>
      <c r="H20" s="63">
        <f t="shared" si="17"/>
        <v>120.68640000000001</v>
      </c>
      <c r="I20" s="203">
        <v>6408.1</v>
      </c>
      <c r="J20" s="204">
        <v>6600.3430000000008</v>
      </c>
      <c r="K20" s="121">
        <v>4.0599999999999996</v>
      </c>
      <c r="L20" s="122">
        <v>8.26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8"/>
        <v>6600.3430000000008</v>
      </c>
      <c r="S20" s="62">
        <f t="shared" si="19"/>
        <v>267.97392580000002</v>
      </c>
      <c r="T20" s="63">
        <f t="shared" si="20"/>
        <v>545.18833180000001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34"/>
        <v>0</v>
      </c>
      <c r="AB20" s="62">
        <f t="shared" si="35"/>
        <v>0</v>
      </c>
      <c r="AC20" s="69"/>
      <c r="AD20" s="70"/>
      <c r="AE20" s="70"/>
      <c r="AF20" s="62">
        <f t="shared" si="23"/>
        <v>0</v>
      </c>
      <c r="AG20" s="63">
        <f t="shared" si="24"/>
        <v>0</v>
      </c>
      <c r="AH20" s="66">
        <v>8079</v>
      </c>
      <c r="AI20" s="66">
        <v>3.99</v>
      </c>
      <c r="AJ20" s="66">
        <v>8.24</v>
      </c>
      <c r="AK20" s="62">
        <f t="shared" si="25"/>
        <v>322.35210000000006</v>
      </c>
      <c r="AL20" s="72">
        <f t="shared" si="26"/>
        <v>665.70960000000002</v>
      </c>
      <c r="AM20" s="73">
        <f t="shared" si="27"/>
        <v>0.3430000000007567</v>
      </c>
      <c r="AN20" s="74">
        <f t="shared" si="28"/>
        <v>0.49272579999995969</v>
      </c>
      <c r="AO20" s="74">
        <f t="shared" si="29"/>
        <v>0.16513180000004013</v>
      </c>
      <c r="AP20" s="75">
        <f t="shared" si="30"/>
        <v>8.090114781539755E-4</v>
      </c>
      <c r="AQ20" s="76">
        <f t="shared" si="31"/>
        <v>270.60908310332724</v>
      </c>
      <c r="AR20" s="77">
        <f t="shared" si="33"/>
        <v>0.3430000000007567</v>
      </c>
    </row>
    <row r="21" spans="1:48" x14ac:dyDescent="0.25">
      <c r="A21" t="str">
        <f t="shared" si="15"/>
        <v>46182E</v>
      </c>
      <c r="B21" s="51">
        <f t="shared" si="32"/>
        <v>46182</v>
      </c>
      <c r="C21" s="52" t="s">
        <v>88</v>
      </c>
      <c r="D21" s="91">
        <v>8079</v>
      </c>
      <c r="E21" s="62">
        <v>3.99</v>
      </c>
      <c r="F21" s="62">
        <v>8.24</v>
      </c>
      <c r="G21" s="62">
        <f t="shared" si="16"/>
        <v>322.35210000000006</v>
      </c>
      <c r="H21" s="63">
        <f t="shared" si="17"/>
        <v>665.70960000000002</v>
      </c>
      <c r="I21" s="203">
        <v>5074.8999999999996</v>
      </c>
      <c r="J21" s="204">
        <v>5227.1469999999999</v>
      </c>
      <c r="K21" s="121">
        <v>4.0999999999999996</v>
      </c>
      <c r="L21" s="122">
        <v>8.26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8"/>
        <v>5227.1469999999999</v>
      </c>
      <c r="S21" s="62">
        <f t="shared" si="19"/>
        <v>214.31302699999998</v>
      </c>
      <c r="T21" s="63">
        <f t="shared" si="20"/>
        <v>431.76234219999998</v>
      </c>
      <c r="U21" s="64" t="s">
        <v>187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34"/>
        <v>0</v>
      </c>
      <c r="AB21" s="62">
        <f t="shared" si="35"/>
        <v>0</v>
      </c>
      <c r="AC21" s="69"/>
      <c r="AD21" s="70"/>
      <c r="AE21" s="70"/>
      <c r="AF21" s="62">
        <f t="shared" si="23"/>
        <v>0</v>
      </c>
      <c r="AG21" s="63">
        <f t="shared" si="24"/>
        <v>0</v>
      </c>
      <c r="AH21" s="66">
        <v>13306</v>
      </c>
      <c r="AI21" s="66">
        <v>4.03</v>
      </c>
      <c r="AJ21" s="66">
        <v>8.25</v>
      </c>
      <c r="AK21" s="62">
        <f t="shared" si="25"/>
        <v>536.23180000000002</v>
      </c>
      <c r="AL21" s="72">
        <f t="shared" si="26"/>
        <v>1097.7450000000001</v>
      </c>
      <c r="AM21" s="73">
        <f t="shared" si="27"/>
        <v>0.14700000000084401</v>
      </c>
      <c r="AN21" s="74">
        <f t="shared" si="28"/>
        <v>0.43332699999996294</v>
      </c>
      <c r="AO21" s="74">
        <f t="shared" si="29"/>
        <v>-0.27305780000006052</v>
      </c>
      <c r="AP21" s="75">
        <f t="shared" si="30"/>
        <v>2.4806579485974687E-4</v>
      </c>
      <c r="AQ21" s="76">
        <f t="shared" si="31"/>
        <v>112.80590557129858</v>
      </c>
      <c r="AR21" s="77">
        <f t="shared" si="33"/>
        <v>0.14700000000084401</v>
      </c>
    </row>
    <row r="22" spans="1:48" x14ac:dyDescent="0.25">
      <c r="A22" t="str">
        <f t="shared" si="15"/>
        <v>46183M</v>
      </c>
      <c r="B22" s="51">
        <f t="shared" si="32"/>
        <v>46183</v>
      </c>
      <c r="C22" s="52" t="s">
        <v>87</v>
      </c>
      <c r="D22" s="91">
        <v>13306</v>
      </c>
      <c r="E22" s="62">
        <v>4.03</v>
      </c>
      <c r="F22" s="62">
        <v>8.25</v>
      </c>
      <c r="G22" s="62">
        <f t="shared" si="16"/>
        <v>536.23180000000002</v>
      </c>
      <c r="H22" s="63">
        <f t="shared" si="17"/>
        <v>1097.7450000000001</v>
      </c>
      <c r="I22" s="203">
        <v>2056.6</v>
      </c>
      <c r="J22" s="204">
        <v>2118.2979999999998</v>
      </c>
      <c r="K22" s="121">
        <v>4.79</v>
      </c>
      <c r="L22" s="122">
        <v>8.4700000000000006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8"/>
        <v>2118.2979999999998</v>
      </c>
      <c r="S22" s="62">
        <f t="shared" si="19"/>
        <v>101.46647419999998</v>
      </c>
      <c r="T22" s="63">
        <f t="shared" si="20"/>
        <v>179.41984060000001</v>
      </c>
      <c r="U22" s="64" t="s">
        <v>246</v>
      </c>
      <c r="V22" s="65" t="s">
        <v>435</v>
      </c>
      <c r="W22" s="66" t="s">
        <v>225</v>
      </c>
      <c r="X22" s="67">
        <v>9030</v>
      </c>
      <c r="Y22" s="68">
        <v>4.2</v>
      </c>
      <c r="Z22" s="68">
        <v>8.31</v>
      </c>
      <c r="AA22" s="62">
        <f t="shared" si="34"/>
        <v>379.26000000000005</v>
      </c>
      <c r="AB22" s="62">
        <f t="shared" si="35"/>
        <v>750.39300000000003</v>
      </c>
      <c r="AC22" s="226">
        <v>9030</v>
      </c>
      <c r="AD22" s="227">
        <v>4.2</v>
      </c>
      <c r="AE22" s="227">
        <v>8.31</v>
      </c>
      <c r="AF22" s="62">
        <f t="shared" si="23"/>
        <v>379.26000000000005</v>
      </c>
      <c r="AG22" s="63">
        <f t="shared" si="24"/>
        <v>750.39300000000003</v>
      </c>
      <c r="AH22" s="66">
        <v>6394</v>
      </c>
      <c r="AI22" s="66">
        <v>4.13</v>
      </c>
      <c r="AJ22" s="66">
        <v>8.2799999999999994</v>
      </c>
      <c r="AK22" s="62">
        <f t="shared" si="25"/>
        <v>264.07219999999995</v>
      </c>
      <c r="AL22" s="72">
        <f t="shared" si="26"/>
        <v>529.42319999999995</v>
      </c>
      <c r="AM22" s="73">
        <f t="shared" si="27"/>
        <v>0.29799999999886495</v>
      </c>
      <c r="AN22" s="74">
        <f t="shared" si="28"/>
        <v>-5.6339257999999859</v>
      </c>
      <c r="AO22" s="74">
        <f t="shared" si="29"/>
        <v>-2.6513593999998193</v>
      </c>
      <c r="AP22" s="75">
        <f t="shared" si="30"/>
        <v>-2.9496934394611544E-2</v>
      </c>
      <c r="AQ22" s="76">
        <f t="shared" si="31"/>
        <v>-3322.6067963806067</v>
      </c>
      <c r="AR22" s="77">
        <f t="shared" si="33"/>
        <v>0.29799999999886495</v>
      </c>
      <c r="AT22" s="83"/>
      <c r="AU22" s="83"/>
    </row>
    <row r="23" spans="1:48" x14ac:dyDescent="0.25">
      <c r="A23" t="str">
        <f t="shared" si="15"/>
        <v>46183E</v>
      </c>
      <c r="B23" s="51">
        <f t="shared" si="32"/>
        <v>46183</v>
      </c>
      <c r="C23" s="52" t="s">
        <v>88</v>
      </c>
      <c r="D23" s="91">
        <v>6394</v>
      </c>
      <c r="E23" s="62">
        <v>4.13</v>
      </c>
      <c r="F23" s="62">
        <v>8.2799999999999994</v>
      </c>
      <c r="G23" s="62">
        <f t="shared" si="16"/>
        <v>264.07219999999995</v>
      </c>
      <c r="H23" s="63">
        <f t="shared" si="17"/>
        <v>529.42319999999995</v>
      </c>
      <c r="I23" s="203">
        <v>8546.2999999999993</v>
      </c>
      <c r="J23" s="204">
        <v>8802.6890000000003</v>
      </c>
      <c r="K23" s="121">
        <v>3.73</v>
      </c>
      <c r="L23" s="122">
        <v>8.26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8"/>
        <v>8802.6890000000003</v>
      </c>
      <c r="S23" s="62">
        <f t="shared" si="19"/>
        <v>328.3402997</v>
      </c>
      <c r="T23" s="63">
        <f t="shared" si="20"/>
        <v>727.10211140000001</v>
      </c>
      <c r="U23" s="64" t="s">
        <v>244</v>
      </c>
      <c r="V23" s="65" t="s">
        <v>436</v>
      </c>
      <c r="W23" s="66" t="s">
        <v>189</v>
      </c>
      <c r="X23" s="67">
        <v>15280</v>
      </c>
      <c r="Y23" s="68">
        <v>3.9</v>
      </c>
      <c r="Z23" s="68">
        <v>8.25</v>
      </c>
      <c r="AA23" s="62">
        <f t="shared" si="34"/>
        <v>595.91999999999996</v>
      </c>
      <c r="AB23" s="62">
        <f t="shared" si="35"/>
        <v>1260.6000000000001</v>
      </c>
      <c r="AC23" s="226">
        <v>15280</v>
      </c>
      <c r="AD23" s="227">
        <v>3.9</v>
      </c>
      <c r="AE23" s="227">
        <v>8.25</v>
      </c>
      <c r="AF23" s="62">
        <f t="shared" si="23"/>
        <v>595.91999999999996</v>
      </c>
      <c r="AG23" s="63">
        <f t="shared" si="24"/>
        <v>1260.6000000000001</v>
      </c>
      <c r="AH23" s="66">
        <v>0</v>
      </c>
      <c r="AI23" s="66">
        <v>0</v>
      </c>
      <c r="AJ23" s="66">
        <v>0</v>
      </c>
      <c r="AK23" s="62">
        <f t="shared" si="25"/>
        <v>0</v>
      </c>
      <c r="AL23" s="72">
        <f t="shared" si="26"/>
        <v>0</v>
      </c>
      <c r="AM23" s="73">
        <f t="shared" si="27"/>
        <v>-83.310999999999694</v>
      </c>
      <c r="AN23" s="74">
        <f t="shared" si="28"/>
        <v>-3.5075003000000606</v>
      </c>
      <c r="AO23" s="74">
        <f t="shared" si="29"/>
        <v>-4.0746886000001723</v>
      </c>
      <c r="AP23" s="75">
        <f t="shared" si="30"/>
        <v>-7.1838963644619384E-3</v>
      </c>
      <c r="AQ23" s="76">
        <f t="shared" si="31"/>
        <v>-2793.9975992904124</v>
      </c>
      <c r="AR23" s="77">
        <f t="shared" si="33"/>
        <v>-83.310999999999694</v>
      </c>
      <c r="AU23" s="83"/>
    </row>
    <row r="24" spans="1:48" x14ac:dyDescent="0.25">
      <c r="A24" t="str">
        <f t="shared" si="15"/>
        <v>46184M</v>
      </c>
      <c r="B24" s="51">
        <f t="shared" si="32"/>
        <v>46184</v>
      </c>
      <c r="C24" s="52" t="s">
        <v>87</v>
      </c>
      <c r="D24" s="91"/>
      <c r="E24" s="62"/>
      <c r="F24" s="62"/>
      <c r="G24" s="62">
        <f t="shared" si="16"/>
        <v>0</v>
      </c>
      <c r="H24" s="63">
        <f t="shared" si="17"/>
        <v>0</v>
      </c>
      <c r="I24" s="203"/>
      <c r="J24" s="204"/>
      <c r="K24" s="121"/>
      <c r="L24" s="122"/>
      <c r="M24" s="58"/>
      <c r="N24" s="58"/>
      <c r="O24" s="59"/>
      <c r="P24" s="56"/>
      <c r="Q24" s="60"/>
      <c r="R24" s="61">
        <f t="shared" si="18"/>
        <v>0</v>
      </c>
      <c r="S24" s="62">
        <f t="shared" si="19"/>
        <v>0</v>
      </c>
      <c r="T24" s="63">
        <f t="shared" si="20"/>
        <v>0</v>
      </c>
      <c r="U24" s="64"/>
      <c r="V24" s="65"/>
      <c r="W24" s="66"/>
      <c r="X24" s="67"/>
      <c r="Y24" s="68"/>
      <c r="Z24" s="68"/>
      <c r="AA24" s="62">
        <f t="shared" si="34"/>
        <v>0</v>
      </c>
      <c r="AB24" s="62">
        <f t="shared" si="35"/>
        <v>0</v>
      </c>
      <c r="AC24" s="69"/>
      <c r="AD24" s="70"/>
      <c r="AE24" s="70"/>
      <c r="AF24" s="62">
        <f t="shared" si="23"/>
        <v>0</v>
      </c>
      <c r="AG24" s="63">
        <f t="shared" si="24"/>
        <v>0</v>
      </c>
      <c r="AH24" s="66"/>
      <c r="AI24" s="66"/>
      <c r="AJ24" s="66"/>
      <c r="AK24" s="62">
        <f t="shared" si="25"/>
        <v>0</v>
      </c>
      <c r="AL24" s="72">
        <f t="shared" si="26"/>
        <v>0</v>
      </c>
      <c r="AM24" s="73">
        <f t="shared" si="27"/>
        <v>0</v>
      </c>
      <c r="AN24" s="74">
        <f t="shared" si="28"/>
        <v>0</v>
      </c>
      <c r="AO24" s="74">
        <f t="shared" si="29"/>
        <v>0</v>
      </c>
      <c r="AP24" s="75" t="e">
        <f t="shared" si="30"/>
        <v>#DIV/0!</v>
      </c>
      <c r="AQ24" s="76">
        <f t="shared" si="31"/>
        <v>0</v>
      </c>
      <c r="AR24" s="77">
        <f t="shared" si="33"/>
        <v>0</v>
      </c>
      <c r="AT24" s="77"/>
      <c r="AU24" s="77"/>
      <c r="AV24" s="77"/>
    </row>
    <row r="25" spans="1:48" x14ac:dyDescent="0.25">
      <c r="A25" t="str">
        <f t="shared" si="15"/>
        <v>46184E</v>
      </c>
      <c r="B25" s="51">
        <f t="shared" si="32"/>
        <v>46184</v>
      </c>
      <c r="C25" s="52" t="s">
        <v>88</v>
      </c>
      <c r="D25" s="91"/>
      <c r="E25" s="62"/>
      <c r="F25" s="62"/>
      <c r="G25" s="62">
        <f t="shared" si="16"/>
        <v>0</v>
      </c>
      <c r="H25" s="63">
        <f t="shared" si="17"/>
        <v>0</v>
      </c>
      <c r="I25" s="203"/>
      <c r="J25" s="204"/>
      <c r="K25" s="121"/>
      <c r="L25" s="122"/>
      <c r="M25" s="58"/>
      <c r="N25" s="58"/>
      <c r="O25" s="59"/>
      <c r="P25" s="56"/>
      <c r="Q25" s="60"/>
      <c r="R25" s="61">
        <f t="shared" si="18"/>
        <v>0</v>
      </c>
      <c r="S25" s="62">
        <f t="shared" si="19"/>
        <v>0</v>
      </c>
      <c r="T25" s="63">
        <f t="shared" si="20"/>
        <v>0</v>
      </c>
      <c r="U25" s="64"/>
      <c r="V25" s="65"/>
      <c r="W25" s="66"/>
      <c r="X25" s="67"/>
      <c r="Y25" s="68"/>
      <c r="Z25" s="68"/>
      <c r="AA25" s="62">
        <f t="shared" si="34"/>
        <v>0</v>
      </c>
      <c r="AB25" s="62">
        <f t="shared" si="35"/>
        <v>0</v>
      </c>
      <c r="AC25" s="69"/>
      <c r="AD25" s="70"/>
      <c r="AE25" s="70"/>
      <c r="AF25" s="62">
        <f t="shared" si="23"/>
        <v>0</v>
      </c>
      <c r="AG25" s="63">
        <f t="shared" si="24"/>
        <v>0</v>
      </c>
      <c r="AH25" s="66"/>
      <c r="AI25" s="66"/>
      <c r="AJ25" s="66"/>
      <c r="AK25" s="62">
        <f t="shared" si="25"/>
        <v>0</v>
      </c>
      <c r="AL25" s="72">
        <f t="shared" si="26"/>
        <v>0</v>
      </c>
      <c r="AM25" s="73">
        <f t="shared" si="27"/>
        <v>0</v>
      </c>
      <c r="AN25" s="74">
        <f t="shared" si="28"/>
        <v>0</v>
      </c>
      <c r="AO25" s="74">
        <f t="shared" si="29"/>
        <v>0</v>
      </c>
      <c r="AP25" s="75" t="e">
        <f t="shared" si="30"/>
        <v>#DIV/0!</v>
      </c>
      <c r="AQ25" s="76">
        <f t="shared" si="31"/>
        <v>0</v>
      </c>
      <c r="AR25" s="77">
        <f t="shared" si="33"/>
        <v>0</v>
      </c>
    </row>
    <row r="26" spans="1:48" x14ac:dyDescent="0.25">
      <c r="A26" t="str">
        <f t="shared" si="15"/>
        <v>46185M</v>
      </c>
      <c r="B26" s="51">
        <f t="shared" si="32"/>
        <v>46185</v>
      </c>
      <c r="C26" s="52" t="s">
        <v>87</v>
      </c>
      <c r="D26" s="91"/>
      <c r="E26" s="62"/>
      <c r="F26" s="62"/>
      <c r="G26" s="62">
        <f t="shared" si="16"/>
        <v>0</v>
      </c>
      <c r="H26" s="63">
        <f t="shared" si="17"/>
        <v>0</v>
      </c>
      <c r="I26" s="203"/>
      <c r="J26" s="204"/>
      <c r="K26" s="121"/>
      <c r="L26" s="122"/>
      <c r="M26" s="58"/>
      <c r="N26" s="58"/>
      <c r="O26" s="59"/>
      <c r="P26" s="56"/>
      <c r="Q26" s="60"/>
      <c r="R26" s="61">
        <f t="shared" si="18"/>
        <v>0</v>
      </c>
      <c r="S26" s="62">
        <f t="shared" si="19"/>
        <v>0</v>
      </c>
      <c r="T26" s="63">
        <f t="shared" si="20"/>
        <v>0</v>
      </c>
      <c r="U26" s="64"/>
      <c r="V26" s="65"/>
      <c r="W26" s="66"/>
      <c r="X26" s="67"/>
      <c r="Y26" s="68"/>
      <c r="Z26" s="68"/>
      <c r="AA26" s="62">
        <f t="shared" si="34"/>
        <v>0</v>
      </c>
      <c r="AB26" s="62">
        <f t="shared" si="35"/>
        <v>0</v>
      </c>
      <c r="AC26" s="69"/>
      <c r="AD26" s="70"/>
      <c r="AE26" s="70"/>
      <c r="AF26" s="62">
        <f t="shared" si="23"/>
        <v>0</v>
      </c>
      <c r="AG26" s="63">
        <f t="shared" si="24"/>
        <v>0</v>
      </c>
      <c r="AH26" s="66"/>
      <c r="AI26" s="66"/>
      <c r="AJ26" s="66"/>
      <c r="AK26" s="62">
        <f t="shared" si="25"/>
        <v>0</v>
      </c>
      <c r="AL26" s="72">
        <f t="shared" si="26"/>
        <v>0</v>
      </c>
      <c r="AM26" s="73">
        <f t="shared" si="27"/>
        <v>0</v>
      </c>
      <c r="AN26" s="74">
        <f t="shared" si="28"/>
        <v>0</v>
      </c>
      <c r="AO26" s="74">
        <f t="shared" si="29"/>
        <v>0</v>
      </c>
      <c r="AP26" s="75" t="e">
        <f t="shared" si="30"/>
        <v>#DIV/0!</v>
      </c>
      <c r="AQ26" s="76">
        <f t="shared" si="31"/>
        <v>0</v>
      </c>
      <c r="AR26" s="77">
        <f t="shared" si="33"/>
        <v>0</v>
      </c>
    </row>
    <row r="27" spans="1:48" x14ac:dyDescent="0.25">
      <c r="A27" t="str">
        <f t="shared" si="15"/>
        <v>46185E</v>
      </c>
      <c r="B27" s="51">
        <f t="shared" si="32"/>
        <v>46185</v>
      </c>
      <c r="C27" s="52" t="s">
        <v>88</v>
      </c>
      <c r="D27" s="91"/>
      <c r="E27" s="62"/>
      <c r="F27" s="62"/>
      <c r="G27" s="62">
        <f t="shared" si="16"/>
        <v>0</v>
      </c>
      <c r="H27" s="63">
        <f t="shared" si="17"/>
        <v>0</v>
      </c>
      <c r="I27" s="203"/>
      <c r="J27" s="204"/>
      <c r="K27" s="121"/>
      <c r="L27" s="122"/>
      <c r="M27" s="58"/>
      <c r="N27" s="58"/>
      <c r="O27" s="59"/>
      <c r="P27" s="56"/>
      <c r="Q27" s="60"/>
      <c r="R27" s="61">
        <f t="shared" si="18"/>
        <v>0</v>
      </c>
      <c r="S27" s="62">
        <f t="shared" si="19"/>
        <v>0</v>
      </c>
      <c r="T27" s="63">
        <f t="shared" si="20"/>
        <v>0</v>
      </c>
      <c r="U27" s="64"/>
      <c r="V27" s="65"/>
      <c r="W27" s="66"/>
      <c r="X27" s="67"/>
      <c r="Y27" s="68"/>
      <c r="Z27" s="68"/>
      <c r="AA27" s="62">
        <f t="shared" si="34"/>
        <v>0</v>
      </c>
      <c r="AB27" s="62">
        <f t="shared" si="35"/>
        <v>0</v>
      </c>
      <c r="AC27" s="69"/>
      <c r="AD27" s="70"/>
      <c r="AE27" s="70"/>
      <c r="AF27" s="62">
        <f t="shared" si="23"/>
        <v>0</v>
      </c>
      <c r="AG27" s="63">
        <f t="shared" si="24"/>
        <v>0</v>
      </c>
      <c r="AH27" s="66"/>
      <c r="AI27" s="66"/>
      <c r="AJ27" s="66"/>
      <c r="AK27" s="62">
        <f t="shared" si="25"/>
        <v>0</v>
      </c>
      <c r="AL27" s="72">
        <f t="shared" si="26"/>
        <v>0</v>
      </c>
      <c r="AM27" s="73">
        <f t="shared" si="27"/>
        <v>0</v>
      </c>
      <c r="AN27" s="74">
        <f t="shared" si="28"/>
        <v>0</v>
      </c>
      <c r="AO27" s="74">
        <f t="shared" si="29"/>
        <v>0</v>
      </c>
      <c r="AP27" s="75" t="e">
        <f t="shared" si="30"/>
        <v>#DIV/0!</v>
      </c>
      <c r="AQ27" s="76">
        <f t="shared" si="31"/>
        <v>0</v>
      </c>
      <c r="AR27" s="77">
        <f t="shared" si="33"/>
        <v>0</v>
      </c>
    </row>
    <row r="28" spans="1:48" x14ac:dyDescent="0.25">
      <c r="A28" t="str">
        <f t="shared" si="15"/>
        <v>46186M</v>
      </c>
      <c r="B28" s="51">
        <f t="shared" si="32"/>
        <v>46186</v>
      </c>
      <c r="C28" s="52" t="s">
        <v>87</v>
      </c>
      <c r="D28" s="91"/>
      <c r="E28" s="62"/>
      <c r="F28" s="62"/>
      <c r="G28" s="62">
        <f t="shared" si="16"/>
        <v>0</v>
      </c>
      <c r="H28" s="63">
        <f t="shared" si="17"/>
        <v>0</v>
      </c>
      <c r="I28" s="203"/>
      <c r="J28" s="204"/>
      <c r="K28" s="121"/>
      <c r="L28" s="122"/>
      <c r="M28" s="58"/>
      <c r="N28" s="58"/>
      <c r="O28" s="59"/>
      <c r="P28" s="56"/>
      <c r="Q28" s="60"/>
      <c r="R28" s="61">
        <f t="shared" si="18"/>
        <v>0</v>
      </c>
      <c r="S28" s="62">
        <f t="shared" si="19"/>
        <v>0</v>
      </c>
      <c r="T28" s="63">
        <f t="shared" si="20"/>
        <v>0</v>
      </c>
      <c r="U28" s="64"/>
      <c r="V28" s="65"/>
      <c r="W28" s="66"/>
      <c r="X28" s="67"/>
      <c r="Y28" s="68"/>
      <c r="Z28" s="68"/>
      <c r="AA28" s="62">
        <f t="shared" si="34"/>
        <v>0</v>
      </c>
      <c r="AB28" s="62">
        <f t="shared" si="35"/>
        <v>0</v>
      </c>
      <c r="AC28" s="69"/>
      <c r="AD28" s="70"/>
      <c r="AE28" s="70"/>
      <c r="AF28" s="62">
        <f t="shared" si="23"/>
        <v>0</v>
      </c>
      <c r="AG28" s="63">
        <f t="shared" si="24"/>
        <v>0</v>
      </c>
      <c r="AH28" s="66"/>
      <c r="AI28" s="66"/>
      <c r="AJ28" s="66"/>
      <c r="AK28" s="62">
        <f t="shared" si="25"/>
        <v>0</v>
      </c>
      <c r="AL28" s="72">
        <f t="shared" si="26"/>
        <v>0</v>
      </c>
      <c r="AM28" s="73">
        <f t="shared" si="27"/>
        <v>0</v>
      </c>
      <c r="AN28" s="74">
        <f t="shared" si="28"/>
        <v>0</v>
      </c>
      <c r="AO28" s="74">
        <f t="shared" si="29"/>
        <v>0</v>
      </c>
      <c r="AP28" s="75" t="e">
        <f t="shared" si="30"/>
        <v>#DIV/0!</v>
      </c>
      <c r="AQ28" s="76">
        <f t="shared" si="31"/>
        <v>0</v>
      </c>
      <c r="AR28" s="77">
        <f t="shared" si="33"/>
        <v>0</v>
      </c>
    </row>
    <row r="29" spans="1:48" x14ac:dyDescent="0.25">
      <c r="A29" t="str">
        <f t="shared" si="15"/>
        <v>46186E</v>
      </c>
      <c r="B29" s="51">
        <f t="shared" si="32"/>
        <v>46186</v>
      </c>
      <c r="C29" s="52" t="s">
        <v>88</v>
      </c>
      <c r="D29" s="91"/>
      <c r="E29" s="62"/>
      <c r="F29" s="62"/>
      <c r="G29" s="62">
        <f t="shared" si="16"/>
        <v>0</v>
      </c>
      <c r="H29" s="63">
        <f t="shared" si="17"/>
        <v>0</v>
      </c>
      <c r="I29" s="203"/>
      <c r="J29" s="204"/>
      <c r="K29" s="121"/>
      <c r="L29" s="122"/>
      <c r="M29" s="58"/>
      <c r="N29" s="58"/>
      <c r="O29" s="59"/>
      <c r="P29" s="56"/>
      <c r="Q29" s="60"/>
      <c r="R29" s="61">
        <f t="shared" si="18"/>
        <v>0</v>
      </c>
      <c r="S29" s="62">
        <f t="shared" si="19"/>
        <v>0</v>
      </c>
      <c r="T29" s="63">
        <f t="shared" si="20"/>
        <v>0</v>
      </c>
      <c r="U29" s="64"/>
      <c r="V29" s="65"/>
      <c r="W29" s="66"/>
      <c r="X29" s="67"/>
      <c r="Y29" s="68"/>
      <c r="Z29" s="68"/>
      <c r="AA29" s="62">
        <f t="shared" si="34"/>
        <v>0</v>
      </c>
      <c r="AB29" s="62">
        <f t="shared" si="35"/>
        <v>0</v>
      </c>
      <c r="AC29" s="69"/>
      <c r="AD29" s="70"/>
      <c r="AE29" s="70"/>
      <c r="AF29" s="62">
        <f t="shared" si="23"/>
        <v>0</v>
      </c>
      <c r="AG29" s="63">
        <f t="shared" si="24"/>
        <v>0</v>
      </c>
      <c r="AH29" s="66"/>
      <c r="AI29" s="66"/>
      <c r="AJ29" s="66"/>
      <c r="AK29" s="62">
        <f t="shared" si="25"/>
        <v>0</v>
      </c>
      <c r="AL29" s="72">
        <f t="shared" si="26"/>
        <v>0</v>
      </c>
      <c r="AM29" s="73">
        <f t="shared" si="27"/>
        <v>0</v>
      </c>
      <c r="AN29" s="74">
        <f t="shared" si="28"/>
        <v>0</v>
      </c>
      <c r="AO29" s="74">
        <f t="shared" si="29"/>
        <v>0</v>
      </c>
      <c r="AP29" s="75" t="e">
        <f t="shared" si="30"/>
        <v>#DIV/0!</v>
      </c>
      <c r="AQ29" s="76">
        <f t="shared" si="31"/>
        <v>0</v>
      </c>
      <c r="AR29" s="77">
        <f t="shared" si="33"/>
        <v>0</v>
      </c>
    </row>
    <row r="30" spans="1:48" x14ac:dyDescent="0.25">
      <c r="A30" t="str">
        <f t="shared" si="15"/>
        <v>46187M</v>
      </c>
      <c r="B30" s="51">
        <f t="shared" si="32"/>
        <v>46187</v>
      </c>
      <c r="C30" s="52" t="s">
        <v>87</v>
      </c>
      <c r="D30" s="91"/>
      <c r="E30" s="62"/>
      <c r="F30" s="62"/>
      <c r="G30" s="62">
        <f t="shared" si="16"/>
        <v>0</v>
      </c>
      <c r="H30" s="63">
        <f t="shared" si="17"/>
        <v>0</v>
      </c>
      <c r="I30" s="203"/>
      <c r="J30" s="204"/>
      <c r="K30" s="121"/>
      <c r="L30" s="122"/>
      <c r="M30" s="58"/>
      <c r="N30" s="58"/>
      <c r="O30" s="59"/>
      <c r="P30" s="56"/>
      <c r="Q30" s="60"/>
      <c r="R30" s="61">
        <f t="shared" si="18"/>
        <v>0</v>
      </c>
      <c r="S30" s="62">
        <f t="shared" si="19"/>
        <v>0</v>
      </c>
      <c r="T30" s="63">
        <f t="shared" si="20"/>
        <v>0</v>
      </c>
      <c r="U30" s="64"/>
      <c r="V30" s="65"/>
      <c r="W30" s="66"/>
      <c r="X30" s="67"/>
      <c r="Y30" s="68"/>
      <c r="Z30" s="68"/>
      <c r="AA30" s="62">
        <f t="shared" si="34"/>
        <v>0</v>
      </c>
      <c r="AB30" s="62">
        <f t="shared" si="35"/>
        <v>0</v>
      </c>
      <c r="AC30" s="69"/>
      <c r="AD30" s="70"/>
      <c r="AE30" s="70"/>
      <c r="AF30" s="62">
        <f t="shared" si="23"/>
        <v>0</v>
      </c>
      <c r="AG30" s="63">
        <f t="shared" si="24"/>
        <v>0</v>
      </c>
      <c r="AH30" s="66"/>
      <c r="AI30" s="66"/>
      <c r="AJ30" s="66"/>
      <c r="AK30" s="62">
        <f t="shared" si="25"/>
        <v>0</v>
      </c>
      <c r="AL30" s="72">
        <f t="shared" si="26"/>
        <v>0</v>
      </c>
      <c r="AM30" s="73">
        <f t="shared" si="27"/>
        <v>0</v>
      </c>
      <c r="AN30" s="74">
        <f t="shared" si="28"/>
        <v>0</v>
      </c>
      <c r="AO30" s="74">
        <f t="shared" si="29"/>
        <v>0</v>
      </c>
      <c r="AP30" s="75" t="e">
        <f t="shared" si="30"/>
        <v>#DIV/0!</v>
      </c>
      <c r="AQ30" s="76">
        <f t="shared" si="31"/>
        <v>0</v>
      </c>
      <c r="AR30" s="77">
        <f t="shared" si="33"/>
        <v>0</v>
      </c>
    </row>
    <row r="31" spans="1:48" x14ac:dyDescent="0.25">
      <c r="A31" t="str">
        <f t="shared" si="15"/>
        <v>46187E</v>
      </c>
      <c r="B31" s="51">
        <f t="shared" si="32"/>
        <v>46187</v>
      </c>
      <c r="C31" s="52" t="s">
        <v>88</v>
      </c>
      <c r="D31" s="91"/>
      <c r="E31" s="62"/>
      <c r="F31" s="62"/>
      <c r="G31" s="62">
        <f t="shared" si="16"/>
        <v>0</v>
      </c>
      <c r="H31" s="63">
        <f t="shared" si="17"/>
        <v>0</v>
      </c>
      <c r="I31" s="203"/>
      <c r="J31" s="204"/>
      <c r="K31" s="121"/>
      <c r="L31" s="122"/>
      <c r="M31" s="58"/>
      <c r="N31" s="58"/>
      <c r="O31" s="59"/>
      <c r="P31" s="56"/>
      <c r="Q31" s="60"/>
      <c r="R31" s="61">
        <f t="shared" si="18"/>
        <v>0</v>
      </c>
      <c r="S31" s="62">
        <f t="shared" si="19"/>
        <v>0</v>
      </c>
      <c r="T31" s="63">
        <f t="shared" si="20"/>
        <v>0</v>
      </c>
      <c r="U31" s="64"/>
      <c r="V31" s="85"/>
      <c r="W31" s="66"/>
      <c r="X31" s="67"/>
      <c r="Y31" s="68"/>
      <c r="Z31" s="68"/>
      <c r="AA31" s="62">
        <f t="shared" si="34"/>
        <v>0</v>
      </c>
      <c r="AB31" s="62">
        <f t="shared" si="35"/>
        <v>0</v>
      </c>
      <c r="AC31" s="69"/>
      <c r="AD31" s="70"/>
      <c r="AE31" s="70"/>
      <c r="AF31" s="62">
        <f t="shared" si="23"/>
        <v>0</v>
      </c>
      <c r="AG31" s="63">
        <f t="shared" si="24"/>
        <v>0</v>
      </c>
      <c r="AH31" s="66"/>
      <c r="AI31" s="66"/>
      <c r="AJ31" s="66"/>
      <c r="AK31" s="62">
        <f t="shared" si="25"/>
        <v>0</v>
      </c>
      <c r="AL31" s="72">
        <f t="shared" si="26"/>
        <v>0</v>
      </c>
      <c r="AM31" s="73">
        <f t="shared" si="27"/>
        <v>0</v>
      </c>
      <c r="AN31" s="74">
        <f t="shared" si="28"/>
        <v>0</v>
      </c>
      <c r="AO31" s="74">
        <f t="shared" si="29"/>
        <v>0</v>
      </c>
      <c r="AP31" s="75" t="e">
        <f t="shared" si="30"/>
        <v>#DIV/0!</v>
      </c>
      <c r="AQ31" s="76">
        <f t="shared" si="31"/>
        <v>0</v>
      </c>
      <c r="AR31" s="77">
        <f t="shared" si="33"/>
        <v>0</v>
      </c>
    </row>
    <row r="32" spans="1:48" x14ac:dyDescent="0.25">
      <c r="A32" t="str">
        <f t="shared" si="15"/>
        <v>46188M</v>
      </c>
      <c r="B32" s="51">
        <f t="shared" si="32"/>
        <v>46188</v>
      </c>
      <c r="C32" s="52" t="s">
        <v>87</v>
      </c>
      <c r="D32" s="91"/>
      <c r="E32" s="62"/>
      <c r="F32" s="62"/>
      <c r="G32" s="62">
        <f t="shared" si="16"/>
        <v>0</v>
      </c>
      <c r="H32" s="63">
        <f t="shared" si="17"/>
        <v>0</v>
      </c>
      <c r="I32" s="203"/>
      <c r="J32" s="204"/>
      <c r="K32" s="121"/>
      <c r="L32" s="122"/>
      <c r="M32" s="58"/>
      <c r="N32" s="58"/>
      <c r="O32" s="59"/>
      <c r="P32" s="56"/>
      <c r="Q32" s="60"/>
      <c r="R32" s="61">
        <f t="shared" si="18"/>
        <v>0</v>
      </c>
      <c r="S32" s="62">
        <f t="shared" si="19"/>
        <v>0</v>
      </c>
      <c r="T32" s="63">
        <f t="shared" si="20"/>
        <v>0</v>
      </c>
      <c r="U32" s="64"/>
      <c r="V32" s="65"/>
      <c r="W32" s="66"/>
      <c r="X32" s="67"/>
      <c r="Y32" s="68"/>
      <c r="Z32" s="68"/>
      <c r="AA32" s="62">
        <f t="shared" si="34"/>
        <v>0</v>
      </c>
      <c r="AB32" s="62">
        <f t="shared" si="35"/>
        <v>0</v>
      </c>
      <c r="AC32" s="69"/>
      <c r="AD32" s="70"/>
      <c r="AE32" s="70"/>
      <c r="AF32" s="62">
        <f t="shared" si="23"/>
        <v>0</v>
      </c>
      <c r="AG32" s="63">
        <f t="shared" si="24"/>
        <v>0</v>
      </c>
      <c r="AH32" s="66"/>
      <c r="AI32" s="66"/>
      <c r="AJ32" s="66"/>
      <c r="AK32" s="62">
        <f t="shared" si="25"/>
        <v>0</v>
      </c>
      <c r="AL32" s="72">
        <f t="shared" si="26"/>
        <v>0</v>
      </c>
      <c r="AM32" s="73">
        <f t="shared" si="27"/>
        <v>0</v>
      </c>
      <c r="AN32" s="74">
        <f t="shared" si="28"/>
        <v>0</v>
      </c>
      <c r="AO32" s="74">
        <f t="shared" si="29"/>
        <v>0</v>
      </c>
      <c r="AP32" s="75" t="e">
        <f t="shared" si="30"/>
        <v>#DIV/0!</v>
      </c>
      <c r="AQ32" s="76">
        <f t="shared" si="31"/>
        <v>0</v>
      </c>
      <c r="AR32" s="77">
        <f t="shared" si="33"/>
        <v>0</v>
      </c>
    </row>
    <row r="33" spans="1:44" x14ac:dyDescent="0.25">
      <c r="A33" t="str">
        <f t="shared" si="15"/>
        <v>46188E</v>
      </c>
      <c r="B33" s="51">
        <f t="shared" si="32"/>
        <v>46188</v>
      </c>
      <c r="C33" s="52" t="s">
        <v>88</v>
      </c>
      <c r="D33" s="91"/>
      <c r="E33" s="62"/>
      <c r="F33" s="62"/>
      <c r="G33" s="62">
        <f t="shared" si="16"/>
        <v>0</v>
      </c>
      <c r="H33" s="63">
        <f t="shared" si="17"/>
        <v>0</v>
      </c>
      <c r="I33" s="203"/>
      <c r="J33" s="204"/>
      <c r="K33" s="121"/>
      <c r="L33" s="122"/>
      <c r="M33" s="58"/>
      <c r="N33" s="58"/>
      <c r="O33" s="59"/>
      <c r="P33" s="56"/>
      <c r="Q33" s="60"/>
      <c r="R33" s="61">
        <f t="shared" si="18"/>
        <v>0</v>
      </c>
      <c r="S33" s="62">
        <f t="shared" si="19"/>
        <v>0</v>
      </c>
      <c r="T33" s="63">
        <f t="shared" si="20"/>
        <v>0</v>
      </c>
      <c r="U33" s="64"/>
      <c r="V33" s="65"/>
      <c r="W33" s="66"/>
      <c r="X33" s="67"/>
      <c r="Y33" s="68"/>
      <c r="Z33" s="68"/>
      <c r="AA33" s="62">
        <f t="shared" si="34"/>
        <v>0</v>
      </c>
      <c r="AB33" s="62">
        <f t="shared" si="35"/>
        <v>0</v>
      </c>
      <c r="AC33" s="69"/>
      <c r="AD33" s="70"/>
      <c r="AE33" s="70"/>
      <c r="AF33" s="62">
        <f t="shared" si="23"/>
        <v>0</v>
      </c>
      <c r="AG33" s="63">
        <f t="shared" si="24"/>
        <v>0</v>
      </c>
      <c r="AH33" s="66"/>
      <c r="AI33" s="66"/>
      <c r="AJ33" s="66"/>
      <c r="AK33" s="62">
        <f t="shared" si="25"/>
        <v>0</v>
      </c>
      <c r="AL33" s="72">
        <f t="shared" si="26"/>
        <v>0</v>
      </c>
      <c r="AM33" s="73">
        <f t="shared" si="27"/>
        <v>0</v>
      </c>
      <c r="AN33" s="74">
        <f t="shared" si="28"/>
        <v>0</v>
      </c>
      <c r="AO33" s="74">
        <f t="shared" si="29"/>
        <v>0</v>
      </c>
      <c r="AP33" s="75" t="e">
        <f t="shared" si="30"/>
        <v>#DIV/0!</v>
      </c>
      <c r="AQ33" s="76">
        <f t="shared" si="31"/>
        <v>0</v>
      </c>
      <c r="AR33" s="77">
        <f t="shared" si="33"/>
        <v>0</v>
      </c>
    </row>
    <row r="34" spans="1:44" x14ac:dyDescent="0.25">
      <c r="A34" t="str">
        <f t="shared" si="15"/>
        <v>46189M</v>
      </c>
      <c r="B34" s="51">
        <f t="shared" si="32"/>
        <v>46189</v>
      </c>
      <c r="C34" s="52" t="s">
        <v>87</v>
      </c>
      <c r="D34" s="91"/>
      <c r="E34" s="62"/>
      <c r="F34" s="62"/>
      <c r="G34" s="62">
        <f t="shared" si="16"/>
        <v>0</v>
      </c>
      <c r="H34" s="63">
        <f t="shared" si="17"/>
        <v>0</v>
      </c>
      <c r="I34" s="203"/>
      <c r="J34" s="204"/>
      <c r="K34" s="121"/>
      <c r="L34" s="122"/>
      <c r="M34" s="58"/>
      <c r="N34" s="58"/>
      <c r="O34" s="59"/>
      <c r="P34" s="56"/>
      <c r="Q34" s="60"/>
      <c r="R34" s="61">
        <f t="shared" si="18"/>
        <v>0</v>
      </c>
      <c r="S34" s="62">
        <f t="shared" si="19"/>
        <v>0</v>
      </c>
      <c r="T34" s="63">
        <f t="shared" si="20"/>
        <v>0</v>
      </c>
      <c r="U34" s="64"/>
      <c r="V34" s="65"/>
      <c r="W34" s="66"/>
      <c r="X34" s="67"/>
      <c r="Y34" s="68"/>
      <c r="Z34" s="68"/>
      <c r="AA34" s="62">
        <f t="shared" si="34"/>
        <v>0</v>
      </c>
      <c r="AB34" s="62">
        <f t="shared" si="35"/>
        <v>0</v>
      </c>
      <c r="AC34" s="69"/>
      <c r="AD34" s="70"/>
      <c r="AE34" s="70"/>
      <c r="AF34" s="62">
        <f t="shared" si="23"/>
        <v>0</v>
      </c>
      <c r="AG34" s="63">
        <f t="shared" si="24"/>
        <v>0</v>
      </c>
      <c r="AH34" s="66"/>
      <c r="AI34" s="66"/>
      <c r="AJ34" s="66"/>
      <c r="AK34" s="62">
        <f t="shared" si="25"/>
        <v>0</v>
      </c>
      <c r="AL34" s="72">
        <f t="shared" si="26"/>
        <v>0</v>
      </c>
      <c r="AM34" s="73">
        <f t="shared" si="27"/>
        <v>0</v>
      </c>
      <c r="AN34" s="74">
        <f t="shared" si="28"/>
        <v>0</v>
      </c>
      <c r="AO34" s="74">
        <f t="shared" si="29"/>
        <v>0</v>
      </c>
      <c r="AP34" s="75" t="e">
        <f t="shared" si="30"/>
        <v>#DIV/0!</v>
      </c>
      <c r="AQ34" s="76">
        <f t="shared" si="31"/>
        <v>0</v>
      </c>
      <c r="AR34" s="77">
        <f t="shared" si="33"/>
        <v>0</v>
      </c>
    </row>
    <row r="35" spans="1:44" x14ac:dyDescent="0.25">
      <c r="A35" t="str">
        <f t="shared" si="15"/>
        <v>46189E</v>
      </c>
      <c r="B35" s="51">
        <f t="shared" si="32"/>
        <v>46189</v>
      </c>
      <c r="C35" s="52" t="s">
        <v>88</v>
      </c>
      <c r="D35" s="91"/>
      <c r="E35" s="62"/>
      <c r="F35" s="62"/>
      <c r="G35" s="62">
        <f t="shared" si="16"/>
        <v>0</v>
      </c>
      <c r="H35" s="63">
        <f t="shared" si="17"/>
        <v>0</v>
      </c>
      <c r="I35" s="203"/>
      <c r="J35" s="204"/>
      <c r="K35" s="121"/>
      <c r="L35" s="122"/>
      <c r="M35" s="58"/>
      <c r="N35" s="58"/>
      <c r="O35" s="59"/>
      <c r="P35" s="56"/>
      <c r="Q35" s="60"/>
      <c r="R35" s="61">
        <f t="shared" si="18"/>
        <v>0</v>
      </c>
      <c r="S35" s="62">
        <f t="shared" si="19"/>
        <v>0</v>
      </c>
      <c r="T35" s="63">
        <f t="shared" si="20"/>
        <v>0</v>
      </c>
      <c r="U35" s="64"/>
      <c r="V35" s="65"/>
      <c r="W35" s="66"/>
      <c r="X35" s="67"/>
      <c r="Y35" s="68"/>
      <c r="Z35" s="68"/>
      <c r="AA35" s="62">
        <f t="shared" si="34"/>
        <v>0</v>
      </c>
      <c r="AB35" s="62">
        <f t="shared" si="35"/>
        <v>0</v>
      </c>
      <c r="AC35" s="69"/>
      <c r="AD35" s="70"/>
      <c r="AE35" s="70"/>
      <c r="AF35" s="62">
        <f t="shared" si="23"/>
        <v>0</v>
      </c>
      <c r="AG35" s="63">
        <f t="shared" si="24"/>
        <v>0</v>
      </c>
      <c r="AH35" s="66"/>
      <c r="AI35" s="66"/>
      <c r="AJ35" s="66"/>
      <c r="AK35" s="62">
        <f t="shared" si="25"/>
        <v>0</v>
      </c>
      <c r="AL35" s="72">
        <f t="shared" si="26"/>
        <v>0</v>
      </c>
      <c r="AM35" s="73">
        <f t="shared" si="27"/>
        <v>0</v>
      </c>
      <c r="AN35" s="74">
        <f t="shared" si="28"/>
        <v>0</v>
      </c>
      <c r="AO35" s="74">
        <f t="shared" si="29"/>
        <v>0</v>
      </c>
      <c r="AP35" s="75" t="e">
        <f t="shared" si="30"/>
        <v>#DIV/0!</v>
      </c>
      <c r="AQ35" s="76">
        <f t="shared" si="31"/>
        <v>0</v>
      </c>
      <c r="AR35" s="77">
        <f t="shared" si="33"/>
        <v>0</v>
      </c>
    </row>
    <row r="36" spans="1:44" x14ac:dyDescent="0.25">
      <c r="A36" t="str">
        <f t="shared" si="15"/>
        <v>46190M</v>
      </c>
      <c r="B36" s="51">
        <f t="shared" si="32"/>
        <v>46190</v>
      </c>
      <c r="C36" s="52" t="s">
        <v>87</v>
      </c>
      <c r="D36" s="91"/>
      <c r="E36" s="62"/>
      <c r="F36" s="62"/>
      <c r="G36" s="62">
        <f t="shared" si="16"/>
        <v>0</v>
      </c>
      <c r="H36" s="63">
        <f t="shared" si="17"/>
        <v>0</v>
      </c>
      <c r="I36" s="203"/>
      <c r="J36" s="204"/>
      <c r="K36" s="121"/>
      <c r="L36" s="122"/>
      <c r="M36" s="58"/>
      <c r="N36" s="58"/>
      <c r="O36" s="59"/>
      <c r="P36" s="56"/>
      <c r="Q36" s="60"/>
      <c r="R36" s="61">
        <f t="shared" si="18"/>
        <v>0</v>
      </c>
      <c r="S36" s="62">
        <f t="shared" si="19"/>
        <v>0</v>
      </c>
      <c r="T36" s="63">
        <f t="shared" si="20"/>
        <v>0</v>
      </c>
      <c r="U36" s="64"/>
      <c r="V36" s="85"/>
      <c r="W36" s="66"/>
      <c r="X36" s="67"/>
      <c r="Y36" s="68"/>
      <c r="Z36" s="68"/>
      <c r="AA36" s="62">
        <f t="shared" si="34"/>
        <v>0</v>
      </c>
      <c r="AB36" s="62">
        <f t="shared" si="35"/>
        <v>0</v>
      </c>
      <c r="AC36" s="69"/>
      <c r="AD36" s="70"/>
      <c r="AE36" s="70"/>
      <c r="AF36" s="62">
        <f t="shared" si="23"/>
        <v>0</v>
      </c>
      <c r="AG36" s="63">
        <f t="shared" si="24"/>
        <v>0</v>
      </c>
      <c r="AH36" s="66"/>
      <c r="AI36" s="66"/>
      <c r="AJ36" s="66"/>
      <c r="AK36" s="62">
        <f t="shared" si="25"/>
        <v>0</v>
      </c>
      <c r="AL36" s="72">
        <f t="shared" si="26"/>
        <v>0</v>
      </c>
      <c r="AM36" s="73">
        <f t="shared" si="27"/>
        <v>0</v>
      </c>
      <c r="AN36" s="74">
        <f t="shared" si="28"/>
        <v>0</v>
      </c>
      <c r="AO36" s="74">
        <f t="shared" si="29"/>
        <v>0</v>
      </c>
      <c r="AP36" s="75" t="e">
        <f t="shared" si="30"/>
        <v>#DIV/0!</v>
      </c>
      <c r="AQ36" s="76">
        <f t="shared" si="31"/>
        <v>0</v>
      </c>
      <c r="AR36" s="77">
        <f t="shared" si="33"/>
        <v>0</v>
      </c>
    </row>
    <row r="37" spans="1:44" x14ac:dyDescent="0.25">
      <c r="A37" t="str">
        <f t="shared" si="15"/>
        <v>46190E</v>
      </c>
      <c r="B37" s="51">
        <f t="shared" si="32"/>
        <v>46190</v>
      </c>
      <c r="C37" s="52" t="s">
        <v>88</v>
      </c>
      <c r="D37" s="91"/>
      <c r="E37" s="62"/>
      <c r="F37" s="62"/>
      <c r="G37" s="62">
        <f t="shared" si="16"/>
        <v>0</v>
      </c>
      <c r="H37" s="63">
        <f t="shared" si="17"/>
        <v>0</v>
      </c>
      <c r="I37" s="203"/>
      <c r="J37" s="204"/>
      <c r="K37" s="121"/>
      <c r="L37" s="122"/>
      <c r="M37" s="58"/>
      <c r="N37" s="58"/>
      <c r="O37" s="59"/>
      <c r="P37" s="56"/>
      <c r="Q37" s="60"/>
      <c r="R37" s="61">
        <f t="shared" si="18"/>
        <v>0</v>
      </c>
      <c r="S37" s="62">
        <f t="shared" si="19"/>
        <v>0</v>
      </c>
      <c r="T37" s="63">
        <f t="shared" si="20"/>
        <v>0</v>
      </c>
      <c r="U37" s="64"/>
      <c r="V37" s="65"/>
      <c r="W37" s="66"/>
      <c r="X37" s="67"/>
      <c r="Y37" s="68"/>
      <c r="Z37" s="68"/>
      <c r="AA37" s="62">
        <f t="shared" si="34"/>
        <v>0</v>
      </c>
      <c r="AB37" s="62">
        <f t="shared" si="35"/>
        <v>0</v>
      </c>
      <c r="AC37" s="69"/>
      <c r="AD37" s="70"/>
      <c r="AE37" s="70"/>
      <c r="AF37" s="62">
        <f t="shared" ref="AF37:AF50" si="36">AC37*AD37%</f>
        <v>0</v>
      </c>
      <c r="AG37" s="63">
        <f t="shared" ref="AG37:AG50" si="37">AC37*AE37%</f>
        <v>0</v>
      </c>
      <c r="AH37" s="66"/>
      <c r="AI37" s="66"/>
      <c r="AJ37" s="66"/>
      <c r="AK37" s="62">
        <f t="shared" si="25"/>
        <v>0</v>
      </c>
      <c r="AL37" s="72">
        <f t="shared" si="26"/>
        <v>0</v>
      </c>
      <c r="AM37" s="73">
        <f t="shared" si="27"/>
        <v>0</v>
      </c>
      <c r="AN37" s="74">
        <f t="shared" si="28"/>
        <v>0</v>
      </c>
      <c r="AO37" s="74">
        <f t="shared" si="29"/>
        <v>0</v>
      </c>
      <c r="AP37" s="75" t="e">
        <f t="shared" si="30"/>
        <v>#DIV/0!</v>
      </c>
      <c r="AQ37" s="76">
        <f t="shared" si="31"/>
        <v>0</v>
      </c>
      <c r="AR37" s="77">
        <f t="shared" si="33"/>
        <v>0</v>
      </c>
    </row>
    <row r="38" spans="1:44" x14ac:dyDescent="0.25">
      <c r="A38" t="str">
        <f t="shared" si="15"/>
        <v>46191M</v>
      </c>
      <c r="B38" s="51">
        <f t="shared" si="32"/>
        <v>46191</v>
      </c>
      <c r="C38" s="52" t="s">
        <v>87</v>
      </c>
      <c r="D38" s="91"/>
      <c r="E38" s="62"/>
      <c r="F38" s="62"/>
      <c r="G38" s="62">
        <f t="shared" si="16"/>
        <v>0</v>
      </c>
      <c r="H38" s="63">
        <f t="shared" si="17"/>
        <v>0</v>
      </c>
      <c r="I38" s="203"/>
      <c r="J38" s="204"/>
      <c r="K38" s="121"/>
      <c r="L38" s="122"/>
      <c r="M38" s="58"/>
      <c r="N38" s="58"/>
      <c r="O38" s="59"/>
      <c r="P38" s="56"/>
      <c r="Q38" s="60"/>
      <c r="R38" s="61">
        <f t="shared" si="18"/>
        <v>0</v>
      </c>
      <c r="S38" s="62">
        <f t="shared" si="19"/>
        <v>0</v>
      </c>
      <c r="T38" s="63">
        <f t="shared" si="20"/>
        <v>0</v>
      </c>
      <c r="U38" s="64"/>
      <c r="V38" s="65"/>
      <c r="W38" s="66"/>
      <c r="X38" s="67"/>
      <c r="Y38" s="68"/>
      <c r="Z38" s="68"/>
      <c r="AA38" s="62">
        <f t="shared" si="34"/>
        <v>0</v>
      </c>
      <c r="AB38" s="62">
        <f t="shared" si="35"/>
        <v>0</v>
      </c>
      <c r="AC38" s="69"/>
      <c r="AD38" s="70"/>
      <c r="AE38" s="70"/>
      <c r="AF38" s="62">
        <f t="shared" si="36"/>
        <v>0</v>
      </c>
      <c r="AG38" s="63">
        <f t="shared" si="37"/>
        <v>0</v>
      </c>
      <c r="AH38" s="66"/>
      <c r="AI38" s="66"/>
      <c r="AJ38" s="66"/>
      <c r="AK38" s="62">
        <f t="shared" si="25"/>
        <v>0</v>
      </c>
      <c r="AL38" s="72">
        <f t="shared" si="26"/>
        <v>0</v>
      </c>
      <c r="AM38" s="73">
        <f t="shared" si="27"/>
        <v>0</v>
      </c>
      <c r="AN38" s="74">
        <f t="shared" si="28"/>
        <v>0</v>
      </c>
      <c r="AO38" s="74">
        <f t="shared" si="29"/>
        <v>0</v>
      </c>
      <c r="AP38" s="75" t="e">
        <f t="shared" si="30"/>
        <v>#DIV/0!</v>
      </c>
      <c r="AQ38" s="76">
        <f t="shared" si="31"/>
        <v>0</v>
      </c>
      <c r="AR38" s="77">
        <f t="shared" si="33"/>
        <v>0</v>
      </c>
    </row>
    <row r="39" spans="1:44" x14ac:dyDescent="0.25">
      <c r="A39" t="str">
        <f t="shared" si="15"/>
        <v>46191E</v>
      </c>
      <c r="B39" s="51">
        <f t="shared" si="32"/>
        <v>46191</v>
      </c>
      <c r="C39" s="52" t="s">
        <v>88</v>
      </c>
      <c r="D39" s="91"/>
      <c r="E39" s="62"/>
      <c r="F39" s="62"/>
      <c r="G39" s="62">
        <f t="shared" si="16"/>
        <v>0</v>
      </c>
      <c r="H39" s="63">
        <f t="shared" si="17"/>
        <v>0</v>
      </c>
      <c r="I39" s="203"/>
      <c r="J39" s="204"/>
      <c r="K39" s="121"/>
      <c r="L39" s="122"/>
      <c r="M39" s="58"/>
      <c r="N39" s="58"/>
      <c r="O39" s="59"/>
      <c r="P39" s="56"/>
      <c r="Q39" s="60"/>
      <c r="R39" s="61">
        <f t="shared" si="18"/>
        <v>0</v>
      </c>
      <c r="S39" s="62">
        <f t="shared" si="19"/>
        <v>0</v>
      </c>
      <c r="T39" s="63">
        <f t="shared" si="20"/>
        <v>0</v>
      </c>
      <c r="U39" s="64"/>
      <c r="V39" s="65"/>
      <c r="W39" s="66"/>
      <c r="X39" s="67"/>
      <c r="Y39" s="68"/>
      <c r="Z39" s="68"/>
      <c r="AA39" s="62">
        <f t="shared" si="34"/>
        <v>0</v>
      </c>
      <c r="AB39" s="62">
        <f t="shared" si="35"/>
        <v>0</v>
      </c>
      <c r="AC39" s="69"/>
      <c r="AD39" s="70"/>
      <c r="AE39" s="70"/>
      <c r="AF39" s="62">
        <f t="shared" si="36"/>
        <v>0</v>
      </c>
      <c r="AG39" s="63">
        <f t="shared" si="37"/>
        <v>0</v>
      </c>
      <c r="AH39" s="66"/>
      <c r="AI39" s="66"/>
      <c r="AJ39" s="66"/>
      <c r="AK39" s="62">
        <f t="shared" si="25"/>
        <v>0</v>
      </c>
      <c r="AL39" s="72">
        <f t="shared" si="26"/>
        <v>0</v>
      </c>
      <c r="AM39" s="73">
        <f t="shared" si="27"/>
        <v>0</v>
      </c>
      <c r="AN39" s="74">
        <f t="shared" si="28"/>
        <v>0</v>
      </c>
      <c r="AO39" s="74">
        <f t="shared" si="29"/>
        <v>0</v>
      </c>
      <c r="AP39" s="75" t="e">
        <f t="shared" si="30"/>
        <v>#DIV/0!</v>
      </c>
      <c r="AQ39" s="76">
        <f t="shared" si="31"/>
        <v>0</v>
      </c>
      <c r="AR39" s="77">
        <f t="shared" si="33"/>
        <v>0</v>
      </c>
    </row>
    <row r="40" spans="1:44" x14ac:dyDescent="0.25">
      <c r="A40" t="str">
        <f t="shared" si="15"/>
        <v>46192M</v>
      </c>
      <c r="B40" s="51">
        <f t="shared" si="32"/>
        <v>46192</v>
      </c>
      <c r="C40" s="52" t="s">
        <v>87</v>
      </c>
      <c r="D40" s="91"/>
      <c r="E40" s="62"/>
      <c r="F40" s="62"/>
      <c r="G40" s="62">
        <f t="shared" si="16"/>
        <v>0</v>
      </c>
      <c r="H40" s="63">
        <f t="shared" si="17"/>
        <v>0</v>
      </c>
      <c r="I40" s="203"/>
      <c r="J40" s="204"/>
      <c r="K40" s="121"/>
      <c r="L40" s="122"/>
      <c r="M40" s="58"/>
      <c r="N40" s="58"/>
      <c r="O40" s="59"/>
      <c r="P40" s="56"/>
      <c r="Q40" s="60"/>
      <c r="R40" s="61">
        <f t="shared" si="18"/>
        <v>0</v>
      </c>
      <c r="S40" s="62">
        <f t="shared" si="19"/>
        <v>0</v>
      </c>
      <c r="T40" s="63">
        <f t="shared" si="20"/>
        <v>0</v>
      </c>
      <c r="U40" s="64"/>
      <c r="V40" s="65"/>
      <c r="W40" s="66"/>
      <c r="X40" s="67"/>
      <c r="Y40" s="68"/>
      <c r="Z40" s="68"/>
      <c r="AA40" s="62">
        <f t="shared" si="34"/>
        <v>0</v>
      </c>
      <c r="AB40" s="62">
        <f t="shared" si="35"/>
        <v>0</v>
      </c>
      <c r="AC40" s="69"/>
      <c r="AD40" s="70"/>
      <c r="AE40" s="70"/>
      <c r="AF40" s="62">
        <f t="shared" si="36"/>
        <v>0</v>
      </c>
      <c r="AG40" s="63">
        <f t="shared" si="37"/>
        <v>0</v>
      </c>
      <c r="AH40" s="66"/>
      <c r="AI40" s="66"/>
      <c r="AJ40" s="66"/>
      <c r="AK40" s="62">
        <f t="shared" si="25"/>
        <v>0</v>
      </c>
      <c r="AL40" s="72">
        <f t="shared" si="26"/>
        <v>0</v>
      </c>
      <c r="AM40" s="73">
        <f t="shared" si="27"/>
        <v>0</v>
      </c>
      <c r="AN40" s="74">
        <f t="shared" si="28"/>
        <v>0</v>
      </c>
      <c r="AO40" s="74">
        <f t="shared" si="29"/>
        <v>0</v>
      </c>
      <c r="AP40" s="75" t="e">
        <f t="shared" si="30"/>
        <v>#DIV/0!</v>
      </c>
      <c r="AQ40" s="76">
        <f t="shared" si="31"/>
        <v>0</v>
      </c>
      <c r="AR40" s="77">
        <f t="shared" si="33"/>
        <v>0</v>
      </c>
    </row>
    <row r="41" spans="1:44" x14ac:dyDescent="0.25">
      <c r="A41" t="str">
        <f t="shared" si="15"/>
        <v>46192E</v>
      </c>
      <c r="B41" s="51">
        <f t="shared" si="32"/>
        <v>46192</v>
      </c>
      <c r="C41" s="52" t="s">
        <v>88</v>
      </c>
      <c r="D41" s="91"/>
      <c r="E41" s="62"/>
      <c r="F41" s="62"/>
      <c r="G41" s="62">
        <f t="shared" si="16"/>
        <v>0</v>
      </c>
      <c r="H41" s="63">
        <f t="shared" si="17"/>
        <v>0</v>
      </c>
      <c r="I41" s="203"/>
      <c r="J41" s="204"/>
      <c r="K41" s="121"/>
      <c r="L41" s="122"/>
      <c r="M41" s="58"/>
      <c r="N41" s="58"/>
      <c r="O41" s="59"/>
      <c r="P41" s="56"/>
      <c r="Q41" s="60"/>
      <c r="R41" s="61">
        <f t="shared" si="18"/>
        <v>0</v>
      </c>
      <c r="S41" s="62">
        <f t="shared" si="19"/>
        <v>0</v>
      </c>
      <c r="T41" s="63">
        <f t="shared" si="20"/>
        <v>0</v>
      </c>
      <c r="U41" s="64"/>
      <c r="V41" s="65"/>
      <c r="W41" s="66"/>
      <c r="X41" s="67"/>
      <c r="Y41" s="68"/>
      <c r="Z41" s="68"/>
      <c r="AA41" s="62">
        <f t="shared" si="34"/>
        <v>0</v>
      </c>
      <c r="AB41" s="62">
        <f t="shared" si="35"/>
        <v>0</v>
      </c>
      <c r="AC41" s="69"/>
      <c r="AD41" s="70"/>
      <c r="AE41" s="70"/>
      <c r="AF41" s="62">
        <f t="shared" si="36"/>
        <v>0</v>
      </c>
      <c r="AG41" s="63">
        <f t="shared" si="37"/>
        <v>0</v>
      </c>
      <c r="AH41" s="66"/>
      <c r="AI41" s="66"/>
      <c r="AJ41" s="66"/>
      <c r="AK41" s="62">
        <f t="shared" si="25"/>
        <v>0</v>
      </c>
      <c r="AL41" s="72">
        <f t="shared" si="26"/>
        <v>0</v>
      </c>
      <c r="AM41" s="73">
        <f t="shared" si="27"/>
        <v>0</v>
      </c>
      <c r="AN41" s="74">
        <f t="shared" si="28"/>
        <v>0</v>
      </c>
      <c r="AO41" s="74">
        <f t="shared" si="29"/>
        <v>0</v>
      </c>
      <c r="AP41" s="75" t="e">
        <f t="shared" si="30"/>
        <v>#DIV/0!</v>
      </c>
      <c r="AQ41" s="76">
        <f t="shared" si="31"/>
        <v>0</v>
      </c>
      <c r="AR41" s="77">
        <f t="shared" si="33"/>
        <v>0</v>
      </c>
    </row>
    <row r="42" spans="1:44" x14ac:dyDescent="0.25">
      <c r="A42" t="str">
        <f t="shared" si="15"/>
        <v>46193M</v>
      </c>
      <c r="B42" s="51">
        <f t="shared" si="32"/>
        <v>46193</v>
      </c>
      <c r="C42" s="52" t="s">
        <v>87</v>
      </c>
      <c r="D42" s="91"/>
      <c r="E42" s="62"/>
      <c r="F42" s="62"/>
      <c r="G42" s="62">
        <f t="shared" si="16"/>
        <v>0</v>
      </c>
      <c r="H42" s="63">
        <f t="shared" si="17"/>
        <v>0</v>
      </c>
      <c r="I42" s="203"/>
      <c r="J42" s="204"/>
      <c r="K42" s="121"/>
      <c r="L42" s="122"/>
      <c r="M42" s="58"/>
      <c r="N42" s="58"/>
      <c r="O42" s="59"/>
      <c r="P42" s="56"/>
      <c r="Q42" s="60"/>
      <c r="R42" s="61">
        <f t="shared" si="18"/>
        <v>0</v>
      </c>
      <c r="S42" s="62">
        <f t="shared" si="19"/>
        <v>0</v>
      </c>
      <c r="T42" s="63">
        <f t="shared" si="20"/>
        <v>0</v>
      </c>
      <c r="U42" s="64"/>
      <c r="V42" s="65"/>
      <c r="W42" s="66"/>
      <c r="X42" s="67"/>
      <c r="Y42" s="68"/>
      <c r="Z42" s="68"/>
      <c r="AA42" s="62">
        <f t="shared" si="34"/>
        <v>0</v>
      </c>
      <c r="AB42" s="62">
        <f t="shared" si="35"/>
        <v>0</v>
      </c>
      <c r="AC42" s="69"/>
      <c r="AD42" s="70"/>
      <c r="AE42" s="70"/>
      <c r="AF42" s="62">
        <f t="shared" si="36"/>
        <v>0</v>
      </c>
      <c r="AG42" s="63">
        <f>AC42*AE42%</f>
        <v>0</v>
      </c>
      <c r="AH42" s="66"/>
      <c r="AI42" s="66"/>
      <c r="AJ42" s="66"/>
      <c r="AK42" s="62">
        <f t="shared" si="25"/>
        <v>0</v>
      </c>
      <c r="AL42" s="72">
        <f t="shared" si="26"/>
        <v>0</v>
      </c>
      <c r="AM42" s="73">
        <f t="shared" si="27"/>
        <v>0</v>
      </c>
      <c r="AN42" s="74">
        <f t="shared" si="28"/>
        <v>0</v>
      </c>
      <c r="AO42" s="74">
        <f t="shared" si="29"/>
        <v>0</v>
      </c>
      <c r="AP42" s="75" t="e">
        <f t="shared" si="30"/>
        <v>#DIV/0!</v>
      </c>
      <c r="AQ42" s="76">
        <f t="shared" si="31"/>
        <v>0</v>
      </c>
      <c r="AR42" s="77">
        <f t="shared" si="33"/>
        <v>0</v>
      </c>
    </row>
    <row r="43" spans="1:44" x14ac:dyDescent="0.25">
      <c r="A43" t="str">
        <f t="shared" si="15"/>
        <v>46193E</v>
      </c>
      <c r="B43" s="51">
        <f t="shared" si="32"/>
        <v>46193</v>
      </c>
      <c r="C43" s="52" t="s">
        <v>88</v>
      </c>
      <c r="D43" s="91"/>
      <c r="E43" s="62"/>
      <c r="F43" s="62"/>
      <c r="G43" s="62">
        <f t="shared" si="16"/>
        <v>0</v>
      </c>
      <c r="H43" s="63">
        <f t="shared" si="17"/>
        <v>0</v>
      </c>
      <c r="I43" s="203"/>
      <c r="J43" s="204"/>
      <c r="K43" s="121"/>
      <c r="L43" s="122"/>
      <c r="M43" s="58"/>
      <c r="N43" s="58"/>
      <c r="O43" s="59"/>
      <c r="P43" s="56"/>
      <c r="Q43" s="60"/>
      <c r="R43" s="61">
        <f t="shared" si="18"/>
        <v>0</v>
      </c>
      <c r="S43" s="62">
        <f t="shared" si="19"/>
        <v>0</v>
      </c>
      <c r="T43" s="63">
        <f t="shared" si="20"/>
        <v>0</v>
      </c>
      <c r="U43" s="64"/>
      <c r="V43" s="65"/>
      <c r="W43" s="66"/>
      <c r="X43" s="67"/>
      <c r="Y43" s="68"/>
      <c r="Z43" s="68"/>
      <c r="AA43" s="62">
        <f t="shared" si="34"/>
        <v>0</v>
      </c>
      <c r="AB43" s="62">
        <f t="shared" si="35"/>
        <v>0</v>
      </c>
      <c r="AC43" s="69"/>
      <c r="AD43" s="70"/>
      <c r="AE43" s="70"/>
      <c r="AF43" s="62">
        <f t="shared" si="36"/>
        <v>0</v>
      </c>
      <c r="AG43" s="63">
        <f t="shared" si="37"/>
        <v>0</v>
      </c>
      <c r="AH43" s="66"/>
      <c r="AI43" s="66"/>
      <c r="AJ43" s="66"/>
      <c r="AK43" s="62">
        <f t="shared" si="25"/>
        <v>0</v>
      </c>
      <c r="AL43" s="72">
        <f t="shared" si="26"/>
        <v>0</v>
      </c>
      <c r="AM43" s="73">
        <f t="shared" si="27"/>
        <v>0</v>
      </c>
      <c r="AN43" s="74">
        <f t="shared" si="28"/>
        <v>0</v>
      </c>
      <c r="AO43" s="74">
        <f t="shared" si="29"/>
        <v>0</v>
      </c>
      <c r="AP43" s="75" t="e">
        <f t="shared" si="30"/>
        <v>#DIV/0!</v>
      </c>
      <c r="AQ43" s="76">
        <f t="shared" si="31"/>
        <v>0</v>
      </c>
      <c r="AR43" s="77">
        <f t="shared" si="33"/>
        <v>0</v>
      </c>
    </row>
    <row r="44" spans="1:44" x14ac:dyDescent="0.25">
      <c r="A44" t="str">
        <f t="shared" si="15"/>
        <v>46194M</v>
      </c>
      <c r="B44" s="51">
        <f t="shared" si="32"/>
        <v>46194</v>
      </c>
      <c r="C44" s="52" t="s">
        <v>87</v>
      </c>
      <c r="D44" s="91"/>
      <c r="E44" s="62"/>
      <c r="F44" s="62"/>
      <c r="G44" s="62">
        <f t="shared" si="16"/>
        <v>0</v>
      </c>
      <c r="H44" s="63">
        <f t="shared" si="17"/>
        <v>0</v>
      </c>
      <c r="I44" s="203"/>
      <c r="J44" s="204"/>
      <c r="K44" s="121"/>
      <c r="L44" s="122"/>
      <c r="M44" s="58"/>
      <c r="N44" s="58"/>
      <c r="O44" s="59"/>
      <c r="P44" s="56"/>
      <c r="Q44" s="60"/>
      <c r="R44" s="61">
        <f t="shared" si="18"/>
        <v>0</v>
      </c>
      <c r="S44" s="62">
        <f t="shared" si="19"/>
        <v>0</v>
      </c>
      <c r="T44" s="63">
        <f t="shared" si="20"/>
        <v>0</v>
      </c>
      <c r="U44" s="64"/>
      <c r="V44" s="65"/>
      <c r="W44" s="66"/>
      <c r="X44" s="67"/>
      <c r="Y44" s="68"/>
      <c r="Z44" s="68"/>
      <c r="AA44" s="62">
        <f t="shared" si="34"/>
        <v>0</v>
      </c>
      <c r="AB44" s="62">
        <f t="shared" si="35"/>
        <v>0</v>
      </c>
      <c r="AC44" s="69"/>
      <c r="AD44" s="70"/>
      <c r="AE44" s="70"/>
      <c r="AF44" s="62">
        <f t="shared" si="36"/>
        <v>0</v>
      </c>
      <c r="AG44" s="63">
        <f t="shared" si="37"/>
        <v>0</v>
      </c>
      <c r="AH44" s="66"/>
      <c r="AI44" s="66"/>
      <c r="AJ44" s="66"/>
      <c r="AK44" s="62">
        <f t="shared" si="25"/>
        <v>0</v>
      </c>
      <c r="AL44" s="72">
        <f t="shared" si="26"/>
        <v>0</v>
      </c>
      <c r="AM44" s="73">
        <f t="shared" si="27"/>
        <v>0</v>
      </c>
      <c r="AN44" s="74">
        <f t="shared" si="28"/>
        <v>0</v>
      </c>
      <c r="AO44" s="74">
        <f t="shared" si="29"/>
        <v>0</v>
      </c>
      <c r="AP44" s="75" t="e">
        <f t="shared" si="30"/>
        <v>#DIV/0!</v>
      </c>
      <c r="AQ44" s="76">
        <f t="shared" si="31"/>
        <v>0</v>
      </c>
      <c r="AR44" s="77">
        <f t="shared" si="33"/>
        <v>0</v>
      </c>
    </row>
    <row r="45" spans="1:44" x14ac:dyDescent="0.25">
      <c r="A45" t="str">
        <f t="shared" si="15"/>
        <v>46194E</v>
      </c>
      <c r="B45" s="51">
        <f t="shared" si="32"/>
        <v>46194</v>
      </c>
      <c r="C45" s="52" t="s">
        <v>88</v>
      </c>
      <c r="D45" s="91"/>
      <c r="E45" s="62"/>
      <c r="F45" s="62"/>
      <c r="G45" s="62">
        <f t="shared" si="16"/>
        <v>0</v>
      </c>
      <c r="H45" s="63">
        <f t="shared" si="17"/>
        <v>0</v>
      </c>
      <c r="I45" s="203"/>
      <c r="J45" s="204"/>
      <c r="K45" s="121"/>
      <c r="L45" s="122"/>
      <c r="M45" s="58"/>
      <c r="N45" s="58"/>
      <c r="O45" s="59"/>
      <c r="P45" s="56"/>
      <c r="Q45" s="60"/>
      <c r="R45" s="61">
        <f t="shared" si="18"/>
        <v>0</v>
      </c>
      <c r="S45" s="62">
        <f t="shared" si="19"/>
        <v>0</v>
      </c>
      <c r="T45" s="63">
        <f t="shared" si="20"/>
        <v>0</v>
      </c>
      <c r="U45" s="64"/>
      <c r="V45" s="65"/>
      <c r="W45" s="66"/>
      <c r="X45" s="67"/>
      <c r="Y45" s="68"/>
      <c r="Z45" s="68"/>
      <c r="AA45" s="62">
        <f t="shared" si="34"/>
        <v>0</v>
      </c>
      <c r="AB45" s="62">
        <f t="shared" si="35"/>
        <v>0</v>
      </c>
      <c r="AC45" s="69"/>
      <c r="AD45" s="70"/>
      <c r="AE45" s="70"/>
      <c r="AF45" s="62">
        <f t="shared" si="36"/>
        <v>0</v>
      </c>
      <c r="AG45" s="63">
        <f t="shared" si="37"/>
        <v>0</v>
      </c>
      <c r="AH45" s="66"/>
      <c r="AI45" s="66"/>
      <c r="AJ45" s="66"/>
      <c r="AK45" s="62">
        <f t="shared" si="25"/>
        <v>0</v>
      </c>
      <c r="AL45" s="72">
        <f t="shared" si="26"/>
        <v>0</v>
      </c>
      <c r="AM45" s="73">
        <f t="shared" si="27"/>
        <v>0</v>
      </c>
      <c r="AN45" s="74">
        <f t="shared" si="28"/>
        <v>0</v>
      </c>
      <c r="AO45" s="74">
        <f t="shared" si="29"/>
        <v>0</v>
      </c>
      <c r="AP45" s="75" t="e">
        <f t="shared" si="30"/>
        <v>#DIV/0!</v>
      </c>
      <c r="AQ45" s="76">
        <f t="shared" si="31"/>
        <v>0</v>
      </c>
      <c r="AR45" s="77">
        <f t="shared" si="33"/>
        <v>0</v>
      </c>
    </row>
    <row r="46" spans="1:44" x14ac:dyDescent="0.25">
      <c r="A46" t="str">
        <f t="shared" si="15"/>
        <v>46195M</v>
      </c>
      <c r="B46" s="51">
        <f t="shared" si="32"/>
        <v>46195</v>
      </c>
      <c r="C46" s="52" t="s">
        <v>87</v>
      </c>
      <c r="D46" s="91"/>
      <c r="E46" s="62"/>
      <c r="F46" s="62"/>
      <c r="G46" s="62">
        <f t="shared" si="16"/>
        <v>0</v>
      </c>
      <c r="H46" s="63">
        <f t="shared" si="17"/>
        <v>0</v>
      </c>
      <c r="I46" s="203"/>
      <c r="J46" s="204"/>
      <c r="K46" s="121"/>
      <c r="L46" s="122"/>
      <c r="M46" s="58"/>
      <c r="N46" s="58"/>
      <c r="O46" s="59"/>
      <c r="P46" s="56"/>
      <c r="Q46" s="60"/>
      <c r="R46" s="61">
        <f t="shared" si="18"/>
        <v>0</v>
      </c>
      <c r="S46" s="62">
        <f t="shared" si="19"/>
        <v>0</v>
      </c>
      <c r="T46" s="63">
        <f t="shared" si="20"/>
        <v>0</v>
      </c>
      <c r="U46" s="64"/>
      <c r="V46" s="65"/>
      <c r="W46" s="66"/>
      <c r="X46" s="67"/>
      <c r="Y46" s="68"/>
      <c r="Z46" s="68"/>
      <c r="AA46" s="62">
        <f t="shared" si="34"/>
        <v>0</v>
      </c>
      <c r="AB46" s="62">
        <f t="shared" si="35"/>
        <v>0</v>
      </c>
      <c r="AC46" s="69"/>
      <c r="AD46" s="70"/>
      <c r="AE46" s="70"/>
      <c r="AF46" s="62">
        <f t="shared" si="36"/>
        <v>0</v>
      </c>
      <c r="AG46" s="63">
        <f t="shared" si="37"/>
        <v>0</v>
      </c>
      <c r="AH46" s="66"/>
      <c r="AI46" s="66"/>
      <c r="AJ46" s="66"/>
      <c r="AK46" s="62">
        <f t="shared" si="25"/>
        <v>0</v>
      </c>
      <c r="AL46" s="72">
        <f t="shared" si="26"/>
        <v>0</v>
      </c>
      <c r="AM46" s="73">
        <f t="shared" si="27"/>
        <v>0</v>
      </c>
      <c r="AN46" s="74">
        <f t="shared" si="28"/>
        <v>0</v>
      </c>
      <c r="AO46" s="74">
        <f t="shared" si="29"/>
        <v>0</v>
      </c>
      <c r="AP46" s="75" t="e">
        <f t="shared" si="30"/>
        <v>#DIV/0!</v>
      </c>
      <c r="AQ46" s="76">
        <f t="shared" si="31"/>
        <v>0</v>
      </c>
      <c r="AR46" s="77">
        <f t="shared" si="33"/>
        <v>0</v>
      </c>
    </row>
    <row r="47" spans="1:44" x14ac:dyDescent="0.25">
      <c r="A47" t="str">
        <f t="shared" si="15"/>
        <v>46195E</v>
      </c>
      <c r="B47" s="51">
        <f t="shared" si="32"/>
        <v>46195</v>
      </c>
      <c r="C47" s="52" t="s">
        <v>88</v>
      </c>
      <c r="D47" s="91"/>
      <c r="E47" s="62"/>
      <c r="F47" s="62"/>
      <c r="G47" s="62">
        <f t="shared" si="16"/>
        <v>0</v>
      </c>
      <c r="H47" s="63">
        <f t="shared" si="17"/>
        <v>0</v>
      </c>
      <c r="I47" s="203"/>
      <c r="J47" s="204"/>
      <c r="K47" s="121"/>
      <c r="L47" s="122"/>
      <c r="M47" s="58"/>
      <c r="N47" s="58"/>
      <c r="O47" s="59"/>
      <c r="P47" s="56"/>
      <c r="Q47" s="60"/>
      <c r="R47" s="61">
        <f t="shared" si="18"/>
        <v>0</v>
      </c>
      <c r="S47" s="62">
        <f t="shared" si="19"/>
        <v>0</v>
      </c>
      <c r="T47" s="63">
        <f t="shared" si="20"/>
        <v>0</v>
      </c>
      <c r="U47" s="64"/>
      <c r="V47" s="65"/>
      <c r="W47" s="66"/>
      <c r="X47" s="67"/>
      <c r="Y47" s="68"/>
      <c r="Z47" s="68"/>
      <c r="AA47" s="62">
        <f t="shared" si="34"/>
        <v>0</v>
      </c>
      <c r="AB47" s="62">
        <f t="shared" si="35"/>
        <v>0</v>
      </c>
      <c r="AC47" s="69"/>
      <c r="AD47" s="70"/>
      <c r="AE47" s="70"/>
      <c r="AF47" s="62">
        <f t="shared" si="36"/>
        <v>0</v>
      </c>
      <c r="AG47" s="63">
        <f t="shared" si="37"/>
        <v>0</v>
      </c>
      <c r="AH47" s="66"/>
      <c r="AI47" s="66"/>
      <c r="AJ47" s="66"/>
      <c r="AK47" s="62">
        <f t="shared" si="25"/>
        <v>0</v>
      </c>
      <c r="AL47" s="72">
        <f t="shared" si="26"/>
        <v>0</v>
      </c>
      <c r="AM47" s="73">
        <f t="shared" si="27"/>
        <v>0</v>
      </c>
      <c r="AN47" s="74">
        <f t="shared" si="28"/>
        <v>0</v>
      </c>
      <c r="AO47" s="74">
        <f t="shared" si="29"/>
        <v>0</v>
      </c>
      <c r="AP47" s="75" t="e">
        <f t="shared" si="30"/>
        <v>#DIV/0!</v>
      </c>
      <c r="AQ47" s="76">
        <f t="shared" si="31"/>
        <v>0</v>
      </c>
      <c r="AR47" s="77">
        <f t="shared" si="33"/>
        <v>0</v>
      </c>
    </row>
    <row r="48" spans="1:44" x14ac:dyDescent="0.25">
      <c r="A48" t="str">
        <f t="shared" si="15"/>
        <v>46196M</v>
      </c>
      <c r="B48" s="51">
        <f t="shared" si="32"/>
        <v>46196</v>
      </c>
      <c r="C48" s="52" t="s">
        <v>87</v>
      </c>
      <c r="D48" s="91"/>
      <c r="E48" s="62"/>
      <c r="F48" s="62"/>
      <c r="G48" s="62">
        <f t="shared" si="16"/>
        <v>0</v>
      </c>
      <c r="H48" s="63">
        <f t="shared" si="17"/>
        <v>0</v>
      </c>
      <c r="I48" s="203"/>
      <c r="J48" s="204"/>
      <c r="K48" s="121"/>
      <c r="L48" s="122"/>
      <c r="M48" s="58"/>
      <c r="N48" s="58"/>
      <c r="O48" s="59"/>
      <c r="P48" s="56"/>
      <c r="Q48" s="60"/>
      <c r="R48" s="61">
        <f t="shared" si="18"/>
        <v>0</v>
      </c>
      <c r="S48" s="62">
        <f t="shared" si="19"/>
        <v>0</v>
      </c>
      <c r="T48" s="63">
        <f t="shared" si="20"/>
        <v>0</v>
      </c>
      <c r="U48" s="64"/>
      <c r="V48" s="65"/>
      <c r="W48" s="66"/>
      <c r="X48" s="67"/>
      <c r="Y48" s="68"/>
      <c r="Z48" s="68"/>
      <c r="AA48" s="62">
        <f t="shared" si="34"/>
        <v>0</v>
      </c>
      <c r="AB48" s="62">
        <f t="shared" si="35"/>
        <v>0</v>
      </c>
      <c r="AC48" s="69"/>
      <c r="AD48" s="70"/>
      <c r="AE48" s="70"/>
      <c r="AF48" s="62">
        <f t="shared" si="36"/>
        <v>0</v>
      </c>
      <c r="AG48" s="63">
        <f t="shared" si="37"/>
        <v>0</v>
      </c>
      <c r="AH48" s="66"/>
      <c r="AI48" s="66"/>
      <c r="AJ48" s="66"/>
      <c r="AK48" s="62">
        <f t="shared" si="25"/>
        <v>0</v>
      </c>
      <c r="AL48" s="72">
        <f t="shared" si="26"/>
        <v>0</v>
      </c>
      <c r="AM48" s="73">
        <f t="shared" si="27"/>
        <v>0</v>
      </c>
      <c r="AN48" s="74">
        <f t="shared" si="28"/>
        <v>0</v>
      </c>
      <c r="AO48" s="74">
        <f t="shared" si="29"/>
        <v>0</v>
      </c>
      <c r="AP48" s="75" t="e">
        <f t="shared" si="30"/>
        <v>#DIV/0!</v>
      </c>
      <c r="AQ48" s="76">
        <f t="shared" si="31"/>
        <v>0</v>
      </c>
      <c r="AR48" s="77">
        <f t="shared" si="33"/>
        <v>0</v>
      </c>
    </row>
    <row r="49" spans="1:44" x14ac:dyDescent="0.25">
      <c r="A49" t="str">
        <f t="shared" si="15"/>
        <v>46196E</v>
      </c>
      <c r="B49" s="51">
        <f t="shared" si="32"/>
        <v>46196</v>
      </c>
      <c r="C49" s="52" t="s">
        <v>88</v>
      </c>
      <c r="D49" s="91"/>
      <c r="E49" s="62"/>
      <c r="F49" s="62"/>
      <c r="G49" s="62">
        <f t="shared" si="16"/>
        <v>0</v>
      </c>
      <c r="H49" s="63">
        <f t="shared" si="17"/>
        <v>0</v>
      </c>
      <c r="I49" s="203"/>
      <c r="J49" s="204"/>
      <c r="K49" s="121"/>
      <c r="L49" s="122"/>
      <c r="M49" s="58"/>
      <c r="N49" s="58"/>
      <c r="O49" s="59"/>
      <c r="P49" s="56"/>
      <c r="Q49" s="60"/>
      <c r="R49" s="61">
        <f t="shared" si="18"/>
        <v>0</v>
      </c>
      <c r="S49" s="62">
        <f t="shared" si="19"/>
        <v>0</v>
      </c>
      <c r="T49" s="63">
        <f t="shared" si="20"/>
        <v>0</v>
      </c>
      <c r="U49" s="64"/>
      <c r="V49" s="65"/>
      <c r="W49" s="66"/>
      <c r="X49" s="67"/>
      <c r="Y49" s="68"/>
      <c r="Z49" s="68"/>
      <c r="AA49" s="62">
        <f t="shared" si="34"/>
        <v>0</v>
      </c>
      <c r="AB49" s="62">
        <f t="shared" si="35"/>
        <v>0</v>
      </c>
      <c r="AC49" s="69"/>
      <c r="AD49" s="70"/>
      <c r="AE49" s="70"/>
      <c r="AF49" s="62">
        <f t="shared" si="36"/>
        <v>0</v>
      </c>
      <c r="AG49" s="63">
        <f t="shared" si="37"/>
        <v>0</v>
      </c>
      <c r="AH49" s="66"/>
      <c r="AI49" s="66"/>
      <c r="AJ49" s="66"/>
      <c r="AK49" s="62">
        <f t="shared" si="25"/>
        <v>0</v>
      </c>
      <c r="AL49" s="72">
        <f t="shared" si="26"/>
        <v>0</v>
      </c>
      <c r="AM49" s="73">
        <f t="shared" si="27"/>
        <v>0</v>
      </c>
      <c r="AN49" s="74">
        <f t="shared" si="28"/>
        <v>0</v>
      </c>
      <c r="AO49" s="74">
        <f t="shared" si="29"/>
        <v>0</v>
      </c>
      <c r="AP49" s="75" t="e">
        <f t="shared" si="30"/>
        <v>#DIV/0!</v>
      </c>
      <c r="AQ49" s="76">
        <f t="shared" si="31"/>
        <v>0</v>
      </c>
      <c r="AR49" s="77">
        <f t="shared" si="33"/>
        <v>0</v>
      </c>
    </row>
    <row r="50" spans="1:44" x14ac:dyDescent="0.25">
      <c r="A50" t="str">
        <f t="shared" si="15"/>
        <v>46197M</v>
      </c>
      <c r="B50" s="51">
        <f t="shared" si="32"/>
        <v>46197</v>
      </c>
      <c r="C50" s="52" t="s">
        <v>87</v>
      </c>
      <c r="D50" s="91"/>
      <c r="E50" s="62"/>
      <c r="F50" s="62"/>
      <c r="G50" s="62">
        <f t="shared" si="16"/>
        <v>0</v>
      </c>
      <c r="H50" s="63">
        <f t="shared" si="17"/>
        <v>0</v>
      </c>
      <c r="I50" s="203"/>
      <c r="J50" s="204"/>
      <c r="K50" s="121"/>
      <c r="L50" s="122"/>
      <c r="M50" s="58"/>
      <c r="N50" s="58"/>
      <c r="O50" s="59"/>
      <c r="P50" s="56"/>
      <c r="Q50" s="60"/>
      <c r="R50" s="61">
        <f t="shared" si="18"/>
        <v>0</v>
      </c>
      <c r="S50" s="62">
        <f t="shared" si="19"/>
        <v>0</v>
      </c>
      <c r="T50" s="63">
        <f t="shared" si="20"/>
        <v>0</v>
      </c>
      <c r="U50" s="64"/>
      <c r="V50" s="65"/>
      <c r="W50" s="66"/>
      <c r="X50" s="67"/>
      <c r="Y50" s="68"/>
      <c r="Z50" s="68"/>
      <c r="AA50" s="62">
        <f t="shared" si="34"/>
        <v>0</v>
      </c>
      <c r="AB50" s="62">
        <f t="shared" si="35"/>
        <v>0</v>
      </c>
      <c r="AC50" s="69"/>
      <c r="AD50" s="70"/>
      <c r="AE50" s="70"/>
      <c r="AF50" s="62">
        <f t="shared" si="36"/>
        <v>0</v>
      </c>
      <c r="AG50" s="63">
        <f t="shared" si="37"/>
        <v>0</v>
      </c>
      <c r="AH50" s="66"/>
      <c r="AI50" s="66"/>
      <c r="AJ50" s="66"/>
      <c r="AK50" s="62">
        <f t="shared" si="25"/>
        <v>0</v>
      </c>
      <c r="AL50" s="72">
        <f t="shared" si="26"/>
        <v>0</v>
      </c>
      <c r="AM50" s="73">
        <f t="shared" si="27"/>
        <v>0</v>
      </c>
      <c r="AN50" s="74">
        <f t="shared" si="28"/>
        <v>0</v>
      </c>
      <c r="AO50" s="74">
        <f t="shared" si="29"/>
        <v>0</v>
      </c>
      <c r="AP50" s="75" t="e">
        <f t="shared" si="30"/>
        <v>#DIV/0!</v>
      </c>
      <c r="AQ50" s="76">
        <f t="shared" si="31"/>
        <v>0</v>
      </c>
      <c r="AR50" s="77">
        <f t="shared" si="33"/>
        <v>0</v>
      </c>
    </row>
    <row r="51" spans="1:44" x14ac:dyDescent="0.25">
      <c r="A51" t="str">
        <f t="shared" si="15"/>
        <v>46197E</v>
      </c>
      <c r="B51" s="51">
        <f t="shared" si="32"/>
        <v>46197</v>
      </c>
      <c r="C51" s="52" t="s">
        <v>88</v>
      </c>
      <c r="D51" s="91"/>
      <c r="E51" s="62"/>
      <c r="F51" s="62"/>
      <c r="G51" s="62">
        <f t="shared" si="16"/>
        <v>0</v>
      </c>
      <c r="H51" s="63">
        <f t="shared" si="17"/>
        <v>0</v>
      </c>
      <c r="I51" s="203"/>
      <c r="J51" s="204"/>
      <c r="K51" s="121"/>
      <c r="L51" s="122"/>
      <c r="M51" s="58"/>
      <c r="N51" s="58"/>
      <c r="O51" s="59"/>
      <c r="P51" s="56"/>
      <c r="Q51" s="60"/>
      <c r="R51" s="61">
        <f t="shared" si="18"/>
        <v>0</v>
      </c>
      <c r="S51" s="62">
        <f t="shared" si="19"/>
        <v>0</v>
      </c>
      <c r="T51" s="63">
        <f t="shared" si="20"/>
        <v>0</v>
      </c>
      <c r="U51" s="64"/>
      <c r="V51" s="85"/>
      <c r="W51" s="66"/>
      <c r="X51" s="67"/>
      <c r="Y51" s="68"/>
      <c r="Z51" s="68"/>
      <c r="AA51" s="62">
        <f t="shared" si="34"/>
        <v>0</v>
      </c>
      <c r="AB51" s="62">
        <f t="shared" si="35"/>
        <v>0</v>
      </c>
      <c r="AC51" s="69"/>
      <c r="AD51" s="70"/>
      <c r="AE51" s="70"/>
      <c r="AF51" s="62">
        <f t="shared" ref="AF51:AF63" si="38">AC51*AD51%</f>
        <v>0</v>
      </c>
      <c r="AG51" s="63">
        <f t="shared" ref="AG51:AG63" si="39">AC51*AE51%</f>
        <v>0</v>
      </c>
      <c r="AH51" s="66"/>
      <c r="AI51" s="66"/>
      <c r="AJ51" s="66"/>
      <c r="AK51" s="62">
        <f t="shared" si="25"/>
        <v>0</v>
      </c>
      <c r="AL51" s="72">
        <f t="shared" si="26"/>
        <v>0</v>
      </c>
      <c r="AM51" s="73">
        <f t="shared" si="27"/>
        <v>0</v>
      </c>
      <c r="AN51" s="74">
        <f t="shared" si="28"/>
        <v>0</v>
      </c>
      <c r="AO51" s="74">
        <f t="shared" si="29"/>
        <v>0</v>
      </c>
      <c r="AP51" s="75" t="e">
        <f t="shared" si="30"/>
        <v>#DIV/0!</v>
      </c>
      <c r="AQ51" s="76">
        <f t="shared" si="31"/>
        <v>0</v>
      </c>
      <c r="AR51" s="77">
        <f t="shared" si="33"/>
        <v>0</v>
      </c>
    </row>
    <row r="52" spans="1:44" x14ac:dyDescent="0.25">
      <c r="A52" t="str">
        <f t="shared" si="15"/>
        <v>46198M</v>
      </c>
      <c r="B52" s="51">
        <f t="shared" si="32"/>
        <v>46198</v>
      </c>
      <c r="C52" s="52" t="s">
        <v>87</v>
      </c>
      <c r="D52" s="91"/>
      <c r="E52" s="62"/>
      <c r="F52" s="62"/>
      <c r="G52" s="62">
        <f t="shared" si="16"/>
        <v>0</v>
      </c>
      <c r="H52" s="63">
        <f t="shared" si="17"/>
        <v>0</v>
      </c>
      <c r="I52" s="119"/>
      <c r="J52" s="120"/>
      <c r="K52" s="121"/>
      <c r="L52" s="122"/>
      <c r="M52" s="58"/>
      <c r="N52" s="58"/>
      <c r="O52" s="59"/>
      <c r="P52" s="56"/>
      <c r="Q52" s="60"/>
      <c r="R52" s="61">
        <f t="shared" si="18"/>
        <v>0</v>
      </c>
      <c r="S52" s="62">
        <f t="shared" si="19"/>
        <v>0</v>
      </c>
      <c r="T52" s="63">
        <f t="shared" si="20"/>
        <v>0</v>
      </c>
      <c r="U52" s="64"/>
      <c r="V52" s="65"/>
      <c r="W52" s="66"/>
      <c r="X52" s="67"/>
      <c r="Y52" s="68"/>
      <c r="Z52" s="68"/>
      <c r="AA52" s="62">
        <f t="shared" si="34"/>
        <v>0</v>
      </c>
      <c r="AB52" s="62">
        <f t="shared" si="35"/>
        <v>0</v>
      </c>
      <c r="AC52" s="69"/>
      <c r="AD52" s="70"/>
      <c r="AE52" s="70"/>
      <c r="AF52" s="62">
        <f t="shared" si="38"/>
        <v>0</v>
      </c>
      <c r="AG52" s="63">
        <f t="shared" si="39"/>
        <v>0</v>
      </c>
      <c r="AH52" s="66"/>
      <c r="AI52" s="66"/>
      <c r="AJ52" s="66"/>
      <c r="AK52" s="62">
        <f t="shared" si="25"/>
        <v>0</v>
      </c>
      <c r="AL52" s="72">
        <f t="shared" si="26"/>
        <v>0</v>
      </c>
      <c r="AM52" s="73">
        <f t="shared" si="27"/>
        <v>0</v>
      </c>
      <c r="AN52" s="74">
        <f t="shared" si="28"/>
        <v>0</v>
      </c>
      <c r="AO52" s="74">
        <f t="shared" si="29"/>
        <v>0</v>
      </c>
      <c r="AP52" s="75" t="e">
        <f t="shared" si="30"/>
        <v>#DIV/0!</v>
      </c>
      <c r="AQ52" s="76">
        <f t="shared" si="31"/>
        <v>0</v>
      </c>
      <c r="AR52" s="77">
        <f t="shared" si="33"/>
        <v>0</v>
      </c>
    </row>
    <row r="53" spans="1:44" x14ac:dyDescent="0.25">
      <c r="A53" t="str">
        <f t="shared" si="15"/>
        <v>46198E</v>
      </c>
      <c r="B53" s="51">
        <f t="shared" si="32"/>
        <v>46198</v>
      </c>
      <c r="C53" s="52" t="s">
        <v>88</v>
      </c>
      <c r="D53" s="91"/>
      <c r="E53" s="62"/>
      <c r="F53" s="62"/>
      <c r="G53" s="62">
        <f t="shared" si="16"/>
        <v>0</v>
      </c>
      <c r="H53" s="63">
        <f t="shared" si="17"/>
        <v>0</v>
      </c>
      <c r="I53" s="119"/>
      <c r="J53" s="120"/>
      <c r="K53" s="121"/>
      <c r="L53" s="122"/>
      <c r="M53" s="58"/>
      <c r="N53" s="58"/>
      <c r="O53" s="59"/>
      <c r="P53" s="56"/>
      <c r="Q53" s="60"/>
      <c r="R53" s="61">
        <f t="shared" si="18"/>
        <v>0</v>
      </c>
      <c r="S53" s="62">
        <f t="shared" si="19"/>
        <v>0</v>
      </c>
      <c r="T53" s="63">
        <f t="shared" si="20"/>
        <v>0</v>
      </c>
      <c r="U53" s="64"/>
      <c r="V53" s="65"/>
      <c r="W53" s="66"/>
      <c r="X53" s="67"/>
      <c r="Y53" s="68"/>
      <c r="Z53" s="68"/>
      <c r="AA53" s="62">
        <f t="shared" si="34"/>
        <v>0</v>
      </c>
      <c r="AB53" s="62">
        <f t="shared" si="35"/>
        <v>0</v>
      </c>
      <c r="AC53" s="69"/>
      <c r="AD53" s="70"/>
      <c r="AE53" s="70"/>
      <c r="AF53" s="62">
        <f t="shared" si="38"/>
        <v>0</v>
      </c>
      <c r="AG53" s="63">
        <f t="shared" si="39"/>
        <v>0</v>
      </c>
      <c r="AH53" s="66"/>
      <c r="AI53" s="66"/>
      <c r="AJ53" s="66"/>
      <c r="AK53" s="62">
        <f t="shared" si="25"/>
        <v>0</v>
      </c>
      <c r="AL53" s="72">
        <f t="shared" si="26"/>
        <v>0</v>
      </c>
      <c r="AM53" s="73">
        <f t="shared" si="27"/>
        <v>0</v>
      </c>
      <c r="AN53" s="74">
        <f t="shared" si="28"/>
        <v>0</v>
      </c>
      <c r="AO53" s="74">
        <f t="shared" si="29"/>
        <v>0</v>
      </c>
      <c r="AP53" s="75" t="e">
        <f t="shared" si="30"/>
        <v>#DIV/0!</v>
      </c>
      <c r="AQ53" s="76">
        <f t="shared" si="31"/>
        <v>0</v>
      </c>
      <c r="AR53" s="77">
        <f t="shared" si="33"/>
        <v>0</v>
      </c>
    </row>
    <row r="54" spans="1:44" x14ac:dyDescent="0.25">
      <c r="A54" t="str">
        <f t="shared" si="15"/>
        <v>46199M</v>
      </c>
      <c r="B54" s="51">
        <f t="shared" si="32"/>
        <v>46199</v>
      </c>
      <c r="C54" s="52" t="s">
        <v>87</v>
      </c>
      <c r="D54" s="91"/>
      <c r="E54" s="62"/>
      <c r="F54" s="62"/>
      <c r="G54" s="62">
        <f t="shared" si="16"/>
        <v>0</v>
      </c>
      <c r="H54" s="63">
        <f t="shared" si="17"/>
        <v>0</v>
      </c>
      <c r="I54" s="119"/>
      <c r="J54" s="120"/>
      <c r="K54" s="121"/>
      <c r="L54" s="122"/>
      <c r="M54" s="58"/>
      <c r="N54" s="58"/>
      <c r="O54" s="59"/>
      <c r="P54" s="56"/>
      <c r="Q54" s="60"/>
      <c r="R54" s="61">
        <f t="shared" si="18"/>
        <v>0</v>
      </c>
      <c r="S54" s="62">
        <f t="shared" si="19"/>
        <v>0</v>
      </c>
      <c r="T54" s="63">
        <f t="shared" si="20"/>
        <v>0</v>
      </c>
      <c r="U54" s="64"/>
      <c r="V54" s="65"/>
      <c r="W54" s="66"/>
      <c r="X54" s="67"/>
      <c r="Y54" s="68"/>
      <c r="Z54" s="68"/>
      <c r="AA54" s="62">
        <f t="shared" si="34"/>
        <v>0</v>
      </c>
      <c r="AB54" s="62">
        <f t="shared" si="35"/>
        <v>0</v>
      </c>
      <c r="AC54" s="69"/>
      <c r="AD54" s="70"/>
      <c r="AE54" s="70"/>
      <c r="AF54" s="62">
        <f t="shared" si="38"/>
        <v>0</v>
      </c>
      <c r="AG54" s="63">
        <f t="shared" si="39"/>
        <v>0</v>
      </c>
      <c r="AH54" s="66"/>
      <c r="AI54" s="66"/>
      <c r="AJ54" s="66"/>
      <c r="AK54" s="62">
        <f t="shared" si="25"/>
        <v>0</v>
      </c>
      <c r="AL54" s="72">
        <f t="shared" si="26"/>
        <v>0</v>
      </c>
      <c r="AM54" s="73">
        <f t="shared" si="27"/>
        <v>0</v>
      </c>
      <c r="AN54" s="74">
        <f t="shared" si="28"/>
        <v>0</v>
      </c>
      <c r="AO54" s="74">
        <f t="shared" si="29"/>
        <v>0</v>
      </c>
      <c r="AP54" s="75" t="e">
        <f t="shared" si="30"/>
        <v>#DIV/0!</v>
      </c>
      <c r="AQ54" s="76">
        <f t="shared" si="31"/>
        <v>0</v>
      </c>
      <c r="AR54" s="77">
        <f t="shared" si="33"/>
        <v>0</v>
      </c>
    </row>
    <row r="55" spans="1:44" x14ac:dyDescent="0.25">
      <c r="A55" t="str">
        <f t="shared" si="15"/>
        <v>46199E</v>
      </c>
      <c r="B55" s="51">
        <f t="shared" si="32"/>
        <v>46199</v>
      </c>
      <c r="C55" s="52" t="s">
        <v>88</v>
      </c>
      <c r="D55" s="91"/>
      <c r="E55" s="62"/>
      <c r="F55" s="62"/>
      <c r="G55" s="62">
        <f t="shared" si="16"/>
        <v>0</v>
      </c>
      <c r="H55" s="63">
        <f t="shared" si="17"/>
        <v>0</v>
      </c>
      <c r="I55" s="119"/>
      <c r="J55" s="120"/>
      <c r="K55" s="121"/>
      <c r="L55" s="122"/>
      <c r="M55" s="58"/>
      <c r="N55" s="58"/>
      <c r="O55" s="59"/>
      <c r="P55" s="56"/>
      <c r="Q55" s="60"/>
      <c r="R55" s="61">
        <f t="shared" si="18"/>
        <v>0</v>
      </c>
      <c r="S55" s="62">
        <f t="shared" si="19"/>
        <v>0</v>
      </c>
      <c r="T55" s="63">
        <f t="shared" si="20"/>
        <v>0</v>
      </c>
      <c r="U55" s="64"/>
      <c r="V55" s="65"/>
      <c r="W55" s="66"/>
      <c r="X55" s="67"/>
      <c r="Y55" s="68"/>
      <c r="Z55" s="68"/>
      <c r="AA55" s="62">
        <f t="shared" si="34"/>
        <v>0</v>
      </c>
      <c r="AB55" s="62">
        <f t="shared" si="35"/>
        <v>0</v>
      </c>
      <c r="AC55" s="69"/>
      <c r="AD55" s="70"/>
      <c r="AE55" s="70"/>
      <c r="AF55" s="62">
        <f t="shared" si="38"/>
        <v>0</v>
      </c>
      <c r="AG55" s="63">
        <f t="shared" si="39"/>
        <v>0</v>
      </c>
      <c r="AH55" s="66"/>
      <c r="AI55" s="66"/>
      <c r="AJ55" s="66"/>
      <c r="AK55" s="62">
        <f t="shared" si="25"/>
        <v>0</v>
      </c>
      <c r="AL55" s="72">
        <f t="shared" si="26"/>
        <v>0</v>
      </c>
      <c r="AM55" s="73">
        <f t="shared" si="27"/>
        <v>0</v>
      </c>
      <c r="AN55" s="74">
        <f t="shared" si="28"/>
        <v>0</v>
      </c>
      <c r="AO55" s="74">
        <f t="shared" si="29"/>
        <v>0</v>
      </c>
      <c r="AP55" s="75" t="e">
        <f t="shared" si="30"/>
        <v>#DIV/0!</v>
      </c>
      <c r="AQ55" s="76">
        <f t="shared" si="31"/>
        <v>0</v>
      </c>
      <c r="AR55" s="77">
        <f t="shared" si="33"/>
        <v>0</v>
      </c>
    </row>
    <row r="56" spans="1:44" x14ac:dyDescent="0.25">
      <c r="A56" t="str">
        <f t="shared" si="15"/>
        <v>46200M</v>
      </c>
      <c r="B56" s="51">
        <f t="shared" si="32"/>
        <v>46200</v>
      </c>
      <c r="C56" s="52" t="s">
        <v>87</v>
      </c>
      <c r="D56" s="91"/>
      <c r="E56" s="62"/>
      <c r="F56" s="62"/>
      <c r="G56" s="62">
        <f t="shared" si="16"/>
        <v>0</v>
      </c>
      <c r="H56" s="63">
        <f t="shared" si="17"/>
        <v>0</v>
      </c>
      <c r="I56" s="119"/>
      <c r="J56" s="120"/>
      <c r="K56" s="121"/>
      <c r="L56" s="122"/>
      <c r="M56" s="58"/>
      <c r="N56" s="58"/>
      <c r="O56" s="59"/>
      <c r="P56" s="56"/>
      <c r="Q56" s="60"/>
      <c r="R56" s="61">
        <f t="shared" si="18"/>
        <v>0</v>
      </c>
      <c r="S56" s="62">
        <f t="shared" si="19"/>
        <v>0</v>
      </c>
      <c r="T56" s="63">
        <f t="shared" si="20"/>
        <v>0</v>
      </c>
      <c r="U56" s="64"/>
      <c r="V56" s="65"/>
      <c r="W56" s="66"/>
      <c r="X56" s="67"/>
      <c r="Y56" s="68"/>
      <c r="Z56" s="68"/>
      <c r="AA56" s="62">
        <f t="shared" si="34"/>
        <v>0</v>
      </c>
      <c r="AB56" s="62">
        <f t="shared" si="35"/>
        <v>0</v>
      </c>
      <c r="AC56" s="69"/>
      <c r="AD56" s="70"/>
      <c r="AE56" s="70"/>
      <c r="AF56" s="62">
        <f t="shared" si="38"/>
        <v>0</v>
      </c>
      <c r="AG56" s="63">
        <f t="shared" si="39"/>
        <v>0</v>
      </c>
      <c r="AH56" s="66"/>
      <c r="AI56" s="66"/>
      <c r="AJ56" s="66"/>
      <c r="AK56" s="62">
        <f t="shared" si="25"/>
        <v>0</v>
      </c>
      <c r="AL56" s="72">
        <f t="shared" si="26"/>
        <v>0</v>
      </c>
      <c r="AM56" s="73">
        <f t="shared" si="27"/>
        <v>0</v>
      </c>
      <c r="AN56" s="74">
        <f t="shared" si="28"/>
        <v>0</v>
      </c>
      <c r="AO56" s="74">
        <f t="shared" si="29"/>
        <v>0</v>
      </c>
      <c r="AP56" s="75" t="e">
        <f t="shared" si="30"/>
        <v>#DIV/0!</v>
      </c>
      <c r="AQ56" s="76">
        <f t="shared" si="31"/>
        <v>0</v>
      </c>
      <c r="AR56" s="77">
        <f t="shared" si="33"/>
        <v>0</v>
      </c>
    </row>
    <row r="57" spans="1:44" x14ac:dyDescent="0.25">
      <c r="A57" t="str">
        <f t="shared" si="15"/>
        <v>46200E</v>
      </c>
      <c r="B57" s="51">
        <f t="shared" si="32"/>
        <v>46200</v>
      </c>
      <c r="C57" s="52" t="s">
        <v>88</v>
      </c>
      <c r="D57" s="91"/>
      <c r="E57" s="62"/>
      <c r="F57" s="62"/>
      <c r="G57" s="62">
        <f t="shared" si="16"/>
        <v>0</v>
      </c>
      <c r="H57" s="63">
        <f t="shared" si="17"/>
        <v>0</v>
      </c>
      <c r="I57" s="119"/>
      <c r="J57" s="120"/>
      <c r="K57" s="121"/>
      <c r="L57" s="122"/>
      <c r="M57" s="58"/>
      <c r="N57" s="58"/>
      <c r="O57" s="59"/>
      <c r="P57" s="56"/>
      <c r="Q57" s="60"/>
      <c r="R57" s="61">
        <f t="shared" si="18"/>
        <v>0</v>
      </c>
      <c r="S57" s="62">
        <f t="shared" si="19"/>
        <v>0</v>
      </c>
      <c r="T57" s="63">
        <f t="shared" si="20"/>
        <v>0</v>
      </c>
      <c r="U57" s="64"/>
      <c r="V57" s="65"/>
      <c r="W57" s="66"/>
      <c r="X57" s="67"/>
      <c r="Y57" s="68"/>
      <c r="Z57" s="68"/>
      <c r="AA57" s="62">
        <f t="shared" si="34"/>
        <v>0</v>
      </c>
      <c r="AB57" s="62">
        <f t="shared" si="35"/>
        <v>0</v>
      </c>
      <c r="AC57" s="69"/>
      <c r="AD57" s="70"/>
      <c r="AE57" s="70"/>
      <c r="AF57" s="62">
        <f t="shared" si="38"/>
        <v>0</v>
      </c>
      <c r="AG57" s="63">
        <f t="shared" si="39"/>
        <v>0</v>
      </c>
      <c r="AH57" s="66"/>
      <c r="AI57" s="66"/>
      <c r="AJ57" s="66"/>
      <c r="AK57" s="62">
        <f t="shared" si="25"/>
        <v>0</v>
      </c>
      <c r="AL57" s="72">
        <f t="shared" si="26"/>
        <v>0</v>
      </c>
      <c r="AM57" s="73">
        <f t="shared" si="27"/>
        <v>0</v>
      </c>
      <c r="AN57" s="74">
        <f t="shared" si="28"/>
        <v>0</v>
      </c>
      <c r="AO57" s="74">
        <f t="shared" si="29"/>
        <v>0</v>
      </c>
      <c r="AP57" s="75" t="e">
        <f t="shared" si="30"/>
        <v>#DIV/0!</v>
      </c>
      <c r="AQ57" s="76">
        <f t="shared" si="31"/>
        <v>0</v>
      </c>
      <c r="AR57" s="77">
        <f t="shared" si="33"/>
        <v>0</v>
      </c>
    </row>
    <row r="58" spans="1:44" x14ac:dyDescent="0.25">
      <c r="A58" t="str">
        <f t="shared" si="15"/>
        <v>46201M</v>
      </c>
      <c r="B58" s="51">
        <f t="shared" si="32"/>
        <v>46201</v>
      </c>
      <c r="C58" s="52" t="s">
        <v>87</v>
      </c>
      <c r="D58" s="91"/>
      <c r="E58" s="62"/>
      <c r="F58" s="62"/>
      <c r="G58" s="62">
        <f t="shared" si="16"/>
        <v>0</v>
      </c>
      <c r="H58" s="63">
        <f t="shared" si="17"/>
        <v>0</v>
      </c>
      <c r="I58" s="119"/>
      <c r="J58" s="120"/>
      <c r="K58" s="121"/>
      <c r="L58" s="122"/>
      <c r="M58" s="58"/>
      <c r="N58" s="58"/>
      <c r="O58" s="59"/>
      <c r="P58" s="56"/>
      <c r="Q58" s="60"/>
      <c r="R58" s="61">
        <f t="shared" si="18"/>
        <v>0</v>
      </c>
      <c r="S58" s="62">
        <f t="shared" si="19"/>
        <v>0</v>
      </c>
      <c r="T58" s="63">
        <f t="shared" si="20"/>
        <v>0</v>
      </c>
      <c r="U58" s="64"/>
      <c r="V58" s="65"/>
      <c r="W58" s="66"/>
      <c r="X58" s="67"/>
      <c r="Y58" s="68"/>
      <c r="Z58" s="68"/>
      <c r="AA58" s="62">
        <f t="shared" si="34"/>
        <v>0</v>
      </c>
      <c r="AB58" s="62">
        <f t="shared" si="35"/>
        <v>0</v>
      </c>
      <c r="AC58" s="69"/>
      <c r="AD58" s="70"/>
      <c r="AE58" s="70"/>
      <c r="AF58" s="62">
        <f t="shared" si="38"/>
        <v>0</v>
      </c>
      <c r="AG58" s="63">
        <f t="shared" si="39"/>
        <v>0</v>
      </c>
      <c r="AH58" s="66"/>
      <c r="AI58" s="66"/>
      <c r="AJ58" s="66"/>
      <c r="AK58" s="62">
        <f t="shared" si="25"/>
        <v>0</v>
      </c>
      <c r="AL58" s="72">
        <f t="shared" si="26"/>
        <v>0</v>
      </c>
      <c r="AM58" s="73">
        <f t="shared" si="27"/>
        <v>0</v>
      </c>
      <c r="AN58" s="74">
        <f t="shared" si="28"/>
        <v>0</v>
      </c>
      <c r="AO58" s="74">
        <f t="shared" si="29"/>
        <v>0</v>
      </c>
      <c r="AP58" s="75" t="e">
        <f t="shared" si="30"/>
        <v>#DIV/0!</v>
      </c>
      <c r="AQ58" s="76">
        <f t="shared" si="31"/>
        <v>0</v>
      </c>
      <c r="AR58" s="77">
        <f t="shared" si="33"/>
        <v>0</v>
      </c>
    </row>
    <row r="59" spans="1:44" x14ac:dyDescent="0.25">
      <c r="A59" t="str">
        <f t="shared" si="15"/>
        <v>46201E</v>
      </c>
      <c r="B59" s="51">
        <f t="shared" si="32"/>
        <v>46201</v>
      </c>
      <c r="C59" s="52" t="s">
        <v>88</v>
      </c>
      <c r="D59" s="91"/>
      <c r="E59" s="62"/>
      <c r="F59" s="62"/>
      <c r="G59" s="62">
        <f t="shared" si="16"/>
        <v>0</v>
      </c>
      <c r="H59" s="63">
        <f t="shared" si="17"/>
        <v>0</v>
      </c>
      <c r="I59" s="119"/>
      <c r="J59" s="120"/>
      <c r="K59" s="121"/>
      <c r="L59" s="122"/>
      <c r="M59" s="58"/>
      <c r="N59" s="58"/>
      <c r="O59" s="59"/>
      <c r="P59" s="56"/>
      <c r="Q59" s="60"/>
      <c r="R59" s="61">
        <f t="shared" si="18"/>
        <v>0</v>
      </c>
      <c r="S59" s="62">
        <f t="shared" si="19"/>
        <v>0</v>
      </c>
      <c r="T59" s="63">
        <f t="shared" si="20"/>
        <v>0</v>
      </c>
      <c r="U59" s="64"/>
      <c r="V59" s="65"/>
      <c r="W59" s="66"/>
      <c r="X59" s="67"/>
      <c r="Y59" s="68"/>
      <c r="Z59" s="68"/>
      <c r="AA59" s="62">
        <f t="shared" si="34"/>
        <v>0</v>
      </c>
      <c r="AB59" s="62">
        <f t="shared" si="35"/>
        <v>0</v>
      </c>
      <c r="AC59" s="69"/>
      <c r="AD59" s="70"/>
      <c r="AE59" s="70"/>
      <c r="AF59" s="62">
        <f t="shared" si="38"/>
        <v>0</v>
      </c>
      <c r="AG59" s="63">
        <f t="shared" si="39"/>
        <v>0</v>
      </c>
      <c r="AH59" s="66"/>
      <c r="AI59" s="66"/>
      <c r="AJ59" s="66"/>
      <c r="AK59" s="62">
        <f t="shared" si="25"/>
        <v>0</v>
      </c>
      <c r="AL59" s="72">
        <f t="shared" si="26"/>
        <v>0</v>
      </c>
      <c r="AM59" s="73">
        <f t="shared" si="27"/>
        <v>0</v>
      </c>
      <c r="AN59" s="74">
        <f t="shared" si="28"/>
        <v>0</v>
      </c>
      <c r="AO59" s="74">
        <f t="shared" si="29"/>
        <v>0</v>
      </c>
      <c r="AP59" s="75" t="e">
        <f t="shared" si="30"/>
        <v>#DIV/0!</v>
      </c>
      <c r="AQ59" s="76">
        <f t="shared" si="31"/>
        <v>0</v>
      </c>
      <c r="AR59" s="77">
        <f t="shared" si="33"/>
        <v>0</v>
      </c>
    </row>
    <row r="60" spans="1:44" x14ac:dyDescent="0.25">
      <c r="A60" t="str">
        <f t="shared" si="15"/>
        <v>46202M</v>
      </c>
      <c r="B60" s="51">
        <f t="shared" si="32"/>
        <v>46202</v>
      </c>
      <c r="C60" s="52" t="s">
        <v>87</v>
      </c>
      <c r="D60" s="91"/>
      <c r="E60" s="62"/>
      <c r="F60" s="62"/>
      <c r="G60" s="62">
        <f t="shared" si="16"/>
        <v>0</v>
      </c>
      <c r="H60" s="63">
        <f t="shared" si="17"/>
        <v>0</v>
      </c>
      <c r="I60" s="119"/>
      <c r="J60" s="120"/>
      <c r="K60" s="121"/>
      <c r="L60" s="122"/>
      <c r="M60" s="58"/>
      <c r="N60" s="58"/>
      <c r="O60" s="59"/>
      <c r="P60" s="56"/>
      <c r="Q60" s="60"/>
      <c r="R60" s="61">
        <f t="shared" si="18"/>
        <v>0</v>
      </c>
      <c r="S60" s="62">
        <f t="shared" si="19"/>
        <v>0</v>
      </c>
      <c r="T60" s="63">
        <f t="shared" si="20"/>
        <v>0</v>
      </c>
      <c r="U60" s="64"/>
      <c r="V60" s="65"/>
      <c r="W60" s="66"/>
      <c r="X60" s="67"/>
      <c r="Y60" s="68"/>
      <c r="Z60" s="68"/>
      <c r="AA60" s="62">
        <f t="shared" si="34"/>
        <v>0</v>
      </c>
      <c r="AB60" s="62">
        <f t="shared" si="35"/>
        <v>0</v>
      </c>
      <c r="AC60" s="69"/>
      <c r="AD60" s="70"/>
      <c r="AE60" s="70"/>
      <c r="AF60" s="62">
        <f t="shared" si="38"/>
        <v>0</v>
      </c>
      <c r="AG60" s="63">
        <f t="shared" si="39"/>
        <v>0</v>
      </c>
      <c r="AH60" s="66"/>
      <c r="AI60" s="66"/>
      <c r="AJ60" s="66"/>
      <c r="AK60" s="62">
        <f t="shared" si="25"/>
        <v>0</v>
      </c>
      <c r="AL60" s="72">
        <f t="shared" si="26"/>
        <v>0</v>
      </c>
      <c r="AM60" s="73">
        <f t="shared" si="27"/>
        <v>0</v>
      </c>
      <c r="AN60" s="74">
        <f t="shared" si="28"/>
        <v>0</v>
      </c>
      <c r="AO60" s="74">
        <f t="shared" si="29"/>
        <v>0</v>
      </c>
      <c r="AP60" s="75" t="e">
        <f t="shared" si="30"/>
        <v>#DIV/0!</v>
      </c>
      <c r="AQ60" s="76">
        <f t="shared" si="31"/>
        <v>0</v>
      </c>
      <c r="AR60" s="77">
        <f t="shared" si="33"/>
        <v>0</v>
      </c>
    </row>
    <row r="61" spans="1:44" x14ac:dyDescent="0.25">
      <c r="A61" t="str">
        <f t="shared" si="15"/>
        <v>46202E</v>
      </c>
      <c r="B61" s="51">
        <f t="shared" si="32"/>
        <v>46202</v>
      </c>
      <c r="C61" s="52" t="s">
        <v>88</v>
      </c>
      <c r="D61" s="91"/>
      <c r="E61" s="62"/>
      <c r="F61" s="62"/>
      <c r="G61" s="62">
        <f t="shared" si="16"/>
        <v>0</v>
      </c>
      <c r="H61" s="63">
        <f t="shared" si="17"/>
        <v>0</v>
      </c>
      <c r="I61" s="119"/>
      <c r="J61" s="120"/>
      <c r="K61" s="121"/>
      <c r="L61" s="122"/>
      <c r="M61" s="58"/>
      <c r="N61" s="58"/>
      <c r="O61" s="59"/>
      <c r="P61" s="56"/>
      <c r="Q61" s="60"/>
      <c r="R61" s="61">
        <f t="shared" si="18"/>
        <v>0</v>
      </c>
      <c r="S61" s="62">
        <f t="shared" si="19"/>
        <v>0</v>
      </c>
      <c r="T61" s="63">
        <f t="shared" si="20"/>
        <v>0</v>
      </c>
      <c r="U61" s="64"/>
      <c r="V61" s="65"/>
      <c r="W61" s="66"/>
      <c r="X61" s="67"/>
      <c r="Y61" s="68"/>
      <c r="Z61" s="68"/>
      <c r="AA61" s="62">
        <f t="shared" si="34"/>
        <v>0</v>
      </c>
      <c r="AB61" s="62">
        <f t="shared" si="35"/>
        <v>0</v>
      </c>
      <c r="AC61" s="69"/>
      <c r="AD61" s="70"/>
      <c r="AE61" s="70"/>
      <c r="AF61" s="62">
        <f t="shared" si="38"/>
        <v>0</v>
      </c>
      <c r="AG61" s="63">
        <f t="shared" si="39"/>
        <v>0</v>
      </c>
      <c r="AH61" s="66"/>
      <c r="AI61" s="66"/>
      <c r="AJ61" s="66"/>
      <c r="AK61" s="62">
        <f t="shared" si="25"/>
        <v>0</v>
      </c>
      <c r="AL61" s="72">
        <f t="shared" si="26"/>
        <v>0</v>
      </c>
      <c r="AM61" s="73">
        <f t="shared" si="27"/>
        <v>0</v>
      </c>
      <c r="AN61" s="74">
        <f t="shared" si="28"/>
        <v>0</v>
      </c>
      <c r="AO61" s="74">
        <f t="shared" si="29"/>
        <v>0</v>
      </c>
      <c r="AP61" s="75" t="e">
        <f t="shared" si="30"/>
        <v>#DIV/0!</v>
      </c>
      <c r="AQ61" s="76">
        <f t="shared" si="31"/>
        <v>0</v>
      </c>
      <c r="AR61" s="77">
        <f t="shared" si="33"/>
        <v>0</v>
      </c>
    </row>
    <row r="62" spans="1:44" x14ac:dyDescent="0.25">
      <c r="A62" t="str">
        <f t="shared" si="15"/>
        <v>46203M</v>
      </c>
      <c r="B62" s="51">
        <f t="shared" si="32"/>
        <v>46203</v>
      </c>
      <c r="C62" s="52" t="s">
        <v>87</v>
      </c>
      <c r="D62" s="91"/>
      <c r="E62" s="62"/>
      <c r="F62" s="62"/>
      <c r="G62" s="62">
        <f t="shared" si="16"/>
        <v>0</v>
      </c>
      <c r="H62" s="63">
        <f t="shared" si="17"/>
        <v>0</v>
      </c>
      <c r="I62" s="119"/>
      <c r="J62" s="120"/>
      <c r="K62" s="121"/>
      <c r="L62" s="122"/>
      <c r="M62" s="58"/>
      <c r="N62" s="58"/>
      <c r="O62" s="59"/>
      <c r="P62" s="56"/>
      <c r="Q62" s="60"/>
      <c r="R62" s="61">
        <f t="shared" si="18"/>
        <v>0</v>
      </c>
      <c r="S62" s="62">
        <f t="shared" si="19"/>
        <v>0</v>
      </c>
      <c r="T62" s="63">
        <f t="shared" si="20"/>
        <v>0</v>
      </c>
      <c r="U62" s="64"/>
      <c r="V62" s="65"/>
      <c r="W62" s="66"/>
      <c r="X62" s="67"/>
      <c r="Y62" s="68"/>
      <c r="Z62" s="68"/>
      <c r="AA62" s="62">
        <f t="shared" si="34"/>
        <v>0</v>
      </c>
      <c r="AB62" s="62">
        <f t="shared" si="35"/>
        <v>0</v>
      </c>
      <c r="AC62" s="69"/>
      <c r="AD62" s="70"/>
      <c r="AE62" s="70"/>
      <c r="AF62" s="62">
        <f t="shared" si="38"/>
        <v>0</v>
      </c>
      <c r="AG62" s="63">
        <f t="shared" si="39"/>
        <v>0</v>
      </c>
      <c r="AH62" s="66"/>
      <c r="AI62" s="66"/>
      <c r="AJ62" s="66"/>
      <c r="AK62" s="62">
        <f t="shared" si="25"/>
        <v>0</v>
      </c>
      <c r="AL62" s="72">
        <f t="shared" si="26"/>
        <v>0</v>
      </c>
      <c r="AM62" s="73">
        <f t="shared" si="27"/>
        <v>0</v>
      </c>
      <c r="AN62" s="74">
        <f t="shared" si="28"/>
        <v>0</v>
      </c>
      <c r="AO62" s="74">
        <f t="shared" si="29"/>
        <v>0</v>
      </c>
      <c r="AP62" s="75" t="e">
        <f t="shared" si="30"/>
        <v>#DIV/0!</v>
      </c>
      <c r="AQ62" s="76">
        <f t="shared" si="31"/>
        <v>0</v>
      </c>
      <c r="AR62" s="77">
        <f t="shared" si="33"/>
        <v>0</v>
      </c>
    </row>
    <row r="63" spans="1:44" x14ac:dyDescent="0.25">
      <c r="A63" t="str">
        <f t="shared" si="15"/>
        <v>46203E</v>
      </c>
      <c r="B63" s="51">
        <f t="shared" si="32"/>
        <v>46203</v>
      </c>
      <c r="C63" s="52" t="s">
        <v>88</v>
      </c>
      <c r="D63" s="91"/>
      <c r="E63" s="62"/>
      <c r="F63" s="62"/>
      <c r="G63" s="62">
        <f t="shared" si="16"/>
        <v>0</v>
      </c>
      <c r="H63" s="63">
        <f t="shared" si="17"/>
        <v>0</v>
      </c>
      <c r="I63" s="119"/>
      <c r="J63" s="120"/>
      <c r="K63" s="121"/>
      <c r="L63" s="122"/>
      <c r="M63" s="58"/>
      <c r="N63" s="58"/>
      <c r="O63" s="59"/>
      <c r="P63" s="56"/>
      <c r="Q63" s="60"/>
      <c r="R63" s="61">
        <f t="shared" si="18"/>
        <v>0</v>
      </c>
      <c r="S63" s="62">
        <f t="shared" si="19"/>
        <v>0</v>
      </c>
      <c r="T63" s="63">
        <f t="shared" si="20"/>
        <v>0</v>
      </c>
      <c r="U63" s="64"/>
      <c r="V63" s="65"/>
      <c r="W63" s="66"/>
      <c r="X63" s="67"/>
      <c r="Y63" s="68"/>
      <c r="Z63" s="68"/>
      <c r="AA63" s="62">
        <f t="shared" si="34"/>
        <v>0</v>
      </c>
      <c r="AB63" s="62">
        <f t="shared" si="35"/>
        <v>0</v>
      </c>
      <c r="AC63" s="69"/>
      <c r="AD63" s="70"/>
      <c r="AE63" s="70"/>
      <c r="AF63" s="62">
        <f t="shared" si="38"/>
        <v>0</v>
      </c>
      <c r="AG63" s="63">
        <f t="shared" si="39"/>
        <v>0</v>
      </c>
      <c r="AH63" s="66"/>
      <c r="AI63" s="66"/>
      <c r="AJ63" s="66"/>
      <c r="AK63" s="62">
        <f t="shared" si="25"/>
        <v>0</v>
      </c>
      <c r="AL63" s="72">
        <f t="shared" si="26"/>
        <v>0</v>
      </c>
      <c r="AM63" s="73">
        <f t="shared" si="27"/>
        <v>0</v>
      </c>
      <c r="AN63" s="74">
        <f t="shared" si="28"/>
        <v>0</v>
      </c>
      <c r="AO63" s="74">
        <f t="shared" si="29"/>
        <v>0</v>
      </c>
      <c r="AP63" s="75" t="e">
        <f t="shared" si="30"/>
        <v>#DIV/0!</v>
      </c>
      <c r="AQ63" s="76">
        <f t="shared" si="31"/>
        <v>0</v>
      </c>
      <c r="AR63" s="77">
        <f t="shared" si="33"/>
        <v>0</v>
      </c>
    </row>
    <row r="64" spans="1:44" x14ac:dyDescent="0.25">
      <c r="A64" t="str">
        <f t="shared" si="15"/>
        <v>46204M</v>
      </c>
      <c r="B64" s="51">
        <f t="shared" si="32"/>
        <v>46204</v>
      </c>
      <c r="C64" s="52" t="s">
        <v>87</v>
      </c>
      <c r="D64" s="91"/>
      <c r="E64" s="62"/>
      <c r="F64" s="62"/>
      <c r="G64" s="62">
        <f t="shared" si="16"/>
        <v>0</v>
      </c>
      <c r="H64" s="63">
        <f t="shared" si="17"/>
        <v>0</v>
      </c>
      <c r="I64" s="119"/>
      <c r="J64" s="120"/>
      <c r="K64" s="121"/>
      <c r="L64" s="122"/>
      <c r="M64" s="58"/>
      <c r="N64" s="58"/>
      <c r="O64" s="59"/>
      <c r="P64" s="56"/>
      <c r="Q64" s="60"/>
      <c r="R64" s="61">
        <f t="shared" si="18"/>
        <v>0</v>
      </c>
      <c r="S64" s="62">
        <f t="shared" si="19"/>
        <v>0</v>
      </c>
      <c r="T64" s="63">
        <f t="shared" si="20"/>
        <v>0</v>
      </c>
      <c r="U64" s="64"/>
      <c r="V64" s="65"/>
      <c r="W64" s="66"/>
      <c r="X64" s="67"/>
      <c r="Y64" s="68"/>
      <c r="Z64" s="68"/>
      <c r="AA64" s="62">
        <f t="shared" si="34"/>
        <v>0</v>
      </c>
      <c r="AB64" s="62">
        <f t="shared" si="35"/>
        <v>0</v>
      </c>
      <c r="AC64" s="69"/>
      <c r="AD64" s="70"/>
      <c r="AE64" s="70"/>
      <c r="AF64" s="62">
        <f t="shared" ref="AF64:AF65" si="40">AC64*AD64%</f>
        <v>0</v>
      </c>
      <c r="AG64" s="63">
        <f t="shared" ref="AG64:AG65" si="41">AC64*AE64%</f>
        <v>0</v>
      </c>
      <c r="AH64" s="66"/>
      <c r="AI64" s="66"/>
      <c r="AJ64" s="66"/>
      <c r="AK64" s="62">
        <f t="shared" si="25"/>
        <v>0</v>
      </c>
      <c r="AL64" s="72">
        <f t="shared" si="26"/>
        <v>0</v>
      </c>
      <c r="AM64" s="73">
        <f t="shared" si="27"/>
        <v>0</v>
      </c>
      <c r="AN64" s="74">
        <f t="shared" si="28"/>
        <v>0</v>
      </c>
      <c r="AO64" s="74">
        <f t="shared" si="29"/>
        <v>0</v>
      </c>
      <c r="AP64" s="75" t="e">
        <f t="shared" si="30"/>
        <v>#DIV/0!</v>
      </c>
      <c r="AQ64" s="76">
        <f t="shared" si="31"/>
        <v>0</v>
      </c>
      <c r="AR64" s="77">
        <f t="shared" si="33"/>
        <v>0</v>
      </c>
    </row>
    <row r="65" spans="1:44" ht="15.75" thickBot="1" x14ac:dyDescent="0.3">
      <c r="A65" t="str">
        <f t="shared" si="15"/>
        <v>46204E</v>
      </c>
      <c r="B65" s="51">
        <f t="shared" si="32"/>
        <v>46204</v>
      </c>
      <c r="C65" s="93" t="s">
        <v>88</v>
      </c>
      <c r="D65" s="91"/>
      <c r="E65" s="62"/>
      <c r="F65" s="62"/>
      <c r="G65" s="62">
        <f t="shared" si="16"/>
        <v>0</v>
      </c>
      <c r="H65" s="63">
        <f t="shared" si="17"/>
        <v>0</v>
      </c>
      <c r="I65" s="119"/>
      <c r="J65" s="120"/>
      <c r="K65" s="121"/>
      <c r="L65" s="122"/>
      <c r="M65" s="58"/>
      <c r="N65" s="58"/>
      <c r="O65" s="59"/>
      <c r="P65" s="56"/>
      <c r="Q65" s="60"/>
      <c r="R65" s="61">
        <f t="shared" si="18"/>
        <v>0</v>
      </c>
      <c r="S65" s="62">
        <f t="shared" si="19"/>
        <v>0</v>
      </c>
      <c r="T65" s="63">
        <f t="shared" si="20"/>
        <v>0</v>
      </c>
      <c r="U65" s="64"/>
      <c r="V65" s="65"/>
      <c r="W65" s="66"/>
      <c r="X65" s="67"/>
      <c r="Y65" s="68"/>
      <c r="Z65" s="68"/>
      <c r="AA65" s="62">
        <f t="shared" si="34"/>
        <v>0</v>
      </c>
      <c r="AB65" s="62">
        <f t="shared" si="35"/>
        <v>0</v>
      </c>
      <c r="AC65" s="69"/>
      <c r="AD65" s="70"/>
      <c r="AE65" s="70"/>
      <c r="AF65" s="62">
        <f t="shared" si="40"/>
        <v>0</v>
      </c>
      <c r="AG65" s="63">
        <f t="shared" si="41"/>
        <v>0</v>
      </c>
      <c r="AH65" s="66"/>
      <c r="AI65" s="66"/>
      <c r="AJ65" s="66"/>
      <c r="AK65" s="62">
        <f t="shared" si="25"/>
        <v>0</v>
      </c>
      <c r="AL65" s="72">
        <f t="shared" si="26"/>
        <v>0</v>
      </c>
      <c r="AM65" s="73">
        <f t="shared" si="27"/>
        <v>0</v>
      </c>
      <c r="AN65" s="74">
        <f t="shared" si="28"/>
        <v>0</v>
      </c>
      <c r="AO65" s="74">
        <f t="shared" si="29"/>
        <v>0</v>
      </c>
      <c r="AP65" s="75" t="e">
        <f t="shared" si="30"/>
        <v>#DIV/0!</v>
      </c>
      <c r="AQ65" s="76">
        <f t="shared" si="31"/>
        <v>0</v>
      </c>
      <c r="AR65" s="77">
        <f t="shared" si="33"/>
        <v>0</v>
      </c>
    </row>
    <row r="66" spans="1:44" ht="15.75" thickBot="1" x14ac:dyDescent="0.3">
      <c r="J66" s="83">
        <f>SUM(J4:J65)</f>
        <v>125928.3665</v>
      </c>
      <c r="R66" s="83">
        <f>+J66+O66</f>
        <v>125928.3665</v>
      </c>
      <c r="S66">
        <f>+J66*K66%+O66*P66%</f>
        <v>0</v>
      </c>
      <c r="T66">
        <f>+J66*L66%+O66*Q66%</f>
        <v>0</v>
      </c>
      <c r="X66" s="77"/>
      <c r="Y66" s="77"/>
      <c r="Z66" s="77"/>
      <c r="AA66" s="77">
        <f t="shared" ref="AA66:AG66" si="42">AA64-AA65</f>
        <v>0</v>
      </c>
      <c r="AB66" s="77">
        <f t="shared" si="42"/>
        <v>0</v>
      </c>
      <c r="AC66" s="77">
        <f t="shared" si="42"/>
        <v>0</v>
      </c>
      <c r="AD66" s="77">
        <f t="shared" si="42"/>
        <v>0</v>
      </c>
      <c r="AE66" s="77">
        <f t="shared" si="42"/>
        <v>0</v>
      </c>
      <c r="AF66" s="77">
        <f t="shared" si="42"/>
        <v>0</v>
      </c>
      <c r="AG66" s="77">
        <f t="shared" si="42"/>
        <v>0</v>
      </c>
      <c r="AJ66" t="s">
        <v>91</v>
      </c>
      <c r="AM66" s="94">
        <f>-SUM(AM4:AM65)</f>
        <v>-61.366500000001906</v>
      </c>
      <c r="AN66" s="94">
        <f>-SUM(AN4:AN65)</f>
        <v>101.62154630000055</v>
      </c>
      <c r="AO66" s="94">
        <f>-SUM(AO4:AO65)</f>
        <v>-100.80511280000231</v>
      </c>
      <c r="AP66" s="95"/>
      <c r="AQ66" s="128">
        <f>-SUM(AQ4:AQ65)</f>
        <v>15450.646224833885</v>
      </c>
    </row>
    <row r="67" spans="1:44" x14ac:dyDescent="0.25">
      <c r="AH67" s="77"/>
      <c r="AI67" s="77"/>
      <c r="AJ67" s="77"/>
    </row>
    <row r="68" spans="1:44" x14ac:dyDescent="0.25">
      <c r="AH68" s="77"/>
      <c r="AI68" s="77"/>
      <c r="AJ68" s="77"/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84" priority="2" operator="lessThan">
      <formula>0.1</formula>
    </cfRule>
    <cfRule type="cellIs" dxfId="83" priority="3" operator="greaterThan">
      <formula>0.1</formula>
    </cfRule>
  </conditionalFormatting>
  <conditionalFormatting sqref="AP1:AQ1">
    <cfRule type="cellIs" dxfId="82" priority="1" operator="lessThan">
      <formula>1</formula>
    </cfRule>
  </conditionalFormatting>
  <conditionalFormatting sqref="AQ4:AQ65">
    <cfRule type="cellIs" dxfId="81" priority="16" operator="lessThan">
      <formula>0</formula>
    </cfRule>
    <cfRule type="cellIs" dxfId="80" priority="17" operator="greater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/>
  <dimension ref="A1:AW66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C18" sqref="AC18:AE18"/>
    </sheetView>
  </sheetViews>
  <sheetFormatPr defaultRowHeight="15" x14ac:dyDescent="0.25"/>
  <cols>
    <col min="1" max="1" width="2.7109375" customWidth="1"/>
    <col min="2" max="2" width="10.2851562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7.140625" bestFit="1" customWidth="1"/>
    <col min="10" max="10" width="8.140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10.8554687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11.42578125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8.140625" bestFit="1" customWidth="1"/>
    <col min="35" max="35" width="5.85546875" bestFit="1" customWidth="1"/>
    <col min="36" max="36" width="7.7109375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6.7109375" bestFit="1" customWidth="1"/>
    <col min="45" max="48" width="8.7109375" bestFit="1" customWidth="1"/>
    <col min="49" max="49" width="2.28515625" bestFit="1" customWidth="1"/>
  </cols>
  <sheetData>
    <row r="1" spans="1:46" ht="15.75" thickBot="1" x14ac:dyDescent="0.3">
      <c r="B1" s="43" t="s">
        <v>90</v>
      </c>
      <c r="C1" s="44"/>
      <c r="AG1">
        <v>392</v>
      </c>
      <c r="AP1" s="126">
        <f>Sumarry!$K$4</f>
        <v>448.91</v>
      </c>
      <c r="AQ1" s="126">
        <f>Sumarry!$L$4</f>
        <v>299.27333333333337</v>
      </c>
    </row>
    <row r="2" spans="1:46" x14ac:dyDescent="0.25">
      <c r="B2" s="259" t="s">
        <v>64</v>
      </c>
      <c r="C2" s="261" t="s">
        <v>65</v>
      </c>
      <c r="D2" s="263" t="s">
        <v>66</v>
      </c>
      <c r="E2" s="263"/>
      <c r="F2" s="263"/>
      <c r="G2" s="263"/>
      <c r="H2" s="264"/>
      <c r="I2" s="255" t="s">
        <v>67</v>
      </c>
      <c r="J2" s="256"/>
      <c r="K2" s="256"/>
      <c r="L2" s="257"/>
      <c r="M2" s="255" t="s">
        <v>68</v>
      </c>
      <c r="N2" s="265"/>
      <c r="O2" s="256"/>
      <c r="P2" s="256"/>
      <c r="Q2" s="257"/>
      <c r="R2" s="265" t="s">
        <v>69</v>
      </c>
      <c r="S2" s="256"/>
      <c r="T2" s="257"/>
      <c r="U2" s="252" t="s">
        <v>70</v>
      </c>
      <c r="V2" s="253"/>
      <c r="W2" s="253"/>
      <c r="X2" s="253"/>
      <c r="Y2" s="253"/>
      <c r="Z2" s="253"/>
      <c r="AA2" s="253"/>
      <c r="AB2" s="254"/>
      <c r="AC2" s="255" t="s">
        <v>71</v>
      </c>
      <c r="AD2" s="256"/>
      <c r="AE2" s="256"/>
      <c r="AF2" s="256"/>
      <c r="AG2" s="257"/>
      <c r="AH2" s="255" t="s">
        <v>72</v>
      </c>
      <c r="AI2" s="256"/>
      <c r="AJ2" s="256"/>
      <c r="AK2" s="256"/>
      <c r="AL2" s="258"/>
      <c r="AM2" s="252" t="s">
        <v>73</v>
      </c>
      <c r="AN2" s="253"/>
      <c r="AO2" s="253"/>
      <c r="AP2" s="253"/>
      <c r="AQ2" s="254"/>
    </row>
    <row r="3" spans="1:46" x14ac:dyDescent="0.25">
      <c r="B3" s="260"/>
      <c r="C3" s="26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6" x14ac:dyDescent="0.25">
      <c r="A4" t="str">
        <f>CONCATENATE(B4,C4)</f>
        <v>46174M</v>
      </c>
      <c r="B4" s="51">
        <v>46174</v>
      </c>
      <c r="C4" s="52" t="s">
        <v>87</v>
      </c>
      <c r="D4" s="53">
        <v>3061</v>
      </c>
      <c r="E4" s="54">
        <v>3.44</v>
      </c>
      <c r="F4" s="55">
        <v>7.83</v>
      </c>
      <c r="G4" s="62">
        <f t="shared" ref="G4:G15" si="0">+D4*E4%</f>
        <v>105.2984</v>
      </c>
      <c r="H4" s="63">
        <f t="shared" ref="H4:H15" si="1">+D4*F4%</f>
        <v>239.6763</v>
      </c>
      <c r="I4" s="119">
        <v>3230</v>
      </c>
      <c r="J4" s="120">
        <v>3326.9</v>
      </c>
      <c r="K4" s="121">
        <v>4.3036687306501547</v>
      </c>
      <c r="L4" s="122">
        <v>7.8436099071207428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 t="shared" ref="R4" si="2">+J4+O4</f>
        <v>3326.9</v>
      </c>
      <c r="S4" s="62">
        <f t="shared" ref="S4" si="3">+J4*K4%+O4*P4%</f>
        <v>143.178755</v>
      </c>
      <c r="T4" s="63">
        <f t="shared" ref="T4" si="4">+J4*L4%+O4*Q4%</f>
        <v>260.94905799999998</v>
      </c>
      <c r="U4" s="64" t="s">
        <v>251</v>
      </c>
      <c r="V4" s="65" t="s">
        <v>252</v>
      </c>
      <c r="W4" s="66" t="s">
        <v>253</v>
      </c>
      <c r="X4" s="67">
        <v>6320</v>
      </c>
      <c r="Y4" s="68">
        <v>4.05</v>
      </c>
      <c r="Z4" s="68">
        <v>8.09</v>
      </c>
      <c r="AA4" s="62">
        <f>X4*Y4%</f>
        <v>255.96</v>
      </c>
      <c r="AB4" s="63">
        <f>X4*Z4%</f>
        <v>511.28800000000001</v>
      </c>
      <c r="AC4" s="69">
        <v>6300</v>
      </c>
      <c r="AD4" s="70">
        <v>4</v>
      </c>
      <c r="AE4" s="70">
        <v>7.96</v>
      </c>
      <c r="AF4" s="62">
        <f t="shared" ref="AF4" si="5">AC4*AD4%</f>
        <v>252</v>
      </c>
      <c r="AG4" s="63">
        <f t="shared" ref="AG4" si="6">AC4*AE4%</f>
        <v>501.48</v>
      </c>
      <c r="AH4" s="71">
        <v>67</v>
      </c>
      <c r="AI4" s="66">
        <v>3.88</v>
      </c>
      <c r="AJ4" s="66">
        <v>7.83</v>
      </c>
      <c r="AK4" s="62">
        <f t="shared" ref="AK4" si="7">AH4*AI4%</f>
        <v>2.5996000000000001</v>
      </c>
      <c r="AL4" s="72">
        <f t="shared" ref="AL4" si="8">AH4*AJ4%</f>
        <v>5.2460999999999993</v>
      </c>
      <c r="AM4" s="73">
        <f>+D4+R4-AC4-AH4</f>
        <v>20.899999999999636</v>
      </c>
      <c r="AN4" s="74">
        <f t="shared" ref="AN4:AO4" si="9">+G4+S4-AF4-AK4</f>
        <v>-6.1224450000000186</v>
      </c>
      <c r="AO4" s="74">
        <f t="shared" si="9"/>
        <v>-6.1007420000000119</v>
      </c>
      <c r="AP4" s="75">
        <f>(AN4+AO4)/(S4+T4)</f>
        <v>-3.0245844524440176E-2</v>
      </c>
      <c r="AQ4" s="76">
        <f t="shared" ref="AQ4" si="10">($AP$1*AN4+$AQ$1*AO4)</f>
        <v>-4574.2161790966784</v>
      </c>
      <c r="AR4" s="77">
        <f t="shared" ref="AR4" si="11">(D4+J4+O4)-(X4+AH4)</f>
        <v>0.8999999999996362</v>
      </c>
      <c r="AT4" s="78"/>
    </row>
    <row r="5" spans="1:46" x14ac:dyDescent="0.25">
      <c r="A5" t="str">
        <f t="shared" ref="A5:A65" si="12">CONCATENATE(B5,C5)</f>
        <v>46174E</v>
      </c>
      <c r="B5" s="51">
        <f>+B4</f>
        <v>46174</v>
      </c>
      <c r="C5" s="52" t="s">
        <v>88</v>
      </c>
      <c r="D5" s="91">
        <v>67</v>
      </c>
      <c r="E5" s="62">
        <v>3.88</v>
      </c>
      <c r="F5" s="62">
        <v>7.83</v>
      </c>
      <c r="G5" s="62">
        <f t="shared" si="0"/>
        <v>2.5996000000000001</v>
      </c>
      <c r="H5" s="63">
        <f t="shared" si="1"/>
        <v>5.2460999999999993</v>
      </c>
      <c r="I5" s="119">
        <v>1970.4</v>
      </c>
      <c r="J5" s="120">
        <v>2029.5120000000002</v>
      </c>
      <c r="K5" s="121">
        <v>3.5231526593585056</v>
      </c>
      <c r="L5" s="122">
        <v>7.9783800243605372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3">+J5+O5</f>
        <v>2029.5120000000002</v>
      </c>
      <c r="S5" s="62">
        <f t="shared" ref="S5:S65" si="14">+J5*K5%+O5*P5%</f>
        <v>71.502805999999993</v>
      </c>
      <c r="T5" s="63">
        <f t="shared" ref="T5:T65" si="15">+J5*L5%+O5*Q5%</f>
        <v>161.92218000000005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ref="AA5:AA65" si="16">X5*Y5%</f>
        <v>0</v>
      </c>
      <c r="AB5" s="63">
        <f t="shared" ref="AB5:AB65" si="17">X5*Z5%</f>
        <v>0</v>
      </c>
      <c r="AC5" s="69"/>
      <c r="AD5" s="70"/>
      <c r="AE5" s="70"/>
      <c r="AF5" s="62">
        <f t="shared" ref="AF5:AF65" si="18">AC5*AD5%</f>
        <v>0</v>
      </c>
      <c r="AG5" s="63">
        <f t="shared" ref="AG5:AG65" si="19">AC5*AE5%</f>
        <v>0</v>
      </c>
      <c r="AH5" s="71">
        <v>2095</v>
      </c>
      <c r="AI5" s="66">
        <v>3.52</v>
      </c>
      <c r="AJ5" s="66">
        <v>7.93</v>
      </c>
      <c r="AK5" s="62">
        <f t="shared" ref="AK5:AK65" si="20">AH5*AI5%</f>
        <v>73.744</v>
      </c>
      <c r="AL5" s="72">
        <f t="shared" ref="AL5:AL65" si="21">AH5*AJ5%</f>
        <v>166.1335</v>
      </c>
      <c r="AM5" s="73">
        <f t="shared" ref="AM5:AM65" si="22">+D5+R5-AC5-AH5</f>
        <v>1.512000000000171</v>
      </c>
      <c r="AN5" s="74">
        <f t="shared" ref="AN5:AN65" si="23">+G5+S5-AF5-AK5</f>
        <v>0.35840599999998801</v>
      </c>
      <c r="AO5" s="74">
        <f t="shared" ref="AO5:AO65" si="24">+H5+T5-AG5-AL5</f>
        <v>1.0347800000000689</v>
      </c>
      <c r="AP5" s="75">
        <f t="shared" ref="AP5:AP65" si="25">(AN5+AO5)/(S5+T5)</f>
        <v>5.968452751669252E-3</v>
      </c>
      <c r="AQ5" s="76">
        <f t="shared" ref="AQ5:AQ65" si="26">($AP$1*AN5+$AQ$1*AO5)</f>
        <v>470.57409732668197</v>
      </c>
      <c r="AR5" s="77">
        <f>(D5+J5+O5)-(X5+AH5)</f>
        <v>1.512000000000171</v>
      </c>
    </row>
    <row r="6" spans="1:46" x14ac:dyDescent="0.25">
      <c r="A6" t="str">
        <f t="shared" si="12"/>
        <v>46175M</v>
      </c>
      <c r="B6" s="51">
        <f>+B4+1</f>
        <v>46175</v>
      </c>
      <c r="C6" s="52" t="s">
        <v>87</v>
      </c>
      <c r="D6" s="91">
        <v>2095</v>
      </c>
      <c r="E6" s="62">
        <v>3.52</v>
      </c>
      <c r="F6" s="62">
        <v>7.93</v>
      </c>
      <c r="G6" s="62">
        <f t="shared" si="0"/>
        <v>73.744</v>
      </c>
      <c r="H6" s="63">
        <f t="shared" si="1"/>
        <v>166.1335</v>
      </c>
      <c r="I6" s="119">
        <v>1418.9</v>
      </c>
      <c r="J6" s="120">
        <v>1461.4670000000001</v>
      </c>
      <c r="K6" s="121">
        <v>4.4180632884628945</v>
      </c>
      <c r="L6" s="122">
        <v>8.1483120727324021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3"/>
        <v>1461.4670000000001</v>
      </c>
      <c r="S6" s="62">
        <f t="shared" si="14"/>
        <v>64.568537000000006</v>
      </c>
      <c r="T6" s="63">
        <f t="shared" si="15"/>
        <v>119.08489200000007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f t="shared" si="16"/>
        <v>0</v>
      </c>
      <c r="AB6" s="63">
        <f t="shared" si="17"/>
        <v>0</v>
      </c>
      <c r="AC6" s="69"/>
      <c r="AD6" s="70"/>
      <c r="AE6" s="70"/>
      <c r="AF6" s="62">
        <f t="shared" si="18"/>
        <v>0</v>
      </c>
      <c r="AG6" s="63">
        <f t="shared" si="19"/>
        <v>0</v>
      </c>
      <c r="AH6" s="71">
        <v>3556</v>
      </c>
      <c r="AI6" s="66">
        <v>3.86</v>
      </c>
      <c r="AJ6" s="66">
        <v>8</v>
      </c>
      <c r="AK6" s="62">
        <f t="shared" si="20"/>
        <v>137.26159999999999</v>
      </c>
      <c r="AL6" s="72">
        <f t="shared" si="21"/>
        <v>284.48</v>
      </c>
      <c r="AM6" s="73">
        <f t="shared" si="22"/>
        <v>0.46700000000009823</v>
      </c>
      <c r="AN6" s="74">
        <f t="shared" si="23"/>
        <v>1.0509370000000331</v>
      </c>
      <c r="AO6" s="74">
        <f t="shared" si="24"/>
        <v>0.73839200000003302</v>
      </c>
      <c r="AP6" s="75">
        <f t="shared" si="25"/>
        <v>9.7429653763778379E-3</v>
      </c>
      <c r="AQ6" s="76">
        <f t="shared" si="26"/>
        <v>692.75716381669145</v>
      </c>
      <c r="AR6" s="77">
        <f t="shared" ref="AR6:AR65" si="27">(D6+J6+O6)-(X6+AH6)</f>
        <v>0.46700000000009823</v>
      </c>
    </row>
    <row r="7" spans="1:46" x14ac:dyDescent="0.25">
      <c r="A7" t="str">
        <f t="shared" si="12"/>
        <v>46175E</v>
      </c>
      <c r="B7" s="51">
        <f>+B5+1</f>
        <v>46175</v>
      </c>
      <c r="C7" s="52" t="s">
        <v>88</v>
      </c>
      <c r="D7" s="91">
        <v>3556</v>
      </c>
      <c r="E7" s="62">
        <v>3.86</v>
      </c>
      <c r="F7" s="62">
        <v>8</v>
      </c>
      <c r="G7" s="62">
        <f t="shared" si="0"/>
        <v>137.26159999999999</v>
      </c>
      <c r="H7" s="63">
        <f t="shared" si="1"/>
        <v>284.48</v>
      </c>
      <c r="I7" s="119">
        <v>2916.0000000000005</v>
      </c>
      <c r="J7" s="120">
        <v>3003.4800000000005</v>
      </c>
      <c r="K7" s="121">
        <v>3.757956104252401</v>
      </c>
      <c r="L7" s="122">
        <v>7.9430006858710573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3"/>
        <v>3003.4800000000005</v>
      </c>
      <c r="S7" s="62">
        <f t="shared" si="14"/>
        <v>112.86946000000003</v>
      </c>
      <c r="T7" s="63">
        <f t="shared" si="15"/>
        <v>238.56643700000006</v>
      </c>
      <c r="U7" s="64" t="s">
        <v>167</v>
      </c>
      <c r="V7" s="65" t="s">
        <v>187</v>
      </c>
      <c r="W7" s="66">
        <v>0</v>
      </c>
      <c r="X7" s="67">
        <v>0</v>
      </c>
      <c r="Y7" s="68">
        <v>0</v>
      </c>
      <c r="Z7" s="68">
        <v>0</v>
      </c>
      <c r="AA7" s="62">
        <f t="shared" si="16"/>
        <v>0</v>
      </c>
      <c r="AB7" s="63">
        <f t="shared" si="17"/>
        <v>0</v>
      </c>
      <c r="AC7" s="69"/>
      <c r="AD7" s="70"/>
      <c r="AE7" s="70"/>
      <c r="AF7" s="62">
        <f t="shared" si="18"/>
        <v>0</v>
      </c>
      <c r="AG7" s="63">
        <f t="shared" si="19"/>
        <v>0</v>
      </c>
      <c r="AH7" s="71">
        <v>6559</v>
      </c>
      <c r="AI7" s="66">
        <v>3.8</v>
      </c>
      <c r="AJ7" s="66">
        <v>7.96</v>
      </c>
      <c r="AK7" s="62">
        <f t="shared" si="20"/>
        <v>249.24199999999999</v>
      </c>
      <c r="AL7" s="72">
        <f t="shared" si="21"/>
        <v>522.09640000000002</v>
      </c>
      <c r="AM7" s="73">
        <f t="shared" si="22"/>
        <v>0.48000000000047294</v>
      </c>
      <c r="AN7" s="74">
        <f t="shared" si="23"/>
        <v>0.88906000000002905</v>
      </c>
      <c r="AO7" s="74">
        <f t="shared" si="24"/>
        <v>0.95003700000006575</v>
      </c>
      <c r="AP7" s="75">
        <f t="shared" si="25"/>
        <v>5.2330937610510931E-3</v>
      </c>
      <c r="AQ7" s="76">
        <f t="shared" si="26"/>
        <v>683.42866438003284</v>
      </c>
      <c r="AR7" s="77">
        <f t="shared" si="27"/>
        <v>0.48000000000047294</v>
      </c>
    </row>
    <row r="8" spans="1:46" x14ac:dyDescent="0.25">
      <c r="A8" t="str">
        <f t="shared" si="12"/>
        <v>46176M</v>
      </c>
      <c r="B8" s="51">
        <f>+B6+1</f>
        <v>46176</v>
      </c>
      <c r="C8" s="52" t="s">
        <v>87</v>
      </c>
      <c r="D8" s="91">
        <v>6559</v>
      </c>
      <c r="E8" s="62">
        <v>3.8</v>
      </c>
      <c r="F8" s="62">
        <v>7.96</v>
      </c>
      <c r="G8" s="62">
        <f t="shared" si="0"/>
        <v>249.24199999999999</v>
      </c>
      <c r="H8" s="63">
        <f t="shared" si="1"/>
        <v>522.09640000000002</v>
      </c>
      <c r="I8" s="119">
        <v>1420.8999999999999</v>
      </c>
      <c r="J8" s="120">
        <v>1463.5269999999998</v>
      </c>
      <c r="K8" s="121">
        <v>4.6198536139066793</v>
      </c>
      <c r="L8" s="122">
        <v>8.0725033429516504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3"/>
        <v>1463.5269999999998</v>
      </c>
      <c r="S8" s="62">
        <f t="shared" si="14"/>
        <v>67.612804999999994</v>
      </c>
      <c r="T8" s="63">
        <f t="shared" si="15"/>
        <v>118.143266</v>
      </c>
      <c r="U8" s="64" t="s">
        <v>251</v>
      </c>
      <c r="V8" s="65" t="s">
        <v>254</v>
      </c>
      <c r="W8" s="66" t="s">
        <v>189</v>
      </c>
      <c r="X8" s="67">
        <v>8045</v>
      </c>
      <c r="Y8" s="68">
        <v>4.1500000000000004</v>
      </c>
      <c r="Z8" s="68">
        <v>8.0500000000000007</v>
      </c>
      <c r="AA8" s="62">
        <f t="shared" si="16"/>
        <v>333.86750000000001</v>
      </c>
      <c r="AB8" s="63">
        <f t="shared" si="17"/>
        <v>647.62250000000006</v>
      </c>
      <c r="AC8" s="69">
        <v>8060</v>
      </c>
      <c r="AD8" s="70">
        <v>4.0999999999999996</v>
      </c>
      <c r="AE8" s="70">
        <v>7.910000000000001</v>
      </c>
      <c r="AF8" s="62">
        <f t="shared" si="18"/>
        <v>330.46</v>
      </c>
      <c r="AG8" s="63">
        <f t="shared" si="19"/>
        <v>637.54600000000005</v>
      </c>
      <c r="AH8" s="71">
        <v>0</v>
      </c>
      <c r="AI8" s="66">
        <v>0</v>
      </c>
      <c r="AJ8" s="66">
        <v>0</v>
      </c>
      <c r="AK8" s="62">
        <f t="shared" si="20"/>
        <v>0</v>
      </c>
      <c r="AL8" s="72">
        <f t="shared" si="21"/>
        <v>0</v>
      </c>
      <c r="AM8" s="73">
        <f t="shared" si="22"/>
        <v>-37.472999999999956</v>
      </c>
      <c r="AN8" s="74">
        <f t="shared" si="23"/>
        <v>-13.605194999999981</v>
      </c>
      <c r="AO8" s="74">
        <f t="shared" si="24"/>
        <v>2.6936660000000074</v>
      </c>
      <c r="AP8" s="75">
        <f t="shared" si="25"/>
        <v>-5.8741170295316884E-2</v>
      </c>
      <c r="AQ8" s="76">
        <f t="shared" si="26"/>
        <v>-5301.3656847433231</v>
      </c>
      <c r="AR8" s="77">
        <f t="shared" si="27"/>
        <v>-22.472999999999956</v>
      </c>
    </row>
    <row r="9" spans="1:46" x14ac:dyDescent="0.25">
      <c r="A9" t="str">
        <f t="shared" si="12"/>
        <v>46176E</v>
      </c>
      <c r="B9" s="51">
        <f t="shared" ref="B9:B65" si="28">+B7+1</f>
        <v>46176</v>
      </c>
      <c r="C9" s="52" t="s">
        <v>88</v>
      </c>
      <c r="D9" s="91">
        <v>0</v>
      </c>
      <c r="E9" s="62">
        <v>0</v>
      </c>
      <c r="F9" s="62">
        <v>0</v>
      </c>
      <c r="G9" s="62">
        <f t="shared" si="0"/>
        <v>0</v>
      </c>
      <c r="H9" s="63">
        <f t="shared" si="1"/>
        <v>0</v>
      </c>
      <c r="I9" s="119">
        <v>4067.2999999999997</v>
      </c>
      <c r="J9" s="120">
        <v>4189.3189999999995</v>
      </c>
      <c r="K9" s="121">
        <v>3.6689056622329312</v>
      </c>
      <c r="L9" s="122">
        <v>7.9532515427925192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3"/>
        <v>4189.3189999999995</v>
      </c>
      <c r="S9" s="62">
        <f t="shared" si="14"/>
        <v>153.70216199999999</v>
      </c>
      <c r="T9" s="63">
        <f t="shared" si="15"/>
        <v>333.1870780000001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16"/>
        <v>0</v>
      </c>
      <c r="AB9" s="63">
        <f t="shared" si="17"/>
        <v>0</v>
      </c>
      <c r="AC9" s="69"/>
      <c r="AD9" s="70"/>
      <c r="AE9" s="70"/>
      <c r="AF9" s="62">
        <f t="shared" si="18"/>
        <v>0</v>
      </c>
      <c r="AG9" s="63">
        <f t="shared" si="19"/>
        <v>0</v>
      </c>
      <c r="AH9" s="82">
        <v>4189</v>
      </c>
      <c r="AI9" s="66">
        <v>3.65</v>
      </c>
      <c r="AJ9" s="66">
        <v>7.91</v>
      </c>
      <c r="AK9" s="62">
        <f t="shared" si="20"/>
        <v>152.89849999999998</v>
      </c>
      <c r="AL9" s="72">
        <f t="shared" si="21"/>
        <v>331.34989999999999</v>
      </c>
      <c r="AM9" s="73">
        <f t="shared" si="22"/>
        <v>0.31899999999950523</v>
      </c>
      <c r="AN9" s="74">
        <f t="shared" si="23"/>
        <v>0.80366200000000276</v>
      </c>
      <c r="AO9" s="74">
        <f t="shared" si="24"/>
        <v>1.8371780000001081</v>
      </c>
      <c r="AP9" s="75">
        <f t="shared" si="25"/>
        <v>5.4239029804809616E-3</v>
      </c>
      <c r="AQ9" s="76">
        <f t="shared" si="26"/>
        <v>910.59029240670043</v>
      </c>
      <c r="AR9" s="77">
        <f t="shared" si="27"/>
        <v>0.31899999999950523</v>
      </c>
    </row>
    <row r="10" spans="1:46" x14ac:dyDescent="0.25">
      <c r="A10" t="str">
        <f t="shared" si="12"/>
        <v>46177M</v>
      </c>
      <c r="B10" s="51">
        <f t="shared" si="28"/>
        <v>46177</v>
      </c>
      <c r="C10" s="52" t="s">
        <v>87</v>
      </c>
      <c r="D10" s="91">
        <v>4189</v>
      </c>
      <c r="E10" s="62">
        <v>3.65</v>
      </c>
      <c r="F10" s="62">
        <v>7.91</v>
      </c>
      <c r="G10" s="62">
        <f t="shared" si="0"/>
        <v>152.89849999999998</v>
      </c>
      <c r="H10" s="63">
        <f t="shared" si="1"/>
        <v>331.34989999999999</v>
      </c>
      <c r="I10" s="119">
        <v>2356.6</v>
      </c>
      <c r="J10" s="120">
        <v>2427.2979999999998</v>
      </c>
      <c r="K10" s="121">
        <v>4.4134558261902734</v>
      </c>
      <c r="L10" s="122">
        <v>8.0783331918866157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3"/>
        <v>2427.2979999999998</v>
      </c>
      <c r="S10" s="62">
        <f t="shared" si="14"/>
        <v>107.12772499999997</v>
      </c>
      <c r="T10" s="63">
        <f t="shared" si="15"/>
        <v>196.08521999999999</v>
      </c>
      <c r="U10" s="64" t="s">
        <v>251</v>
      </c>
      <c r="V10" s="65" t="s">
        <v>255</v>
      </c>
      <c r="W10" s="66" t="s">
        <v>253</v>
      </c>
      <c r="X10" s="67">
        <v>6600</v>
      </c>
      <c r="Y10" s="68">
        <v>4.0999999999999996</v>
      </c>
      <c r="Z10" s="68">
        <v>8.1</v>
      </c>
      <c r="AA10" s="62">
        <f t="shared" si="16"/>
        <v>270.59999999999997</v>
      </c>
      <c r="AB10" s="63">
        <f t="shared" si="17"/>
        <v>534.6</v>
      </c>
      <c r="AC10" s="69">
        <v>6590</v>
      </c>
      <c r="AD10" s="70">
        <v>4</v>
      </c>
      <c r="AE10" s="70">
        <v>8.02</v>
      </c>
      <c r="AF10" s="62">
        <f t="shared" si="18"/>
        <v>263.60000000000002</v>
      </c>
      <c r="AG10" s="63">
        <f t="shared" si="19"/>
        <v>528.51799999999992</v>
      </c>
      <c r="AH10" s="71">
        <v>0</v>
      </c>
      <c r="AI10" s="66">
        <v>0</v>
      </c>
      <c r="AJ10" s="66">
        <v>0</v>
      </c>
      <c r="AK10" s="62">
        <f t="shared" si="20"/>
        <v>0</v>
      </c>
      <c r="AL10" s="72">
        <f t="shared" si="21"/>
        <v>0</v>
      </c>
      <c r="AM10" s="73">
        <f t="shared" si="22"/>
        <v>26.297999999999774</v>
      </c>
      <c r="AN10" s="74">
        <f t="shared" si="23"/>
        <v>-3.5737750000000688</v>
      </c>
      <c r="AO10" s="74">
        <f t="shared" si="24"/>
        <v>-1.0828799999999319</v>
      </c>
      <c r="AP10" s="75">
        <f t="shared" si="25"/>
        <v>-1.5357705127002413E-2</v>
      </c>
      <c r="AQ10" s="76">
        <f t="shared" si="26"/>
        <v>-1928.3804424500108</v>
      </c>
      <c r="AR10" s="77">
        <f t="shared" si="27"/>
        <v>16.297999999999774</v>
      </c>
    </row>
    <row r="11" spans="1:46" x14ac:dyDescent="0.25">
      <c r="A11" t="str">
        <f t="shared" si="12"/>
        <v>46177E</v>
      </c>
      <c r="B11" s="51">
        <f t="shared" si="28"/>
        <v>46177</v>
      </c>
      <c r="C11" s="52" t="s">
        <v>88</v>
      </c>
      <c r="D11" s="91">
        <v>0</v>
      </c>
      <c r="E11" s="62">
        <v>0</v>
      </c>
      <c r="F11" s="62">
        <v>0</v>
      </c>
      <c r="G11" s="62">
        <f t="shared" si="0"/>
        <v>0</v>
      </c>
      <c r="H11" s="63">
        <f t="shared" si="1"/>
        <v>0</v>
      </c>
      <c r="I11" s="119">
        <v>1926.7000000000003</v>
      </c>
      <c r="J11" s="120">
        <v>1984.5010000000004</v>
      </c>
      <c r="K11" s="121">
        <v>3.7731925053199755</v>
      </c>
      <c r="L11" s="122">
        <v>7.9750402242175706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3"/>
        <v>1984.5010000000004</v>
      </c>
      <c r="S11" s="62">
        <f t="shared" si="14"/>
        <v>74.879042999999982</v>
      </c>
      <c r="T11" s="63">
        <f t="shared" si="15"/>
        <v>158.26475299999996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16"/>
        <v>0</v>
      </c>
      <c r="AB11" s="63">
        <f t="shared" si="17"/>
        <v>0</v>
      </c>
      <c r="AC11" s="69"/>
      <c r="AD11" s="70"/>
      <c r="AE11" s="70"/>
      <c r="AF11" s="62">
        <f t="shared" si="18"/>
        <v>0</v>
      </c>
      <c r="AG11" s="63">
        <f t="shared" si="19"/>
        <v>0</v>
      </c>
      <c r="AH11" s="71">
        <v>1983</v>
      </c>
      <c r="AI11" s="66">
        <v>3.76</v>
      </c>
      <c r="AJ11" s="66">
        <v>7.98</v>
      </c>
      <c r="AK11" s="62">
        <f t="shared" si="20"/>
        <v>74.560799999999986</v>
      </c>
      <c r="AL11" s="72">
        <f t="shared" si="21"/>
        <v>158.24340000000001</v>
      </c>
      <c r="AM11" s="73">
        <f t="shared" si="22"/>
        <v>1.5010000000004311</v>
      </c>
      <c r="AN11" s="74">
        <f t="shared" si="23"/>
        <v>0.31824299999999539</v>
      </c>
      <c r="AO11" s="74">
        <f t="shared" si="24"/>
        <v>2.1352999999947997E-2</v>
      </c>
      <c r="AP11" s="75">
        <f t="shared" si="25"/>
        <v>1.4565946245464043E-3</v>
      </c>
      <c r="AQ11" s="76">
        <f t="shared" si="26"/>
        <v>149.25284861664903</v>
      </c>
      <c r="AR11" s="77">
        <f t="shared" si="27"/>
        <v>1.5010000000004311</v>
      </c>
    </row>
    <row r="12" spans="1:46" x14ac:dyDescent="0.25">
      <c r="A12" t="str">
        <f t="shared" si="12"/>
        <v>46178M</v>
      </c>
      <c r="B12" s="51">
        <f t="shared" si="28"/>
        <v>46178</v>
      </c>
      <c r="C12" s="52" t="s">
        <v>87</v>
      </c>
      <c r="D12" s="91">
        <v>1983</v>
      </c>
      <c r="E12" s="62">
        <v>3.76</v>
      </c>
      <c r="F12" s="62">
        <v>7.98</v>
      </c>
      <c r="G12" s="62">
        <f t="shared" si="0"/>
        <v>74.560799999999986</v>
      </c>
      <c r="H12" s="63">
        <f t="shared" si="1"/>
        <v>158.24340000000001</v>
      </c>
      <c r="I12" s="119">
        <v>3512.3</v>
      </c>
      <c r="J12" s="120">
        <v>3617.6690000000003</v>
      </c>
      <c r="K12" s="121">
        <v>4.03</v>
      </c>
      <c r="L12" s="122">
        <v>7.88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3"/>
        <v>3617.6690000000003</v>
      </c>
      <c r="S12" s="62">
        <f t="shared" si="14"/>
        <v>145.79206070000004</v>
      </c>
      <c r="T12" s="63">
        <f t="shared" si="15"/>
        <v>285.07231719999999</v>
      </c>
      <c r="U12" s="64" t="s">
        <v>246</v>
      </c>
      <c r="V12" s="65" t="s">
        <v>363</v>
      </c>
      <c r="W12" s="66" t="s">
        <v>253</v>
      </c>
      <c r="X12" s="67">
        <v>5575</v>
      </c>
      <c r="Y12" s="68">
        <v>4.05</v>
      </c>
      <c r="Z12" s="68">
        <v>8.0299999999999994</v>
      </c>
      <c r="AA12" s="62">
        <f t="shared" si="16"/>
        <v>225.78749999999999</v>
      </c>
      <c r="AB12" s="63">
        <f t="shared" si="17"/>
        <v>447.67249999999996</v>
      </c>
      <c r="AC12" s="69">
        <v>5560</v>
      </c>
      <c r="AD12" s="70">
        <v>3.95</v>
      </c>
      <c r="AE12" s="70">
        <v>7.88</v>
      </c>
      <c r="AF12" s="62">
        <f t="shared" si="18"/>
        <v>219.62</v>
      </c>
      <c r="AG12" s="63">
        <f t="shared" si="19"/>
        <v>438.12799999999999</v>
      </c>
      <c r="AH12" s="71">
        <v>15</v>
      </c>
      <c r="AI12" s="66">
        <v>3.93</v>
      </c>
      <c r="AJ12" s="66">
        <v>7.91</v>
      </c>
      <c r="AK12" s="62">
        <f t="shared" si="20"/>
        <v>0.58950000000000002</v>
      </c>
      <c r="AL12" s="72">
        <f t="shared" si="21"/>
        <v>1.1865000000000001</v>
      </c>
      <c r="AM12" s="73">
        <f t="shared" si="22"/>
        <v>25.668999999999869</v>
      </c>
      <c r="AN12" s="74">
        <f t="shared" si="23"/>
        <v>0.14336070000000334</v>
      </c>
      <c r="AO12" s="74">
        <f t="shared" si="24"/>
        <v>4.0012172000000081</v>
      </c>
      <c r="AP12" s="75">
        <f t="shared" si="25"/>
        <v>9.6192168872264779E-3</v>
      </c>
      <c r="AQ12" s="76">
        <f t="shared" si="26"/>
        <v>1261.8136606716707</v>
      </c>
      <c r="AR12" s="77">
        <f t="shared" si="27"/>
        <v>10.668999999999869</v>
      </c>
    </row>
    <row r="13" spans="1:46" x14ac:dyDescent="0.25">
      <c r="A13" t="str">
        <f t="shared" si="12"/>
        <v>46178E</v>
      </c>
      <c r="B13" s="51">
        <f t="shared" si="28"/>
        <v>46178</v>
      </c>
      <c r="C13" s="52" t="s">
        <v>88</v>
      </c>
      <c r="D13" s="91">
        <v>15</v>
      </c>
      <c r="E13" s="62">
        <v>3.93</v>
      </c>
      <c r="F13" s="62">
        <v>7.91</v>
      </c>
      <c r="G13" s="62">
        <f t="shared" si="0"/>
        <v>0.58950000000000002</v>
      </c>
      <c r="H13" s="63">
        <f t="shared" si="1"/>
        <v>1.1865000000000001</v>
      </c>
      <c r="I13" s="119">
        <v>1829.4</v>
      </c>
      <c r="J13" s="120">
        <v>1884.2820000000002</v>
      </c>
      <c r="K13" s="121">
        <v>3.79</v>
      </c>
      <c r="L13" s="122">
        <v>7.94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3"/>
        <v>1884.2820000000002</v>
      </c>
      <c r="S13" s="62">
        <f t="shared" si="14"/>
        <v>71.414287800000011</v>
      </c>
      <c r="T13" s="63">
        <f t="shared" si="15"/>
        <v>149.6119908</v>
      </c>
      <c r="U13" s="64" t="s">
        <v>167</v>
      </c>
      <c r="V13" s="6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16"/>
        <v>0</v>
      </c>
      <c r="AB13" s="63">
        <f t="shared" si="17"/>
        <v>0</v>
      </c>
      <c r="AC13" s="69"/>
      <c r="AD13" s="70"/>
      <c r="AE13" s="70"/>
      <c r="AF13" s="62">
        <f t="shared" si="18"/>
        <v>0</v>
      </c>
      <c r="AG13" s="63">
        <f t="shared" si="19"/>
        <v>0</v>
      </c>
      <c r="AH13" s="71">
        <v>1899</v>
      </c>
      <c r="AI13" s="66">
        <v>3.79</v>
      </c>
      <c r="AJ13" s="66">
        <v>7.94</v>
      </c>
      <c r="AK13" s="62">
        <f t="shared" si="20"/>
        <v>71.972100000000012</v>
      </c>
      <c r="AL13" s="72">
        <f t="shared" si="21"/>
        <v>150.78059999999999</v>
      </c>
      <c r="AM13" s="73">
        <f t="shared" si="22"/>
        <v>0.2820000000001528</v>
      </c>
      <c r="AN13" s="74">
        <f t="shared" si="23"/>
        <v>3.1687800000000266E-2</v>
      </c>
      <c r="AO13" s="74">
        <f t="shared" si="24"/>
        <v>1.7890800000003537E-2</v>
      </c>
      <c r="AP13" s="75">
        <f t="shared" si="25"/>
        <v>2.2431088427149495E-4</v>
      </c>
      <c r="AQ13" s="76">
        <f t="shared" si="26"/>
        <v>19.579209650001179</v>
      </c>
      <c r="AR13" s="77">
        <f t="shared" si="27"/>
        <v>0.2820000000001528</v>
      </c>
    </row>
    <row r="14" spans="1:46" x14ac:dyDescent="0.25">
      <c r="A14" t="str">
        <f t="shared" si="12"/>
        <v>46179M</v>
      </c>
      <c r="B14" s="51">
        <f t="shared" si="28"/>
        <v>46179</v>
      </c>
      <c r="C14" s="52" t="s">
        <v>87</v>
      </c>
      <c r="D14" s="91">
        <v>1899</v>
      </c>
      <c r="E14" s="62">
        <v>3.79</v>
      </c>
      <c r="F14" s="62">
        <v>7.94</v>
      </c>
      <c r="G14" s="62">
        <f t="shared" si="0"/>
        <v>71.972100000000012</v>
      </c>
      <c r="H14" s="63">
        <f t="shared" si="1"/>
        <v>150.78059999999999</v>
      </c>
      <c r="I14" s="119">
        <v>2532.4</v>
      </c>
      <c r="J14" s="120">
        <v>2608.3720000000003</v>
      </c>
      <c r="K14" s="121">
        <v>4.13</v>
      </c>
      <c r="L14" s="122">
        <v>7.98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3"/>
        <v>2608.3720000000003</v>
      </c>
      <c r="S14" s="62">
        <f t="shared" si="14"/>
        <v>107.72576360000001</v>
      </c>
      <c r="T14" s="63">
        <f t="shared" si="15"/>
        <v>208.14808560000006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16"/>
        <v>0</v>
      </c>
      <c r="AB14" s="63">
        <f t="shared" si="17"/>
        <v>0</v>
      </c>
      <c r="AC14" s="69"/>
      <c r="AD14" s="70"/>
      <c r="AE14" s="70"/>
      <c r="AF14" s="62">
        <f t="shared" si="18"/>
        <v>0</v>
      </c>
      <c r="AG14" s="63">
        <f t="shared" si="19"/>
        <v>0</v>
      </c>
      <c r="AH14" s="71">
        <v>4507</v>
      </c>
      <c r="AI14" s="66">
        <v>3.98</v>
      </c>
      <c r="AJ14" s="66">
        <v>7.96</v>
      </c>
      <c r="AK14" s="62">
        <f t="shared" si="20"/>
        <v>179.37860000000001</v>
      </c>
      <c r="AL14" s="72">
        <f t="shared" si="21"/>
        <v>358.75720000000001</v>
      </c>
      <c r="AM14" s="73">
        <f t="shared" si="22"/>
        <v>0.37200000000029831</v>
      </c>
      <c r="AN14" s="74">
        <f t="shared" si="23"/>
        <v>0.31926359999999931</v>
      </c>
      <c r="AO14" s="74">
        <f t="shared" si="24"/>
        <v>0.17148560000003954</v>
      </c>
      <c r="AP14" s="75">
        <f t="shared" si="25"/>
        <v>1.5536240218775247E-3</v>
      </c>
      <c r="AQ14" s="76">
        <f t="shared" si="26"/>
        <v>194.64168980667819</v>
      </c>
      <c r="AR14" s="77">
        <f t="shared" si="27"/>
        <v>0.37200000000029831</v>
      </c>
    </row>
    <row r="15" spans="1:46" x14ac:dyDescent="0.25">
      <c r="A15" t="str">
        <f t="shared" si="12"/>
        <v>46179E</v>
      </c>
      <c r="B15" s="51">
        <f t="shared" si="28"/>
        <v>46179</v>
      </c>
      <c r="C15" s="52" t="s">
        <v>88</v>
      </c>
      <c r="D15" s="91">
        <v>4507</v>
      </c>
      <c r="E15" s="62">
        <v>3.98</v>
      </c>
      <c r="F15" s="62">
        <v>7.96</v>
      </c>
      <c r="G15" s="62">
        <f t="shared" si="0"/>
        <v>179.37860000000001</v>
      </c>
      <c r="H15" s="63">
        <f t="shared" si="1"/>
        <v>358.75720000000001</v>
      </c>
      <c r="I15" s="119">
        <v>2845.2</v>
      </c>
      <c r="J15" s="120">
        <v>2930.556</v>
      </c>
      <c r="K15" s="121">
        <v>3.41</v>
      </c>
      <c r="L15" s="122">
        <v>7.88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3"/>
        <v>2930.556</v>
      </c>
      <c r="S15" s="62">
        <f t="shared" si="14"/>
        <v>99.931959599999999</v>
      </c>
      <c r="T15" s="63">
        <f t="shared" si="15"/>
        <v>230.9278128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16"/>
        <v>0</v>
      </c>
      <c r="AB15" s="63">
        <f t="shared" si="17"/>
        <v>0</v>
      </c>
      <c r="AC15" s="69"/>
      <c r="AD15" s="70"/>
      <c r="AE15" s="70"/>
      <c r="AF15" s="62">
        <f t="shared" si="18"/>
        <v>0</v>
      </c>
      <c r="AG15" s="63">
        <f t="shared" si="19"/>
        <v>0</v>
      </c>
      <c r="AH15" s="71">
        <v>7437</v>
      </c>
      <c r="AI15" s="66">
        <v>3.75</v>
      </c>
      <c r="AJ15" s="66">
        <v>7.92</v>
      </c>
      <c r="AK15" s="62">
        <f t="shared" si="20"/>
        <v>278.88749999999999</v>
      </c>
      <c r="AL15" s="72">
        <f t="shared" si="21"/>
        <v>589.01039999999989</v>
      </c>
      <c r="AM15" s="73">
        <f t="shared" si="22"/>
        <v>0.55600000000049477</v>
      </c>
      <c r="AN15" s="74">
        <f t="shared" si="23"/>
        <v>0.42305960000004461</v>
      </c>
      <c r="AO15" s="74">
        <f t="shared" si="24"/>
        <v>0.67461280000009083</v>
      </c>
      <c r="AP15" s="75">
        <f t="shared" si="25"/>
        <v>3.3176363268275508E-3</v>
      </c>
      <c r="AQ15" s="76">
        <f t="shared" si="26"/>
        <v>391.80930640138058</v>
      </c>
      <c r="AR15" s="77">
        <f t="shared" si="27"/>
        <v>0.55600000000049477</v>
      </c>
    </row>
    <row r="16" spans="1:46" x14ac:dyDescent="0.25">
      <c r="A16" t="str">
        <f t="shared" si="12"/>
        <v>46180M</v>
      </c>
      <c r="B16" s="51">
        <f t="shared" si="28"/>
        <v>46180</v>
      </c>
      <c r="C16" s="52" t="s">
        <v>87</v>
      </c>
      <c r="D16" s="91">
        <v>7437</v>
      </c>
      <c r="E16" s="62">
        <v>3.75</v>
      </c>
      <c r="F16" s="62">
        <v>7.92</v>
      </c>
      <c r="G16" s="62">
        <f t="shared" ref="G16:G53" si="29">+D16*E16%</f>
        <v>278.88749999999999</v>
      </c>
      <c r="H16" s="63">
        <f t="shared" ref="H16:H53" si="30">+D16*F16%</f>
        <v>589.01039999999989</v>
      </c>
      <c r="I16" s="119">
        <v>1357.8</v>
      </c>
      <c r="J16" s="120">
        <v>1398.5339999999999</v>
      </c>
      <c r="K16" s="121">
        <v>4.29</v>
      </c>
      <c r="L16" s="122">
        <v>8.08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3"/>
        <v>1398.5339999999999</v>
      </c>
      <c r="S16" s="62">
        <f t="shared" si="14"/>
        <v>59.997108599999997</v>
      </c>
      <c r="T16" s="63">
        <f t="shared" si="15"/>
        <v>113.00154719999999</v>
      </c>
      <c r="U16" s="64" t="s">
        <v>251</v>
      </c>
      <c r="V16" s="65" t="s">
        <v>393</v>
      </c>
      <c r="W16" s="66" t="s">
        <v>189</v>
      </c>
      <c r="X16" s="67">
        <v>8910</v>
      </c>
      <c r="Y16" s="68">
        <v>4.05</v>
      </c>
      <c r="Z16" s="68">
        <v>8.0299999999999994</v>
      </c>
      <c r="AA16" s="62">
        <f t="shared" si="16"/>
        <v>360.85500000000002</v>
      </c>
      <c r="AB16" s="63">
        <f t="shared" si="17"/>
        <v>715.47299999999996</v>
      </c>
      <c r="AC16" s="69">
        <v>8920</v>
      </c>
      <c r="AD16" s="70">
        <v>4</v>
      </c>
      <c r="AE16" s="70">
        <v>7.96</v>
      </c>
      <c r="AF16" s="62">
        <f t="shared" si="18"/>
        <v>356.8</v>
      </c>
      <c r="AG16" s="63">
        <f t="shared" si="19"/>
        <v>710.03200000000004</v>
      </c>
      <c r="AH16" s="118">
        <v>0</v>
      </c>
      <c r="AI16" s="118">
        <v>0</v>
      </c>
      <c r="AJ16" s="118">
        <v>0</v>
      </c>
      <c r="AK16" s="62">
        <f t="shared" si="20"/>
        <v>0</v>
      </c>
      <c r="AL16" s="72">
        <f t="shared" si="21"/>
        <v>0</v>
      </c>
      <c r="AM16" s="73">
        <f t="shared" si="22"/>
        <v>-84.466000000000349</v>
      </c>
      <c r="AN16" s="74">
        <f t="shared" si="23"/>
        <v>-17.915391400000033</v>
      </c>
      <c r="AO16" s="74">
        <f t="shared" si="24"/>
        <v>-8.0200528000001441</v>
      </c>
      <c r="AP16" s="75">
        <f t="shared" si="25"/>
        <v>-0.14991702727438289</v>
      </c>
      <c r="AQ16" s="76">
        <f t="shared" si="26"/>
        <v>-10442.586288339391</v>
      </c>
      <c r="AR16" s="77">
        <f t="shared" si="27"/>
        <v>-74.466000000000349</v>
      </c>
    </row>
    <row r="17" spans="1:49" x14ac:dyDescent="0.25">
      <c r="A17" t="str">
        <f t="shared" si="12"/>
        <v>46180E</v>
      </c>
      <c r="B17" s="51">
        <f t="shared" si="28"/>
        <v>46180</v>
      </c>
      <c r="C17" s="52" t="s">
        <v>88</v>
      </c>
      <c r="D17" s="91">
        <v>0</v>
      </c>
      <c r="E17" s="62">
        <v>0</v>
      </c>
      <c r="F17" s="62">
        <v>0</v>
      </c>
      <c r="G17" s="62">
        <f t="shared" si="29"/>
        <v>0</v>
      </c>
      <c r="H17" s="63">
        <f t="shared" si="30"/>
        <v>0</v>
      </c>
      <c r="I17" s="119">
        <v>2727.4</v>
      </c>
      <c r="J17" s="120">
        <v>2809.2220000000002</v>
      </c>
      <c r="K17" s="121">
        <v>3.92</v>
      </c>
      <c r="L17" s="122">
        <v>8.01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3"/>
        <v>2809.2220000000002</v>
      </c>
      <c r="S17" s="62">
        <f t="shared" si="14"/>
        <v>110.12150240000001</v>
      </c>
      <c r="T17" s="63">
        <f t="shared" si="15"/>
        <v>225.01868220000003</v>
      </c>
      <c r="U17" s="64" t="s">
        <v>167</v>
      </c>
      <c r="V17" s="65" t="s">
        <v>187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16"/>
        <v>0</v>
      </c>
      <c r="AB17" s="63">
        <f t="shared" si="17"/>
        <v>0</v>
      </c>
      <c r="AC17" s="69"/>
      <c r="AD17" s="70"/>
      <c r="AE17" s="70"/>
      <c r="AF17" s="62">
        <f t="shared" si="18"/>
        <v>0</v>
      </c>
      <c r="AG17" s="63">
        <f t="shared" si="19"/>
        <v>0</v>
      </c>
      <c r="AH17" s="89">
        <v>2809</v>
      </c>
      <c r="AI17" s="66">
        <v>3.92</v>
      </c>
      <c r="AJ17" s="66">
        <v>8.01</v>
      </c>
      <c r="AK17" s="62">
        <f t="shared" si="20"/>
        <v>110.11279999999999</v>
      </c>
      <c r="AL17" s="72">
        <f t="shared" si="21"/>
        <v>225.0009</v>
      </c>
      <c r="AM17" s="73">
        <f t="shared" si="22"/>
        <v>0.22200000000020736</v>
      </c>
      <c r="AN17" s="74">
        <f t="shared" si="23"/>
        <v>8.7024000000184287E-3</v>
      </c>
      <c r="AO17" s="74">
        <f t="shared" si="24"/>
        <v>1.7782200000027615E-2</v>
      </c>
      <c r="AP17" s="75">
        <f t="shared" si="25"/>
        <v>7.9025438359939476E-5</v>
      </c>
      <c r="AQ17" s="76">
        <f t="shared" si="26"/>
        <v>9.2283326520165385</v>
      </c>
      <c r="AR17" s="77">
        <f t="shared" si="27"/>
        <v>0.22200000000020736</v>
      </c>
    </row>
    <row r="18" spans="1:49" x14ac:dyDescent="0.25">
      <c r="A18" t="str">
        <f t="shared" si="12"/>
        <v>46181M</v>
      </c>
      <c r="B18" s="51">
        <f t="shared" si="28"/>
        <v>46181</v>
      </c>
      <c r="C18" s="52" t="s">
        <v>87</v>
      </c>
      <c r="D18" s="91">
        <v>2809</v>
      </c>
      <c r="E18" s="62">
        <v>3.92</v>
      </c>
      <c r="F18" s="62">
        <v>8.01</v>
      </c>
      <c r="G18" s="62">
        <f t="shared" si="29"/>
        <v>110.11279999999999</v>
      </c>
      <c r="H18" s="63">
        <f t="shared" si="30"/>
        <v>225.0009</v>
      </c>
      <c r="I18" s="119">
        <v>1347.1</v>
      </c>
      <c r="J18" s="120">
        <v>1387.5129999999999</v>
      </c>
      <c r="K18" s="121">
        <v>4.6900000000000004</v>
      </c>
      <c r="L18" s="122">
        <v>8.07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3"/>
        <v>1387.5129999999999</v>
      </c>
      <c r="S18" s="62">
        <f t="shared" si="14"/>
        <v>65.074359700000002</v>
      </c>
      <c r="T18" s="63">
        <f t="shared" si="15"/>
        <v>111.9722991</v>
      </c>
      <c r="U18" s="64" t="s">
        <v>256</v>
      </c>
      <c r="V18" s="65" t="s">
        <v>394</v>
      </c>
      <c r="W18" s="66" t="s">
        <v>262</v>
      </c>
      <c r="X18" s="67">
        <v>4170</v>
      </c>
      <c r="Y18" s="68">
        <v>4.45</v>
      </c>
      <c r="Z18" s="68">
        <v>8.23</v>
      </c>
      <c r="AA18" s="62">
        <f t="shared" si="16"/>
        <v>185.56500000000003</v>
      </c>
      <c r="AB18" s="63">
        <f t="shared" si="17"/>
        <v>343.19099999999997</v>
      </c>
      <c r="AC18" s="69">
        <v>4170</v>
      </c>
      <c r="AD18" s="70">
        <v>4.05</v>
      </c>
      <c r="AE18" s="70">
        <v>8.0299999999999994</v>
      </c>
      <c r="AF18" s="62">
        <f t="shared" si="18"/>
        <v>168.88500000000002</v>
      </c>
      <c r="AG18" s="63">
        <f t="shared" si="19"/>
        <v>334.851</v>
      </c>
      <c r="AH18" s="89">
        <v>26</v>
      </c>
      <c r="AI18" s="66">
        <v>4.17</v>
      </c>
      <c r="AJ18" s="66">
        <v>8.02</v>
      </c>
      <c r="AK18" s="62">
        <f t="shared" si="20"/>
        <v>1.0842000000000001</v>
      </c>
      <c r="AL18" s="72">
        <f t="shared" si="21"/>
        <v>2.0851999999999999</v>
      </c>
      <c r="AM18" s="73">
        <f t="shared" si="22"/>
        <v>0.51299999999991996</v>
      </c>
      <c r="AN18" s="74">
        <f t="shared" si="23"/>
        <v>5.2179596999999758</v>
      </c>
      <c r="AO18" s="74">
        <f t="shared" si="24"/>
        <v>3.699909999998896E-2</v>
      </c>
      <c r="AP18" s="75">
        <f t="shared" si="25"/>
        <v>2.9681208533487251E-2</v>
      </c>
      <c r="AQ18" s="76">
        <f t="shared" si="26"/>
        <v>2353.4671329143193</v>
      </c>
      <c r="AR18" s="77">
        <f t="shared" si="27"/>
        <v>0.51299999999991996</v>
      </c>
    </row>
    <row r="19" spans="1:49" x14ac:dyDescent="0.25">
      <c r="A19" t="str">
        <f t="shared" si="12"/>
        <v>46181E</v>
      </c>
      <c r="B19" s="51">
        <f t="shared" si="28"/>
        <v>46181</v>
      </c>
      <c r="C19" s="52" t="s">
        <v>88</v>
      </c>
      <c r="D19" s="91">
        <v>26</v>
      </c>
      <c r="E19" s="62">
        <v>4.17</v>
      </c>
      <c r="F19" s="62">
        <v>8.02</v>
      </c>
      <c r="G19" s="62">
        <f t="shared" si="29"/>
        <v>1.0842000000000001</v>
      </c>
      <c r="H19" s="63">
        <f t="shared" si="30"/>
        <v>2.0851999999999999</v>
      </c>
      <c r="I19" s="119">
        <v>2038.8</v>
      </c>
      <c r="J19" s="120">
        <v>2099.9639999999999</v>
      </c>
      <c r="K19" s="121">
        <v>3.51</v>
      </c>
      <c r="L19" s="122">
        <v>7.81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3"/>
        <v>2099.9639999999999</v>
      </c>
      <c r="S19" s="62">
        <f t="shared" si="14"/>
        <v>73.708736399999992</v>
      </c>
      <c r="T19" s="63">
        <f t="shared" si="15"/>
        <v>164.00718839999999</v>
      </c>
      <c r="U19" s="64" t="s">
        <v>167</v>
      </c>
      <c r="V19" s="65" t="s">
        <v>187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16"/>
        <v>0</v>
      </c>
      <c r="AB19" s="63">
        <f t="shared" si="17"/>
        <v>0</v>
      </c>
      <c r="AC19" s="69"/>
      <c r="AD19" s="70"/>
      <c r="AE19" s="70"/>
      <c r="AF19" s="62">
        <f t="shared" si="18"/>
        <v>0</v>
      </c>
      <c r="AG19" s="63">
        <f t="shared" si="19"/>
        <v>0</v>
      </c>
      <c r="AH19" s="89">
        <v>2125</v>
      </c>
      <c r="AI19" s="66">
        <v>3.51</v>
      </c>
      <c r="AJ19" s="66">
        <v>7.81</v>
      </c>
      <c r="AK19" s="62">
        <f t="shared" si="20"/>
        <v>74.587499999999991</v>
      </c>
      <c r="AL19" s="72">
        <f t="shared" si="21"/>
        <v>165.96250000000001</v>
      </c>
      <c r="AM19" s="73">
        <f t="shared" si="22"/>
        <v>0.96399999999994179</v>
      </c>
      <c r="AN19" s="74">
        <f t="shared" si="23"/>
        <v>0.20543639999999641</v>
      </c>
      <c r="AO19" s="74">
        <f t="shared" si="24"/>
        <v>0.12988839999997026</v>
      </c>
      <c r="AP19" s="75">
        <f t="shared" si="25"/>
        <v>1.4106114274089502E-3</v>
      </c>
      <c r="AQ19" s="76">
        <f t="shared" si="26"/>
        <v>131.09458875332282</v>
      </c>
      <c r="AR19" s="77">
        <f t="shared" si="27"/>
        <v>0.96399999999994179</v>
      </c>
    </row>
    <row r="20" spans="1:49" x14ac:dyDescent="0.25">
      <c r="A20" t="str">
        <f t="shared" si="12"/>
        <v>46182M</v>
      </c>
      <c r="B20" s="51">
        <f t="shared" si="28"/>
        <v>46182</v>
      </c>
      <c r="C20" s="52" t="s">
        <v>87</v>
      </c>
      <c r="D20" s="91">
        <v>2125</v>
      </c>
      <c r="E20" s="62">
        <v>3.51</v>
      </c>
      <c r="F20" s="62">
        <v>7.81</v>
      </c>
      <c r="G20" s="62">
        <f t="shared" si="29"/>
        <v>74.587499999999991</v>
      </c>
      <c r="H20" s="63">
        <f t="shared" si="30"/>
        <v>165.96250000000001</v>
      </c>
      <c r="I20" s="119">
        <v>1358.6</v>
      </c>
      <c r="J20" s="120">
        <v>1399.3579999999999</v>
      </c>
      <c r="K20" s="121">
        <v>4.6399999999999997</v>
      </c>
      <c r="L20" s="122">
        <v>8.11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3"/>
        <v>1399.3579999999999</v>
      </c>
      <c r="S20" s="62">
        <f t="shared" si="14"/>
        <v>64.930211199999988</v>
      </c>
      <c r="T20" s="63">
        <f t="shared" si="15"/>
        <v>113.48793379999998</v>
      </c>
      <c r="U20" s="64" t="s">
        <v>167</v>
      </c>
      <c r="V20" s="65" t="s">
        <v>395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16"/>
        <v>0</v>
      </c>
      <c r="AB20" s="63">
        <f t="shared" si="17"/>
        <v>0</v>
      </c>
      <c r="AC20" s="69"/>
      <c r="AD20" s="70"/>
      <c r="AE20" s="70"/>
      <c r="AF20" s="62">
        <f t="shared" si="18"/>
        <v>0</v>
      </c>
      <c r="AG20" s="63">
        <f t="shared" si="19"/>
        <v>0</v>
      </c>
      <c r="AH20" s="89">
        <v>3524</v>
      </c>
      <c r="AI20" s="66">
        <v>3.95</v>
      </c>
      <c r="AJ20" s="66">
        <v>7.92</v>
      </c>
      <c r="AK20" s="62">
        <f t="shared" si="20"/>
        <v>139.19800000000001</v>
      </c>
      <c r="AL20" s="72">
        <f t="shared" si="21"/>
        <v>279.10079999999999</v>
      </c>
      <c r="AM20" s="73">
        <f t="shared" si="22"/>
        <v>0.35800000000017462</v>
      </c>
      <c r="AN20" s="74">
        <f t="shared" si="23"/>
        <v>0.319711199999972</v>
      </c>
      <c r="AO20" s="74">
        <f t="shared" si="24"/>
        <v>0.34963379999999233</v>
      </c>
      <c r="AP20" s="75">
        <f t="shared" si="25"/>
        <v>3.751552287464733E-3</v>
      </c>
      <c r="AQ20" s="76">
        <f t="shared" si="26"/>
        <v>248.15762756398516</v>
      </c>
      <c r="AR20" s="77">
        <f t="shared" si="27"/>
        <v>0.35800000000017462</v>
      </c>
    </row>
    <row r="21" spans="1:49" x14ac:dyDescent="0.25">
      <c r="A21" t="str">
        <f t="shared" si="12"/>
        <v>46182E</v>
      </c>
      <c r="B21" s="51">
        <f t="shared" si="28"/>
        <v>46182</v>
      </c>
      <c r="C21" s="52" t="s">
        <v>88</v>
      </c>
      <c r="D21" s="91">
        <v>3524</v>
      </c>
      <c r="E21" s="62">
        <v>3.95</v>
      </c>
      <c r="F21" s="62">
        <v>7.92</v>
      </c>
      <c r="G21" s="62">
        <f t="shared" si="29"/>
        <v>139.19800000000001</v>
      </c>
      <c r="H21" s="63">
        <f t="shared" si="30"/>
        <v>279.10079999999999</v>
      </c>
      <c r="I21" s="119">
        <v>2584.6999999999998</v>
      </c>
      <c r="J21" s="120">
        <v>2662.241</v>
      </c>
      <c r="K21" s="121">
        <v>3.46</v>
      </c>
      <c r="L21" s="122">
        <v>7.89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3"/>
        <v>2662.241</v>
      </c>
      <c r="S21" s="62">
        <f t="shared" si="14"/>
        <v>92.113538599999998</v>
      </c>
      <c r="T21" s="63">
        <f t="shared" si="15"/>
        <v>210.05081490000001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16"/>
        <v>0</v>
      </c>
      <c r="AB21" s="63">
        <f t="shared" si="17"/>
        <v>0</v>
      </c>
      <c r="AC21" s="69"/>
      <c r="AD21" s="70"/>
      <c r="AE21" s="70"/>
      <c r="AF21" s="62">
        <f t="shared" si="18"/>
        <v>0</v>
      </c>
      <c r="AG21" s="63">
        <f t="shared" si="19"/>
        <v>0</v>
      </c>
      <c r="AH21" s="89">
        <v>6186</v>
      </c>
      <c r="AI21" s="66">
        <v>3.73</v>
      </c>
      <c r="AJ21" s="66">
        <v>7.9</v>
      </c>
      <c r="AK21" s="62">
        <f t="shared" si="20"/>
        <v>230.73779999999999</v>
      </c>
      <c r="AL21" s="72">
        <f t="shared" si="21"/>
        <v>488.69400000000002</v>
      </c>
      <c r="AM21" s="73">
        <f t="shared" si="22"/>
        <v>0.24099999999998545</v>
      </c>
      <c r="AN21" s="74">
        <f t="shared" si="23"/>
        <v>0.57373860000001287</v>
      </c>
      <c r="AO21" s="74">
        <f t="shared" si="24"/>
        <v>0.45761490000001004</v>
      </c>
      <c r="AP21" s="75">
        <f t="shared" si="25"/>
        <v>3.4132202824514271E-3</v>
      </c>
      <c r="AQ21" s="76">
        <f t="shared" si="26"/>
        <v>394.50893143200881</v>
      </c>
      <c r="AR21" s="77">
        <f t="shared" si="27"/>
        <v>0.24099999999998545</v>
      </c>
    </row>
    <row r="22" spans="1:49" x14ac:dyDescent="0.25">
      <c r="A22" t="str">
        <f t="shared" si="12"/>
        <v>46183M</v>
      </c>
      <c r="B22" s="51">
        <f t="shared" si="28"/>
        <v>46183</v>
      </c>
      <c r="C22" s="52" t="s">
        <v>87</v>
      </c>
      <c r="D22" s="91">
        <v>6186</v>
      </c>
      <c r="E22" s="62">
        <v>3.73</v>
      </c>
      <c r="F22" s="62">
        <v>7.9</v>
      </c>
      <c r="G22" s="62">
        <f t="shared" si="29"/>
        <v>230.73779999999999</v>
      </c>
      <c r="H22" s="63">
        <f t="shared" si="30"/>
        <v>488.69400000000002</v>
      </c>
      <c r="I22" s="119">
        <v>1389.2</v>
      </c>
      <c r="J22" s="120">
        <v>1430.876</v>
      </c>
      <c r="K22" s="121">
        <v>4.37</v>
      </c>
      <c r="L22" s="122">
        <v>8.07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3"/>
        <v>1430.876</v>
      </c>
      <c r="S22" s="62">
        <f t="shared" si="14"/>
        <v>62.5292812</v>
      </c>
      <c r="T22" s="63">
        <f t="shared" si="15"/>
        <v>115.4716932</v>
      </c>
      <c r="U22" s="64" t="s">
        <v>251</v>
      </c>
      <c r="V22" s="65" t="s">
        <v>396</v>
      </c>
      <c r="W22" s="66" t="s">
        <v>189</v>
      </c>
      <c r="X22" s="67">
        <v>7630</v>
      </c>
      <c r="Y22" s="68">
        <v>4.05</v>
      </c>
      <c r="Z22" s="68">
        <v>8.09</v>
      </c>
      <c r="AA22" s="62">
        <f t="shared" si="16"/>
        <v>309.01499999999999</v>
      </c>
      <c r="AB22" s="63">
        <f t="shared" si="17"/>
        <v>617.26700000000005</v>
      </c>
      <c r="AC22" s="69">
        <v>7640</v>
      </c>
      <c r="AD22" s="70">
        <v>4</v>
      </c>
      <c r="AE22" s="70">
        <v>8.02</v>
      </c>
      <c r="AF22" s="62">
        <f t="shared" si="18"/>
        <v>305.60000000000002</v>
      </c>
      <c r="AG22" s="63">
        <f t="shared" si="19"/>
        <v>612.72799999999995</v>
      </c>
      <c r="AH22" s="89">
        <v>0</v>
      </c>
      <c r="AI22" s="66">
        <v>0</v>
      </c>
      <c r="AJ22" s="66">
        <v>0</v>
      </c>
      <c r="AK22" s="62">
        <f t="shared" si="20"/>
        <v>0</v>
      </c>
      <c r="AL22" s="72">
        <f t="shared" si="21"/>
        <v>0</v>
      </c>
      <c r="AM22" s="73">
        <f t="shared" si="22"/>
        <v>-23.123999999999796</v>
      </c>
      <c r="AN22" s="74">
        <f t="shared" si="23"/>
        <v>-12.332918800000016</v>
      </c>
      <c r="AO22" s="74">
        <f t="shared" si="24"/>
        <v>-8.5623067999998739</v>
      </c>
      <c r="AP22" s="75">
        <f t="shared" si="25"/>
        <v>-0.11738826526333829</v>
      </c>
      <c r="AQ22" s="76">
        <f t="shared" si="26"/>
        <v>-8098.8406755666365</v>
      </c>
      <c r="AR22" s="77">
        <f t="shared" si="27"/>
        <v>-13.123999999999796</v>
      </c>
      <c r="AT22" s="83"/>
      <c r="AU22" s="83"/>
      <c r="AW22">
        <f>AS22*AU22%</f>
        <v>0</v>
      </c>
    </row>
    <row r="23" spans="1:49" x14ac:dyDescent="0.25">
      <c r="A23" t="str">
        <f t="shared" si="12"/>
        <v>46183E</v>
      </c>
      <c r="B23" s="51">
        <f t="shared" si="28"/>
        <v>46183</v>
      </c>
      <c r="C23" s="52" t="s">
        <v>88</v>
      </c>
      <c r="D23" s="91">
        <v>0</v>
      </c>
      <c r="E23" s="62">
        <v>0</v>
      </c>
      <c r="F23" s="62">
        <v>0</v>
      </c>
      <c r="G23" s="62">
        <f t="shared" si="29"/>
        <v>0</v>
      </c>
      <c r="H23" s="63">
        <f t="shared" si="30"/>
        <v>0</v>
      </c>
      <c r="I23" s="119">
        <v>1888.9</v>
      </c>
      <c r="J23" s="120">
        <v>1945.5670000000002</v>
      </c>
      <c r="K23" s="121">
        <v>3.74</v>
      </c>
      <c r="L23" s="122">
        <v>8.06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3"/>
        <v>1945.5670000000002</v>
      </c>
      <c r="S23" s="62">
        <f t="shared" si="14"/>
        <v>72.764205800000013</v>
      </c>
      <c r="T23" s="63">
        <f t="shared" si="15"/>
        <v>156.81270020000002</v>
      </c>
      <c r="U23" s="64" t="s">
        <v>167</v>
      </c>
      <c r="V23" s="65" t="s">
        <v>167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16"/>
        <v>0</v>
      </c>
      <c r="AB23" s="63">
        <f t="shared" si="17"/>
        <v>0</v>
      </c>
      <c r="AC23" s="69"/>
      <c r="AD23" s="70"/>
      <c r="AE23" s="70"/>
      <c r="AF23" s="62">
        <f t="shared" si="18"/>
        <v>0</v>
      </c>
      <c r="AG23" s="63">
        <f t="shared" si="19"/>
        <v>0</v>
      </c>
      <c r="AH23" s="89">
        <v>1945</v>
      </c>
      <c r="AI23" s="66">
        <v>3.74</v>
      </c>
      <c r="AJ23" s="84">
        <v>8.06</v>
      </c>
      <c r="AK23" s="62">
        <f t="shared" si="20"/>
        <v>72.743000000000009</v>
      </c>
      <c r="AL23" s="72">
        <f t="shared" si="21"/>
        <v>156.767</v>
      </c>
      <c r="AM23" s="73">
        <f t="shared" si="22"/>
        <v>0.56700000000023465</v>
      </c>
      <c r="AN23" s="74">
        <f t="shared" si="23"/>
        <v>2.120580000000416E-2</v>
      </c>
      <c r="AO23" s="74">
        <f t="shared" si="24"/>
        <v>4.570020000002728E-2</v>
      </c>
      <c r="AP23" s="75">
        <f t="shared" si="25"/>
        <v>2.9143175228623139E-4</v>
      </c>
      <c r="AQ23" s="76">
        <f t="shared" si="26"/>
        <v>23.196346866010035</v>
      </c>
      <c r="AR23" s="77">
        <f t="shared" si="27"/>
        <v>0.56700000000023465</v>
      </c>
      <c r="AU23" s="83"/>
      <c r="AW23">
        <f>AS23*AU23%</f>
        <v>0</v>
      </c>
    </row>
    <row r="24" spans="1:49" x14ac:dyDescent="0.25">
      <c r="A24" t="str">
        <f t="shared" si="12"/>
        <v>46184M</v>
      </c>
      <c r="B24" s="51">
        <f t="shared" si="28"/>
        <v>46184</v>
      </c>
      <c r="C24" s="52" t="s">
        <v>87</v>
      </c>
      <c r="D24" s="91"/>
      <c r="E24" s="62"/>
      <c r="F24" s="62"/>
      <c r="G24" s="62">
        <f t="shared" si="29"/>
        <v>0</v>
      </c>
      <c r="H24" s="63">
        <f t="shared" si="30"/>
        <v>0</v>
      </c>
      <c r="I24" s="119"/>
      <c r="J24" s="120"/>
      <c r="K24" s="121"/>
      <c r="L24" s="122"/>
      <c r="M24" s="58"/>
      <c r="N24" s="58"/>
      <c r="O24" s="59"/>
      <c r="P24" s="56"/>
      <c r="Q24" s="60"/>
      <c r="R24" s="61">
        <f t="shared" si="13"/>
        <v>0</v>
      </c>
      <c r="S24" s="62">
        <f t="shared" si="14"/>
        <v>0</v>
      </c>
      <c r="T24" s="63">
        <f t="shared" si="15"/>
        <v>0</v>
      </c>
      <c r="U24" s="64"/>
      <c r="V24" s="65"/>
      <c r="W24" s="66"/>
      <c r="X24" s="67"/>
      <c r="Y24" s="68"/>
      <c r="Z24" s="68"/>
      <c r="AA24" s="62">
        <f t="shared" si="16"/>
        <v>0</v>
      </c>
      <c r="AB24" s="63">
        <f t="shared" si="17"/>
        <v>0</v>
      </c>
      <c r="AC24" s="69"/>
      <c r="AD24" s="70"/>
      <c r="AE24" s="70"/>
      <c r="AF24" s="62">
        <f t="shared" si="18"/>
        <v>0</v>
      </c>
      <c r="AG24" s="63">
        <f t="shared" si="19"/>
        <v>0</v>
      </c>
      <c r="AH24" s="89"/>
      <c r="AI24" s="66"/>
      <c r="AJ24" s="66"/>
      <c r="AK24" s="62">
        <f t="shared" si="20"/>
        <v>0</v>
      </c>
      <c r="AL24" s="72">
        <f t="shared" si="21"/>
        <v>0</v>
      </c>
      <c r="AM24" s="73">
        <f t="shared" si="22"/>
        <v>0</v>
      </c>
      <c r="AN24" s="74">
        <f t="shared" si="23"/>
        <v>0</v>
      </c>
      <c r="AO24" s="74">
        <f t="shared" si="24"/>
        <v>0</v>
      </c>
      <c r="AP24" s="75" t="e">
        <f t="shared" si="25"/>
        <v>#DIV/0!</v>
      </c>
      <c r="AQ24" s="76">
        <f t="shared" si="26"/>
        <v>0</v>
      </c>
      <c r="AR24" s="77">
        <f t="shared" si="27"/>
        <v>0</v>
      </c>
      <c r="AT24" s="77"/>
      <c r="AU24" s="77"/>
      <c r="AV24" s="77"/>
      <c r="AW24">
        <f>SUM(AW22:AW23)</f>
        <v>0</v>
      </c>
    </row>
    <row r="25" spans="1:49" x14ac:dyDescent="0.25">
      <c r="A25" t="str">
        <f t="shared" si="12"/>
        <v>46184E</v>
      </c>
      <c r="B25" s="51">
        <f t="shared" si="28"/>
        <v>46184</v>
      </c>
      <c r="C25" s="52" t="s">
        <v>88</v>
      </c>
      <c r="D25" s="91"/>
      <c r="E25" s="62"/>
      <c r="F25" s="62"/>
      <c r="G25" s="62">
        <f t="shared" si="29"/>
        <v>0</v>
      </c>
      <c r="H25" s="63">
        <f t="shared" si="30"/>
        <v>0</v>
      </c>
      <c r="I25" s="119"/>
      <c r="J25" s="120"/>
      <c r="K25" s="121"/>
      <c r="L25" s="122"/>
      <c r="M25" s="58"/>
      <c r="N25" s="58"/>
      <c r="O25" s="59"/>
      <c r="P25" s="56"/>
      <c r="Q25" s="60"/>
      <c r="R25" s="61">
        <f t="shared" si="13"/>
        <v>0</v>
      </c>
      <c r="S25" s="62">
        <f t="shared" si="14"/>
        <v>0</v>
      </c>
      <c r="T25" s="63">
        <f t="shared" si="15"/>
        <v>0</v>
      </c>
      <c r="U25" s="64"/>
      <c r="V25" s="65"/>
      <c r="W25" s="66"/>
      <c r="X25" s="67"/>
      <c r="Y25" s="68"/>
      <c r="Z25" s="68"/>
      <c r="AA25" s="62">
        <f t="shared" si="16"/>
        <v>0</v>
      </c>
      <c r="AB25" s="63">
        <f t="shared" si="17"/>
        <v>0</v>
      </c>
      <c r="AC25" s="69"/>
      <c r="AD25" s="70"/>
      <c r="AE25" s="70"/>
      <c r="AF25" s="62">
        <f t="shared" si="18"/>
        <v>0</v>
      </c>
      <c r="AG25" s="63">
        <f t="shared" si="19"/>
        <v>0</v>
      </c>
      <c r="AH25" s="89"/>
      <c r="AI25" s="66"/>
      <c r="AJ25" s="66"/>
      <c r="AK25" s="62">
        <f t="shared" si="20"/>
        <v>0</v>
      </c>
      <c r="AL25" s="72">
        <f t="shared" si="21"/>
        <v>0</v>
      </c>
      <c r="AM25" s="73">
        <f t="shared" si="22"/>
        <v>0</v>
      </c>
      <c r="AN25" s="74">
        <f t="shared" si="23"/>
        <v>0</v>
      </c>
      <c r="AO25" s="74">
        <f t="shared" si="24"/>
        <v>0</v>
      </c>
      <c r="AP25" s="75" t="e">
        <f t="shared" si="25"/>
        <v>#DIV/0!</v>
      </c>
      <c r="AQ25" s="76">
        <f t="shared" si="26"/>
        <v>0</v>
      </c>
      <c r="AR25" s="77">
        <f t="shared" si="27"/>
        <v>0</v>
      </c>
    </row>
    <row r="26" spans="1:49" x14ac:dyDescent="0.25">
      <c r="A26" t="str">
        <f t="shared" si="12"/>
        <v>46185M</v>
      </c>
      <c r="B26" s="51">
        <f t="shared" si="28"/>
        <v>46185</v>
      </c>
      <c r="C26" s="52" t="s">
        <v>87</v>
      </c>
      <c r="D26" s="91"/>
      <c r="E26" s="62"/>
      <c r="F26" s="62"/>
      <c r="G26" s="62">
        <f t="shared" si="29"/>
        <v>0</v>
      </c>
      <c r="H26" s="63">
        <f t="shared" si="30"/>
        <v>0</v>
      </c>
      <c r="I26" s="119"/>
      <c r="J26" s="120"/>
      <c r="K26" s="121"/>
      <c r="L26" s="122"/>
      <c r="M26" s="58"/>
      <c r="N26" s="58"/>
      <c r="O26" s="59"/>
      <c r="P26" s="56"/>
      <c r="Q26" s="60"/>
      <c r="R26" s="61">
        <f t="shared" si="13"/>
        <v>0</v>
      </c>
      <c r="S26" s="62">
        <f t="shared" si="14"/>
        <v>0</v>
      </c>
      <c r="T26" s="63">
        <f t="shared" si="15"/>
        <v>0</v>
      </c>
      <c r="U26" s="64"/>
      <c r="V26" s="65"/>
      <c r="W26" s="66"/>
      <c r="X26" s="67"/>
      <c r="Y26" s="68"/>
      <c r="Z26" s="68"/>
      <c r="AA26" s="62">
        <f t="shared" si="16"/>
        <v>0</v>
      </c>
      <c r="AB26" s="63">
        <f t="shared" si="17"/>
        <v>0</v>
      </c>
      <c r="AC26" s="69"/>
      <c r="AD26" s="70"/>
      <c r="AE26" s="70"/>
      <c r="AF26" s="62">
        <f t="shared" si="18"/>
        <v>0</v>
      </c>
      <c r="AG26" s="63">
        <f t="shared" si="19"/>
        <v>0</v>
      </c>
      <c r="AH26" s="89"/>
      <c r="AI26" s="66"/>
      <c r="AJ26" s="66"/>
      <c r="AK26" s="62">
        <f t="shared" si="20"/>
        <v>0</v>
      </c>
      <c r="AL26" s="72">
        <f t="shared" si="21"/>
        <v>0</v>
      </c>
      <c r="AM26" s="73">
        <f t="shared" si="22"/>
        <v>0</v>
      </c>
      <c r="AN26" s="74">
        <f t="shared" si="23"/>
        <v>0</v>
      </c>
      <c r="AO26" s="74">
        <f t="shared" si="24"/>
        <v>0</v>
      </c>
      <c r="AP26" s="75" t="e">
        <f t="shared" si="25"/>
        <v>#DIV/0!</v>
      </c>
      <c r="AQ26" s="76">
        <f t="shared" si="26"/>
        <v>0</v>
      </c>
      <c r="AR26" s="77">
        <f t="shared" si="27"/>
        <v>0</v>
      </c>
    </row>
    <row r="27" spans="1:49" x14ac:dyDescent="0.25">
      <c r="A27" t="str">
        <f t="shared" si="12"/>
        <v>46185E</v>
      </c>
      <c r="B27" s="51">
        <f t="shared" si="28"/>
        <v>46185</v>
      </c>
      <c r="C27" s="52" t="s">
        <v>88</v>
      </c>
      <c r="D27" s="91"/>
      <c r="E27" s="62"/>
      <c r="F27" s="62"/>
      <c r="G27" s="62">
        <f t="shared" si="29"/>
        <v>0</v>
      </c>
      <c r="H27" s="63">
        <f t="shared" si="30"/>
        <v>0</v>
      </c>
      <c r="I27" s="119"/>
      <c r="J27" s="120"/>
      <c r="K27" s="121"/>
      <c r="L27" s="122"/>
      <c r="M27" s="58"/>
      <c r="N27" s="58"/>
      <c r="O27" s="59"/>
      <c r="P27" s="56"/>
      <c r="Q27" s="60"/>
      <c r="R27" s="61">
        <f t="shared" si="13"/>
        <v>0</v>
      </c>
      <c r="S27" s="62">
        <f t="shared" si="14"/>
        <v>0</v>
      </c>
      <c r="T27" s="63">
        <f t="shared" si="15"/>
        <v>0</v>
      </c>
      <c r="U27" s="64"/>
      <c r="V27" s="65"/>
      <c r="W27" s="66"/>
      <c r="X27" s="67"/>
      <c r="Y27" s="68"/>
      <c r="Z27" s="68"/>
      <c r="AA27" s="62">
        <f t="shared" si="16"/>
        <v>0</v>
      </c>
      <c r="AB27" s="63">
        <f t="shared" si="17"/>
        <v>0</v>
      </c>
      <c r="AC27" s="69"/>
      <c r="AD27" s="70"/>
      <c r="AE27" s="70"/>
      <c r="AF27" s="62">
        <f t="shared" si="18"/>
        <v>0</v>
      </c>
      <c r="AG27" s="63">
        <f t="shared" si="19"/>
        <v>0</v>
      </c>
      <c r="AH27" s="89"/>
      <c r="AI27" s="66"/>
      <c r="AJ27" s="66"/>
      <c r="AK27" s="62">
        <f t="shared" si="20"/>
        <v>0</v>
      </c>
      <c r="AL27" s="72">
        <f t="shared" si="21"/>
        <v>0</v>
      </c>
      <c r="AM27" s="73">
        <f t="shared" si="22"/>
        <v>0</v>
      </c>
      <c r="AN27" s="74">
        <f t="shared" si="23"/>
        <v>0</v>
      </c>
      <c r="AO27" s="74">
        <f t="shared" si="24"/>
        <v>0</v>
      </c>
      <c r="AP27" s="75" t="e">
        <f t="shared" si="25"/>
        <v>#DIV/0!</v>
      </c>
      <c r="AQ27" s="76">
        <f t="shared" si="26"/>
        <v>0</v>
      </c>
      <c r="AR27" s="77">
        <f t="shared" si="27"/>
        <v>0</v>
      </c>
    </row>
    <row r="28" spans="1:49" x14ac:dyDescent="0.25">
      <c r="A28" t="str">
        <f t="shared" si="12"/>
        <v>46186M</v>
      </c>
      <c r="B28" s="51">
        <f t="shared" si="28"/>
        <v>46186</v>
      </c>
      <c r="C28" s="52" t="s">
        <v>87</v>
      </c>
      <c r="D28" s="91"/>
      <c r="E28" s="62"/>
      <c r="F28" s="62"/>
      <c r="G28" s="62">
        <f t="shared" si="29"/>
        <v>0</v>
      </c>
      <c r="H28" s="63">
        <f t="shared" si="30"/>
        <v>0</v>
      </c>
      <c r="I28" s="119"/>
      <c r="J28" s="120"/>
      <c r="K28" s="121"/>
      <c r="L28" s="122"/>
      <c r="M28" s="58"/>
      <c r="N28" s="58"/>
      <c r="O28" s="59"/>
      <c r="P28" s="56"/>
      <c r="Q28" s="60"/>
      <c r="R28" s="61">
        <f t="shared" si="13"/>
        <v>0</v>
      </c>
      <c r="S28" s="62">
        <f t="shared" si="14"/>
        <v>0</v>
      </c>
      <c r="T28" s="63">
        <f t="shared" si="15"/>
        <v>0</v>
      </c>
      <c r="U28" s="64"/>
      <c r="V28" s="65"/>
      <c r="W28" s="66"/>
      <c r="X28" s="67"/>
      <c r="Y28" s="68"/>
      <c r="Z28" s="68"/>
      <c r="AA28" s="62">
        <f t="shared" si="16"/>
        <v>0</v>
      </c>
      <c r="AB28" s="63">
        <f t="shared" si="17"/>
        <v>0</v>
      </c>
      <c r="AC28" s="69"/>
      <c r="AD28" s="70"/>
      <c r="AE28" s="70"/>
      <c r="AF28" s="62">
        <f t="shared" si="18"/>
        <v>0</v>
      </c>
      <c r="AG28" s="63">
        <f t="shared" si="19"/>
        <v>0</v>
      </c>
      <c r="AH28" s="89"/>
      <c r="AI28" s="66"/>
      <c r="AJ28" s="66"/>
      <c r="AK28" s="62">
        <f t="shared" si="20"/>
        <v>0</v>
      </c>
      <c r="AL28" s="72">
        <f t="shared" si="21"/>
        <v>0</v>
      </c>
      <c r="AM28" s="73">
        <f t="shared" si="22"/>
        <v>0</v>
      </c>
      <c r="AN28" s="74">
        <f t="shared" si="23"/>
        <v>0</v>
      </c>
      <c r="AO28" s="74">
        <f t="shared" si="24"/>
        <v>0</v>
      </c>
      <c r="AP28" s="75" t="e">
        <f t="shared" si="25"/>
        <v>#DIV/0!</v>
      </c>
      <c r="AQ28" s="76">
        <f t="shared" si="26"/>
        <v>0</v>
      </c>
      <c r="AR28" s="77">
        <f t="shared" si="27"/>
        <v>0</v>
      </c>
    </row>
    <row r="29" spans="1:49" x14ac:dyDescent="0.25">
      <c r="A29" t="str">
        <f t="shared" si="12"/>
        <v>46186E</v>
      </c>
      <c r="B29" s="51">
        <f t="shared" si="28"/>
        <v>46186</v>
      </c>
      <c r="C29" s="52" t="s">
        <v>88</v>
      </c>
      <c r="D29" s="91"/>
      <c r="E29" s="62"/>
      <c r="F29" s="62"/>
      <c r="G29" s="62">
        <f t="shared" si="29"/>
        <v>0</v>
      </c>
      <c r="H29" s="63">
        <f t="shared" si="30"/>
        <v>0</v>
      </c>
      <c r="I29" s="119"/>
      <c r="J29" s="120"/>
      <c r="K29" s="121"/>
      <c r="L29" s="122"/>
      <c r="M29" s="58"/>
      <c r="N29" s="58"/>
      <c r="O29" s="59"/>
      <c r="P29" s="56"/>
      <c r="Q29" s="60"/>
      <c r="R29" s="61">
        <f t="shared" si="13"/>
        <v>0</v>
      </c>
      <c r="S29" s="62">
        <f t="shared" si="14"/>
        <v>0</v>
      </c>
      <c r="T29" s="63">
        <f t="shared" si="15"/>
        <v>0</v>
      </c>
      <c r="U29" s="64"/>
      <c r="V29" s="65"/>
      <c r="W29" s="66"/>
      <c r="X29" s="67"/>
      <c r="Y29" s="68"/>
      <c r="Z29" s="68"/>
      <c r="AA29" s="62">
        <f t="shared" si="16"/>
        <v>0</v>
      </c>
      <c r="AB29" s="63">
        <f t="shared" si="17"/>
        <v>0</v>
      </c>
      <c r="AC29" s="69"/>
      <c r="AD29" s="70"/>
      <c r="AE29" s="70"/>
      <c r="AF29" s="62">
        <f t="shared" si="18"/>
        <v>0</v>
      </c>
      <c r="AG29" s="63">
        <f t="shared" si="19"/>
        <v>0</v>
      </c>
      <c r="AH29" s="89"/>
      <c r="AI29" s="66"/>
      <c r="AJ29" s="66"/>
      <c r="AK29" s="62">
        <f t="shared" si="20"/>
        <v>0</v>
      </c>
      <c r="AL29" s="72">
        <f t="shared" si="21"/>
        <v>0</v>
      </c>
      <c r="AM29" s="73">
        <f t="shared" si="22"/>
        <v>0</v>
      </c>
      <c r="AN29" s="74">
        <f t="shared" si="23"/>
        <v>0</v>
      </c>
      <c r="AO29" s="74">
        <f t="shared" si="24"/>
        <v>0</v>
      </c>
      <c r="AP29" s="75" t="e">
        <f t="shared" si="25"/>
        <v>#DIV/0!</v>
      </c>
      <c r="AQ29" s="76">
        <f t="shared" si="26"/>
        <v>0</v>
      </c>
      <c r="AR29" s="77">
        <f t="shared" si="27"/>
        <v>0</v>
      </c>
    </row>
    <row r="30" spans="1:49" x14ac:dyDescent="0.25">
      <c r="A30" t="str">
        <f t="shared" si="12"/>
        <v>46187M</v>
      </c>
      <c r="B30" s="51">
        <f t="shared" si="28"/>
        <v>46187</v>
      </c>
      <c r="C30" s="52" t="s">
        <v>87</v>
      </c>
      <c r="D30" s="91"/>
      <c r="E30" s="62"/>
      <c r="F30" s="62"/>
      <c r="G30" s="62">
        <f t="shared" si="29"/>
        <v>0</v>
      </c>
      <c r="H30" s="63">
        <f t="shared" si="30"/>
        <v>0</v>
      </c>
      <c r="I30" s="119"/>
      <c r="J30" s="120"/>
      <c r="K30" s="121"/>
      <c r="L30" s="122"/>
      <c r="M30" s="58"/>
      <c r="N30" s="58"/>
      <c r="O30" s="59"/>
      <c r="P30" s="56"/>
      <c r="Q30" s="60"/>
      <c r="R30" s="61">
        <f t="shared" si="13"/>
        <v>0</v>
      </c>
      <c r="S30" s="62">
        <f t="shared" si="14"/>
        <v>0</v>
      </c>
      <c r="T30" s="63">
        <f t="shared" si="15"/>
        <v>0</v>
      </c>
      <c r="U30" s="64"/>
      <c r="V30" s="65"/>
      <c r="W30" s="66"/>
      <c r="X30" s="67"/>
      <c r="Y30" s="68"/>
      <c r="Z30" s="68"/>
      <c r="AA30" s="62">
        <f t="shared" si="16"/>
        <v>0</v>
      </c>
      <c r="AB30" s="63">
        <f t="shared" si="17"/>
        <v>0</v>
      </c>
      <c r="AC30" s="69"/>
      <c r="AD30" s="70"/>
      <c r="AE30" s="70"/>
      <c r="AF30" s="62">
        <f t="shared" si="18"/>
        <v>0</v>
      </c>
      <c r="AG30" s="63">
        <f t="shared" si="19"/>
        <v>0</v>
      </c>
      <c r="AH30" s="89"/>
      <c r="AI30" s="66"/>
      <c r="AJ30" s="66"/>
      <c r="AK30" s="62">
        <f t="shared" si="20"/>
        <v>0</v>
      </c>
      <c r="AL30" s="72">
        <f t="shared" si="21"/>
        <v>0</v>
      </c>
      <c r="AM30" s="73">
        <f t="shared" si="22"/>
        <v>0</v>
      </c>
      <c r="AN30" s="74">
        <f t="shared" si="23"/>
        <v>0</v>
      </c>
      <c r="AO30" s="74">
        <f t="shared" si="24"/>
        <v>0</v>
      </c>
      <c r="AP30" s="75" t="e">
        <f t="shared" si="25"/>
        <v>#DIV/0!</v>
      </c>
      <c r="AQ30" s="76">
        <f t="shared" si="26"/>
        <v>0</v>
      </c>
      <c r="AR30" s="77">
        <f t="shared" si="27"/>
        <v>0</v>
      </c>
    </row>
    <row r="31" spans="1:49" x14ac:dyDescent="0.25">
      <c r="A31" t="str">
        <f t="shared" si="12"/>
        <v>46187E</v>
      </c>
      <c r="B31" s="51">
        <f t="shared" si="28"/>
        <v>46187</v>
      </c>
      <c r="C31" s="52" t="s">
        <v>88</v>
      </c>
      <c r="D31" s="91"/>
      <c r="E31" s="62"/>
      <c r="F31" s="62"/>
      <c r="G31" s="62">
        <f t="shared" si="29"/>
        <v>0</v>
      </c>
      <c r="H31" s="63">
        <f t="shared" si="30"/>
        <v>0</v>
      </c>
      <c r="I31" s="119"/>
      <c r="J31" s="120"/>
      <c r="K31" s="121"/>
      <c r="L31" s="122"/>
      <c r="M31" s="58"/>
      <c r="N31" s="58"/>
      <c r="O31" s="59"/>
      <c r="P31" s="56"/>
      <c r="Q31" s="60"/>
      <c r="R31" s="61">
        <f t="shared" si="13"/>
        <v>0</v>
      </c>
      <c r="S31" s="62">
        <f t="shared" si="14"/>
        <v>0</v>
      </c>
      <c r="T31" s="63">
        <f t="shared" si="15"/>
        <v>0</v>
      </c>
      <c r="U31" s="64"/>
      <c r="V31" s="85"/>
      <c r="W31" s="66"/>
      <c r="X31" s="67"/>
      <c r="Y31" s="68"/>
      <c r="Z31" s="68"/>
      <c r="AA31" s="62">
        <f t="shared" si="16"/>
        <v>0</v>
      </c>
      <c r="AB31" s="63">
        <f t="shared" si="17"/>
        <v>0</v>
      </c>
      <c r="AC31" s="69"/>
      <c r="AD31" s="70"/>
      <c r="AE31" s="70"/>
      <c r="AF31" s="62">
        <f t="shared" si="18"/>
        <v>0</v>
      </c>
      <c r="AG31" s="63">
        <f t="shared" si="19"/>
        <v>0</v>
      </c>
      <c r="AH31" s="89"/>
      <c r="AI31" s="66"/>
      <c r="AJ31" s="66"/>
      <c r="AK31" s="62">
        <f t="shared" si="20"/>
        <v>0</v>
      </c>
      <c r="AL31" s="72">
        <f t="shared" si="21"/>
        <v>0</v>
      </c>
      <c r="AM31" s="73">
        <f t="shared" si="22"/>
        <v>0</v>
      </c>
      <c r="AN31" s="74">
        <f t="shared" si="23"/>
        <v>0</v>
      </c>
      <c r="AO31" s="74">
        <f t="shared" si="24"/>
        <v>0</v>
      </c>
      <c r="AP31" s="75" t="e">
        <f t="shared" si="25"/>
        <v>#DIV/0!</v>
      </c>
      <c r="AQ31" s="76">
        <f t="shared" si="26"/>
        <v>0</v>
      </c>
      <c r="AR31" s="77">
        <f t="shared" si="27"/>
        <v>0</v>
      </c>
    </row>
    <row r="32" spans="1:49" x14ac:dyDescent="0.25">
      <c r="A32" t="str">
        <f t="shared" si="12"/>
        <v>46188M</v>
      </c>
      <c r="B32" s="51">
        <f t="shared" si="28"/>
        <v>46188</v>
      </c>
      <c r="C32" s="52" t="s">
        <v>87</v>
      </c>
      <c r="D32" s="91"/>
      <c r="E32" s="62"/>
      <c r="F32" s="62"/>
      <c r="G32" s="62">
        <f t="shared" si="29"/>
        <v>0</v>
      </c>
      <c r="H32" s="63">
        <f t="shared" si="30"/>
        <v>0</v>
      </c>
      <c r="I32" s="119"/>
      <c r="J32" s="120"/>
      <c r="K32" s="121"/>
      <c r="L32" s="122"/>
      <c r="M32" s="58"/>
      <c r="N32" s="58"/>
      <c r="O32" s="59"/>
      <c r="P32" s="56"/>
      <c r="Q32" s="60"/>
      <c r="R32" s="61">
        <f t="shared" si="13"/>
        <v>0</v>
      </c>
      <c r="S32" s="62">
        <f t="shared" si="14"/>
        <v>0</v>
      </c>
      <c r="T32" s="63">
        <f t="shared" si="15"/>
        <v>0</v>
      </c>
      <c r="U32" s="64"/>
      <c r="V32" s="65"/>
      <c r="W32" s="66"/>
      <c r="X32" s="67"/>
      <c r="Y32" s="68"/>
      <c r="Z32" s="68"/>
      <c r="AA32" s="62">
        <f t="shared" si="16"/>
        <v>0</v>
      </c>
      <c r="AB32" s="63">
        <f t="shared" si="17"/>
        <v>0</v>
      </c>
      <c r="AC32" s="69"/>
      <c r="AD32" s="70"/>
      <c r="AE32" s="70"/>
      <c r="AF32" s="62">
        <f t="shared" si="18"/>
        <v>0</v>
      </c>
      <c r="AG32" s="63">
        <f t="shared" si="19"/>
        <v>0</v>
      </c>
      <c r="AH32" s="89"/>
      <c r="AI32" s="66"/>
      <c r="AJ32" s="66"/>
      <c r="AK32" s="62">
        <f t="shared" si="20"/>
        <v>0</v>
      </c>
      <c r="AL32" s="72">
        <f t="shared" si="21"/>
        <v>0</v>
      </c>
      <c r="AM32" s="73">
        <f t="shared" si="22"/>
        <v>0</v>
      </c>
      <c r="AN32" s="74">
        <f t="shared" si="23"/>
        <v>0</v>
      </c>
      <c r="AO32" s="74">
        <f t="shared" si="24"/>
        <v>0</v>
      </c>
      <c r="AP32" s="75" t="e">
        <f t="shared" si="25"/>
        <v>#DIV/0!</v>
      </c>
      <c r="AQ32" s="76">
        <f t="shared" si="26"/>
        <v>0</v>
      </c>
      <c r="AR32" s="77">
        <f t="shared" si="27"/>
        <v>0</v>
      </c>
    </row>
    <row r="33" spans="1:44" x14ac:dyDescent="0.25">
      <c r="A33" t="str">
        <f t="shared" si="12"/>
        <v>46188E</v>
      </c>
      <c r="B33" s="51">
        <f t="shared" si="28"/>
        <v>46188</v>
      </c>
      <c r="C33" s="52" t="s">
        <v>88</v>
      </c>
      <c r="D33" s="91"/>
      <c r="E33" s="62"/>
      <c r="F33" s="62"/>
      <c r="G33" s="62">
        <f t="shared" si="29"/>
        <v>0</v>
      </c>
      <c r="H33" s="63">
        <f t="shared" si="30"/>
        <v>0</v>
      </c>
      <c r="I33" s="119"/>
      <c r="J33" s="120"/>
      <c r="K33" s="121"/>
      <c r="L33" s="122"/>
      <c r="M33" s="58"/>
      <c r="N33" s="58"/>
      <c r="O33" s="59"/>
      <c r="P33" s="56"/>
      <c r="Q33" s="60"/>
      <c r="R33" s="61">
        <f t="shared" si="13"/>
        <v>0</v>
      </c>
      <c r="S33" s="62">
        <f t="shared" si="14"/>
        <v>0</v>
      </c>
      <c r="T33" s="63">
        <f t="shared" si="15"/>
        <v>0</v>
      </c>
      <c r="U33" s="64"/>
      <c r="V33" s="65"/>
      <c r="W33" s="66"/>
      <c r="X33" s="67"/>
      <c r="Y33" s="68"/>
      <c r="Z33" s="68"/>
      <c r="AA33" s="62">
        <f t="shared" si="16"/>
        <v>0</v>
      </c>
      <c r="AB33" s="63">
        <f t="shared" si="17"/>
        <v>0</v>
      </c>
      <c r="AC33" s="69"/>
      <c r="AD33" s="70"/>
      <c r="AE33" s="70"/>
      <c r="AF33" s="62">
        <f t="shared" si="18"/>
        <v>0</v>
      </c>
      <c r="AG33" s="63">
        <f t="shared" si="19"/>
        <v>0</v>
      </c>
      <c r="AH33" s="89"/>
      <c r="AI33" s="66"/>
      <c r="AJ33" s="66"/>
      <c r="AK33" s="62">
        <f t="shared" si="20"/>
        <v>0</v>
      </c>
      <c r="AL33" s="72">
        <f t="shared" si="21"/>
        <v>0</v>
      </c>
      <c r="AM33" s="73">
        <f t="shared" si="22"/>
        <v>0</v>
      </c>
      <c r="AN33" s="74">
        <f t="shared" si="23"/>
        <v>0</v>
      </c>
      <c r="AO33" s="74">
        <f t="shared" si="24"/>
        <v>0</v>
      </c>
      <c r="AP33" s="75" t="e">
        <f t="shared" si="25"/>
        <v>#DIV/0!</v>
      </c>
      <c r="AQ33" s="76">
        <f t="shared" si="26"/>
        <v>0</v>
      </c>
      <c r="AR33" s="77">
        <f t="shared" si="27"/>
        <v>0</v>
      </c>
    </row>
    <row r="34" spans="1:44" x14ac:dyDescent="0.25">
      <c r="A34" t="str">
        <f t="shared" si="12"/>
        <v>46189M</v>
      </c>
      <c r="B34" s="51">
        <f t="shared" si="28"/>
        <v>46189</v>
      </c>
      <c r="C34" s="52" t="s">
        <v>87</v>
      </c>
      <c r="D34" s="91"/>
      <c r="E34" s="62"/>
      <c r="F34" s="62"/>
      <c r="G34" s="62">
        <f t="shared" si="29"/>
        <v>0</v>
      </c>
      <c r="H34" s="63">
        <f t="shared" si="30"/>
        <v>0</v>
      </c>
      <c r="I34" s="119"/>
      <c r="J34" s="120"/>
      <c r="K34" s="121"/>
      <c r="L34" s="122"/>
      <c r="M34" s="58"/>
      <c r="N34" s="58"/>
      <c r="O34" s="59"/>
      <c r="P34" s="56"/>
      <c r="Q34" s="60"/>
      <c r="R34" s="61">
        <f t="shared" si="13"/>
        <v>0</v>
      </c>
      <c r="S34" s="62">
        <f t="shared" si="14"/>
        <v>0</v>
      </c>
      <c r="T34" s="63">
        <f t="shared" si="15"/>
        <v>0</v>
      </c>
      <c r="U34" s="64"/>
      <c r="V34" s="65"/>
      <c r="W34" s="66"/>
      <c r="X34" s="67"/>
      <c r="Y34" s="68"/>
      <c r="Z34" s="68"/>
      <c r="AA34" s="62">
        <f t="shared" si="16"/>
        <v>0</v>
      </c>
      <c r="AB34" s="63">
        <f t="shared" si="17"/>
        <v>0</v>
      </c>
      <c r="AC34" s="69"/>
      <c r="AD34" s="70"/>
      <c r="AE34" s="70"/>
      <c r="AF34" s="62">
        <f t="shared" si="18"/>
        <v>0</v>
      </c>
      <c r="AG34" s="63">
        <f t="shared" si="19"/>
        <v>0</v>
      </c>
      <c r="AH34" s="89"/>
      <c r="AI34" s="66"/>
      <c r="AJ34" s="66"/>
      <c r="AK34" s="62">
        <f t="shared" si="20"/>
        <v>0</v>
      </c>
      <c r="AL34" s="72">
        <f t="shared" si="21"/>
        <v>0</v>
      </c>
      <c r="AM34" s="73">
        <f t="shared" si="22"/>
        <v>0</v>
      </c>
      <c r="AN34" s="74">
        <f t="shared" si="23"/>
        <v>0</v>
      </c>
      <c r="AO34" s="74">
        <f t="shared" si="24"/>
        <v>0</v>
      </c>
      <c r="AP34" s="75" t="e">
        <f t="shared" si="25"/>
        <v>#DIV/0!</v>
      </c>
      <c r="AQ34" s="76">
        <f t="shared" si="26"/>
        <v>0</v>
      </c>
      <c r="AR34" s="77">
        <f t="shared" si="27"/>
        <v>0</v>
      </c>
    </row>
    <row r="35" spans="1:44" x14ac:dyDescent="0.25">
      <c r="A35" t="str">
        <f t="shared" si="12"/>
        <v>46189E</v>
      </c>
      <c r="B35" s="51">
        <f t="shared" si="28"/>
        <v>46189</v>
      </c>
      <c r="C35" s="52" t="s">
        <v>88</v>
      </c>
      <c r="D35" s="91"/>
      <c r="E35" s="62"/>
      <c r="F35" s="62"/>
      <c r="G35" s="62">
        <f t="shared" si="29"/>
        <v>0</v>
      </c>
      <c r="H35" s="63">
        <f t="shared" si="30"/>
        <v>0</v>
      </c>
      <c r="I35" s="119"/>
      <c r="J35" s="120"/>
      <c r="K35" s="121"/>
      <c r="L35" s="122"/>
      <c r="M35" s="58"/>
      <c r="N35" s="58"/>
      <c r="O35" s="59"/>
      <c r="P35" s="56"/>
      <c r="Q35" s="60"/>
      <c r="R35" s="61">
        <f t="shared" si="13"/>
        <v>0</v>
      </c>
      <c r="S35" s="62">
        <f t="shared" si="14"/>
        <v>0</v>
      </c>
      <c r="T35" s="63">
        <f t="shared" si="15"/>
        <v>0</v>
      </c>
      <c r="U35" s="64"/>
      <c r="V35" s="65"/>
      <c r="W35" s="66"/>
      <c r="X35" s="67"/>
      <c r="Y35" s="68"/>
      <c r="Z35" s="68"/>
      <c r="AA35" s="62">
        <f t="shared" si="16"/>
        <v>0</v>
      </c>
      <c r="AB35" s="63">
        <f t="shared" si="17"/>
        <v>0</v>
      </c>
      <c r="AC35" s="69"/>
      <c r="AD35" s="70"/>
      <c r="AE35" s="70"/>
      <c r="AF35" s="62">
        <f t="shared" si="18"/>
        <v>0</v>
      </c>
      <c r="AG35" s="63">
        <f t="shared" si="19"/>
        <v>0</v>
      </c>
      <c r="AH35" s="89"/>
      <c r="AI35" s="66"/>
      <c r="AJ35" s="66"/>
      <c r="AK35" s="62">
        <f t="shared" si="20"/>
        <v>0</v>
      </c>
      <c r="AL35" s="72">
        <f t="shared" si="21"/>
        <v>0</v>
      </c>
      <c r="AM35" s="73">
        <f t="shared" si="22"/>
        <v>0</v>
      </c>
      <c r="AN35" s="74">
        <f t="shared" si="23"/>
        <v>0</v>
      </c>
      <c r="AO35" s="74">
        <f t="shared" si="24"/>
        <v>0</v>
      </c>
      <c r="AP35" s="75" t="e">
        <f t="shared" si="25"/>
        <v>#DIV/0!</v>
      </c>
      <c r="AQ35" s="76">
        <f t="shared" si="26"/>
        <v>0</v>
      </c>
      <c r="AR35" s="77">
        <f t="shared" si="27"/>
        <v>0</v>
      </c>
    </row>
    <row r="36" spans="1:44" x14ac:dyDescent="0.25">
      <c r="A36" t="str">
        <f t="shared" si="12"/>
        <v>46190M</v>
      </c>
      <c r="B36" s="51">
        <f t="shared" si="28"/>
        <v>46190</v>
      </c>
      <c r="C36" s="52" t="s">
        <v>87</v>
      </c>
      <c r="D36" s="91"/>
      <c r="E36" s="62"/>
      <c r="F36" s="62"/>
      <c r="G36" s="62">
        <f t="shared" si="29"/>
        <v>0</v>
      </c>
      <c r="H36" s="63">
        <f t="shared" si="30"/>
        <v>0</v>
      </c>
      <c r="I36" s="119"/>
      <c r="J36" s="120"/>
      <c r="K36" s="121"/>
      <c r="L36" s="122"/>
      <c r="M36" s="58"/>
      <c r="N36" s="58"/>
      <c r="O36" s="59"/>
      <c r="P36" s="56"/>
      <c r="Q36" s="60"/>
      <c r="R36" s="61">
        <f t="shared" si="13"/>
        <v>0</v>
      </c>
      <c r="S36" s="62">
        <f t="shared" si="14"/>
        <v>0</v>
      </c>
      <c r="T36" s="63">
        <f t="shared" si="15"/>
        <v>0</v>
      </c>
      <c r="U36" s="64"/>
      <c r="V36" s="85"/>
      <c r="W36" s="66"/>
      <c r="X36" s="67"/>
      <c r="Y36" s="68"/>
      <c r="Z36" s="68"/>
      <c r="AA36" s="62">
        <f t="shared" si="16"/>
        <v>0</v>
      </c>
      <c r="AB36" s="63">
        <f t="shared" si="17"/>
        <v>0</v>
      </c>
      <c r="AC36" s="69"/>
      <c r="AD36" s="70"/>
      <c r="AE36" s="70"/>
      <c r="AF36" s="62">
        <f t="shared" si="18"/>
        <v>0</v>
      </c>
      <c r="AG36" s="63">
        <f t="shared" si="19"/>
        <v>0</v>
      </c>
      <c r="AH36" s="89"/>
      <c r="AI36" s="66"/>
      <c r="AJ36" s="66"/>
      <c r="AK36" s="62">
        <f t="shared" si="20"/>
        <v>0</v>
      </c>
      <c r="AL36" s="72">
        <f t="shared" si="21"/>
        <v>0</v>
      </c>
      <c r="AM36" s="73">
        <f t="shared" si="22"/>
        <v>0</v>
      </c>
      <c r="AN36" s="74">
        <f t="shared" si="23"/>
        <v>0</v>
      </c>
      <c r="AO36" s="74">
        <f t="shared" si="24"/>
        <v>0</v>
      </c>
      <c r="AP36" s="75" t="e">
        <f t="shared" si="25"/>
        <v>#DIV/0!</v>
      </c>
      <c r="AQ36" s="76">
        <f t="shared" si="26"/>
        <v>0</v>
      </c>
      <c r="AR36" s="77">
        <f t="shared" si="27"/>
        <v>0</v>
      </c>
    </row>
    <row r="37" spans="1:44" x14ac:dyDescent="0.25">
      <c r="A37" t="str">
        <f t="shared" si="12"/>
        <v>46190E</v>
      </c>
      <c r="B37" s="51">
        <f t="shared" si="28"/>
        <v>46190</v>
      </c>
      <c r="C37" s="52" t="s">
        <v>88</v>
      </c>
      <c r="D37" s="91"/>
      <c r="E37" s="62"/>
      <c r="F37" s="62"/>
      <c r="G37" s="62">
        <f t="shared" si="29"/>
        <v>0</v>
      </c>
      <c r="H37" s="63">
        <f t="shared" si="30"/>
        <v>0</v>
      </c>
      <c r="I37" s="119"/>
      <c r="J37" s="120"/>
      <c r="K37" s="121"/>
      <c r="L37" s="122"/>
      <c r="M37" s="58"/>
      <c r="N37" s="58"/>
      <c r="O37" s="59"/>
      <c r="P37" s="56"/>
      <c r="Q37" s="60"/>
      <c r="R37" s="61">
        <f t="shared" si="13"/>
        <v>0</v>
      </c>
      <c r="S37" s="62">
        <f t="shared" si="14"/>
        <v>0</v>
      </c>
      <c r="T37" s="63">
        <f t="shared" si="15"/>
        <v>0</v>
      </c>
      <c r="U37" s="64"/>
      <c r="V37" s="65"/>
      <c r="W37" s="66"/>
      <c r="X37" s="67"/>
      <c r="Y37" s="68"/>
      <c r="Z37" s="68"/>
      <c r="AA37" s="62">
        <f t="shared" si="16"/>
        <v>0</v>
      </c>
      <c r="AB37" s="63">
        <f t="shared" si="17"/>
        <v>0</v>
      </c>
      <c r="AC37" s="69"/>
      <c r="AD37" s="70"/>
      <c r="AE37" s="70"/>
      <c r="AF37" s="62">
        <f t="shared" si="18"/>
        <v>0</v>
      </c>
      <c r="AG37" s="63">
        <f t="shared" si="19"/>
        <v>0</v>
      </c>
      <c r="AH37" s="89"/>
      <c r="AI37" s="66"/>
      <c r="AJ37" s="66"/>
      <c r="AK37" s="62">
        <f t="shared" si="20"/>
        <v>0</v>
      </c>
      <c r="AL37" s="72">
        <f t="shared" si="21"/>
        <v>0</v>
      </c>
      <c r="AM37" s="73">
        <f t="shared" si="22"/>
        <v>0</v>
      </c>
      <c r="AN37" s="74">
        <f t="shared" si="23"/>
        <v>0</v>
      </c>
      <c r="AO37" s="74">
        <f t="shared" si="24"/>
        <v>0</v>
      </c>
      <c r="AP37" s="75" t="e">
        <f t="shared" si="25"/>
        <v>#DIV/0!</v>
      </c>
      <c r="AQ37" s="76">
        <f t="shared" si="26"/>
        <v>0</v>
      </c>
      <c r="AR37" s="77">
        <f t="shared" si="27"/>
        <v>0</v>
      </c>
    </row>
    <row r="38" spans="1:44" x14ac:dyDescent="0.25">
      <c r="A38" t="str">
        <f t="shared" si="12"/>
        <v>46191M</v>
      </c>
      <c r="B38" s="51">
        <f t="shared" si="28"/>
        <v>46191</v>
      </c>
      <c r="C38" s="52" t="s">
        <v>87</v>
      </c>
      <c r="D38" s="91"/>
      <c r="E38" s="62"/>
      <c r="F38" s="62"/>
      <c r="G38" s="62">
        <f t="shared" si="29"/>
        <v>0</v>
      </c>
      <c r="H38" s="63">
        <f t="shared" si="30"/>
        <v>0</v>
      </c>
      <c r="I38" s="119"/>
      <c r="J38" s="120"/>
      <c r="K38" s="121"/>
      <c r="L38" s="122"/>
      <c r="M38" s="58"/>
      <c r="N38" s="58"/>
      <c r="O38" s="59"/>
      <c r="P38" s="56"/>
      <c r="Q38" s="60"/>
      <c r="R38" s="61">
        <f t="shared" si="13"/>
        <v>0</v>
      </c>
      <c r="S38" s="62">
        <f t="shared" si="14"/>
        <v>0</v>
      </c>
      <c r="T38" s="63">
        <f t="shared" si="15"/>
        <v>0</v>
      </c>
      <c r="U38" s="64"/>
      <c r="V38" s="65"/>
      <c r="W38" s="66"/>
      <c r="X38" s="67"/>
      <c r="Y38" s="68"/>
      <c r="Z38" s="68"/>
      <c r="AA38" s="62">
        <f t="shared" si="16"/>
        <v>0</v>
      </c>
      <c r="AB38" s="63">
        <f t="shared" si="17"/>
        <v>0</v>
      </c>
      <c r="AC38" s="69"/>
      <c r="AD38" s="70"/>
      <c r="AE38" s="70"/>
      <c r="AF38" s="62">
        <f t="shared" si="18"/>
        <v>0</v>
      </c>
      <c r="AG38" s="63">
        <f t="shared" si="19"/>
        <v>0</v>
      </c>
      <c r="AH38" s="89"/>
      <c r="AI38" s="66"/>
      <c r="AJ38" s="66"/>
      <c r="AK38" s="62">
        <f t="shared" si="20"/>
        <v>0</v>
      </c>
      <c r="AL38" s="72">
        <f t="shared" si="21"/>
        <v>0</v>
      </c>
      <c r="AM38" s="73">
        <f t="shared" si="22"/>
        <v>0</v>
      </c>
      <c r="AN38" s="74">
        <f t="shared" si="23"/>
        <v>0</v>
      </c>
      <c r="AO38" s="74">
        <f t="shared" si="24"/>
        <v>0</v>
      </c>
      <c r="AP38" s="75" t="e">
        <f t="shared" si="25"/>
        <v>#DIV/0!</v>
      </c>
      <c r="AQ38" s="76">
        <f t="shared" si="26"/>
        <v>0</v>
      </c>
      <c r="AR38" s="77">
        <f t="shared" si="27"/>
        <v>0</v>
      </c>
    </row>
    <row r="39" spans="1:44" x14ac:dyDescent="0.25">
      <c r="A39" t="str">
        <f t="shared" si="12"/>
        <v>46191E</v>
      </c>
      <c r="B39" s="51">
        <f t="shared" si="28"/>
        <v>46191</v>
      </c>
      <c r="C39" s="52" t="s">
        <v>88</v>
      </c>
      <c r="D39" s="91"/>
      <c r="E39" s="62"/>
      <c r="F39" s="62"/>
      <c r="G39" s="62">
        <f t="shared" si="29"/>
        <v>0</v>
      </c>
      <c r="H39" s="63">
        <f t="shared" si="30"/>
        <v>0</v>
      </c>
      <c r="I39" s="119"/>
      <c r="J39" s="120"/>
      <c r="K39" s="121"/>
      <c r="L39" s="122"/>
      <c r="M39" s="58"/>
      <c r="N39" s="58"/>
      <c r="O39" s="59"/>
      <c r="P39" s="56"/>
      <c r="Q39" s="60"/>
      <c r="R39" s="61">
        <f t="shared" si="13"/>
        <v>0</v>
      </c>
      <c r="S39" s="62">
        <f t="shared" si="14"/>
        <v>0</v>
      </c>
      <c r="T39" s="63">
        <f t="shared" si="15"/>
        <v>0</v>
      </c>
      <c r="U39" s="64"/>
      <c r="V39" s="65"/>
      <c r="W39" s="66"/>
      <c r="X39" s="67"/>
      <c r="Y39" s="68"/>
      <c r="Z39" s="68"/>
      <c r="AA39" s="62">
        <f t="shared" si="16"/>
        <v>0</v>
      </c>
      <c r="AB39" s="63">
        <f t="shared" si="17"/>
        <v>0</v>
      </c>
      <c r="AC39" s="69"/>
      <c r="AD39" s="70"/>
      <c r="AE39" s="70"/>
      <c r="AF39" s="62">
        <f t="shared" si="18"/>
        <v>0</v>
      </c>
      <c r="AG39" s="63">
        <f t="shared" si="19"/>
        <v>0</v>
      </c>
      <c r="AH39" s="89"/>
      <c r="AI39" s="66"/>
      <c r="AJ39" s="66"/>
      <c r="AK39" s="62">
        <f t="shared" si="20"/>
        <v>0</v>
      </c>
      <c r="AL39" s="72">
        <f t="shared" si="21"/>
        <v>0</v>
      </c>
      <c r="AM39" s="73">
        <f t="shared" si="22"/>
        <v>0</v>
      </c>
      <c r="AN39" s="74">
        <f t="shared" si="23"/>
        <v>0</v>
      </c>
      <c r="AO39" s="74">
        <f t="shared" si="24"/>
        <v>0</v>
      </c>
      <c r="AP39" s="75" t="e">
        <f t="shared" si="25"/>
        <v>#DIV/0!</v>
      </c>
      <c r="AQ39" s="76">
        <f t="shared" si="26"/>
        <v>0</v>
      </c>
      <c r="AR39" s="77">
        <f t="shared" si="27"/>
        <v>0</v>
      </c>
    </row>
    <row r="40" spans="1:44" x14ac:dyDescent="0.25">
      <c r="A40" t="str">
        <f t="shared" si="12"/>
        <v>46192M</v>
      </c>
      <c r="B40" s="51">
        <f t="shared" si="28"/>
        <v>46192</v>
      </c>
      <c r="C40" s="52" t="s">
        <v>87</v>
      </c>
      <c r="D40" s="91"/>
      <c r="E40" s="62"/>
      <c r="F40" s="62"/>
      <c r="G40" s="62">
        <f t="shared" si="29"/>
        <v>0</v>
      </c>
      <c r="H40" s="63">
        <f t="shared" si="30"/>
        <v>0</v>
      </c>
      <c r="I40" s="119"/>
      <c r="J40" s="120"/>
      <c r="K40" s="121"/>
      <c r="L40" s="122"/>
      <c r="M40" s="58"/>
      <c r="N40" s="58"/>
      <c r="O40" s="59"/>
      <c r="P40" s="56"/>
      <c r="Q40" s="60"/>
      <c r="R40" s="61">
        <f t="shared" si="13"/>
        <v>0</v>
      </c>
      <c r="S40" s="62">
        <f t="shared" si="14"/>
        <v>0</v>
      </c>
      <c r="T40" s="63">
        <f t="shared" si="15"/>
        <v>0</v>
      </c>
      <c r="U40" s="64"/>
      <c r="V40" s="65"/>
      <c r="W40" s="66"/>
      <c r="X40" s="67"/>
      <c r="Y40" s="68"/>
      <c r="Z40" s="68"/>
      <c r="AA40" s="62">
        <f t="shared" si="16"/>
        <v>0</v>
      </c>
      <c r="AB40" s="63">
        <f t="shared" si="17"/>
        <v>0</v>
      </c>
      <c r="AC40" s="69"/>
      <c r="AD40" s="70"/>
      <c r="AE40" s="70"/>
      <c r="AF40" s="62">
        <f t="shared" si="18"/>
        <v>0</v>
      </c>
      <c r="AG40" s="63">
        <f t="shared" si="19"/>
        <v>0</v>
      </c>
      <c r="AH40" s="89"/>
      <c r="AI40" s="66"/>
      <c r="AJ40" s="66"/>
      <c r="AK40" s="62">
        <f t="shared" si="20"/>
        <v>0</v>
      </c>
      <c r="AL40" s="72">
        <f t="shared" si="21"/>
        <v>0</v>
      </c>
      <c r="AM40" s="73">
        <f t="shared" si="22"/>
        <v>0</v>
      </c>
      <c r="AN40" s="74">
        <f t="shared" si="23"/>
        <v>0</v>
      </c>
      <c r="AO40" s="74">
        <f t="shared" si="24"/>
        <v>0</v>
      </c>
      <c r="AP40" s="75" t="e">
        <f t="shared" si="25"/>
        <v>#DIV/0!</v>
      </c>
      <c r="AQ40" s="76">
        <f t="shared" si="26"/>
        <v>0</v>
      </c>
      <c r="AR40" s="77">
        <f t="shared" si="27"/>
        <v>0</v>
      </c>
    </row>
    <row r="41" spans="1:44" x14ac:dyDescent="0.25">
      <c r="A41" t="str">
        <f t="shared" si="12"/>
        <v>46192E</v>
      </c>
      <c r="B41" s="51">
        <f t="shared" si="28"/>
        <v>46192</v>
      </c>
      <c r="C41" s="52" t="s">
        <v>88</v>
      </c>
      <c r="D41" s="91"/>
      <c r="E41" s="62"/>
      <c r="F41" s="62"/>
      <c r="G41" s="62">
        <f t="shared" si="29"/>
        <v>0</v>
      </c>
      <c r="H41" s="63">
        <f t="shared" si="30"/>
        <v>0</v>
      </c>
      <c r="I41" s="119"/>
      <c r="J41" s="120"/>
      <c r="K41" s="121"/>
      <c r="L41" s="122"/>
      <c r="M41" s="58"/>
      <c r="N41" s="58"/>
      <c r="O41" s="59"/>
      <c r="P41" s="56"/>
      <c r="Q41" s="60"/>
      <c r="R41" s="61">
        <f t="shared" si="13"/>
        <v>0</v>
      </c>
      <c r="S41" s="62">
        <f t="shared" si="14"/>
        <v>0</v>
      </c>
      <c r="T41" s="63">
        <f t="shared" si="15"/>
        <v>0</v>
      </c>
      <c r="U41" s="64"/>
      <c r="V41" s="65"/>
      <c r="W41" s="66"/>
      <c r="X41" s="67"/>
      <c r="Y41" s="68"/>
      <c r="Z41" s="68"/>
      <c r="AA41" s="62">
        <f t="shared" si="16"/>
        <v>0</v>
      </c>
      <c r="AB41" s="63">
        <f t="shared" si="17"/>
        <v>0</v>
      </c>
      <c r="AC41" s="69"/>
      <c r="AD41" s="70"/>
      <c r="AE41" s="70"/>
      <c r="AF41" s="62">
        <f t="shared" si="18"/>
        <v>0</v>
      </c>
      <c r="AG41" s="63">
        <f t="shared" si="19"/>
        <v>0</v>
      </c>
      <c r="AH41" s="89"/>
      <c r="AI41" s="66"/>
      <c r="AJ41" s="66"/>
      <c r="AK41" s="62">
        <f t="shared" si="20"/>
        <v>0</v>
      </c>
      <c r="AL41" s="72">
        <f t="shared" si="21"/>
        <v>0</v>
      </c>
      <c r="AM41" s="73">
        <f t="shared" si="22"/>
        <v>0</v>
      </c>
      <c r="AN41" s="74">
        <f t="shared" si="23"/>
        <v>0</v>
      </c>
      <c r="AO41" s="74">
        <f t="shared" si="24"/>
        <v>0</v>
      </c>
      <c r="AP41" s="75" t="e">
        <f t="shared" si="25"/>
        <v>#DIV/0!</v>
      </c>
      <c r="AQ41" s="76">
        <f t="shared" si="26"/>
        <v>0</v>
      </c>
      <c r="AR41" s="77">
        <f t="shared" si="27"/>
        <v>0</v>
      </c>
    </row>
    <row r="42" spans="1:44" x14ac:dyDescent="0.25">
      <c r="A42" t="str">
        <f t="shared" si="12"/>
        <v>46193M</v>
      </c>
      <c r="B42" s="51">
        <f t="shared" si="28"/>
        <v>46193</v>
      </c>
      <c r="C42" s="52" t="s">
        <v>87</v>
      </c>
      <c r="D42" s="91"/>
      <c r="E42" s="62"/>
      <c r="F42" s="62"/>
      <c r="G42" s="62">
        <f t="shared" si="29"/>
        <v>0</v>
      </c>
      <c r="H42" s="63">
        <f t="shared" si="30"/>
        <v>0</v>
      </c>
      <c r="I42" s="119"/>
      <c r="J42" s="120"/>
      <c r="K42" s="121"/>
      <c r="L42" s="122"/>
      <c r="M42" s="58"/>
      <c r="N42" s="58"/>
      <c r="O42" s="59"/>
      <c r="P42" s="56"/>
      <c r="Q42" s="60"/>
      <c r="R42" s="61">
        <f t="shared" si="13"/>
        <v>0</v>
      </c>
      <c r="S42" s="62">
        <f t="shared" si="14"/>
        <v>0</v>
      </c>
      <c r="T42" s="63">
        <f t="shared" si="15"/>
        <v>0</v>
      </c>
      <c r="U42" s="64"/>
      <c r="V42" s="65"/>
      <c r="W42" s="66"/>
      <c r="X42" s="67"/>
      <c r="Y42" s="68"/>
      <c r="Z42" s="68"/>
      <c r="AA42" s="62">
        <f t="shared" si="16"/>
        <v>0</v>
      </c>
      <c r="AB42" s="63">
        <f t="shared" si="17"/>
        <v>0</v>
      </c>
      <c r="AC42" s="69"/>
      <c r="AD42" s="70"/>
      <c r="AE42" s="70"/>
      <c r="AF42" s="62">
        <f t="shared" si="18"/>
        <v>0</v>
      </c>
      <c r="AG42" s="63">
        <f t="shared" si="19"/>
        <v>0</v>
      </c>
      <c r="AH42" s="89"/>
      <c r="AI42" s="66"/>
      <c r="AJ42" s="66"/>
      <c r="AK42" s="62">
        <f t="shared" si="20"/>
        <v>0</v>
      </c>
      <c r="AL42" s="72">
        <f t="shared" si="21"/>
        <v>0</v>
      </c>
      <c r="AM42" s="73">
        <f t="shared" si="22"/>
        <v>0</v>
      </c>
      <c r="AN42" s="74">
        <f t="shared" si="23"/>
        <v>0</v>
      </c>
      <c r="AO42" s="74">
        <f t="shared" si="24"/>
        <v>0</v>
      </c>
      <c r="AP42" s="75" t="e">
        <f t="shared" si="25"/>
        <v>#DIV/0!</v>
      </c>
      <c r="AQ42" s="76">
        <f t="shared" si="26"/>
        <v>0</v>
      </c>
      <c r="AR42" s="77">
        <f t="shared" si="27"/>
        <v>0</v>
      </c>
    </row>
    <row r="43" spans="1:44" x14ac:dyDescent="0.25">
      <c r="A43" t="str">
        <f t="shared" si="12"/>
        <v>46193E</v>
      </c>
      <c r="B43" s="51">
        <f t="shared" si="28"/>
        <v>46193</v>
      </c>
      <c r="C43" s="52" t="s">
        <v>88</v>
      </c>
      <c r="D43" s="91"/>
      <c r="E43" s="62"/>
      <c r="F43" s="62"/>
      <c r="G43" s="62">
        <f t="shared" si="29"/>
        <v>0</v>
      </c>
      <c r="H43" s="63">
        <f t="shared" si="30"/>
        <v>0</v>
      </c>
      <c r="I43" s="119"/>
      <c r="J43" s="120"/>
      <c r="K43" s="121"/>
      <c r="L43" s="122"/>
      <c r="M43" s="58"/>
      <c r="N43" s="58"/>
      <c r="O43" s="59"/>
      <c r="P43" s="56"/>
      <c r="Q43" s="60"/>
      <c r="R43" s="61">
        <f t="shared" si="13"/>
        <v>0</v>
      </c>
      <c r="S43" s="62">
        <f t="shared" si="14"/>
        <v>0</v>
      </c>
      <c r="T43" s="63">
        <f t="shared" si="15"/>
        <v>0</v>
      </c>
      <c r="U43" s="64"/>
      <c r="V43" s="65"/>
      <c r="W43" s="66"/>
      <c r="X43" s="67"/>
      <c r="Y43" s="68"/>
      <c r="Z43" s="68"/>
      <c r="AA43" s="62">
        <f t="shared" si="16"/>
        <v>0</v>
      </c>
      <c r="AB43" s="63">
        <f t="shared" si="17"/>
        <v>0</v>
      </c>
      <c r="AC43" s="69"/>
      <c r="AD43" s="70"/>
      <c r="AE43" s="70"/>
      <c r="AF43" s="62">
        <f t="shared" si="18"/>
        <v>0</v>
      </c>
      <c r="AG43" s="63">
        <f t="shared" si="19"/>
        <v>0</v>
      </c>
      <c r="AH43" s="89"/>
      <c r="AI43" s="66"/>
      <c r="AJ43" s="66"/>
      <c r="AK43" s="62">
        <f t="shared" si="20"/>
        <v>0</v>
      </c>
      <c r="AL43" s="72">
        <f t="shared" si="21"/>
        <v>0</v>
      </c>
      <c r="AM43" s="73">
        <f t="shared" si="22"/>
        <v>0</v>
      </c>
      <c r="AN43" s="74">
        <f t="shared" si="23"/>
        <v>0</v>
      </c>
      <c r="AO43" s="74">
        <f t="shared" si="24"/>
        <v>0</v>
      </c>
      <c r="AP43" s="75" t="e">
        <f t="shared" si="25"/>
        <v>#DIV/0!</v>
      </c>
      <c r="AQ43" s="76">
        <f t="shared" si="26"/>
        <v>0</v>
      </c>
      <c r="AR43" s="77">
        <f t="shared" si="27"/>
        <v>0</v>
      </c>
    </row>
    <row r="44" spans="1:44" x14ac:dyDescent="0.25">
      <c r="A44" t="str">
        <f t="shared" si="12"/>
        <v>46194M</v>
      </c>
      <c r="B44" s="51">
        <f t="shared" si="28"/>
        <v>46194</v>
      </c>
      <c r="C44" s="52" t="s">
        <v>87</v>
      </c>
      <c r="D44" s="91"/>
      <c r="E44" s="62"/>
      <c r="F44" s="62"/>
      <c r="G44" s="62">
        <f t="shared" si="29"/>
        <v>0</v>
      </c>
      <c r="H44" s="63">
        <f t="shared" si="30"/>
        <v>0</v>
      </c>
      <c r="I44" s="119"/>
      <c r="J44" s="120"/>
      <c r="K44" s="121"/>
      <c r="L44" s="122"/>
      <c r="M44" s="58"/>
      <c r="N44" s="58"/>
      <c r="O44" s="59"/>
      <c r="P44" s="56"/>
      <c r="Q44" s="60"/>
      <c r="R44" s="61">
        <f t="shared" si="13"/>
        <v>0</v>
      </c>
      <c r="S44" s="62">
        <f t="shared" si="14"/>
        <v>0</v>
      </c>
      <c r="T44" s="63">
        <f t="shared" si="15"/>
        <v>0</v>
      </c>
      <c r="U44" s="64"/>
      <c r="V44" s="65"/>
      <c r="W44" s="66"/>
      <c r="X44" s="67"/>
      <c r="Y44" s="68"/>
      <c r="Z44" s="68"/>
      <c r="AA44" s="62">
        <f t="shared" si="16"/>
        <v>0</v>
      </c>
      <c r="AB44" s="63">
        <f t="shared" si="17"/>
        <v>0</v>
      </c>
      <c r="AC44" s="69"/>
      <c r="AD44" s="70"/>
      <c r="AE44" s="70"/>
      <c r="AF44" s="62">
        <f t="shared" si="18"/>
        <v>0</v>
      </c>
      <c r="AG44" s="63">
        <f t="shared" si="19"/>
        <v>0</v>
      </c>
      <c r="AH44" s="89"/>
      <c r="AI44" s="66"/>
      <c r="AJ44" s="66"/>
      <c r="AK44" s="62">
        <f t="shared" si="20"/>
        <v>0</v>
      </c>
      <c r="AL44" s="72">
        <f t="shared" si="21"/>
        <v>0</v>
      </c>
      <c r="AM44" s="73">
        <f t="shared" si="22"/>
        <v>0</v>
      </c>
      <c r="AN44" s="74">
        <f t="shared" si="23"/>
        <v>0</v>
      </c>
      <c r="AO44" s="74">
        <f t="shared" si="24"/>
        <v>0</v>
      </c>
      <c r="AP44" s="75" t="e">
        <f t="shared" si="25"/>
        <v>#DIV/0!</v>
      </c>
      <c r="AQ44" s="76">
        <f t="shared" si="26"/>
        <v>0</v>
      </c>
      <c r="AR44" s="77">
        <f t="shared" si="27"/>
        <v>0</v>
      </c>
    </row>
    <row r="45" spans="1:44" x14ac:dyDescent="0.25">
      <c r="A45" t="str">
        <f t="shared" si="12"/>
        <v>46194E</v>
      </c>
      <c r="B45" s="51">
        <f t="shared" si="28"/>
        <v>46194</v>
      </c>
      <c r="C45" s="52" t="s">
        <v>88</v>
      </c>
      <c r="D45" s="91"/>
      <c r="E45" s="62"/>
      <c r="F45" s="62"/>
      <c r="G45" s="62">
        <f t="shared" si="29"/>
        <v>0</v>
      </c>
      <c r="H45" s="63">
        <f t="shared" si="30"/>
        <v>0</v>
      </c>
      <c r="I45" s="119"/>
      <c r="J45" s="120"/>
      <c r="K45" s="121"/>
      <c r="L45" s="122"/>
      <c r="M45" s="58"/>
      <c r="N45" s="58"/>
      <c r="O45" s="59"/>
      <c r="P45" s="56"/>
      <c r="Q45" s="60"/>
      <c r="R45" s="61">
        <f t="shared" si="13"/>
        <v>0</v>
      </c>
      <c r="S45" s="62">
        <f t="shared" si="14"/>
        <v>0</v>
      </c>
      <c r="T45" s="63">
        <f t="shared" si="15"/>
        <v>0</v>
      </c>
      <c r="U45" s="64"/>
      <c r="V45" s="65"/>
      <c r="W45" s="66"/>
      <c r="X45" s="67"/>
      <c r="Y45" s="68"/>
      <c r="Z45" s="68"/>
      <c r="AA45" s="62">
        <f t="shared" si="16"/>
        <v>0</v>
      </c>
      <c r="AB45" s="63">
        <f t="shared" si="17"/>
        <v>0</v>
      </c>
      <c r="AC45" s="69"/>
      <c r="AD45" s="70"/>
      <c r="AE45" s="70"/>
      <c r="AF45" s="62">
        <f t="shared" si="18"/>
        <v>0</v>
      </c>
      <c r="AG45" s="63">
        <f t="shared" si="19"/>
        <v>0</v>
      </c>
      <c r="AH45" s="89"/>
      <c r="AI45" s="66"/>
      <c r="AJ45" s="66"/>
      <c r="AK45" s="62">
        <f t="shared" si="20"/>
        <v>0</v>
      </c>
      <c r="AL45" s="72">
        <f t="shared" si="21"/>
        <v>0</v>
      </c>
      <c r="AM45" s="73">
        <f t="shared" si="22"/>
        <v>0</v>
      </c>
      <c r="AN45" s="74">
        <f t="shared" si="23"/>
        <v>0</v>
      </c>
      <c r="AO45" s="74">
        <f t="shared" si="24"/>
        <v>0</v>
      </c>
      <c r="AP45" s="75" t="e">
        <f t="shared" si="25"/>
        <v>#DIV/0!</v>
      </c>
      <c r="AQ45" s="76">
        <f t="shared" si="26"/>
        <v>0</v>
      </c>
      <c r="AR45" s="77">
        <f t="shared" si="27"/>
        <v>0</v>
      </c>
    </row>
    <row r="46" spans="1:44" x14ac:dyDescent="0.25">
      <c r="A46" t="str">
        <f t="shared" si="12"/>
        <v>46195M</v>
      </c>
      <c r="B46" s="51">
        <f t="shared" si="28"/>
        <v>46195</v>
      </c>
      <c r="C46" s="52" t="s">
        <v>87</v>
      </c>
      <c r="D46" s="91"/>
      <c r="E46" s="62"/>
      <c r="F46" s="62"/>
      <c r="G46" s="62">
        <f t="shared" si="29"/>
        <v>0</v>
      </c>
      <c r="H46" s="63">
        <f t="shared" si="30"/>
        <v>0</v>
      </c>
      <c r="I46" s="119"/>
      <c r="J46" s="120"/>
      <c r="K46" s="121"/>
      <c r="L46" s="122"/>
      <c r="M46" s="58"/>
      <c r="N46" s="58"/>
      <c r="O46" s="59"/>
      <c r="P46" s="56"/>
      <c r="Q46" s="60"/>
      <c r="R46" s="61">
        <f t="shared" si="13"/>
        <v>0</v>
      </c>
      <c r="S46" s="62">
        <f t="shared" si="14"/>
        <v>0</v>
      </c>
      <c r="T46" s="63">
        <f t="shared" si="15"/>
        <v>0</v>
      </c>
      <c r="U46" s="64"/>
      <c r="V46" s="65"/>
      <c r="W46" s="66"/>
      <c r="X46" s="67"/>
      <c r="Y46" s="68"/>
      <c r="Z46" s="68"/>
      <c r="AA46" s="62">
        <f t="shared" si="16"/>
        <v>0</v>
      </c>
      <c r="AB46" s="63">
        <f t="shared" si="17"/>
        <v>0</v>
      </c>
      <c r="AC46" s="69"/>
      <c r="AD46" s="70"/>
      <c r="AE46" s="70"/>
      <c r="AF46" s="62">
        <f t="shared" si="18"/>
        <v>0</v>
      </c>
      <c r="AG46" s="63">
        <f t="shared" si="19"/>
        <v>0</v>
      </c>
      <c r="AH46" s="89"/>
      <c r="AI46" s="66"/>
      <c r="AJ46" s="66"/>
      <c r="AK46" s="62">
        <f t="shared" si="20"/>
        <v>0</v>
      </c>
      <c r="AL46" s="72">
        <f t="shared" si="21"/>
        <v>0</v>
      </c>
      <c r="AM46" s="73">
        <f t="shared" si="22"/>
        <v>0</v>
      </c>
      <c r="AN46" s="74">
        <f t="shared" si="23"/>
        <v>0</v>
      </c>
      <c r="AO46" s="74">
        <f t="shared" si="24"/>
        <v>0</v>
      </c>
      <c r="AP46" s="75" t="e">
        <f t="shared" si="25"/>
        <v>#DIV/0!</v>
      </c>
      <c r="AQ46" s="76">
        <f t="shared" si="26"/>
        <v>0</v>
      </c>
      <c r="AR46" s="77">
        <f t="shared" si="27"/>
        <v>0</v>
      </c>
    </row>
    <row r="47" spans="1:44" x14ac:dyDescent="0.25">
      <c r="A47" t="str">
        <f t="shared" si="12"/>
        <v>46195E</v>
      </c>
      <c r="B47" s="51">
        <f t="shared" si="28"/>
        <v>46195</v>
      </c>
      <c r="C47" s="52" t="s">
        <v>88</v>
      </c>
      <c r="D47" s="91"/>
      <c r="E47" s="62"/>
      <c r="F47" s="62"/>
      <c r="G47" s="62">
        <f t="shared" si="29"/>
        <v>0</v>
      </c>
      <c r="H47" s="63">
        <f t="shared" si="30"/>
        <v>0</v>
      </c>
      <c r="I47" s="119"/>
      <c r="J47" s="120"/>
      <c r="K47" s="121"/>
      <c r="L47" s="122"/>
      <c r="M47" s="58"/>
      <c r="N47" s="58"/>
      <c r="O47" s="59"/>
      <c r="P47" s="56"/>
      <c r="Q47" s="60"/>
      <c r="R47" s="61">
        <f t="shared" si="13"/>
        <v>0</v>
      </c>
      <c r="S47" s="62">
        <f t="shared" si="14"/>
        <v>0</v>
      </c>
      <c r="T47" s="63">
        <f t="shared" si="15"/>
        <v>0</v>
      </c>
      <c r="U47" s="64"/>
      <c r="V47" s="65"/>
      <c r="W47" s="66"/>
      <c r="X47" s="67"/>
      <c r="Y47" s="68"/>
      <c r="Z47" s="68"/>
      <c r="AA47" s="62">
        <f t="shared" si="16"/>
        <v>0</v>
      </c>
      <c r="AB47" s="63">
        <f t="shared" si="17"/>
        <v>0</v>
      </c>
      <c r="AC47" s="69"/>
      <c r="AD47" s="70"/>
      <c r="AE47" s="70"/>
      <c r="AF47" s="62">
        <f t="shared" si="18"/>
        <v>0</v>
      </c>
      <c r="AG47" s="63">
        <f t="shared" si="19"/>
        <v>0</v>
      </c>
      <c r="AH47" s="89"/>
      <c r="AI47" s="66"/>
      <c r="AJ47" s="66"/>
      <c r="AK47" s="62">
        <f t="shared" si="20"/>
        <v>0</v>
      </c>
      <c r="AL47" s="72">
        <f t="shared" si="21"/>
        <v>0</v>
      </c>
      <c r="AM47" s="73">
        <f t="shared" si="22"/>
        <v>0</v>
      </c>
      <c r="AN47" s="74">
        <f t="shared" si="23"/>
        <v>0</v>
      </c>
      <c r="AO47" s="74">
        <f t="shared" si="24"/>
        <v>0</v>
      </c>
      <c r="AP47" s="75" t="e">
        <f t="shared" si="25"/>
        <v>#DIV/0!</v>
      </c>
      <c r="AQ47" s="76">
        <f t="shared" si="26"/>
        <v>0</v>
      </c>
      <c r="AR47" s="77">
        <f t="shared" si="27"/>
        <v>0</v>
      </c>
    </row>
    <row r="48" spans="1:44" x14ac:dyDescent="0.25">
      <c r="A48" t="str">
        <f t="shared" si="12"/>
        <v>46196M</v>
      </c>
      <c r="B48" s="51">
        <f t="shared" si="28"/>
        <v>46196</v>
      </c>
      <c r="C48" s="52" t="s">
        <v>87</v>
      </c>
      <c r="D48" s="91"/>
      <c r="E48" s="62"/>
      <c r="F48" s="62"/>
      <c r="G48" s="62">
        <f t="shared" si="29"/>
        <v>0</v>
      </c>
      <c r="H48" s="63">
        <f t="shared" si="30"/>
        <v>0</v>
      </c>
      <c r="I48" s="119"/>
      <c r="J48" s="120"/>
      <c r="K48" s="121"/>
      <c r="L48" s="122"/>
      <c r="M48" s="58"/>
      <c r="N48" s="58"/>
      <c r="O48" s="59"/>
      <c r="P48" s="56"/>
      <c r="Q48" s="60"/>
      <c r="R48" s="61">
        <f t="shared" si="13"/>
        <v>0</v>
      </c>
      <c r="S48" s="62">
        <f t="shared" si="14"/>
        <v>0</v>
      </c>
      <c r="T48" s="63">
        <f t="shared" si="15"/>
        <v>0</v>
      </c>
      <c r="U48" s="64"/>
      <c r="V48" s="65"/>
      <c r="W48" s="66"/>
      <c r="X48" s="67"/>
      <c r="Y48" s="68"/>
      <c r="Z48" s="68"/>
      <c r="AA48" s="62">
        <f t="shared" si="16"/>
        <v>0</v>
      </c>
      <c r="AB48" s="63">
        <f t="shared" si="17"/>
        <v>0</v>
      </c>
      <c r="AC48" s="69"/>
      <c r="AD48" s="70"/>
      <c r="AE48" s="70"/>
      <c r="AF48" s="62">
        <f t="shared" si="18"/>
        <v>0</v>
      </c>
      <c r="AG48" s="63">
        <f t="shared" si="19"/>
        <v>0</v>
      </c>
      <c r="AH48" s="89"/>
      <c r="AI48" s="66"/>
      <c r="AJ48" s="66"/>
      <c r="AK48" s="62">
        <f t="shared" si="20"/>
        <v>0</v>
      </c>
      <c r="AL48" s="72">
        <f t="shared" si="21"/>
        <v>0</v>
      </c>
      <c r="AM48" s="73">
        <f t="shared" si="22"/>
        <v>0</v>
      </c>
      <c r="AN48" s="74">
        <f t="shared" si="23"/>
        <v>0</v>
      </c>
      <c r="AO48" s="74">
        <f t="shared" si="24"/>
        <v>0</v>
      </c>
      <c r="AP48" s="75" t="e">
        <f t="shared" si="25"/>
        <v>#DIV/0!</v>
      </c>
      <c r="AQ48" s="76">
        <f t="shared" si="26"/>
        <v>0</v>
      </c>
      <c r="AR48" s="77">
        <f t="shared" si="27"/>
        <v>0</v>
      </c>
    </row>
    <row r="49" spans="1:44" x14ac:dyDescent="0.25">
      <c r="A49" t="str">
        <f t="shared" si="12"/>
        <v>46196E</v>
      </c>
      <c r="B49" s="51">
        <f t="shared" si="28"/>
        <v>46196</v>
      </c>
      <c r="C49" s="52" t="s">
        <v>88</v>
      </c>
      <c r="D49" s="91"/>
      <c r="E49" s="62"/>
      <c r="F49" s="62"/>
      <c r="G49" s="62">
        <f t="shared" si="29"/>
        <v>0</v>
      </c>
      <c r="H49" s="63">
        <f t="shared" si="30"/>
        <v>0</v>
      </c>
      <c r="I49" s="119"/>
      <c r="J49" s="120"/>
      <c r="K49" s="121"/>
      <c r="L49" s="122"/>
      <c r="M49" s="58"/>
      <c r="N49" s="58"/>
      <c r="O49" s="59"/>
      <c r="P49" s="56"/>
      <c r="Q49" s="60"/>
      <c r="R49" s="61">
        <f t="shared" si="13"/>
        <v>0</v>
      </c>
      <c r="S49" s="62">
        <f t="shared" si="14"/>
        <v>0</v>
      </c>
      <c r="T49" s="63">
        <f t="shared" si="15"/>
        <v>0</v>
      </c>
      <c r="U49" s="64"/>
      <c r="V49" s="65"/>
      <c r="W49" s="66"/>
      <c r="X49" s="67"/>
      <c r="Y49" s="68"/>
      <c r="Z49" s="68"/>
      <c r="AA49" s="62">
        <f t="shared" si="16"/>
        <v>0</v>
      </c>
      <c r="AB49" s="63">
        <f t="shared" si="17"/>
        <v>0</v>
      </c>
      <c r="AC49" s="69"/>
      <c r="AD49" s="70"/>
      <c r="AE49" s="70"/>
      <c r="AF49" s="62">
        <f t="shared" si="18"/>
        <v>0</v>
      </c>
      <c r="AG49" s="63">
        <f t="shared" si="19"/>
        <v>0</v>
      </c>
      <c r="AH49" s="89"/>
      <c r="AI49" s="66"/>
      <c r="AJ49" s="66"/>
      <c r="AK49" s="62">
        <f t="shared" si="20"/>
        <v>0</v>
      </c>
      <c r="AL49" s="72">
        <f t="shared" si="21"/>
        <v>0</v>
      </c>
      <c r="AM49" s="73">
        <f t="shared" si="22"/>
        <v>0</v>
      </c>
      <c r="AN49" s="74">
        <f t="shared" si="23"/>
        <v>0</v>
      </c>
      <c r="AO49" s="74">
        <f t="shared" si="24"/>
        <v>0</v>
      </c>
      <c r="AP49" s="75" t="e">
        <f t="shared" si="25"/>
        <v>#DIV/0!</v>
      </c>
      <c r="AQ49" s="76">
        <f t="shared" si="26"/>
        <v>0</v>
      </c>
      <c r="AR49" s="77">
        <f t="shared" si="27"/>
        <v>0</v>
      </c>
    </row>
    <row r="50" spans="1:44" x14ac:dyDescent="0.25">
      <c r="A50" t="str">
        <f t="shared" si="12"/>
        <v>46197M</v>
      </c>
      <c r="B50" s="51">
        <f t="shared" si="28"/>
        <v>46197</v>
      </c>
      <c r="C50" s="52" t="s">
        <v>87</v>
      </c>
      <c r="D50" s="91"/>
      <c r="E50" s="62"/>
      <c r="F50" s="62"/>
      <c r="G50" s="62">
        <f t="shared" si="29"/>
        <v>0</v>
      </c>
      <c r="H50" s="63">
        <f t="shared" si="30"/>
        <v>0</v>
      </c>
      <c r="I50" s="119"/>
      <c r="J50" s="120"/>
      <c r="K50" s="121"/>
      <c r="L50" s="122"/>
      <c r="M50" s="58"/>
      <c r="N50" s="58"/>
      <c r="O50" s="59"/>
      <c r="P50" s="56"/>
      <c r="Q50" s="60"/>
      <c r="R50" s="61">
        <f t="shared" si="13"/>
        <v>0</v>
      </c>
      <c r="S50" s="62">
        <f t="shared" si="14"/>
        <v>0</v>
      </c>
      <c r="T50" s="63">
        <f t="shared" si="15"/>
        <v>0</v>
      </c>
      <c r="U50" s="64"/>
      <c r="V50" s="65"/>
      <c r="W50" s="66"/>
      <c r="X50" s="67"/>
      <c r="Y50" s="68"/>
      <c r="Z50" s="68"/>
      <c r="AA50" s="62">
        <f t="shared" si="16"/>
        <v>0</v>
      </c>
      <c r="AB50" s="63">
        <f t="shared" si="17"/>
        <v>0</v>
      </c>
      <c r="AC50" s="69"/>
      <c r="AD50" s="70"/>
      <c r="AE50" s="70"/>
      <c r="AF50" s="62">
        <f t="shared" si="18"/>
        <v>0</v>
      </c>
      <c r="AG50" s="63">
        <f t="shared" si="19"/>
        <v>0</v>
      </c>
      <c r="AH50" s="89"/>
      <c r="AI50" s="66"/>
      <c r="AJ50" s="66"/>
      <c r="AK50" s="62">
        <f t="shared" si="20"/>
        <v>0</v>
      </c>
      <c r="AL50" s="72">
        <f t="shared" si="21"/>
        <v>0</v>
      </c>
      <c r="AM50" s="73">
        <f t="shared" si="22"/>
        <v>0</v>
      </c>
      <c r="AN50" s="74">
        <f t="shared" si="23"/>
        <v>0</v>
      </c>
      <c r="AO50" s="74">
        <f t="shared" si="24"/>
        <v>0</v>
      </c>
      <c r="AP50" s="75" t="e">
        <f t="shared" si="25"/>
        <v>#DIV/0!</v>
      </c>
      <c r="AQ50" s="76">
        <f t="shared" si="26"/>
        <v>0</v>
      </c>
      <c r="AR50" s="77">
        <f t="shared" si="27"/>
        <v>0</v>
      </c>
    </row>
    <row r="51" spans="1:44" x14ac:dyDescent="0.25">
      <c r="A51" t="str">
        <f t="shared" si="12"/>
        <v>46197E</v>
      </c>
      <c r="B51" s="51">
        <f t="shared" si="28"/>
        <v>46197</v>
      </c>
      <c r="C51" s="52" t="s">
        <v>88</v>
      </c>
      <c r="D51" s="91"/>
      <c r="E51" s="62"/>
      <c r="F51" s="62"/>
      <c r="G51" s="62">
        <f t="shared" si="29"/>
        <v>0</v>
      </c>
      <c r="H51" s="63">
        <f t="shared" si="30"/>
        <v>0</v>
      </c>
      <c r="I51" s="119"/>
      <c r="J51" s="120"/>
      <c r="K51" s="121"/>
      <c r="L51" s="122"/>
      <c r="M51" s="58"/>
      <c r="N51" s="58"/>
      <c r="O51" s="59"/>
      <c r="P51" s="56"/>
      <c r="Q51" s="60"/>
      <c r="R51" s="61">
        <f t="shared" si="13"/>
        <v>0</v>
      </c>
      <c r="S51" s="62">
        <f t="shared" si="14"/>
        <v>0</v>
      </c>
      <c r="T51" s="63">
        <f t="shared" si="15"/>
        <v>0</v>
      </c>
      <c r="U51" s="64"/>
      <c r="V51" s="85"/>
      <c r="W51" s="66"/>
      <c r="X51" s="67"/>
      <c r="Y51" s="68"/>
      <c r="Z51" s="68"/>
      <c r="AA51" s="62">
        <f t="shared" si="16"/>
        <v>0</v>
      </c>
      <c r="AB51" s="63">
        <f t="shared" si="17"/>
        <v>0</v>
      </c>
      <c r="AC51" s="69"/>
      <c r="AD51" s="70"/>
      <c r="AE51" s="70"/>
      <c r="AF51" s="62">
        <f t="shared" si="18"/>
        <v>0</v>
      </c>
      <c r="AG51" s="63">
        <f t="shared" si="19"/>
        <v>0</v>
      </c>
      <c r="AH51" s="89"/>
      <c r="AI51" s="66"/>
      <c r="AJ51" s="66"/>
      <c r="AK51" s="62">
        <f t="shared" si="20"/>
        <v>0</v>
      </c>
      <c r="AL51" s="72">
        <f t="shared" si="21"/>
        <v>0</v>
      </c>
      <c r="AM51" s="73">
        <f t="shared" si="22"/>
        <v>0</v>
      </c>
      <c r="AN51" s="74">
        <f t="shared" si="23"/>
        <v>0</v>
      </c>
      <c r="AO51" s="74">
        <f t="shared" si="24"/>
        <v>0</v>
      </c>
      <c r="AP51" s="75" t="e">
        <f t="shared" si="25"/>
        <v>#DIV/0!</v>
      </c>
      <c r="AQ51" s="76">
        <f t="shared" si="26"/>
        <v>0</v>
      </c>
      <c r="AR51" s="77">
        <f t="shared" si="27"/>
        <v>0</v>
      </c>
    </row>
    <row r="52" spans="1:44" x14ac:dyDescent="0.25">
      <c r="A52" t="str">
        <f t="shared" si="12"/>
        <v>46198M</v>
      </c>
      <c r="B52" s="51">
        <f t="shared" si="28"/>
        <v>46198</v>
      </c>
      <c r="C52" s="52" t="s">
        <v>87</v>
      </c>
      <c r="D52" s="91"/>
      <c r="E52" s="62"/>
      <c r="F52" s="62"/>
      <c r="G52" s="62">
        <f t="shared" si="29"/>
        <v>0</v>
      </c>
      <c r="H52" s="63">
        <f t="shared" si="30"/>
        <v>0</v>
      </c>
      <c r="I52" s="119"/>
      <c r="J52" s="120"/>
      <c r="K52" s="121"/>
      <c r="L52" s="122"/>
      <c r="M52" s="58"/>
      <c r="N52" s="58"/>
      <c r="O52" s="59"/>
      <c r="P52" s="56"/>
      <c r="Q52" s="60"/>
      <c r="R52" s="61">
        <f t="shared" si="13"/>
        <v>0</v>
      </c>
      <c r="S52" s="62">
        <f t="shared" si="14"/>
        <v>0</v>
      </c>
      <c r="T52" s="63">
        <f t="shared" si="15"/>
        <v>0</v>
      </c>
      <c r="U52" s="64"/>
      <c r="V52" s="65"/>
      <c r="W52" s="66"/>
      <c r="X52" s="67"/>
      <c r="Y52" s="68"/>
      <c r="Z52" s="68"/>
      <c r="AA52" s="62">
        <f t="shared" si="16"/>
        <v>0</v>
      </c>
      <c r="AB52" s="63">
        <f t="shared" si="17"/>
        <v>0</v>
      </c>
      <c r="AC52" s="69"/>
      <c r="AD52" s="70"/>
      <c r="AE52" s="70"/>
      <c r="AF52" s="62">
        <f t="shared" si="18"/>
        <v>0</v>
      </c>
      <c r="AG52" s="63">
        <f t="shared" si="19"/>
        <v>0</v>
      </c>
      <c r="AH52" s="89"/>
      <c r="AI52" s="66"/>
      <c r="AJ52" s="66"/>
      <c r="AK52" s="62">
        <f t="shared" si="20"/>
        <v>0</v>
      </c>
      <c r="AL52" s="72">
        <f t="shared" si="21"/>
        <v>0</v>
      </c>
      <c r="AM52" s="73">
        <f t="shared" si="22"/>
        <v>0</v>
      </c>
      <c r="AN52" s="74">
        <f t="shared" si="23"/>
        <v>0</v>
      </c>
      <c r="AO52" s="74">
        <f t="shared" si="24"/>
        <v>0</v>
      </c>
      <c r="AP52" s="75" t="e">
        <f t="shared" si="25"/>
        <v>#DIV/0!</v>
      </c>
      <c r="AQ52" s="76">
        <f t="shared" si="26"/>
        <v>0</v>
      </c>
      <c r="AR52" s="77">
        <f t="shared" si="27"/>
        <v>0</v>
      </c>
    </row>
    <row r="53" spans="1:44" x14ac:dyDescent="0.25">
      <c r="A53" t="str">
        <f t="shared" si="12"/>
        <v>46198E</v>
      </c>
      <c r="B53" s="51">
        <f t="shared" si="28"/>
        <v>46198</v>
      </c>
      <c r="C53" s="52" t="s">
        <v>88</v>
      </c>
      <c r="D53" s="91"/>
      <c r="E53" s="62"/>
      <c r="F53" s="62"/>
      <c r="G53" s="62">
        <f t="shared" si="29"/>
        <v>0</v>
      </c>
      <c r="H53" s="63">
        <f t="shared" si="30"/>
        <v>0</v>
      </c>
      <c r="I53" s="119"/>
      <c r="J53" s="120"/>
      <c r="K53" s="121"/>
      <c r="L53" s="122"/>
      <c r="M53" s="58"/>
      <c r="N53" s="58"/>
      <c r="O53" s="59"/>
      <c r="P53" s="56"/>
      <c r="Q53" s="60"/>
      <c r="R53" s="61">
        <f t="shared" si="13"/>
        <v>0</v>
      </c>
      <c r="S53" s="62">
        <f t="shared" si="14"/>
        <v>0</v>
      </c>
      <c r="T53" s="63">
        <f t="shared" si="15"/>
        <v>0</v>
      </c>
      <c r="U53" s="64"/>
      <c r="V53" s="65"/>
      <c r="W53" s="66"/>
      <c r="X53" s="67"/>
      <c r="Y53" s="68"/>
      <c r="Z53" s="68"/>
      <c r="AA53" s="62">
        <f t="shared" si="16"/>
        <v>0</v>
      </c>
      <c r="AB53" s="63">
        <f t="shared" si="17"/>
        <v>0</v>
      </c>
      <c r="AC53" s="69"/>
      <c r="AD53" s="70"/>
      <c r="AE53" s="70"/>
      <c r="AF53" s="62">
        <f t="shared" si="18"/>
        <v>0</v>
      </c>
      <c r="AG53" s="63">
        <f t="shared" si="19"/>
        <v>0</v>
      </c>
      <c r="AH53" s="89"/>
      <c r="AI53" s="66"/>
      <c r="AJ53" s="66"/>
      <c r="AK53" s="62">
        <f t="shared" si="20"/>
        <v>0</v>
      </c>
      <c r="AL53" s="72">
        <f t="shared" si="21"/>
        <v>0</v>
      </c>
      <c r="AM53" s="73">
        <f t="shared" si="22"/>
        <v>0</v>
      </c>
      <c r="AN53" s="74">
        <f t="shared" si="23"/>
        <v>0</v>
      </c>
      <c r="AO53" s="74">
        <f t="shared" si="24"/>
        <v>0</v>
      </c>
      <c r="AP53" s="75" t="e">
        <f t="shared" si="25"/>
        <v>#DIV/0!</v>
      </c>
      <c r="AQ53" s="76">
        <f t="shared" si="26"/>
        <v>0</v>
      </c>
      <c r="AR53" s="77">
        <f t="shared" si="27"/>
        <v>0</v>
      </c>
    </row>
    <row r="54" spans="1:44" x14ac:dyDescent="0.25">
      <c r="A54" t="str">
        <f t="shared" si="12"/>
        <v>46199M</v>
      </c>
      <c r="B54" s="51">
        <f t="shared" si="28"/>
        <v>46199</v>
      </c>
      <c r="C54" s="52" t="s">
        <v>87</v>
      </c>
      <c r="D54" s="91"/>
      <c r="E54" s="62"/>
      <c r="F54" s="62"/>
      <c r="G54" s="62">
        <f t="shared" ref="G54:G65" si="31">+D54*E54%</f>
        <v>0</v>
      </c>
      <c r="H54" s="63">
        <f t="shared" ref="H54:H65" si="32">+D54*F54%</f>
        <v>0</v>
      </c>
      <c r="I54" s="119"/>
      <c r="J54" s="120"/>
      <c r="K54" s="121"/>
      <c r="L54" s="122"/>
      <c r="M54" s="58"/>
      <c r="N54" s="58"/>
      <c r="O54" s="59"/>
      <c r="P54" s="56"/>
      <c r="Q54" s="60"/>
      <c r="R54" s="61">
        <f t="shared" si="13"/>
        <v>0</v>
      </c>
      <c r="S54" s="62">
        <f t="shared" si="14"/>
        <v>0</v>
      </c>
      <c r="T54" s="63">
        <f t="shared" si="15"/>
        <v>0</v>
      </c>
      <c r="U54" s="64"/>
      <c r="V54" s="65"/>
      <c r="W54" s="66"/>
      <c r="X54" s="67"/>
      <c r="Y54" s="68"/>
      <c r="Z54" s="68"/>
      <c r="AA54" s="62">
        <f t="shared" si="16"/>
        <v>0</v>
      </c>
      <c r="AB54" s="63">
        <f t="shared" si="17"/>
        <v>0</v>
      </c>
      <c r="AC54" s="69"/>
      <c r="AD54" s="70"/>
      <c r="AE54" s="70"/>
      <c r="AF54" s="62">
        <f t="shared" si="18"/>
        <v>0</v>
      </c>
      <c r="AG54" s="63">
        <f t="shared" si="19"/>
        <v>0</v>
      </c>
      <c r="AH54" s="89"/>
      <c r="AI54" s="66"/>
      <c r="AJ54" s="66"/>
      <c r="AK54" s="62">
        <f t="shared" si="20"/>
        <v>0</v>
      </c>
      <c r="AL54" s="72">
        <f t="shared" si="21"/>
        <v>0</v>
      </c>
      <c r="AM54" s="73">
        <f t="shared" si="22"/>
        <v>0</v>
      </c>
      <c r="AN54" s="74">
        <f t="shared" si="23"/>
        <v>0</v>
      </c>
      <c r="AO54" s="74">
        <f t="shared" si="24"/>
        <v>0</v>
      </c>
      <c r="AP54" s="75" t="e">
        <f t="shared" si="25"/>
        <v>#DIV/0!</v>
      </c>
      <c r="AQ54" s="76">
        <f t="shared" si="26"/>
        <v>0</v>
      </c>
      <c r="AR54" s="77">
        <f t="shared" si="27"/>
        <v>0</v>
      </c>
    </row>
    <row r="55" spans="1:44" x14ac:dyDescent="0.25">
      <c r="A55" t="str">
        <f t="shared" si="12"/>
        <v>46199E</v>
      </c>
      <c r="B55" s="51">
        <f t="shared" si="28"/>
        <v>46199</v>
      </c>
      <c r="C55" s="52" t="s">
        <v>88</v>
      </c>
      <c r="D55" s="91"/>
      <c r="E55" s="62"/>
      <c r="F55" s="62"/>
      <c r="G55" s="62">
        <f t="shared" si="31"/>
        <v>0</v>
      </c>
      <c r="H55" s="63">
        <f t="shared" si="32"/>
        <v>0</v>
      </c>
      <c r="I55" s="119"/>
      <c r="J55" s="120"/>
      <c r="K55" s="121"/>
      <c r="L55" s="122"/>
      <c r="M55" s="58"/>
      <c r="N55" s="58"/>
      <c r="O55" s="59"/>
      <c r="P55" s="56"/>
      <c r="Q55" s="60"/>
      <c r="R55" s="61">
        <f t="shared" si="13"/>
        <v>0</v>
      </c>
      <c r="S55" s="62">
        <f t="shared" si="14"/>
        <v>0</v>
      </c>
      <c r="T55" s="63">
        <f t="shared" si="15"/>
        <v>0</v>
      </c>
      <c r="U55" s="64"/>
      <c r="V55" s="65"/>
      <c r="W55" s="66"/>
      <c r="X55" s="67"/>
      <c r="Y55" s="68"/>
      <c r="Z55" s="68"/>
      <c r="AA55" s="62">
        <f t="shared" si="16"/>
        <v>0</v>
      </c>
      <c r="AB55" s="63">
        <f t="shared" si="17"/>
        <v>0</v>
      </c>
      <c r="AC55" s="69"/>
      <c r="AD55" s="70"/>
      <c r="AE55" s="70"/>
      <c r="AF55" s="62">
        <f t="shared" si="18"/>
        <v>0</v>
      </c>
      <c r="AG55" s="63">
        <f t="shared" si="19"/>
        <v>0</v>
      </c>
      <c r="AH55" s="89"/>
      <c r="AI55" s="66"/>
      <c r="AJ55" s="66"/>
      <c r="AK55" s="62">
        <f t="shared" si="20"/>
        <v>0</v>
      </c>
      <c r="AL55" s="72">
        <f t="shared" si="21"/>
        <v>0</v>
      </c>
      <c r="AM55" s="73">
        <f t="shared" si="22"/>
        <v>0</v>
      </c>
      <c r="AN55" s="74">
        <f t="shared" si="23"/>
        <v>0</v>
      </c>
      <c r="AO55" s="74">
        <f t="shared" si="24"/>
        <v>0</v>
      </c>
      <c r="AP55" s="75" t="e">
        <f t="shared" si="25"/>
        <v>#DIV/0!</v>
      </c>
      <c r="AQ55" s="76">
        <f t="shared" si="26"/>
        <v>0</v>
      </c>
      <c r="AR55" s="77">
        <f t="shared" si="27"/>
        <v>0</v>
      </c>
    </row>
    <row r="56" spans="1:44" x14ac:dyDescent="0.25">
      <c r="A56" t="str">
        <f t="shared" si="12"/>
        <v>46200M</v>
      </c>
      <c r="B56" s="51">
        <f t="shared" si="28"/>
        <v>46200</v>
      </c>
      <c r="C56" s="52" t="s">
        <v>87</v>
      </c>
      <c r="D56" s="91"/>
      <c r="E56" s="62"/>
      <c r="F56" s="62"/>
      <c r="G56" s="62">
        <f t="shared" si="31"/>
        <v>0</v>
      </c>
      <c r="H56" s="63">
        <f t="shared" si="32"/>
        <v>0</v>
      </c>
      <c r="I56" s="119"/>
      <c r="J56" s="120"/>
      <c r="K56" s="121"/>
      <c r="L56" s="122"/>
      <c r="M56" s="58"/>
      <c r="N56" s="58"/>
      <c r="O56" s="59"/>
      <c r="P56" s="56"/>
      <c r="Q56" s="60"/>
      <c r="R56" s="61">
        <f t="shared" si="13"/>
        <v>0</v>
      </c>
      <c r="S56" s="62">
        <f t="shared" si="14"/>
        <v>0</v>
      </c>
      <c r="T56" s="63">
        <f t="shared" si="15"/>
        <v>0</v>
      </c>
      <c r="U56" s="64"/>
      <c r="V56" s="65"/>
      <c r="W56" s="66"/>
      <c r="X56" s="67"/>
      <c r="Y56" s="68"/>
      <c r="Z56" s="68"/>
      <c r="AA56" s="62">
        <f t="shared" si="16"/>
        <v>0</v>
      </c>
      <c r="AB56" s="63">
        <f t="shared" si="17"/>
        <v>0</v>
      </c>
      <c r="AC56" s="69"/>
      <c r="AD56" s="70"/>
      <c r="AE56" s="70"/>
      <c r="AF56" s="62">
        <f t="shared" si="18"/>
        <v>0</v>
      </c>
      <c r="AG56" s="63">
        <f t="shared" si="19"/>
        <v>0</v>
      </c>
      <c r="AH56" s="89"/>
      <c r="AI56" s="66"/>
      <c r="AJ56" s="66"/>
      <c r="AK56" s="62">
        <f t="shared" si="20"/>
        <v>0</v>
      </c>
      <c r="AL56" s="72">
        <f t="shared" si="21"/>
        <v>0</v>
      </c>
      <c r="AM56" s="73">
        <f t="shared" si="22"/>
        <v>0</v>
      </c>
      <c r="AN56" s="74">
        <f t="shared" si="23"/>
        <v>0</v>
      </c>
      <c r="AO56" s="74">
        <f t="shared" si="24"/>
        <v>0</v>
      </c>
      <c r="AP56" s="75" t="e">
        <f t="shared" si="25"/>
        <v>#DIV/0!</v>
      </c>
      <c r="AQ56" s="76">
        <f t="shared" si="26"/>
        <v>0</v>
      </c>
      <c r="AR56" s="77">
        <f t="shared" si="27"/>
        <v>0</v>
      </c>
    </row>
    <row r="57" spans="1:44" x14ac:dyDescent="0.25">
      <c r="A57" t="str">
        <f t="shared" si="12"/>
        <v>46200E</v>
      </c>
      <c r="B57" s="51">
        <f t="shared" si="28"/>
        <v>46200</v>
      </c>
      <c r="C57" s="52" t="s">
        <v>88</v>
      </c>
      <c r="D57" s="91"/>
      <c r="E57" s="62"/>
      <c r="F57" s="62"/>
      <c r="G57" s="62">
        <f t="shared" si="31"/>
        <v>0</v>
      </c>
      <c r="H57" s="63">
        <f t="shared" si="32"/>
        <v>0</v>
      </c>
      <c r="I57" s="119"/>
      <c r="J57" s="120"/>
      <c r="K57" s="121"/>
      <c r="L57" s="122"/>
      <c r="M57" s="58"/>
      <c r="N57" s="58"/>
      <c r="O57" s="59"/>
      <c r="P57" s="56"/>
      <c r="Q57" s="60"/>
      <c r="R57" s="61">
        <f t="shared" si="13"/>
        <v>0</v>
      </c>
      <c r="S57" s="62">
        <f t="shared" si="14"/>
        <v>0</v>
      </c>
      <c r="T57" s="63">
        <f t="shared" si="15"/>
        <v>0</v>
      </c>
      <c r="U57" s="64"/>
      <c r="V57" s="65"/>
      <c r="W57" s="66"/>
      <c r="X57" s="67"/>
      <c r="Y57" s="68"/>
      <c r="Z57" s="68"/>
      <c r="AA57" s="62">
        <f t="shared" si="16"/>
        <v>0</v>
      </c>
      <c r="AB57" s="63">
        <f t="shared" si="17"/>
        <v>0</v>
      </c>
      <c r="AC57" s="69"/>
      <c r="AD57" s="70"/>
      <c r="AE57" s="70"/>
      <c r="AF57" s="62">
        <f t="shared" si="18"/>
        <v>0</v>
      </c>
      <c r="AG57" s="63">
        <f t="shared" si="19"/>
        <v>0</v>
      </c>
      <c r="AH57" s="89"/>
      <c r="AI57" s="66"/>
      <c r="AJ57" s="66"/>
      <c r="AK57" s="62">
        <f t="shared" si="20"/>
        <v>0</v>
      </c>
      <c r="AL57" s="72">
        <f t="shared" si="21"/>
        <v>0</v>
      </c>
      <c r="AM57" s="73">
        <f t="shared" si="22"/>
        <v>0</v>
      </c>
      <c r="AN57" s="74">
        <f t="shared" si="23"/>
        <v>0</v>
      </c>
      <c r="AO57" s="74">
        <f t="shared" si="24"/>
        <v>0</v>
      </c>
      <c r="AP57" s="75" t="e">
        <f t="shared" si="25"/>
        <v>#DIV/0!</v>
      </c>
      <c r="AQ57" s="76">
        <f t="shared" si="26"/>
        <v>0</v>
      </c>
      <c r="AR57" s="77">
        <f t="shared" si="27"/>
        <v>0</v>
      </c>
    </row>
    <row r="58" spans="1:44" x14ac:dyDescent="0.25">
      <c r="A58" t="str">
        <f t="shared" si="12"/>
        <v>46201M</v>
      </c>
      <c r="B58" s="51">
        <f t="shared" si="28"/>
        <v>46201</v>
      </c>
      <c r="C58" s="52" t="s">
        <v>87</v>
      </c>
      <c r="D58" s="91"/>
      <c r="E58" s="62"/>
      <c r="F58" s="62"/>
      <c r="G58" s="62">
        <f t="shared" si="31"/>
        <v>0</v>
      </c>
      <c r="H58" s="63">
        <f t="shared" si="32"/>
        <v>0</v>
      </c>
      <c r="I58" s="119"/>
      <c r="J58" s="120"/>
      <c r="K58" s="121"/>
      <c r="L58" s="122"/>
      <c r="M58" s="58"/>
      <c r="N58" s="58"/>
      <c r="O58" s="59"/>
      <c r="P58" s="56"/>
      <c r="Q58" s="60"/>
      <c r="R58" s="61">
        <f t="shared" si="13"/>
        <v>0</v>
      </c>
      <c r="S58" s="62">
        <f t="shared" si="14"/>
        <v>0</v>
      </c>
      <c r="T58" s="63">
        <f t="shared" si="15"/>
        <v>0</v>
      </c>
      <c r="U58" s="64"/>
      <c r="V58" s="65"/>
      <c r="W58" s="66"/>
      <c r="X58" s="67"/>
      <c r="Y58" s="68"/>
      <c r="Z58" s="68"/>
      <c r="AA58" s="62">
        <f t="shared" si="16"/>
        <v>0</v>
      </c>
      <c r="AB58" s="63">
        <f t="shared" si="17"/>
        <v>0</v>
      </c>
      <c r="AC58" s="69"/>
      <c r="AD58" s="70"/>
      <c r="AE58" s="70"/>
      <c r="AF58" s="62">
        <f t="shared" si="18"/>
        <v>0</v>
      </c>
      <c r="AG58" s="63">
        <f t="shared" si="19"/>
        <v>0</v>
      </c>
      <c r="AH58" s="89"/>
      <c r="AI58" s="66"/>
      <c r="AJ58" s="66"/>
      <c r="AK58" s="62">
        <f t="shared" si="20"/>
        <v>0</v>
      </c>
      <c r="AL58" s="72">
        <f t="shared" si="21"/>
        <v>0</v>
      </c>
      <c r="AM58" s="73">
        <f t="shared" si="22"/>
        <v>0</v>
      </c>
      <c r="AN58" s="74">
        <f t="shared" si="23"/>
        <v>0</v>
      </c>
      <c r="AO58" s="74">
        <f t="shared" si="24"/>
        <v>0</v>
      </c>
      <c r="AP58" s="75" t="e">
        <f t="shared" si="25"/>
        <v>#DIV/0!</v>
      </c>
      <c r="AQ58" s="76">
        <f t="shared" si="26"/>
        <v>0</v>
      </c>
      <c r="AR58" s="77">
        <f t="shared" si="27"/>
        <v>0</v>
      </c>
    </row>
    <row r="59" spans="1:44" x14ac:dyDescent="0.25">
      <c r="A59" t="str">
        <f t="shared" si="12"/>
        <v>46201E</v>
      </c>
      <c r="B59" s="51">
        <f t="shared" si="28"/>
        <v>46201</v>
      </c>
      <c r="C59" s="52" t="s">
        <v>88</v>
      </c>
      <c r="D59" s="91"/>
      <c r="E59" s="62"/>
      <c r="F59" s="62"/>
      <c r="G59" s="62">
        <f t="shared" si="31"/>
        <v>0</v>
      </c>
      <c r="H59" s="63">
        <f t="shared" si="32"/>
        <v>0</v>
      </c>
      <c r="I59" s="119"/>
      <c r="J59" s="120"/>
      <c r="K59" s="121"/>
      <c r="L59" s="122"/>
      <c r="M59" s="58"/>
      <c r="N59" s="58"/>
      <c r="O59" s="59"/>
      <c r="P59" s="56"/>
      <c r="Q59" s="60"/>
      <c r="R59" s="61">
        <f t="shared" si="13"/>
        <v>0</v>
      </c>
      <c r="S59" s="62">
        <f t="shared" si="14"/>
        <v>0</v>
      </c>
      <c r="T59" s="63">
        <f t="shared" si="15"/>
        <v>0</v>
      </c>
      <c r="U59" s="64"/>
      <c r="V59" s="65"/>
      <c r="W59" s="66"/>
      <c r="X59" s="67"/>
      <c r="Y59" s="68"/>
      <c r="Z59" s="68"/>
      <c r="AA59" s="62">
        <f t="shared" si="16"/>
        <v>0</v>
      </c>
      <c r="AB59" s="63">
        <f t="shared" si="17"/>
        <v>0</v>
      </c>
      <c r="AC59" s="69"/>
      <c r="AD59" s="70"/>
      <c r="AE59" s="70"/>
      <c r="AF59" s="62">
        <f t="shared" si="18"/>
        <v>0</v>
      </c>
      <c r="AG59" s="63">
        <f t="shared" si="19"/>
        <v>0</v>
      </c>
      <c r="AH59" s="89"/>
      <c r="AI59" s="66"/>
      <c r="AJ59" s="66"/>
      <c r="AK59" s="62">
        <f t="shared" si="20"/>
        <v>0</v>
      </c>
      <c r="AL59" s="72">
        <f t="shared" si="21"/>
        <v>0</v>
      </c>
      <c r="AM59" s="73">
        <f t="shared" si="22"/>
        <v>0</v>
      </c>
      <c r="AN59" s="74">
        <f t="shared" si="23"/>
        <v>0</v>
      </c>
      <c r="AO59" s="74">
        <f t="shared" si="24"/>
        <v>0</v>
      </c>
      <c r="AP59" s="75" t="e">
        <f t="shared" si="25"/>
        <v>#DIV/0!</v>
      </c>
      <c r="AQ59" s="76">
        <f t="shared" si="26"/>
        <v>0</v>
      </c>
      <c r="AR59" s="77">
        <f t="shared" si="27"/>
        <v>0</v>
      </c>
    </row>
    <row r="60" spans="1:44" x14ac:dyDescent="0.25">
      <c r="A60" t="str">
        <f t="shared" si="12"/>
        <v>46202M</v>
      </c>
      <c r="B60" s="51">
        <f t="shared" si="28"/>
        <v>46202</v>
      </c>
      <c r="C60" s="52" t="s">
        <v>87</v>
      </c>
      <c r="D60" s="91"/>
      <c r="E60" s="62"/>
      <c r="F60" s="62"/>
      <c r="G60" s="62">
        <f t="shared" si="31"/>
        <v>0</v>
      </c>
      <c r="H60" s="63">
        <f t="shared" si="32"/>
        <v>0</v>
      </c>
      <c r="I60" s="119"/>
      <c r="J60" s="120"/>
      <c r="K60" s="121"/>
      <c r="L60" s="122"/>
      <c r="M60" s="58"/>
      <c r="N60" s="58"/>
      <c r="O60" s="59"/>
      <c r="P60" s="56"/>
      <c r="Q60" s="60"/>
      <c r="R60" s="61">
        <f t="shared" si="13"/>
        <v>0</v>
      </c>
      <c r="S60" s="62">
        <f t="shared" si="14"/>
        <v>0</v>
      </c>
      <c r="T60" s="63">
        <f t="shared" si="15"/>
        <v>0</v>
      </c>
      <c r="U60" s="64"/>
      <c r="V60" s="65"/>
      <c r="W60" s="66"/>
      <c r="X60" s="67"/>
      <c r="Y60" s="68"/>
      <c r="Z60" s="68"/>
      <c r="AA60" s="62">
        <f t="shared" si="16"/>
        <v>0</v>
      </c>
      <c r="AB60" s="63">
        <f t="shared" si="17"/>
        <v>0</v>
      </c>
      <c r="AC60" s="69"/>
      <c r="AD60" s="70"/>
      <c r="AE60" s="70"/>
      <c r="AF60" s="62">
        <f t="shared" si="18"/>
        <v>0</v>
      </c>
      <c r="AG60" s="63">
        <f t="shared" si="19"/>
        <v>0</v>
      </c>
      <c r="AH60" s="89"/>
      <c r="AI60" s="66"/>
      <c r="AJ60" s="66"/>
      <c r="AK60" s="62">
        <f t="shared" si="20"/>
        <v>0</v>
      </c>
      <c r="AL60" s="72">
        <f t="shared" si="21"/>
        <v>0</v>
      </c>
      <c r="AM60" s="73">
        <f t="shared" si="22"/>
        <v>0</v>
      </c>
      <c r="AN60" s="74">
        <f t="shared" si="23"/>
        <v>0</v>
      </c>
      <c r="AO60" s="74">
        <f t="shared" si="24"/>
        <v>0</v>
      </c>
      <c r="AP60" s="75" t="e">
        <f t="shared" si="25"/>
        <v>#DIV/0!</v>
      </c>
      <c r="AQ60" s="76">
        <f t="shared" si="26"/>
        <v>0</v>
      </c>
      <c r="AR60" s="77">
        <f t="shared" si="27"/>
        <v>0</v>
      </c>
    </row>
    <row r="61" spans="1:44" x14ac:dyDescent="0.25">
      <c r="A61" t="str">
        <f t="shared" si="12"/>
        <v>46202E</v>
      </c>
      <c r="B61" s="51">
        <f t="shared" si="28"/>
        <v>46202</v>
      </c>
      <c r="C61" s="52" t="s">
        <v>88</v>
      </c>
      <c r="D61" s="91"/>
      <c r="E61" s="62"/>
      <c r="F61" s="62"/>
      <c r="G61" s="62">
        <f t="shared" si="31"/>
        <v>0</v>
      </c>
      <c r="H61" s="63">
        <f t="shared" si="32"/>
        <v>0</v>
      </c>
      <c r="I61" s="119"/>
      <c r="J61" s="120"/>
      <c r="K61" s="121"/>
      <c r="L61" s="122"/>
      <c r="M61" s="58"/>
      <c r="N61" s="58"/>
      <c r="O61" s="59"/>
      <c r="P61" s="56"/>
      <c r="Q61" s="60"/>
      <c r="R61" s="61">
        <f t="shared" si="13"/>
        <v>0</v>
      </c>
      <c r="S61" s="62">
        <f t="shared" si="14"/>
        <v>0</v>
      </c>
      <c r="T61" s="63">
        <f t="shared" si="15"/>
        <v>0</v>
      </c>
      <c r="U61" s="64"/>
      <c r="V61" s="65"/>
      <c r="W61" s="66"/>
      <c r="X61" s="67"/>
      <c r="Y61" s="68"/>
      <c r="Z61" s="68"/>
      <c r="AA61" s="62">
        <f t="shared" si="16"/>
        <v>0</v>
      </c>
      <c r="AB61" s="63">
        <f t="shared" si="17"/>
        <v>0</v>
      </c>
      <c r="AC61" s="69"/>
      <c r="AD61" s="70"/>
      <c r="AE61" s="70"/>
      <c r="AF61" s="62">
        <f t="shared" si="18"/>
        <v>0</v>
      </c>
      <c r="AG61" s="63">
        <f t="shared" si="19"/>
        <v>0</v>
      </c>
      <c r="AH61" s="89"/>
      <c r="AI61" s="66"/>
      <c r="AJ61" s="66"/>
      <c r="AK61" s="62">
        <f t="shared" si="20"/>
        <v>0</v>
      </c>
      <c r="AL61" s="72">
        <f t="shared" si="21"/>
        <v>0</v>
      </c>
      <c r="AM61" s="73">
        <f t="shared" si="22"/>
        <v>0</v>
      </c>
      <c r="AN61" s="74">
        <f t="shared" si="23"/>
        <v>0</v>
      </c>
      <c r="AO61" s="74">
        <f t="shared" si="24"/>
        <v>0</v>
      </c>
      <c r="AP61" s="75" t="e">
        <f t="shared" si="25"/>
        <v>#DIV/0!</v>
      </c>
      <c r="AQ61" s="76">
        <f t="shared" si="26"/>
        <v>0</v>
      </c>
      <c r="AR61" s="77">
        <f t="shared" si="27"/>
        <v>0</v>
      </c>
    </row>
    <row r="62" spans="1:44" x14ac:dyDescent="0.25">
      <c r="A62" t="str">
        <f t="shared" si="12"/>
        <v>46203M</v>
      </c>
      <c r="B62" s="51">
        <f t="shared" si="28"/>
        <v>46203</v>
      </c>
      <c r="C62" s="52" t="s">
        <v>87</v>
      </c>
      <c r="D62" s="91"/>
      <c r="E62" s="62"/>
      <c r="F62" s="62"/>
      <c r="G62" s="62">
        <f t="shared" si="31"/>
        <v>0</v>
      </c>
      <c r="H62" s="63">
        <f t="shared" si="32"/>
        <v>0</v>
      </c>
      <c r="I62" s="119"/>
      <c r="J62" s="120"/>
      <c r="K62" s="121"/>
      <c r="L62" s="122"/>
      <c r="M62" s="58"/>
      <c r="N62" s="58"/>
      <c r="O62" s="59"/>
      <c r="P62" s="56"/>
      <c r="Q62" s="60"/>
      <c r="R62" s="61">
        <f t="shared" si="13"/>
        <v>0</v>
      </c>
      <c r="S62" s="62">
        <f t="shared" si="14"/>
        <v>0</v>
      </c>
      <c r="T62" s="63">
        <f t="shared" si="15"/>
        <v>0</v>
      </c>
      <c r="U62" s="64"/>
      <c r="V62" s="65"/>
      <c r="W62" s="66"/>
      <c r="X62" s="67"/>
      <c r="Y62" s="68"/>
      <c r="Z62" s="68"/>
      <c r="AA62" s="62">
        <f t="shared" si="16"/>
        <v>0</v>
      </c>
      <c r="AB62" s="63">
        <f t="shared" si="17"/>
        <v>0</v>
      </c>
      <c r="AC62" s="69"/>
      <c r="AD62" s="70"/>
      <c r="AE62" s="70"/>
      <c r="AF62" s="62">
        <f t="shared" si="18"/>
        <v>0</v>
      </c>
      <c r="AG62" s="63">
        <f t="shared" si="19"/>
        <v>0</v>
      </c>
      <c r="AH62" s="89"/>
      <c r="AI62" s="66"/>
      <c r="AJ62" s="66"/>
      <c r="AK62" s="62">
        <f t="shared" si="20"/>
        <v>0</v>
      </c>
      <c r="AL62" s="72">
        <f t="shared" si="21"/>
        <v>0</v>
      </c>
      <c r="AM62" s="73">
        <f t="shared" si="22"/>
        <v>0</v>
      </c>
      <c r="AN62" s="74">
        <f t="shared" si="23"/>
        <v>0</v>
      </c>
      <c r="AO62" s="74">
        <f t="shared" si="24"/>
        <v>0</v>
      </c>
      <c r="AP62" s="75" t="e">
        <f t="shared" si="25"/>
        <v>#DIV/0!</v>
      </c>
      <c r="AQ62" s="76">
        <f t="shared" si="26"/>
        <v>0</v>
      </c>
      <c r="AR62" s="77">
        <f t="shared" si="27"/>
        <v>0</v>
      </c>
    </row>
    <row r="63" spans="1:44" x14ac:dyDescent="0.25">
      <c r="A63" t="str">
        <f t="shared" si="12"/>
        <v>46203E</v>
      </c>
      <c r="B63" s="51">
        <f t="shared" si="28"/>
        <v>46203</v>
      </c>
      <c r="C63" s="52" t="s">
        <v>88</v>
      </c>
      <c r="D63" s="91"/>
      <c r="E63" s="62"/>
      <c r="F63" s="62"/>
      <c r="G63" s="62">
        <f t="shared" si="31"/>
        <v>0</v>
      </c>
      <c r="H63" s="63">
        <f t="shared" si="32"/>
        <v>0</v>
      </c>
      <c r="I63" s="119"/>
      <c r="J63" s="120"/>
      <c r="K63" s="121"/>
      <c r="L63" s="122"/>
      <c r="M63" s="58"/>
      <c r="N63" s="58"/>
      <c r="O63" s="59"/>
      <c r="P63" s="56"/>
      <c r="Q63" s="60"/>
      <c r="R63" s="61">
        <f t="shared" si="13"/>
        <v>0</v>
      </c>
      <c r="S63" s="62">
        <f t="shared" si="14"/>
        <v>0</v>
      </c>
      <c r="T63" s="63">
        <f t="shared" si="15"/>
        <v>0</v>
      </c>
      <c r="U63" s="64"/>
      <c r="V63" s="65"/>
      <c r="W63" s="66"/>
      <c r="X63" s="67"/>
      <c r="Y63" s="68"/>
      <c r="Z63" s="68"/>
      <c r="AA63" s="62">
        <f t="shared" si="16"/>
        <v>0</v>
      </c>
      <c r="AB63" s="63">
        <f t="shared" si="17"/>
        <v>0</v>
      </c>
      <c r="AC63" s="69"/>
      <c r="AD63" s="70"/>
      <c r="AE63" s="70"/>
      <c r="AF63" s="62">
        <f t="shared" si="18"/>
        <v>0</v>
      </c>
      <c r="AG63" s="63">
        <f t="shared" si="19"/>
        <v>0</v>
      </c>
      <c r="AH63" s="89"/>
      <c r="AI63" s="66"/>
      <c r="AJ63" s="66"/>
      <c r="AK63" s="62">
        <f t="shared" si="20"/>
        <v>0</v>
      </c>
      <c r="AL63" s="72">
        <f t="shared" si="21"/>
        <v>0</v>
      </c>
      <c r="AM63" s="73">
        <f t="shared" si="22"/>
        <v>0</v>
      </c>
      <c r="AN63" s="74">
        <f t="shared" si="23"/>
        <v>0</v>
      </c>
      <c r="AO63" s="74">
        <f t="shared" si="24"/>
        <v>0</v>
      </c>
      <c r="AP63" s="75" t="e">
        <f t="shared" si="25"/>
        <v>#DIV/0!</v>
      </c>
      <c r="AQ63" s="76">
        <f t="shared" si="26"/>
        <v>0</v>
      </c>
      <c r="AR63" s="77">
        <f t="shared" si="27"/>
        <v>0</v>
      </c>
    </row>
    <row r="64" spans="1:44" x14ac:dyDescent="0.25">
      <c r="A64" t="str">
        <f t="shared" si="12"/>
        <v>46204M</v>
      </c>
      <c r="B64" s="51">
        <f t="shared" si="28"/>
        <v>46204</v>
      </c>
      <c r="C64" s="52" t="s">
        <v>87</v>
      </c>
      <c r="D64" s="91"/>
      <c r="E64" s="62"/>
      <c r="F64" s="62"/>
      <c r="G64" s="62">
        <f t="shared" si="31"/>
        <v>0</v>
      </c>
      <c r="H64" s="63">
        <f t="shared" si="32"/>
        <v>0</v>
      </c>
      <c r="I64" s="119"/>
      <c r="J64" s="120"/>
      <c r="K64" s="121"/>
      <c r="L64" s="122"/>
      <c r="M64" s="58"/>
      <c r="N64" s="58"/>
      <c r="O64" s="59"/>
      <c r="P64" s="56"/>
      <c r="Q64" s="60"/>
      <c r="R64" s="61">
        <f t="shared" si="13"/>
        <v>0</v>
      </c>
      <c r="S64" s="62">
        <f t="shared" si="14"/>
        <v>0</v>
      </c>
      <c r="T64" s="63">
        <f t="shared" si="15"/>
        <v>0</v>
      </c>
      <c r="U64" s="64"/>
      <c r="V64" s="65"/>
      <c r="W64" s="66"/>
      <c r="X64" s="67"/>
      <c r="Y64" s="68"/>
      <c r="Z64" s="68"/>
      <c r="AA64" s="62">
        <f t="shared" si="16"/>
        <v>0</v>
      </c>
      <c r="AB64" s="63">
        <f t="shared" si="17"/>
        <v>0</v>
      </c>
      <c r="AC64" s="69"/>
      <c r="AD64" s="70"/>
      <c r="AE64" s="70"/>
      <c r="AF64" s="62">
        <f t="shared" si="18"/>
        <v>0</v>
      </c>
      <c r="AG64" s="63">
        <f t="shared" si="19"/>
        <v>0</v>
      </c>
      <c r="AH64" s="89"/>
      <c r="AI64" s="66"/>
      <c r="AJ64" s="66"/>
      <c r="AK64" s="62">
        <f t="shared" si="20"/>
        <v>0</v>
      </c>
      <c r="AL64" s="72">
        <f t="shared" si="21"/>
        <v>0</v>
      </c>
      <c r="AM64" s="73">
        <f t="shared" si="22"/>
        <v>0</v>
      </c>
      <c r="AN64" s="74">
        <f t="shared" si="23"/>
        <v>0</v>
      </c>
      <c r="AO64" s="74">
        <f t="shared" si="24"/>
        <v>0</v>
      </c>
      <c r="AP64" s="75" t="e">
        <f t="shared" si="25"/>
        <v>#DIV/0!</v>
      </c>
      <c r="AQ64" s="76">
        <f t="shared" si="26"/>
        <v>0</v>
      </c>
      <c r="AR64" s="77">
        <f t="shared" si="27"/>
        <v>0</v>
      </c>
    </row>
    <row r="65" spans="1:44" ht="15.75" thickBot="1" x14ac:dyDescent="0.3">
      <c r="A65" t="str">
        <f t="shared" si="12"/>
        <v>46204E</v>
      </c>
      <c r="B65" s="51">
        <f t="shared" si="28"/>
        <v>46204</v>
      </c>
      <c r="C65" s="93" t="s">
        <v>88</v>
      </c>
      <c r="D65" s="91"/>
      <c r="E65" s="62"/>
      <c r="F65" s="62"/>
      <c r="G65" s="62">
        <f t="shared" si="31"/>
        <v>0</v>
      </c>
      <c r="H65" s="63">
        <f t="shared" si="32"/>
        <v>0</v>
      </c>
      <c r="I65" s="119"/>
      <c r="J65" s="120"/>
      <c r="K65" s="121"/>
      <c r="L65" s="122"/>
      <c r="M65" s="58"/>
      <c r="N65" s="58"/>
      <c r="O65" s="59"/>
      <c r="P65" s="56"/>
      <c r="Q65" s="60"/>
      <c r="R65" s="61">
        <f t="shared" si="13"/>
        <v>0</v>
      </c>
      <c r="S65" s="62">
        <f t="shared" si="14"/>
        <v>0</v>
      </c>
      <c r="T65" s="63">
        <f t="shared" si="15"/>
        <v>0</v>
      </c>
      <c r="U65" s="64"/>
      <c r="V65" s="65"/>
      <c r="W65" s="66"/>
      <c r="X65" s="67"/>
      <c r="Y65" s="68"/>
      <c r="Z65" s="68"/>
      <c r="AA65" s="62">
        <f t="shared" si="16"/>
        <v>0</v>
      </c>
      <c r="AB65" s="63">
        <f t="shared" si="17"/>
        <v>0</v>
      </c>
      <c r="AC65" s="69"/>
      <c r="AD65" s="70"/>
      <c r="AE65" s="70"/>
      <c r="AF65" s="62">
        <f t="shared" si="18"/>
        <v>0</v>
      </c>
      <c r="AG65" s="63">
        <f t="shared" si="19"/>
        <v>0</v>
      </c>
      <c r="AH65" s="71"/>
      <c r="AI65" s="66"/>
      <c r="AJ65" s="66"/>
      <c r="AK65" s="62">
        <f t="shared" si="20"/>
        <v>0</v>
      </c>
      <c r="AL65" s="72">
        <f t="shared" si="21"/>
        <v>0</v>
      </c>
      <c r="AM65" s="73">
        <f t="shared" si="22"/>
        <v>0</v>
      </c>
      <c r="AN65" s="74">
        <f t="shared" si="23"/>
        <v>0</v>
      </c>
      <c r="AO65" s="74">
        <f t="shared" si="24"/>
        <v>0</v>
      </c>
      <c r="AP65" s="75" t="e">
        <f t="shared" si="25"/>
        <v>#DIV/0!</v>
      </c>
      <c r="AQ65" s="76">
        <f t="shared" si="26"/>
        <v>0</v>
      </c>
      <c r="AR65" s="77">
        <f t="shared" si="27"/>
        <v>0</v>
      </c>
    </row>
    <row r="66" spans="1:44" ht="15.75" thickBot="1" x14ac:dyDescent="0.3">
      <c r="J66" s="83">
        <f>SUM(J4:J65)</f>
        <v>46060.158000000003</v>
      </c>
      <c r="R66">
        <f>+J66+O66</f>
        <v>46060.158000000003</v>
      </c>
      <c r="S66">
        <f>+J66*K66%+O66*P66%</f>
        <v>0</v>
      </c>
      <c r="T66">
        <f>+J66*L66%+O66*Q66%</f>
        <v>0</v>
      </c>
      <c r="AA66">
        <f>X66*Y66%</f>
        <v>0</v>
      </c>
      <c r="AB66">
        <f>X66*Z66%</f>
        <v>0</v>
      </c>
      <c r="AF66">
        <f>AC66*AD66%</f>
        <v>0</v>
      </c>
      <c r="AG66">
        <f>AC66*AE66%</f>
        <v>0</v>
      </c>
      <c r="AJ66" t="s">
        <v>91</v>
      </c>
      <c r="AM66" s="94">
        <f>-SUM(AM4:AM65)</f>
        <v>63.841999999998734</v>
      </c>
      <c r="AN66" s="94">
        <f>-SUM(AN4:AN65)</f>
        <v>42.865291400000046</v>
      </c>
      <c r="AO66" s="94">
        <f>-SUM(AO4:AO65)</f>
        <v>10.587750599999572</v>
      </c>
      <c r="AP66" s="95"/>
      <c r="AQ66" s="96">
        <f>-SUM(AQ4:AQ65)</f>
        <v>22411.289376937886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79" priority="2" operator="lessThan">
      <formula>0.1</formula>
    </cfRule>
    <cfRule type="cellIs" dxfId="78" priority="3" operator="greaterThan">
      <formula>0.1</formula>
    </cfRule>
  </conditionalFormatting>
  <conditionalFormatting sqref="AP1:AQ1">
    <cfRule type="cellIs" dxfId="77" priority="1" operator="lessThan">
      <formula>1</formula>
    </cfRule>
  </conditionalFormatting>
  <conditionalFormatting sqref="AQ4:AQ65">
    <cfRule type="cellIs" dxfId="76" priority="16" operator="lessThan">
      <formula>0</formula>
    </cfRule>
    <cfRule type="cellIs" dxfId="75" priority="17" operator="greater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W66"/>
  <sheetViews>
    <sheetView zoomScale="80" zoomScaleNormal="80" workbookViewId="0">
      <selection activeCell="AC23" sqref="AC23:AE23"/>
    </sheetView>
  </sheetViews>
  <sheetFormatPr defaultRowHeight="15" x14ac:dyDescent="0.25"/>
  <cols>
    <col min="1" max="1" width="2.7109375" customWidth="1"/>
    <col min="2" max="2" width="10.2851562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7.140625" bestFit="1" customWidth="1"/>
    <col min="10" max="10" width="8.140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10.8554687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11.42578125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8.140625" bestFit="1" customWidth="1"/>
    <col min="35" max="35" width="5.85546875" bestFit="1" customWidth="1"/>
    <col min="36" max="36" width="7.7109375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6.7109375" bestFit="1" customWidth="1"/>
    <col min="45" max="48" width="8.7109375" bestFit="1" customWidth="1"/>
    <col min="49" max="49" width="2.28515625" bestFit="1" customWidth="1"/>
  </cols>
  <sheetData>
    <row r="1" spans="1:46" ht="15.75" thickBot="1" x14ac:dyDescent="0.3">
      <c r="B1" s="43" t="s">
        <v>163</v>
      </c>
      <c r="C1" s="44"/>
      <c r="AG1">
        <v>392</v>
      </c>
      <c r="AP1" s="126">
        <f>Sumarry!$K$4</f>
        <v>448.91</v>
      </c>
      <c r="AQ1" s="126">
        <f>Sumarry!$L$4</f>
        <v>299.27333333333337</v>
      </c>
    </row>
    <row r="2" spans="1:46" x14ac:dyDescent="0.25">
      <c r="B2" s="259" t="s">
        <v>64</v>
      </c>
      <c r="C2" s="261" t="s">
        <v>65</v>
      </c>
      <c r="D2" s="263" t="s">
        <v>66</v>
      </c>
      <c r="E2" s="263"/>
      <c r="F2" s="263"/>
      <c r="G2" s="263"/>
      <c r="H2" s="264"/>
      <c r="I2" s="255" t="s">
        <v>67</v>
      </c>
      <c r="J2" s="256"/>
      <c r="K2" s="256"/>
      <c r="L2" s="257"/>
      <c r="M2" s="255" t="s">
        <v>68</v>
      </c>
      <c r="N2" s="265"/>
      <c r="O2" s="256"/>
      <c r="P2" s="256"/>
      <c r="Q2" s="257"/>
      <c r="R2" s="265" t="s">
        <v>69</v>
      </c>
      <c r="S2" s="256"/>
      <c r="T2" s="257"/>
      <c r="U2" s="252" t="s">
        <v>70</v>
      </c>
      <c r="V2" s="253"/>
      <c r="W2" s="253"/>
      <c r="X2" s="253"/>
      <c r="Y2" s="253"/>
      <c r="Z2" s="253"/>
      <c r="AA2" s="253"/>
      <c r="AB2" s="254"/>
      <c r="AC2" s="255" t="s">
        <v>71</v>
      </c>
      <c r="AD2" s="256"/>
      <c r="AE2" s="256"/>
      <c r="AF2" s="256"/>
      <c r="AG2" s="257"/>
      <c r="AH2" s="255" t="s">
        <v>72</v>
      </c>
      <c r="AI2" s="256"/>
      <c r="AJ2" s="256"/>
      <c r="AK2" s="256"/>
      <c r="AL2" s="258"/>
      <c r="AM2" s="252" t="s">
        <v>73</v>
      </c>
      <c r="AN2" s="253"/>
      <c r="AO2" s="253"/>
      <c r="AP2" s="253"/>
      <c r="AQ2" s="254"/>
    </row>
    <row r="3" spans="1:46" x14ac:dyDescent="0.25">
      <c r="B3" s="260"/>
      <c r="C3" s="26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6" x14ac:dyDescent="0.25">
      <c r="A4" t="str">
        <f>CONCATENATE(B4,C4)</f>
        <v>46174M</v>
      </c>
      <c r="B4" s="51">
        <v>46174</v>
      </c>
      <c r="C4" s="52" t="s">
        <v>87</v>
      </c>
      <c r="D4" s="53">
        <v>3287.7</v>
      </c>
      <c r="E4" s="54">
        <v>4.43</v>
      </c>
      <c r="F4" s="55">
        <v>8.33</v>
      </c>
      <c r="G4" s="62">
        <f t="shared" ref="G4:G65" si="0">+D4*E4%</f>
        <v>145.64510999999999</v>
      </c>
      <c r="H4" s="63">
        <f t="shared" ref="H4:H65" si="1">+D4*F4%</f>
        <v>273.86541</v>
      </c>
      <c r="I4" s="119">
        <v>823.8</v>
      </c>
      <c r="J4" s="120">
        <v>848.51400000000001</v>
      </c>
      <c r="K4" s="121">
        <v>4.8833090555960181</v>
      </c>
      <c r="L4" s="122">
        <v>8.4013716921582926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 t="shared" ref="R4:R65" si="2">+J4+O4</f>
        <v>848.51400000000001</v>
      </c>
      <c r="S4" s="62">
        <f t="shared" ref="S4:S65" si="3">+J4*K4%+O4*P4%</f>
        <v>41.435561</v>
      </c>
      <c r="T4" s="63">
        <f t="shared" ref="T4:T65" si="4">+J4*L4%+O4*Q4%</f>
        <v>71.286815000000018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:AA33" si="5">X4*Y4%</f>
        <v>0</v>
      </c>
      <c r="AB4" s="63">
        <f t="shared" ref="AB4:AB33" si="6">X4*Z4%</f>
        <v>0</v>
      </c>
      <c r="AC4" s="69"/>
      <c r="AD4" s="70"/>
      <c r="AE4" s="70"/>
      <c r="AF4" s="62">
        <f t="shared" ref="AF4:AF65" si="7">AC4*AD4%</f>
        <v>0</v>
      </c>
      <c r="AG4" s="63">
        <f t="shared" ref="AG4:AG65" si="8">AC4*AE4%</f>
        <v>0</v>
      </c>
      <c r="AH4" s="71">
        <v>4136.2</v>
      </c>
      <c r="AI4" s="66">
        <v>4.5199999999999996</v>
      </c>
      <c r="AJ4" s="66">
        <v>8.34</v>
      </c>
      <c r="AK4" s="62">
        <f t="shared" ref="AK4:AK65" si="9">AH4*AI4%</f>
        <v>186.95623999999998</v>
      </c>
      <c r="AL4" s="72">
        <f t="shared" ref="AL4:AL65" si="10">AH4*AJ4%</f>
        <v>344.95907999999997</v>
      </c>
      <c r="AM4" s="73">
        <f>+D4+R4-AC4-AH4</f>
        <v>1.4000000000123691E-2</v>
      </c>
      <c r="AN4" s="74">
        <f t="shared" ref="AN4:AO19" si="11">+G4+S4-AF4-AK4</f>
        <v>0.1244310000000155</v>
      </c>
      <c r="AO4" s="74">
        <f t="shared" si="11"/>
        <v>0.19314500000007229</v>
      </c>
      <c r="AP4" s="75">
        <f>(AN4+AO4)/(S4+T4)</f>
        <v>2.8173288327429128E-3</v>
      </c>
      <c r="AQ4" s="76">
        <f t="shared" ref="AQ4:AQ65" si="12">($AP$1*AN4+$AQ$1*AO4)</f>
        <v>113.66146817669527</v>
      </c>
      <c r="AR4" s="77">
        <f t="shared" ref="AR4" si="13">(D4+J4+O4)-(X4+AH4)</f>
        <v>1.4000000000123691E-2</v>
      </c>
      <c r="AT4" s="78"/>
    </row>
    <row r="5" spans="1:46" x14ac:dyDescent="0.25">
      <c r="A5" t="str">
        <f t="shared" ref="A5:A65" si="14">CONCATENATE(B5,C5)</f>
        <v>46174E</v>
      </c>
      <c r="B5" s="51">
        <f>+B4</f>
        <v>46174</v>
      </c>
      <c r="C5" s="52" t="s">
        <v>88</v>
      </c>
      <c r="D5" s="91">
        <v>4136.2</v>
      </c>
      <c r="E5" s="62">
        <v>4.5199999999999996</v>
      </c>
      <c r="F5" s="62">
        <v>8.34</v>
      </c>
      <c r="G5" s="62">
        <f t="shared" si="0"/>
        <v>186.95623999999998</v>
      </c>
      <c r="H5" s="63">
        <f t="shared" si="1"/>
        <v>344.95907999999997</v>
      </c>
      <c r="I5" s="119">
        <v>942.7</v>
      </c>
      <c r="J5" s="120">
        <v>970.98100000000011</v>
      </c>
      <c r="K5" s="121">
        <v>4.3276970404158277</v>
      </c>
      <c r="L5" s="122">
        <v>8.2786252254163557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si="2"/>
        <v>970.98100000000011</v>
      </c>
      <c r="S5" s="62">
        <f t="shared" si="3"/>
        <v>42.021116000000013</v>
      </c>
      <c r="T5" s="63">
        <f t="shared" si="4"/>
        <v>80.383877999999996</v>
      </c>
      <c r="U5" s="64" t="s">
        <v>256</v>
      </c>
      <c r="V5" s="65" t="s">
        <v>257</v>
      </c>
      <c r="W5" s="66" t="s">
        <v>253</v>
      </c>
      <c r="X5" s="67">
        <v>5360</v>
      </c>
      <c r="Y5" s="68">
        <v>4.5</v>
      </c>
      <c r="Z5" s="68">
        <v>8.31</v>
      </c>
      <c r="AA5" s="62">
        <f t="shared" si="5"/>
        <v>241.2</v>
      </c>
      <c r="AB5" s="63">
        <f t="shared" si="6"/>
        <v>445.41600000000005</v>
      </c>
      <c r="AC5" s="69">
        <v>5340</v>
      </c>
      <c r="AD5" s="70">
        <v>4.45</v>
      </c>
      <c r="AE5" s="70">
        <v>8.0500000000000007</v>
      </c>
      <c r="AF5" s="62">
        <f t="shared" si="7"/>
        <v>237.63000000000002</v>
      </c>
      <c r="AG5" s="63">
        <f t="shared" si="8"/>
        <v>429.87</v>
      </c>
      <c r="AH5" s="71">
        <v>0</v>
      </c>
      <c r="AI5" s="66">
        <v>0</v>
      </c>
      <c r="AJ5" s="66">
        <v>0</v>
      </c>
      <c r="AK5" s="62">
        <f t="shared" si="9"/>
        <v>0</v>
      </c>
      <c r="AL5" s="72">
        <f t="shared" si="10"/>
        <v>0</v>
      </c>
      <c r="AM5" s="73">
        <f t="shared" ref="AM5:AM65" si="15">+D5+R5-AC5-AH5</f>
        <v>-232.81900000000041</v>
      </c>
      <c r="AN5" s="74">
        <f t="shared" si="11"/>
        <v>-8.6526440000000377</v>
      </c>
      <c r="AO5" s="74">
        <f t="shared" si="11"/>
        <v>-4.5270420000000513</v>
      </c>
      <c r="AP5" s="75">
        <f t="shared" ref="AP5:AP65" si="16">(AN5+AO5)/(S5+T5)</f>
        <v>-0.10767278008281335</v>
      </c>
      <c r="AQ5" s="76">
        <f t="shared" si="12"/>
        <v>-5239.0813675200325</v>
      </c>
      <c r="AR5" s="77">
        <f>(D5+J5+O5)-(X5+AH5)</f>
        <v>-252.81900000000041</v>
      </c>
    </row>
    <row r="6" spans="1:46" x14ac:dyDescent="0.25">
      <c r="A6" t="str">
        <f t="shared" si="14"/>
        <v>46175M</v>
      </c>
      <c r="B6" s="51">
        <f>+B4+1</f>
        <v>46175</v>
      </c>
      <c r="C6" s="52" t="s">
        <v>87</v>
      </c>
      <c r="D6" s="91">
        <v>0</v>
      </c>
      <c r="E6" s="62">
        <v>0</v>
      </c>
      <c r="F6" s="62">
        <v>0</v>
      </c>
      <c r="G6" s="62">
        <f t="shared" si="0"/>
        <v>0</v>
      </c>
      <c r="H6" s="63">
        <f t="shared" si="1"/>
        <v>0</v>
      </c>
      <c r="I6" s="119">
        <v>954.9000000000002</v>
      </c>
      <c r="J6" s="120">
        <v>983.54700000000025</v>
      </c>
      <c r="K6" s="121">
        <v>4.7686249869096242</v>
      </c>
      <c r="L6" s="122">
        <v>8.3407372499738184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2"/>
        <v>983.54700000000025</v>
      </c>
      <c r="S6" s="62">
        <f t="shared" si="3"/>
        <v>46.901668000000008</v>
      </c>
      <c r="T6" s="63">
        <f t="shared" si="4"/>
        <v>82.035071000000016</v>
      </c>
      <c r="U6" s="64" t="s">
        <v>167</v>
      </c>
      <c r="V6" s="65" t="s">
        <v>187</v>
      </c>
      <c r="W6" s="66">
        <v>0</v>
      </c>
      <c r="X6" s="67">
        <v>0</v>
      </c>
      <c r="Y6" s="68">
        <v>0</v>
      </c>
      <c r="Z6" s="68">
        <v>0</v>
      </c>
      <c r="AA6" s="62">
        <f t="shared" si="5"/>
        <v>0</v>
      </c>
      <c r="AB6" s="63">
        <f t="shared" si="6"/>
        <v>0</v>
      </c>
      <c r="AC6" s="69"/>
      <c r="AD6" s="70"/>
      <c r="AE6" s="70"/>
      <c r="AF6" s="62">
        <f t="shared" si="7"/>
        <v>0</v>
      </c>
      <c r="AG6" s="63">
        <f t="shared" si="8"/>
        <v>0</v>
      </c>
      <c r="AH6" s="71">
        <v>983.5</v>
      </c>
      <c r="AI6" s="66">
        <v>4.76</v>
      </c>
      <c r="AJ6" s="66">
        <v>8.34</v>
      </c>
      <c r="AK6" s="62">
        <f t="shared" si="9"/>
        <v>46.814599999999999</v>
      </c>
      <c r="AL6" s="72">
        <f t="shared" si="10"/>
        <v>82.023899999999998</v>
      </c>
      <c r="AM6" s="73">
        <f t="shared" si="15"/>
        <v>4.700000000025284E-2</v>
      </c>
      <c r="AN6" s="74">
        <f t="shared" si="11"/>
        <v>8.7068000000009249E-2</v>
      </c>
      <c r="AO6" s="74">
        <f t="shared" si="11"/>
        <v>1.1171000000018694E-2</v>
      </c>
      <c r="AP6" s="75">
        <f t="shared" si="16"/>
        <v>7.6191627585701493E-4</v>
      </c>
      <c r="AQ6" s="76">
        <f t="shared" si="12"/>
        <v>42.428878286676415</v>
      </c>
      <c r="AR6" s="77">
        <f t="shared" ref="AR6:AR65" si="17">(D6+J6+O6)-(X6+AH6)</f>
        <v>4.700000000025284E-2</v>
      </c>
    </row>
    <row r="7" spans="1:46" x14ac:dyDescent="0.25">
      <c r="A7" t="str">
        <f t="shared" si="14"/>
        <v>46175E</v>
      </c>
      <c r="B7" s="51">
        <f>+B5+1</f>
        <v>46175</v>
      </c>
      <c r="C7" s="52" t="s">
        <v>88</v>
      </c>
      <c r="D7" s="91">
        <v>983.5</v>
      </c>
      <c r="E7" s="62">
        <v>4.76</v>
      </c>
      <c r="F7" s="62">
        <v>8.34</v>
      </c>
      <c r="G7" s="62">
        <f t="shared" si="0"/>
        <v>46.814599999999999</v>
      </c>
      <c r="H7" s="63">
        <f t="shared" si="1"/>
        <v>82.023899999999998</v>
      </c>
      <c r="I7" s="119">
        <v>1041.8999999999999</v>
      </c>
      <c r="J7" s="120">
        <v>1073.1569999999999</v>
      </c>
      <c r="K7" s="121">
        <v>4.3837316441117187</v>
      </c>
      <c r="L7" s="122">
        <v>8.2140224589691897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2"/>
        <v>1073.1569999999999</v>
      </c>
      <c r="S7" s="62">
        <f t="shared" si="3"/>
        <v>47.044322999999991</v>
      </c>
      <c r="T7" s="63">
        <f t="shared" si="4"/>
        <v>88.149356999999981</v>
      </c>
      <c r="U7" s="64" t="s">
        <v>167</v>
      </c>
      <c r="V7" s="65" t="s">
        <v>187</v>
      </c>
      <c r="W7" s="66">
        <v>0</v>
      </c>
      <c r="X7" s="67">
        <v>0</v>
      </c>
      <c r="Y7" s="68">
        <v>0</v>
      </c>
      <c r="Z7" s="68">
        <v>0</v>
      </c>
      <c r="AA7" s="62">
        <f t="shared" si="5"/>
        <v>0</v>
      </c>
      <c r="AB7" s="63">
        <f t="shared" si="6"/>
        <v>0</v>
      </c>
      <c r="AC7" s="69"/>
      <c r="AD7" s="70"/>
      <c r="AE7" s="70"/>
      <c r="AF7" s="62">
        <f t="shared" si="7"/>
        <v>0</v>
      </c>
      <c r="AG7" s="63">
        <f t="shared" si="8"/>
        <v>0</v>
      </c>
      <c r="AH7" s="71">
        <v>2056.6</v>
      </c>
      <c r="AI7" s="66">
        <v>4.5599999999999996</v>
      </c>
      <c r="AJ7" s="66">
        <v>8.2799999999999994</v>
      </c>
      <c r="AK7" s="62">
        <f t="shared" si="9"/>
        <v>93.780959999999979</v>
      </c>
      <c r="AL7" s="72">
        <f t="shared" si="10"/>
        <v>170.28647999999998</v>
      </c>
      <c r="AM7" s="73">
        <f t="shared" si="15"/>
        <v>5.7000000000243745E-2</v>
      </c>
      <c r="AN7" s="74">
        <f t="shared" si="11"/>
        <v>7.7963000000011107E-2</v>
      </c>
      <c r="AO7" s="74">
        <f t="shared" si="11"/>
        <v>-0.11322300000000496</v>
      </c>
      <c r="AP7" s="75">
        <f t="shared" si="16"/>
        <v>-2.6081100832519579E-4</v>
      </c>
      <c r="AQ7" s="76">
        <f t="shared" si="12"/>
        <v>1.1137457100034993</v>
      </c>
      <c r="AR7" s="77">
        <f t="shared" si="17"/>
        <v>5.7000000000243745E-2</v>
      </c>
    </row>
    <row r="8" spans="1:46" x14ac:dyDescent="0.25">
      <c r="A8" t="str">
        <f t="shared" si="14"/>
        <v>46176M</v>
      </c>
      <c r="B8" s="51">
        <f>+B6+1</f>
        <v>46176</v>
      </c>
      <c r="C8" s="52" t="s">
        <v>87</v>
      </c>
      <c r="D8" s="91">
        <v>2056.6</v>
      </c>
      <c r="E8" s="62">
        <v>4.5599999999999996</v>
      </c>
      <c r="F8" s="62">
        <v>8.2799999999999994</v>
      </c>
      <c r="G8" s="62">
        <f t="shared" si="0"/>
        <v>93.780959999999979</v>
      </c>
      <c r="H8" s="63">
        <f t="shared" si="1"/>
        <v>170.28647999999998</v>
      </c>
      <c r="I8" s="119">
        <v>854.50000000000011</v>
      </c>
      <c r="J8" s="120">
        <v>880.1350000000001</v>
      </c>
      <c r="K8" s="121">
        <v>4.9168285547103574</v>
      </c>
      <c r="L8" s="122">
        <v>8.3502399063780022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2"/>
        <v>880.1350000000001</v>
      </c>
      <c r="S8" s="62">
        <f t="shared" si="3"/>
        <v>43.274729000000015</v>
      </c>
      <c r="T8" s="63">
        <f t="shared" si="4"/>
        <v>73.493384000000049</v>
      </c>
      <c r="U8" s="64" t="s">
        <v>167</v>
      </c>
      <c r="V8" s="65" t="s">
        <v>167</v>
      </c>
      <c r="W8" s="66">
        <v>0</v>
      </c>
      <c r="X8" s="67">
        <v>0</v>
      </c>
      <c r="Y8" s="68">
        <v>0</v>
      </c>
      <c r="Z8" s="68">
        <v>0</v>
      </c>
      <c r="AA8" s="62">
        <f t="shared" si="5"/>
        <v>0</v>
      </c>
      <c r="AB8" s="63">
        <f t="shared" si="6"/>
        <v>0</v>
      </c>
      <c r="AC8" s="69"/>
      <c r="AD8" s="70"/>
      <c r="AE8" s="70"/>
      <c r="AF8" s="62">
        <f t="shared" si="7"/>
        <v>0</v>
      </c>
      <c r="AG8" s="63">
        <f t="shared" si="8"/>
        <v>0</v>
      </c>
      <c r="AH8" s="71">
        <v>2936.7</v>
      </c>
      <c r="AI8" s="66">
        <v>4.66</v>
      </c>
      <c r="AJ8" s="66">
        <v>8.2899999999999991</v>
      </c>
      <c r="AK8" s="62">
        <f t="shared" si="9"/>
        <v>136.85022000000001</v>
      </c>
      <c r="AL8" s="72">
        <f t="shared" si="10"/>
        <v>243.45242999999994</v>
      </c>
      <c r="AM8" s="73">
        <f t="shared" si="15"/>
        <v>3.5000000000309228E-2</v>
      </c>
      <c r="AN8" s="74">
        <f t="shared" si="11"/>
        <v>0.20546899999999368</v>
      </c>
      <c r="AO8" s="74">
        <f t="shared" si="11"/>
        <v>0.32743400000009615</v>
      </c>
      <c r="AP8" s="75">
        <f t="shared" si="16"/>
        <v>4.5637716180280275E-3</v>
      </c>
      <c r="AQ8" s="76">
        <f t="shared" si="12"/>
        <v>190.22935341669262</v>
      </c>
      <c r="AR8" s="77">
        <f t="shared" si="17"/>
        <v>3.5000000000309228E-2</v>
      </c>
    </row>
    <row r="9" spans="1:46" x14ac:dyDescent="0.25">
      <c r="A9" t="str">
        <f t="shared" si="14"/>
        <v>46176E</v>
      </c>
      <c r="B9" s="51">
        <f t="shared" ref="B9:B65" si="18">+B7+1</f>
        <v>46176</v>
      </c>
      <c r="C9" s="52" t="s">
        <v>88</v>
      </c>
      <c r="D9" s="91">
        <v>2936.7</v>
      </c>
      <c r="E9" s="62">
        <v>4.66</v>
      </c>
      <c r="F9" s="62">
        <v>8.2899999999999991</v>
      </c>
      <c r="G9" s="62">
        <f t="shared" si="0"/>
        <v>136.85022000000001</v>
      </c>
      <c r="H9" s="63">
        <f t="shared" si="1"/>
        <v>243.45242999999994</v>
      </c>
      <c r="I9" s="119">
        <v>1034.7000000000003</v>
      </c>
      <c r="J9" s="120">
        <v>1065.7410000000002</v>
      </c>
      <c r="K9" s="121">
        <v>4.2144293031796671</v>
      </c>
      <c r="L9" s="122">
        <v>8.1826229825070076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2"/>
        <v>1065.7410000000002</v>
      </c>
      <c r="S9" s="62">
        <f t="shared" si="3"/>
        <v>44.914901000000022</v>
      </c>
      <c r="T9" s="63">
        <f t="shared" si="4"/>
        <v>87.205568000000028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5"/>
        <v>0</v>
      </c>
      <c r="AB9" s="63">
        <f t="shared" si="6"/>
        <v>0</v>
      </c>
      <c r="AC9" s="69"/>
      <c r="AD9" s="70"/>
      <c r="AE9" s="70"/>
      <c r="AF9" s="62">
        <f t="shared" si="7"/>
        <v>0</v>
      </c>
      <c r="AG9" s="63">
        <f t="shared" si="8"/>
        <v>0</v>
      </c>
      <c r="AH9" s="82">
        <v>4002.8</v>
      </c>
      <c r="AI9" s="66">
        <v>4.54</v>
      </c>
      <c r="AJ9" s="66">
        <v>8.26</v>
      </c>
      <c r="AK9" s="62">
        <f t="shared" si="9"/>
        <v>181.72712000000001</v>
      </c>
      <c r="AL9" s="72">
        <f t="shared" si="10"/>
        <v>330.63128</v>
      </c>
      <c r="AM9" s="73">
        <f t="shared" si="15"/>
        <v>-0.35900000000037835</v>
      </c>
      <c r="AN9" s="74">
        <f t="shared" si="11"/>
        <v>3.8001000000008389E-2</v>
      </c>
      <c r="AO9" s="74">
        <f t="shared" si="11"/>
        <v>2.6717999999959829E-2</v>
      </c>
      <c r="AP9" s="75">
        <f t="shared" si="16"/>
        <v>4.8984839737412826E-4</v>
      </c>
      <c r="AQ9" s="76">
        <f t="shared" si="12"/>
        <v>25.055013829991747</v>
      </c>
      <c r="AR9" s="77">
        <f t="shared" si="17"/>
        <v>-0.35900000000037835</v>
      </c>
    </row>
    <row r="10" spans="1:46" x14ac:dyDescent="0.25">
      <c r="A10" t="str">
        <f t="shared" si="14"/>
        <v>46177M</v>
      </c>
      <c r="B10" s="51">
        <f t="shared" si="18"/>
        <v>46177</v>
      </c>
      <c r="C10" s="52" t="s">
        <v>87</v>
      </c>
      <c r="D10" s="91">
        <v>4002.8</v>
      </c>
      <c r="E10" s="62">
        <v>4.54</v>
      </c>
      <c r="F10" s="62">
        <v>8.26</v>
      </c>
      <c r="G10" s="62">
        <f t="shared" si="0"/>
        <v>181.72712000000001</v>
      </c>
      <c r="H10" s="63">
        <f t="shared" si="1"/>
        <v>330.63128</v>
      </c>
      <c r="I10" s="119">
        <v>953.6</v>
      </c>
      <c r="J10" s="120">
        <v>982.20800000000008</v>
      </c>
      <c r="K10" s="121">
        <v>4.7649538590604044</v>
      </c>
      <c r="L10" s="122">
        <v>8.2274853187919472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2"/>
        <v>982.20800000000008</v>
      </c>
      <c r="S10" s="62">
        <f t="shared" si="3"/>
        <v>46.801758000000021</v>
      </c>
      <c r="T10" s="63">
        <f t="shared" si="4"/>
        <v>80.811019000000016</v>
      </c>
      <c r="U10" s="64" t="s">
        <v>256</v>
      </c>
      <c r="V10" s="65" t="s">
        <v>258</v>
      </c>
      <c r="W10" s="66" t="s">
        <v>189</v>
      </c>
      <c r="X10" s="67">
        <v>4400</v>
      </c>
      <c r="Y10" s="68">
        <v>4.57</v>
      </c>
      <c r="Z10" s="68">
        <v>8.24</v>
      </c>
      <c r="AA10" s="62">
        <f t="shared" si="5"/>
        <v>201.08</v>
      </c>
      <c r="AB10" s="63">
        <f t="shared" si="6"/>
        <v>362.56</v>
      </c>
      <c r="AC10" s="69">
        <v>4410</v>
      </c>
      <c r="AD10" s="70">
        <v>4.774263038548753</v>
      </c>
      <c r="AE10" s="70">
        <v>8.2526757369614501</v>
      </c>
      <c r="AF10" s="62">
        <f t="shared" si="7"/>
        <v>210.54500000000002</v>
      </c>
      <c r="AG10" s="63">
        <f t="shared" si="8"/>
        <v>363.94299999999993</v>
      </c>
      <c r="AH10" s="71">
        <v>585</v>
      </c>
      <c r="AI10" s="66">
        <v>4.58</v>
      </c>
      <c r="AJ10" s="66">
        <v>8.24</v>
      </c>
      <c r="AK10" s="62">
        <f t="shared" si="9"/>
        <v>26.792999999999999</v>
      </c>
      <c r="AL10" s="72">
        <f t="shared" si="10"/>
        <v>48.204000000000001</v>
      </c>
      <c r="AM10" s="73">
        <f t="shared" si="15"/>
        <v>-9.9920000000001892</v>
      </c>
      <c r="AN10" s="74">
        <f t="shared" si="11"/>
        <v>-8.809121999999995</v>
      </c>
      <c r="AO10" s="74">
        <f t="shared" si="11"/>
        <v>-0.70470099999987923</v>
      </c>
      <c r="AP10" s="75">
        <f t="shared" si="16"/>
        <v>-7.4552276219174138E-2</v>
      </c>
      <c r="AQ10" s="76">
        <f t="shared" si="12"/>
        <v>-4165.4011742932953</v>
      </c>
      <c r="AR10" s="77">
        <f t="shared" si="17"/>
        <v>7.9999999998108251E-3</v>
      </c>
    </row>
    <row r="11" spans="1:46" x14ac:dyDescent="0.25">
      <c r="A11" t="str">
        <f t="shared" si="14"/>
        <v>46177E</v>
      </c>
      <c r="B11" s="51">
        <f t="shared" si="18"/>
        <v>46177</v>
      </c>
      <c r="C11" s="52" t="s">
        <v>88</v>
      </c>
      <c r="D11" s="91">
        <v>585</v>
      </c>
      <c r="E11" s="62">
        <v>4.58</v>
      </c>
      <c r="F11" s="62">
        <v>8.24</v>
      </c>
      <c r="G11" s="62">
        <f t="shared" si="0"/>
        <v>26.792999999999999</v>
      </c>
      <c r="H11" s="63">
        <f t="shared" si="1"/>
        <v>48.204000000000001</v>
      </c>
      <c r="I11" s="119">
        <v>956.5</v>
      </c>
      <c r="J11" s="120">
        <v>985.19500000000005</v>
      </c>
      <c r="K11" s="121">
        <v>4.5306220595922637</v>
      </c>
      <c r="L11" s="122">
        <v>8.2027496079456341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2"/>
        <v>985.19500000000005</v>
      </c>
      <c r="S11" s="62">
        <f t="shared" si="3"/>
        <v>44.635462000000004</v>
      </c>
      <c r="T11" s="63">
        <f t="shared" si="4"/>
        <v>80.813078999999988</v>
      </c>
      <c r="U11" s="64" t="s">
        <v>167</v>
      </c>
      <c r="V11" s="65" t="s">
        <v>187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5"/>
        <v>0</v>
      </c>
      <c r="AB11" s="63">
        <f t="shared" si="6"/>
        <v>0</v>
      </c>
      <c r="AC11" s="69"/>
      <c r="AD11" s="70"/>
      <c r="AE11" s="70"/>
      <c r="AF11" s="62">
        <f t="shared" si="7"/>
        <v>0</v>
      </c>
      <c r="AG11" s="63">
        <f t="shared" si="8"/>
        <v>0</v>
      </c>
      <c r="AH11" s="71">
        <v>1570.1</v>
      </c>
      <c r="AI11" s="66">
        <v>4.54</v>
      </c>
      <c r="AJ11" s="66">
        <v>8.2100000000000009</v>
      </c>
      <c r="AK11" s="62">
        <f t="shared" si="9"/>
        <v>71.282539999999997</v>
      </c>
      <c r="AL11" s="72">
        <f t="shared" si="10"/>
        <v>128.90521000000001</v>
      </c>
      <c r="AM11" s="73">
        <f t="shared" si="15"/>
        <v>9.5000000000254659E-2</v>
      </c>
      <c r="AN11" s="74">
        <f t="shared" si="11"/>
        <v>0.14592199999999877</v>
      </c>
      <c r="AO11" s="74">
        <f t="shared" si="11"/>
        <v>0.11186899999998445</v>
      </c>
      <c r="AP11" s="75">
        <f t="shared" si="16"/>
        <v>2.0549541504829719E-3</v>
      </c>
      <c r="AQ11" s="76">
        <f t="shared" si="12"/>
        <v>98.985253546661482</v>
      </c>
      <c r="AR11" s="77">
        <f t="shared" si="17"/>
        <v>9.5000000000254659E-2</v>
      </c>
    </row>
    <row r="12" spans="1:46" x14ac:dyDescent="0.25">
      <c r="A12" t="str">
        <f t="shared" si="14"/>
        <v>46178M</v>
      </c>
      <c r="B12" s="51">
        <f t="shared" si="18"/>
        <v>46178</v>
      </c>
      <c r="C12" s="52" t="s">
        <v>87</v>
      </c>
      <c r="D12" s="91">
        <v>1570.1</v>
      </c>
      <c r="E12" s="62">
        <v>4.54</v>
      </c>
      <c r="F12" s="62">
        <v>8.2100000000000009</v>
      </c>
      <c r="G12" s="62">
        <f t="shared" si="0"/>
        <v>71.282539999999997</v>
      </c>
      <c r="H12" s="63">
        <f t="shared" si="1"/>
        <v>128.90521000000001</v>
      </c>
      <c r="I12" s="119">
        <v>913.6</v>
      </c>
      <c r="J12" s="120">
        <v>941.00800000000004</v>
      </c>
      <c r="K12" s="121">
        <v>4.7699999999999996</v>
      </c>
      <c r="L12" s="122">
        <v>8.23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2"/>
        <v>941.00800000000004</v>
      </c>
      <c r="S12" s="62">
        <f t="shared" si="3"/>
        <v>44.886081599999997</v>
      </c>
      <c r="T12" s="63">
        <f t="shared" si="4"/>
        <v>77.444958400000004</v>
      </c>
      <c r="U12" s="64" t="s">
        <v>167</v>
      </c>
      <c r="V12" s="65" t="s">
        <v>187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5"/>
        <v>0</v>
      </c>
      <c r="AB12" s="63">
        <f t="shared" si="6"/>
        <v>0</v>
      </c>
      <c r="AC12" s="69"/>
      <c r="AD12" s="70"/>
      <c r="AE12" s="70"/>
      <c r="AF12" s="62">
        <f t="shared" si="7"/>
        <v>0</v>
      </c>
      <c r="AG12" s="63">
        <f t="shared" si="8"/>
        <v>0</v>
      </c>
      <c r="AH12" s="71">
        <v>2511.1</v>
      </c>
      <c r="AI12" s="66">
        <v>4.62</v>
      </c>
      <c r="AJ12" s="66">
        <v>8.2100000000000009</v>
      </c>
      <c r="AK12" s="62">
        <f t="shared" si="9"/>
        <v>116.01281999999999</v>
      </c>
      <c r="AL12" s="72">
        <f t="shared" si="10"/>
        <v>206.16131000000001</v>
      </c>
      <c r="AM12" s="73">
        <f t="shared" si="15"/>
        <v>8.0000000002655725E-3</v>
      </c>
      <c r="AN12" s="74">
        <f t="shared" si="11"/>
        <v>0.15580160000000376</v>
      </c>
      <c r="AO12" s="74">
        <f t="shared" si="11"/>
        <v>0.18885840000001508</v>
      </c>
      <c r="AP12" s="75">
        <f t="shared" si="16"/>
        <v>2.8174370135332686E-3</v>
      </c>
      <c r="AQ12" s="76">
        <f t="shared" si="12"/>
        <v>126.46117915200621</v>
      </c>
      <c r="AR12" s="77">
        <f t="shared" si="17"/>
        <v>8.0000000002655725E-3</v>
      </c>
    </row>
    <row r="13" spans="1:46" x14ac:dyDescent="0.25">
      <c r="A13" t="str">
        <f t="shared" si="14"/>
        <v>46178E</v>
      </c>
      <c r="B13" s="51">
        <f t="shared" si="18"/>
        <v>46178</v>
      </c>
      <c r="C13" s="52" t="s">
        <v>88</v>
      </c>
      <c r="D13" s="91">
        <v>2511.1</v>
      </c>
      <c r="E13" s="62">
        <v>4.62</v>
      </c>
      <c r="F13" s="62">
        <v>8.2100000000000009</v>
      </c>
      <c r="G13" s="62">
        <f t="shared" si="0"/>
        <v>116.01281999999999</v>
      </c>
      <c r="H13" s="63">
        <f t="shared" si="1"/>
        <v>206.16131000000001</v>
      </c>
      <c r="I13" s="119">
        <v>1063.0999999999999</v>
      </c>
      <c r="J13" s="120">
        <v>1094.9929999999999</v>
      </c>
      <c r="K13" s="121">
        <v>4.24</v>
      </c>
      <c r="L13" s="122">
        <v>8.14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2"/>
        <v>1094.9929999999999</v>
      </c>
      <c r="S13" s="62">
        <f t="shared" si="3"/>
        <v>46.427703199999996</v>
      </c>
      <c r="T13" s="63">
        <f t="shared" si="4"/>
        <v>89.132430200000002</v>
      </c>
      <c r="U13" s="64" t="s">
        <v>187</v>
      </c>
      <c r="V13" s="6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5"/>
        <v>0</v>
      </c>
      <c r="AB13" s="63">
        <f t="shared" si="6"/>
        <v>0</v>
      </c>
      <c r="AC13" s="69"/>
      <c r="AD13" s="70"/>
      <c r="AE13" s="70"/>
      <c r="AF13" s="62">
        <f t="shared" si="7"/>
        <v>0</v>
      </c>
      <c r="AG13" s="63">
        <f t="shared" si="8"/>
        <v>0</v>
      </c>
      <c r="AH13" s="71">
        <v>3606</v>
      </c>
      <c r="AI13" s="66">
        <v>4.5</v>
      </c>
      <c r="AJ13" s="66">
        <v>8.18</v>
      </c>
      <c r="AK13" s="62">
        <f t="shared" si="9"/>
        <v>162.26999999999998</v>
      </c>
      <c r="AL13" s="72">
        <f t="shared" si="10"/>
        <v>294.9708</v>
      </c>
      <c r="AM13" s="73">
        <f t="shared" si="15"/>
        <v>9.2999999999847205E-2</v>
      </c>
      <c r="AN13" s="74">
        <f t="shared" si="11"/>
        <v>0.17052319999999099</v>
      </c>
      <c r="AO13" s="74">
        <f t="shared" si="11"/>
        <v>0.32294020000000501</v>
      </c>
      <c r="AP13" s="75">
        <f t="shared" si="16"/>
        <v>3.6401808380043693E-3</v>
      </c>
      <c r="AQ13" s="76">
        <f t="shared" si="12"/>
        <v>173.19695983333079</v>
      </c>
      <c r="AR13" s="77">
        <f t="shared" si="17"/>
        <v>9.2999999999847205E-2</v>
      </c>
    </row>
    <row r="14" spans="1:46" x14ac:dyDescent="0.25">
      <c r="A14" t="str">
        <f t="shared" si="14"/>
        <v>46179M</v>
      </c>
      <c r="B14" s="51">
        <f t="shared" si="18"/>
        <v>46179</v>
      </c>
      <c r="C14" s="52" t="s">
        <v>87</v>
      </c>
      <c r="D14" s="91">
        <v>3606</v>
      </c>
      <c r="E14" s="62">
        <v>4.5</v>
      </c>
      <c r="F14" s="62">
        <v>8.18</v>
      </c>
      <c r="G14" s="62">
        <f t="shared" si="0"/>
        <v>162.26999999999998</v>
      </c>
      <c r="H14" s="63">
        <f t="shared" si="1"/>
        <v>294.9708</v>
      </c>
      <c r="I14" s="119">
        <v>944.7</v>
      </c>
      <c r="J14" s="120">
        <v>973.04100000000005</v>
      </c>
      <c r="K14" s="121">
        <v>4.79</v>
      </c>
      <c r="L14" s="122">
        <v>8.16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2"/>
        <v>973.04100000000005</v>
      </c>
      <c r="S14" s="62">
        <f t="shared" si="3"/>
        <v>46.608663900000003</v>
      </c>
      <c r="T14" s="63">
        <f t="shared" si="4"/>
        <v>79.400145600000016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5"/>
        <v>0</v>
      </c>
      <c r="AB14" s="63">
        <f t="shared" si="6"/>
        <v>0</v>
      </c>
      <c r="AC14" s="69"/>
      <c r="AD14" s="70"/>
      <c r="AE14" s="70"/>
      <c r="AF14" s="62">
        <f t="shared" si="7"/>
        <v>0</v>
      </c>
      <c r="AG14" s="63">
        <f t="shared" si="8"/>
        <v>0</v>
      </c>
      <c r="AH14" s="71">
        <v>4579</v>
      </c>
      <c r="AI14" s="66">
        <v>4.5599999999999996</v>
      </c>
      <c r="AJ14" s="66">
        <v>8.17</v>
      </c>
      <c r="AK14" s="62">
        <f t="shared" si="9"/>
        <v>208.80239999999998</v>
      </c>
      <c r="AL14" s="72">
        <f t="shared" si="10"/>
        <v>374.10429999999997</v>
      </c>
      <c r="AM14" s="73">
        <f t="shared" si="15"/>
        <v>4.1000000000167347E-2</v>
      </c>
      <c r="AN14" s="74">
        <f t="shared" si="11"/>
        <v>7.6263900000014928E-2</v>
      </c>
      <c r="AO14" s="74">
        <f t="shared" si="11"/>
        <v>0.26664560000006077</v>
      </c>
      <c r="AP14" s="75">
        <f t="shared" si="16"/>
        <v>2.7213137030714955E-3</v>
      </c>
      <c r="AQ14" s="76">
        <f t="shared" si="12"/>
        <v>114.03554487969157</v>
      </c>
      <c r="AR14" s="77">
        <f t="shared" si="17"/>
        <v>4.1000000000167347E-2</v>
      </c>
    </row>
    <row r="15" spans="1:46" x14ac:dyDescent="0.25">
      <c r="A15" t="str">
        <f t="shared" si="14"/>
        <v>46179E</v>
      </c>
      <c r="B15" s="51">
        <f t="shared" si="18"/>
        <v>46179</v>
      </c>
      <c r="C15" s="52" t="s">
        <v>88</v>
      </c>
      <c r="D15" s="91">
        <v>4579</v>
      </c>
      <c r="E15" s="62">
        <v>4.5599999999999996</v>
      </c>
      <c r="F15" s="62">
        <v>8.17</v>
      </c>
      <c r="G15" s="62">
        <f t="shared" si="0"/>
        <v>208.80239999999998</v>
      </c>
      <c r="H15" s="63">
        <f t="shared" si="1"/>
        <v>374.10429999999997</v>
      </c>
      <c r="I15" s="119">
        <v>1027.5</v>
      </c>
      <c r="J15" s="120">
        <v>1058.325</v>
      </c>
      <c r="K15" s="121">
        <v>4.4400000000000004</v>
      </c>
      <c r="L15" s="122">
        <v>8.2200000000000006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2"/>
        <v>1058.325</v>
      </c>
      <c r="S15" s="62">
        <f t="shared" si="3"/>
        <v>46.989630000000005</v>
      </c>
      <c r="T15" s="63">
        <f t="shared" si="4"/>
        <v>86.994315000000014</v>
      </c>
      <c r="U15" s="64" t="s">
        <v>256</v>
      </c>
      <c r="V15" s="65" t="s">
        <v>437</v>
      </c>
      <c r="W15" s="66" t="s">
        <v>189</v>
      </c>
      <c r="X15" s="67">
        <v>5820</v>
      </c>
      <c r="Y15" s="68">
        <v>4.53</v>
      </c>
      <c r="Z15" s="68">
        <v>8.17</v>
      </c>
      <c r="AA15" s="62">
        <f t="shared" si="5"/>
        <v>263.64600000000002</v>
      </c>
      <c r="AB15" s="63">
        <f t="shared" si="6"/>
        <v>475.49399999999997</v>
      </c>
      <c r="AC15" s="69">
        <v>5855</v>
      </c>
      <c r="AD15" s="70">
        <v>4.5332621690862505</v>
      </c>
      <c r="AE15" s="70">
        <v>8.1266524338172488</v>
      </c>
      <c r="AF15" s="62">
        <f t="shared" si="7"/>
        <v>265.42249999999996</v>
      </c>
      <c r="AG15" s="63">
        <f t="shared" si="8"/>
        <v>475.81549999999987</v>
      </c>
      <c r="AH15" s="71">
        <v>0</v>
      </c>
      <c r="AI15" s="66">
        <v>0</v>
      </c>
      <c r="AJ15" s="66">
        <v>0</v>
      </c>
      <c r="AK15" s="62">
        <f t="shared" si="9"/>
        <v>0</v>
      </c>
      <c r="AL15" s="72">
        <f t="shared" si="10"/>
        <v>0</v>
      </c>
      <c r="AM15" s="73">
        <f t="shared" si="15"/>
        <v>-217.67500000000018</v>
      </c>
      <c r="AN15" s="74">
        <f t="shared" si="11"/>
        <v>-9.6304699999999741</v>
      </c>
      <c r="AO15" s="74">
        <f t="shared" si="11"/>
        <v>-14.716884999999877</v>
      </c>
      <c r="AP15" s="75">
        <f t="shared" si="16"/>
        <v>-0.18171845141595025</v>
      </c>
      <c r="AQ15" s="76">
        <f t="shared" si="12"/>
        <v>-8727.5855179332866</v>
      </c>
      <c r="AR15" s="77">
        <f t="shared" si="17"/>
        <v>-182.67500000000018</v>
      </c>
    </row>
    <row r="16" spans="1:46" x14ac:dyDescent="0.25">
      <c r="A16" t="str">
        <f t="shared" si="14"/>
        <v>46180M</v>
      </c>
      <c r="B16" s="51">
        <f t="shared" si="18"/>
        <v>46180</v>
      </c>
      <c r="C16" s="52" t="s">
        <v>87</v>
      </c>
      <c r="D16" s="91">
        <v>0</v>
      </c>
      <c r="E16" s="62">
        <v>0</v>
      </c>
      <c r="F16" s="62">
        <v>0</v>
      </c>
      <c r="G16" s="62">
        <f t="shared" si="0"/>
        <v>0</v>
      </c>
      <c r="H16" s="63">
        <f t="shared" si="1"/>
        <v>0</v>
      </c>
      <c r="I16" s="119">
        <v>966.5</v>
      </c>
      <c r="J16" s="120">
        <v>995.495</v>
      </c>
      <c r="K16" s="121">
        <v>4.55</v>
      </c>
      <c r="L16" s="122">
        <v>8.24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2"/>
        <v>995.495</v>
      </c>
      <c r="S16" s="62">
        <f t="shared" si="3"/>
        <v>45.295022500000002</v>
      </c>
      <c r="T16" s="63">
        <f t="shared" si="4"/>
        <v>82.028788000000006</v>
      </c>
      <c r="U16" s="64" t="s">
        <v>167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5"/>
        <v>0</v>
      </c>
      <c r="AB16" s="63">
        <f t="shared" si="6"/>
        <v>0</v>
      </c>
      <c r="AC16" s="69"/>
      <c r="AD16" s="70"/>
      <c r="AE16" s="70"/>
      <c r="AF16" s="62">
        <f t="shared" si="7"/>
        <v>0</v>
      </c>
      <c r="AG16" s="63">
        <f t="shared" si="8"/>
        <v>0</v>
      </c>
      <c r="AH16" s="118">
        <v>995.4</v>
      </c>
      <c r="AI16" s="118">
        <v>4.55</v>
      </c>
      <c r="AJ16" s="118">
        <v>8.24</v>
      </c>
      <c r="AK16" s="62">
        <f t="shared" si="9"/>
        <v>45.290700000000001</v>
      </c>
      <c r="AL16" s="72">
        <f t="shared" si="10"/>
        <v>82.020960000000002</v>
      </c>
      <c r="AM16" s="73">
        <f t="shared" si="15"/>
        <v>9.5000000000027285E-2</v>
      </c>
      <c r="AN16" s="74">
        <f t="shared" si="11"/>
        <v>4.322500000000673E-3</v>
      </c>
      <c r="AO16" s="74">
        <f t="shared" si="11"/>
        <v>7.8280000000034988E-3</v>
      </c>
      <c r="AP16" s="75">
        <f t="shared" si="16"/>
        <v>9.5429911752477524E-5</v>
      </c>
      <c r="AQ16" s="76">
        <f t="shared" si="12"/>
        <v>4.2831251283346834</v>
      </c>
      <c r="AR16" s="77">
        <f t="shared" si="17"/>
        <v>9.5000000000027285E-2</v>
      </c>
    </row>
    <row r="17" spans="1:49" x14ac:dyDescent="0.25">
      <c r="A17" t="str">
        <f t="shared" si="14"/>
        <v>46180E</v>
      </c>
      <c r="B17" s="51">
        <f t="shared" si="18"/>
        <v>46180</v>
      </c>
      <c r="C17" s="52" t="s">
        <v>88</v>
      </c>
      <c r="D17" s="91">
        <v>995.4</v>
      </c>
      <c r="E17" s="62">
        <v>4.55</v>
      </c>
      <c r="F17" s="62">
        <v>8.24</v>
      </c>
      <c r="G17" s="62">
        <f t="shared" si="0"/>
        <v>45.290700000000001</v>
      </c>
      <c r="H17" s="63">
        <f t="shared" si="1"/>
        <v>82.020960000000002</v>
      </c>
      <c r="I17" s="119">
        <v>986.5</v>
      </c>
      <c r="J17" s="120">
        <v>1016.095</v>
      </c>
      <c r="K17" s="121">
        <v>4.2300000000000004</v>
      </c>
      <c r="L17" s="122">
        <v>8.2200000000000006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2"/>
        <v>1016.095</v>
      </c>
      <c r="S17" s="62">
        <f t="shared" si="3"/>
        <v>42.980818500000005</v>
      </c>
      <c r="T17" s="63">
        <f t="shared" si="4"/>
        <v>83.523009000000016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5"/>
        <v>0</v>
      </c>
      <c r="AB17" s="63">
        <f t="shared" si="6"/>
        <v>0</v>
      </c>
      <c r="AC17" s="69"/>
      <c r="AD17" s="70"/>
      <c r="AE17" s="70"/>
      <c r="AF17" s="62">
        <f t="shared" si="7"/>
        <v>0</v>
      </c>
      <c r="AG17" s="63">
        <f t="shared" si="8"/>
        <v>0</v>
      </c>
      <c r="AH17" s="89">
        <v>2011.5</v>
      </c>
      <c r="AI17" s="66">
        <v>4.3899999999999997</v>
      </c>
      <c r="AJ17" s="66">
        <v>8.23</v>
      </c>
      <c r="AK17" s="62">
        <f t="shared" si="9"/>
        <v>88.304849999999988</v>
      </c>
      <c r="AL17" s="72">
        <f t="shared" si="10"/>
        <v>165.54644999999999</v>
      </c>
      <c r="AM17" s="73">
        <f t="shared" si="15"/>
        <v>-5.0000000001091394E-3</v>
      </c>
      <c r="AN17" s="74">
        <f t="shared" si="11"/>
        <v>-3.3331499999974312E-2</v>
      </c>
      <c r="AO17" s="74">
        <f t="shared" si="11"/>
        <v>-2.4809999999888532E-3</v>
      </c>
      <c r="AP17" s="75">
        <f t="shared" si="16"/>
        <v>-2.8309420124037876E-4</v>
      </c>
      <c r="AQ17" s="76">
        <f t="shared" si="12"/>
        <v>-15.705340804985132</v>
      </c>
      <c r="AR17" s="77">
        <f t="shared" si="17"/>
        <v>-5.0000000001091394E-3</v>
      </c>
    </row>
    <row r="18" spans="1:49" x14ac:dyDescent="0.25">
      <c r="A18" t="str">
        <f t="shared" si="14"/>
        <v>46181M</v>
      </c>
      <c r="B18" s="51">
        <f t="shared" si="18"/>
        <v>46181</v>
      </c>
      <c r="C18" s="52" t="s">
        <v>87</v>
      </c>
      <c r="D18" s="91">
        <v>2011.5</v>
      </c>
      <c r="E18" s="62">
        <v>4.3899999999999997</v>
      </c>
      <c r="F18" s="62">
        <v>8.23</v>
      </c>
      <c r="G18" s="62">
        <f t="shared" si="0"/>
        <v>88.304849999999988</v>
      </c>
      <c r="H18" s="63">
        <f t="shared" si="1"/>
        <v>165.54644999999999</v>
      </c>
      <c r="I18" s="119">
        <v>1020</v>
      </c>
      <c r="J18" s="120">
        <v>1050.6000000000001</v>
      </c>
      <c r="K18" s="121">
        <v>4.79</v>
      </c>
      <c r="L18" s="122">
        <v>8.36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2"/>
        <v>1050.6000000000001</v>
      </c>
      <c r="S18" s="62">
        <f t="shared" si="3"/>
        <v>50.323740000000008</v>
      </c>
      <c r="T18" s="63">
        <f t="shared" si="4"/>
        <v>87.830160000000006</v>
      </c>
      <c r="U18" s="64" t="s">
        <v>167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5"/>
        <v>0</v>
      </c>
      <c r="AB18" s="63">
        <f t="shared" si="6"/>
        <v>0</v>
      </c>
      <c r="AC18" s="69"/>
      <c r="AD18" s="70"/>
      <c r="AE18" s="70"/>
      <c r="AF18" s="62">
        <f t="shared" si="7"/>
        <v>0</v>
      </c>
      <c r="AG18" s="63">
        <f t="shared" si="8"/>
        <v>0</v>
      </c>
      <c r="AH18" s="89">
        <v>3062.1</v>
      </c>
      <c r="AI18" s="66">
        <v>4.53</v>
      </c>
      <c r="AJ18" s="66">
        <v>8.27</v>
      </c>
      <c r="AK18" s="62">
        <f t="shared" si="9"/>
        <v>138.71313000000001</v>
      </c>
      <c r="AL18" s="72">
        <f t="shared" si="10"/>
        <v>253.23566999999997</v>
      </c>
      <c r="AM18" s="73">
        <f t="shared" si="15"/>
        <v>0</v>
      </c>
      <c r="AN18" s="74">
        <f t="shared" si="11"/>
        <v>-8.4540000000004056E-2</v>
      </c>
      <c r="AO18" s="74">
        <f t="shared" si="11"/>
        <v>0.14094000000002893</v>
      </c>
      <c r="AP18" s="75">
        <f t="shared" si="16"/>
        <v>4.0824037540760608E-4</v>
      </c>
      <c r="AQ18" s="76">
        <f t="shared" si="12"/>
        <v>4.2287322000068386</v>
      </c>
      <c r="AR18" s="77">
        <f t="shared" si="17"/>
        <v>0</v>
      </c>
    </row>
    <row r="19" spans="1:49" x14ac:dyDescent="0.25">
      <c r="A19" t="str">
        <f t="shared" si="14"/>
        <v>46181E</v>
      </c>
      <c r="B19" s="51">
        <f t="shared" si="18"/>
        <v>46181</v>
      </c>
      <c r="C19" s="52" t="s">
        <v>88</v>
      </c>
      <c r="D19" s="91">
        <v>3062.1</v>
      </c>
      <c r="E19" s="62">
        <v>4.53</v>
      </c>
      <c r="F19" s="62">
        <v>8.27</v>
      </c>
      <c r="G19" s="62">
        <f t="shared" si="0"/>
        <v>138.71313000000001</v>
      </c>
      <c r="H19" s="63">
        <f t="shared" si="1"/>
        <v>253.23566999999997</v>
      </c>
      <c r="I19" s="119">
        <v>930.7</v>
      </c>
      <c r="J19" s="120">
        <v>958.62100000000009</v>
      </c>
      <c r="K19" s="121">
        <v>4.47</v>
      </c>
      <c r="L19" s="122">
        <v>8.32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2"/>
        <v>958.62100000000009</v>
      </c>
      <c r="S19" s="62">
        <f t="shared" si="3"/>
        <v>42.850358700000001</v>
      </c>
      <c r="T19" s="63">
        <f t="shared" si="4"/>
        <v>79.757267200000001</v>
      </c>
      <c r="U19" s="64" t="s">
        <v>256</v>
      </c>
      <c r="V19" s="65" t="s">
        <v>438</v>
      </c>
      <c r="W19" s="66" t="s">
        <v>225</v>
      </c>
      <c r="X19" s="67">
        <v>4325</v>
      </c>
      <c r="Y19" s="68">
        <v>4.51</v>
      </c>
      <c r="Z19" s="68">
        <v>8.2899999999999991</v>
      </c>
      <c r="AA19" s="62">
        <f t="shared" si="5"/>
        <v>195.0575</v>
      </c>
      <c r="AB19" s="63">
        <f t="shared" si="6"/>
        <v>358.54249999999996</v>
      </c>
      <c r="AC19" s="69">
        <v>4340</v>
      </c>
      <c r="AD19" s="70">
        <v>4.2460829493087555</v>
      </c>
      <c r="AE19" s="70">
        <v>7.8143087557603668</v>
      </c>
      <c r="AF19" s="62">
        <f t="shared" si="7"/>
        <v>184.28</v>
      </c>
      <c r="AG19" s="63">
        <f t="shared" si="8"/>
        <v>339.14099999999996</v>
      </c>
      <c r="AH19" s="89">
        <v>0</v>
      </c>
      <c r="AI19" s="66">
        <v>0</v>
      </c>
      <c r="AJ19" s="66">
        <v>0</v>
      </c>
      <c r="AK19" s="62">
        <f t="shared" si="9"/>
        <v>0</v>
      </c>
      <c r="AL19" s="72">
        <f t="shared" si="10"/>
        <v>0</v>
      </c>
      <c r="AM19" s="73">
        <f t="shared" si="15"/>
        <v>-319.279</v>
      </c>
      <c r="AN19" s="74">
        <f t="shared" si="11"/>
        <v>-2.7165113000000076</v>
      </c>
      <c r="AO19" s="74">
        <f t="shared" si="11"/>
        <v>-6.1480627999999911</v>
      </c>
      <c r="AP19" s="75">
        <f t="shared" si="16"/>
        <v>-7.2300348652293733E-2</v>
      </c>
      <c r="AQ19" s="76">
        <f t="shared" si="12"/>
        <v>-3059.4203353816674</v>
      </c>
      <c r="AR19" s="77">
        <f t="shared" si="17"/>
        <v>-304.279</v>
      </c>
    </row>
    <row r="20" spans="1:49" x14ac:dyDescent="0.25">
      <c r="A20" t="str">
        <f t="shared" si="14"/>
        <v>46182M</v>
      </c>
      <c r="B20" s="51">
        <f t="shared" si="18"/>
        <v>46182</v>
      </c>
      <c r="C20" s="52" t="s">
        <v>87</v>
      </c>
      <c r="D20" s="91">
        <v>0</v>
      </c>
      <c r="E20" s="62">
        <v>0</v>
      </c>
      <c r="F20" s="62">
        <v>0</v>
      </c>
      <c r="G20" s="62">
        <f t="shared" si="0"/>
        <v>0</v>
      </c>
      <c r="H20" s="63">
        <f t="shared" si="1"/>
        <v>0</v>
      </c>
      <c r="I20" s="119">
        <v>920.5</v>
      </c>
      <c r="J20" s="120">
        <v>948.11500000000001</v>
      </c>
      <c r="K20" s="121">
        <v>4.79</v>
      </c>
      <c r="L20" s="122">
        <v>8.27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2"/>
        <v>948.11500000000001</v>
      </c>
      <c r="S20" s="62">
        <f t="shared" si="3"/>
        <v>45.414708499999996</v>
      </c>
      <c r="T20" s="63">
        <f t="shared" si="4"/>
        <v>78.409110499999997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5"/>
        <v>0</v>
      </c>
      <c r="AB20" s="63">
        <f t="shared" si="6"/>
        <v>0</v>
      </c>
      <c r="AC20" s="69"/>
      <c r="AD20" s="70"/>
      <c r="AE20" s="70"/>
      <c r="AF20" s="62">
        <f t="shared" si="7"/>
        <v>0</v>
      </c>
      <c r="AG20" s="63">
        <f t="shared" si="8"/>
        <v>0</v>
      </c>
      <c r="AH20" s="89">
        <v>948.1</v>
      </c>
      <c r="AI20" s="66">
        <v>4.79</v>
      </c>
      <c r="AJ20" s="66">
        <v>8.27</v>
      </c>
      <c r="AK20" s="62">
        <f t="shared" si="9"/>
        <v>45.413989999999998</v>
      </c>
      <c r="AL20" s="72">
        <f t="shared" si="10"/>
        <v>78.407870000000003</v>
      </c>
      <c r="AM20" s="73">
        <f t="shared" si="15"/>
        <v>1.4999999999986358E-2</v>
      </c>
      <c r="AN20" s="74">
        <f t="shared" ref="AN20:AO65" si="19">+G20+S20-AF20-AK20</f>
        <v>7.1849999999784586E-4</v>
      </c>
      <c r="AO20" s="74">
        <f t="shared" si="19"/>
        <v>1.2404999999944266E-3</v>
      </c>
      <c r="AP20" s="75">
        <f t="shared" si="16"/>
        <v>1.5820865612231461E-5</v>
      </c>
      <c r="AQ20" s="76">
        <f t="shared" si="12"/>
        <v>0.69379040499736511</v>
      </c>
      <c r="AR20" s="77">
        <f t="shared" si="17"/>
        <v>1.4999999999986358E-2</v>
      </c>
    </row>
    <row r="21" spans="1:49" x14ac:dyDescent="0.25">
      <c r="A21" t="str">
        <f t="shared" si="14"/>
        <v>46182E</v>
      </c>
      <c r="B21" s="51">
        <f t="shared" si="18"/>
        <v>46182</v>
      </c>
      <c r="C21" s="52" t="s">
        <v>88</v>
      </c>
      <c r="D21" s="91">
        <v>948.1</v>
      </c>
      <c r="E21" s="62">
        <v>4.79</v>
      </c>
      <c r="F21" s="62">
        <v>8.27</v>
      </c>
      <c r="G21" s="62">
        <f t="shared" si="0"/>
        <v>45.413989999999998</v>
      </c>
      <c r="H21" s="63">
        <f t="shared" si="1"/>
        <v>78.407870000000003</v>
      </c>
      <c r="I21" s="119">
        <v>1018.2</v>
      </c>
      <c r="J21" s="120">
        <v>1048.7460000000001</v>
      </c>
      <c r="K21" s="121">
        <v>4.3</v>
      </c>
      <c r="L21" s="122">
        <v>8.2100000000000009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2"/>
        <v>1048.7460000000001</v>
      </c>
      <c r="S21" s="62">
        <f t="shared" si="3"/>
        <v>45.096077999999999</v>
      </c>
      <c r="T21" s="63">
        <f t="shared" si="4"/>
        <v>86.102046600000008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5"/>
        <v>0</v>
      </c>
      <c r="AB21" s="63">
        <f t="shared" si="6"/>
        <v>0</v>
      </c>
      <c r="AC21" s="69"/>
      <c r="AD21" s="70"/>
      <c r="AE21" s="70"/>
      <c r="AF21" s="62">
        <f t="shared" si="7"/>
        <v>0</v>
      </c>
      <c r="AG21" s="63">
        <f t="shared" si="8"/>
        <v>0</v>
      </c>
      <c r="AH21" s="89">
        <v>1996.8</v>
      </c>
      <c r="AI21" s="66">
        <v>4.53</v>
      </c>
      <c r="AJ21" s="66">
        <v>8.24</v>
      </c>
      <c r="AK21" s="62">
        <f t="shared" si="9"/>
        <v>90.455039999999997</v>
      </c>
      <c r="AL21" s="72">
        <f t="shared" si="10"/>
        <v>164.53631999999999</v>
      </c>
      <c r="AM21" s="73">
        <f t="shared" si="15"/>
        <v>4.6000000000049113E-2</v>
      </c>
      <c r="AN21" s="74">
        <f t="shared" si="19"/>
        <v>5.5027999999992971E-2</v>
      </c>
      <c r="AO21" s="74">
        <f t="shared" si="19"/>
        <v>-2.6403399999992416E-2</v>
      </c>
      <c r="AP21" s="75">
        <f t="shared" si="16"/>
        <v>2.1817842356567157E-4</v>
      </c>
      <c r="AQ21" s="76">
        <f t="shared" si="12"/>
        <v>16.800785950665784</v>
      </c>
      <c r="AR21" s="77">
        <f t="shared" si="17"/>
        <v>4.6000000000049113E-2</v>
      </c>
    </row>
    <row r="22" spans="1:49" x14ac:dyDescent="0.25">
      <c r="A22" t="str">
        <f t="shared" si="14"/>
        <v>46183M</v>
      </c>
      <c r="B22" s="51">
        <f t="shared" si="18"/>
        <v>46183</v>
      </c>
      <c r="C22" s="52" t="s">
        <v>87</v>
      </c>
      <c r="D22" s="91">
        <v>1996.8</v>
      </c>
      <c r="E22" s="62">
        <v>4.53</v>
      </c>
      <c r="F22" s="62">
        <v>8.24</v>
      </c>
      <c r="G22" s="62">
        <f t="shared" si="0"/>
        <v>90.455039999999997</v>
      </c>
      <c r="H22" s="63">
        <f t="shared" si="1"/>
        <v>164.53631999999999</v>
      </c>
      <c r="I22" s="119">
        <v>1002.8</v>
      </c>
      <c r="J22" s="120">
        <v>1032.884</v>
      </c>
      <c r="K22" s="121">
        <v>4.8</v>
      </c>
      <c r="L22" s="122">
        <v>8.34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2"/>
        <v>1032.884</v>
      </c>
      <c r="S22" s="62">
        <f t="shared" si="3"/>
        <v>49.578431999999999</v>
      </c>
      <c r="T22" s="63">
        <f t="shared" si="4"/>
        <v>86.142525599999999</v>
      </c>
      <c r="U22" s="64" t="s">
        <v>167</v>
      </c>
      <c r="V22" s="65" t="s">
        <v>187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5"/>
        <v>0</v>
      </c>
      <c r="AB22" s="63">
        <f t="shared" si="6"/>
        <v>0</v>
      </c>
      <c r="AC22" s="69"/>
      <c r="AD22" s="70"/>
      <c r="AE22" s="70"/>
      <c r="AF22" s="62">
        <f t="shared" si="7"/>
        <v>0</v>
      </c>
      <c r="AG22" s="63">
        <f t="shared" si="8"/>
        <v>0</v>
      </c>
      <c r="AH22" s="89">
        <v>3029.6</v>
      </c>
      <c r="AI22" s="66">
        <v>4.62</v>
      </c>
      <c r="AJ22" s="66">
        <v>8.27</v>
      </c>
      <c r="AK22" s="62">
        <f t="shared" si="9"/>
        <v>139.96751999999998</v>
      </c>
      <c r="AL22" s="72">
        <f t="shared" si="10"/>
        <v>250.54791999999998</v>
      </c>
      <c r="AM22" s="73">
        <f t="shared" si="15"/>
        <v>8.40000000002874E-2</v>
      </c>
      <c r="AN22" s="74">
        <f t="shared" si="19"/>
        <v>6.5952000000010003E-2</v>
      </c>
      <c r="AO22" s="74">
        <f t="shared" si="19"/>
        <v>0.13092560000001185</v>
      </c>
      <c r="AP22" s="75">
        <f t="shared" si="16"/>
        <v>1.4506057390212656E-3</v>
      </c>
      <c r="AQ22" s="76">
        <f t="shared" si="12"/>
        <v>68.78905305067471</v>
      </c>
      <c r="AR22" s="77">
        <f t="shared" si="17"/>
        <v>8.40000000002874E-2</v>
      </c>
      <c r="AT22" s="83"/>
      <c r="AU22" s="83"/>
      <c r="AW22">
        <f>AS22*AU22%</f>
        <v>0</v>
      </c>
    </row>
    <row r="23" spans="1:49" x14ac:dyDescent="0.25">
      <c r="A23" t="str">
        <f t="shared" si="14"/>
        <v>46183E</v>
      </c>
      <c r="B23" s="51">
        <f t="shared" si="18"/>
        <v>46183</v>
      </c>
      <c r="C23" s="52" t="s">
        <v>88</v>
      </c>
      <c r="D23" s="91">
        <v>3029.6</v>
      </c>
      <c r="E23" s="62">
        <v>4.62</v>
      </c>
      <c r="F23" s="62">
        <v>8.27</v>
      </c>
      <c r="G23" s="62">
        <f t="shared" si="0"/>
        <v>139.96751999999998</v>
      </c>
      <c r="H23" s="63">
        <f t="shared" si="1"/>
        <v>250.54791999999998</v>
      </c>
      <c r="I23" s="119">
        <v>1078.3</v>
      </c>
      <c r="J23" s="120">
        <v>1110.6489999999999</v>
      </c>
      <c r="K23" s="121">
        <v>4.3600000000000003</v>
      </c>
      <c r="L23" s="122">
        <v>8.2899999999999991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2"/>
        <v>1110.6489999999999</v>
      </c>
      <c r="S23" s="62">
        <f t="shared" si="3"/>
        <v>48.424296399999996</v>
      </c>
      <c r="T23" s="63">
        <f t="shared" si="4"/>
        <v>92.072802099999976</v>
      </c>
      <c r="U23" s="64" t="s">
        <v>256</v>
      </c>
      <c r="V23" s="65" t="s">
        <v>439</v>
      </c>
      <c r="W23" s="66" t="s">
        <v>189</v>
      </c>
      <c r="X23" s="67">
        <v>2840</v>
      </c>
      <c r="Y23" s="68">
        <v>4.55</v>
      </c>
      <c r="Z23" s="68">
        <v>8.2799999999999994</v>
      </c>
      <c r="AA23" s="62">
        <f t="shared" si="5"/>
        <v>129.22</v>
      </c>
      <c r="AB23" s="63">
        <f t="shared" si="6"/>
        <v>235.15199999999999</v>
      </c>
      <c r="AC23" s="226">
        <v>2840</v>
      </c>
      <c r="AD23" s="227">
        <v>4.55</v>
      </c>
      <c r="AE23" s="227">
        <v>8.2799999999999994</v>
      </c>
      <c r="AF23" s="62">
        <f t="shared" si="7"/>
        <v>129.22</v>
      </c>
      <c r="AG23" s="63">
        <f t="shared" si="8"/>
        <v>235.15199999999999</v>
      </c>
      <c r="AH23" s="89">
        <v>1300.2</v>
      </c>
      <c r="AI23" s="66">
        <v>4.55</v>
      </c>
      <c r="AJ23" s="84">
        <v>8.2799999999999994</v>
      </c>
      <c r="AK23" s="62">
        <f t="shared" si="9"/>
        <v>59.159100000000002</v>
      </c>
      <c r="AL23" s="72">
        <f t="shared" si="10"/>
        <v>107.65656</v>
      </c>
      <c r="AM23" s="73">
        <f t="shared" si="15"/>
        <v>4.8999999999750798E-2</v>
      </c>
      <c r="AN23" s="74">
        <f t="shared" si="19"/>
        <v>1.2716399999980865E-2</v>
      </c>
      <c r="AO23" s="74">
        <f t="shared" si="19"/>
        <v>-0.18783790000001943</v>
      </c>
      <c r="AP23" s="75">
        <f t="shared" si="16"/>
        <v>-1.2464421106891301E-3</v>
      </c>
      <c r="AQ23" s="76">
        <f t="shared" si="12"/>
        <v>-50.506355335347749</v>
      </c>
      <c r="AR23" s="77">
        <f t="shared" si="17"/>
        <v>4.8999999999978172E-2</v>
      </c>
      <c r="AU23" s="83"/>
      <c r="AW23">
        <f>AS23*AU23%</f>
        <v>0</v>
      </c>
    </row>
    <row r="24" spans="1:49" x14ac:dyDescent="0.25">
      <c r="A24" t="str">
        <f t="shared" si="14"/>
        <v>46184M</v>
      </c>
      <c r="B24" s="51">
        <f t="shared" si="18"/>
        <v>46184</v>
      </c>
      <c r="C24" s="52" t="s">
        <v>87</v>
      </c>
      <c r="D24" s="91">
        <v>1300.2</v>
      </c>
      <c r="E24" s="62">
        <v>4.55</v>
      </c>
      <c r="F24" s="62">
        <v>8.2799999999999994</v>
      </c>
      <c r="G24" s="62">
        <f t="shared" si="0"/>
        <v>59.159100000000002</v>
      </c>
      <c r="H24" s="63">
        <f t="shared" si="1"/>
        <v>107.65656</v>
      </c>
      <c r="I24" s="119">
        <v>1027.5</v>
      </c>
      <c r="J24" s="120">
        <v>1058.325</v>
      </c>
      <c r="K24" s="121">
        <v>4.7699999999999996</v>
      </c>
      <c r="L24" s="122">
        <v>8.44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2"/>
        <v>1058.325</v>
      </c>
      <c r="S24" s="62">
        <f t="shared" si="3"/>
        <v>50.482102499999996</v>
      </c>
      <c r="T24" s="63">
        <f t="shared" si="4"/>
        <v>89.32262999999999</v>
      </c>
      <c r="U24" s="64" t="s">
        <v>167</v>
      </c>
      <c r="V24" s="65" t="s">
        <v>167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5"/>
        <v>0</v>
      </c>
      <c r="AB24" s="63">
        <f t="shared" si="6"/>
        <v>0</v>
      </c>
      <c r="AC24" s="69"/>
      <c r="AD24" s="70"/>
      <c r="AE24" s="70"/>
      <c r="AF24" s="62">
        <f t="shared" si="7"/>
        <v>0</v>
      </c>
      <c r="AG24" s="63">
        <f t="shared" si="8"/>
        <v>0</v>
      </c>
      <c r="AH24" s="89">
        <v>2358.5</v>
      </c>
      <c r="AI24" s="66">
        <v>4.6399999999999997</v>
      </c>
      <c r="AJ24" s="66">
        <v>8.35</v>
      </c>
      <c r="AK24" s="62">
        <f t="shared" si="9"/>
        <v>109.4344</v>
      </c>
      <c r="AL24" s="72">
        <f t="shared" si="10"/>
        <v>196.93474999999998</v>
      </c>
      <c r="AM24" s="73">
        <f t="shared" si="15"/>
        <v>2.5000000000090949E-2</v>
      </c>
      <c r="AN24" s="74">
        <f t="shared" si="19"/>
        <v>0.20680249999999489</v>
      </c>
      <c r="AO24" s="74">
        <f t="shared" si="19"/>
        <v>4.4440000000008695E-2</v>
      </c>
      <c r="AP24" s="75">
        <f t="shared" si="16"/>
        <v>1.7970958171963426E-3</v>
      </c>
      <c r="AQ24" s="76">
        <f t="shared" si="12"/>
        <v>106.13541720833365</v>
      </c>
      <c r="AR24" s="77">
        <f t="shared" si="17"/>
        <v>2.5000000000090949E-2</v>
      </c>
      <c r="AT24" s="77"/>
      <c r="AU24" s="77"/>
      <c r="AV24" s="77"/>
      <c r="AW24">
        <f>SUM(AW22:AW23)</f>
        <v>0</v>
      </c>
    </row>
    <row r="25" spans="1:49" x14ac:dyDescent="0.25">
      <c r="A25" t="str">
        <f t="shared" si="14"/>
        <v>46184E</v>
      </c>
      <c r="B25" s="51">
        <f t="shared" si="18"/>
        <v>46184</v>
      </c>
      <c r="C25" s="52" t="s">
        <v>88</v>
      </c>
      <c r="D25" s="91">
        <v>2358.5</v>
      </c>
      <c r="E25" s="62">
        <v>4.6399999999999997</v>
      </c>
      <c r="F25" s="62">
        <v>8.35</v>
      </c>
      <c r="G25" s="62">
        <f t="shared" si="0"/>
        <v>109.4344</v>
      </c>
      <c r="H25" s="63">
        <f t="shared" si="1"/>
        <v>196.93474999999998</v>
      </c>
      <c r="I25" s="119">
        <v>1062.5999999999999</v>
      </c>
      <c r="J25" s="120">
        <v>1094.4779999999998</v>
      </c>
      <c r="K25" s="121">
        <v>0</v>
      </c>
      <c r="L25" s="122">
        <v>0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2"/>
        <v>1094.4779999999998</v>
      </c>
      <c r="S25" s="62">
        <f t="shared" si="3"/>
        <v>0</v>
      </c>
      <c r="T25" s="63">
        <f t="shared" si="4"/>
        <v>0</v>
      </c>
      <c r="U25" s="64" t="s">
        <v>167</v>
      </c>
      <c r="V25" s="65" t="s">
        <v>187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5"/>
        <v>0</v>
      </c>
      <c r="AB25" s="63">
        <f t="shared" si="6"/>
        <v>0</v>
      </c>
      <c r="AC25" s="69"/>
      <c r="AD25" s="70"/>
      <c r="AE25" s="70"/>
      <c r="AF25" s="62">
        <f t="shared" si="7"/>
        <v>0</v>
      </c>
      <c r="AG25" s="63">
        <f t="shared" si="8"/>
        <v>0</v>
      </c>
      <c r="AH25" s="89">
        <v>3452.9</v>
      </c>
      <c r="AI25" s="66">
        <v>4.59</v>
      </c>
      <c r="AJ25" s="66">
        <v>8.35</v>
      </c>
      <c r="AK25" s="62">
        <f t="shared" si="9"/>
        <v>158.48810999999998</v>
      </c>
      <c r="AL25" s="72">
        <f t="shared" si="10"/>
        <v>288.31714999999997</v>
      </c>
      <c r="AM25" s="73">
        <f t="shared" si="15"/>
        <v>7.7999999999974534E-2</v>
      </c>
      <c r="AN25" s="74">
        <f t="shared" si="19"/>
        <v>-49.053709999999981</v>
      </c>
      <c r="AO25" s="74">
        <f t="shared" si="19"/>
        <v>-91.38239999999999</v>
      </c>
      <c r="AP25" s="75" t="e">
        <f t="shared" si="16"/>
        <v>#DIV/0!</v>
      </c>
      <c r="AQ25" s="76">
        <f t="shared" si="12"/>
        <v>-49369.016412099998</v>
      </c>
      <c r="AR25" s="77">
        <f t="shared" si="17"/>
        <v>7.7999999999974534E-2</v>
      </c>
    </row>
    <row r="26" spans="1:49" x14ac:dyDescent="0.25">
      <c r="A26" t="str">
        <f t="shared" si="14"/>
        <v>46185M</v>
      </c>
      <c r="B26" s="51">
        <f t="shared" si="18"/>
        <v>46185</v>
      </c>
      <c r="C26" s="52" t="s">
        <v>87</v>
      </c>
      <c r="D26" s="91"/>
      <c r="E26" s="62"/>
      <c r="F26" s="62"/>
      <c r="G26" s="62">
        <f t="shared" si="0"/>
        <v>0</v>
      </c>
      <c r="H26" s="63">
        <f t="shared" si="1"/>
        <v>0</v>
      </c>
      <c r="I26" s="119"/>
      <c r="J26" s="120"/>
      <c r="K26" s="121"/>
      <c r="L26" s="122"/>
      <c r="M26" s="58"/>
      <c r="N26" s="58"/>
      <c r="O26" s="59"/>
      <c r="P26" s="56"/>
      <c r="Q26" s="60"/>
      <c r="R26" s="61">
        <f t="shared" si="2"/>
        <v>0</v>
      </c>
      <c r="S26" s="62">
        <f t="shared" si="3"/>
        <v>0</v>
      </c>
      <c r="T26" s="63">
        <f t="shared" si="4"/>
        <v>0</v>
      </c>
      <c r="U26" s="64"/>
      <c r="V26" s="65"/>
      <c r="W26" s="66"/>
      <c r="X26" s="67"/>
      <c r="Y26" s="68"/>
      <c r="Z26" s="68"/>
      <c r="AA26" s="62">
        <f t="shared" si="5"/>
        <v>0</v>
      </c>
      <c r="AB26" s="63">
        <f t="shared" si="6"/>
        <v>0</v>
      </c>
      <c r="AC26" s="69"/>
      <c r="AD26" s="70"/>
      <c r="AE26" s="70"/>
      <c r="AF26" s="62">
        <f t="shared" si="7"/>
        <v>0</v>
      </c>
      <c r="AG26" s="63">
        <f t="shared" si="8"/>
        <v>0</v>
      </c>
      <c r="AH26" s="89"/>
      <c r="AI26" s="66"/>
      <c r="AJ26" s="66"/>
      <c r="AK26" s="62">
        <f t="shared" si="9"/>
        <v>0</v>
      </c>
      <c r="AL26" s="72">
        <f t="shared" si="10"/>
        <v>0</v>
      </c>
      <c r="AM26" s="73">
        <f t="shared" si="15"/>
        <v>0</v>
      </c>
      <c r="AN26" s="74">
        <f t="shared" si="19"/>
        <v>0</v>
      </c>
      <c r="AO26" s="74">
        <f t="shared" si="19"/>
        <v>0</v>
      </c>
      <c r="AP26" s="75" t="e">
        <f t="shared" si="16"/>
        <v>#DIV/0!</v>
      </c>
      <c r="AQ26" s="76">
        <f t="shared" si="12"/>
        <v>0</v>
      </c>
      <c r="AR26" s="77">
        <f t="shared" si="17"/>
        <v>0</v>
      </c>
    </row>
    <row r="27" spans="1:49" x14ac:dyDescent="0.25">
      <c r="A27" t="str">
        <f t="shared" si="14"/>
        <v>46185E</v>
      </c>
      <c r="B27" s="51">
        <f t="shared" si="18"/>
        <v>46185</v>
      </c>
      <c r="C27" s="52" t="s">
        <v>88</v>
      </c>
      <c r="D27" s="91"/>
      <c r="E27" s="62"/>
      <c r="F27" s="62"/>
      <c r="G27" s="62">
        <f t="shared" si="0"/>
        <v>0</v>
      </c>
      <c r="H27" s="63">
        <f t="shared" si="1"/>
        <v>0</v>
      </c>
      <c r="I27" s="119"/>
      <c r="J27" s="120"/>
      <c r="K27" s="121"/>
      <c r="L27" s="122"/>
      <c r="M27" s="58"/>
      <c r="N27" s="58"/>
      <c r="O27" s="59"/>
      <c r="P27" s="56"/>
      <c r="Q27" s="60"/>
      <c r="R27" s="61">
        <f t="shared" si="2"/>
        <v>0</v>
      </c>
      <c r="S27" s="62">
        <f t="shared" si="3"/>
        <v>0</v>
      </c>
      <c r="T27" s="63">
        <f t="shared" si="4"/>
        <v>0</v>
      </c>
      <c r="U27" s="64"/>
      <c r="V27" s="65"/>
      <c r="W27" s="66"/>
      <c r="X27" s="67"/>
      <c r="Y27" s="68"/>
      <c r="Z27" s="68"/>
      <c r="AA27" s="62">
        <f t="shared" si="5"/>
        <v>0</v>
      </c>
      <c r="AB27" s="63">
        <f t="shared" si="6"/>
        <v>0</v>
      </c>
      <c r="AC27" s="69"/>
      <c r="AD27" s="70"/>
      <c r="AE27" s="70"/>
      <c r="AF27" s="62">
        <f t="shared" si="7"/>
        <v>0</v>
      </c>
      <c r="AG27" s="63">
        <f t="shared" si="8"/>
        <v>0</v>
      </c>
      <c r="AH27" s="89"/>
      <c r="AI27" s="66"/>
      <c r="AJ27" s="66"/>
      <c r="AK27" s="62">
        <f t="shared" si="9"/>
        <v>0</v>
      </c>
      <c r="AL27" s="72">
        <f t="shared" si="10"/>
        <v>0</v>
      </c>
      <c r="AM27" s="73">
        <f t="shared" si="15"/>
        <v>0</v>
      </c>
      <c r="AN27" s="74">
        <f t="shared" si="19"/>
        <v>0</v>
      </c>
      <c r="AO27" s="74">
        <f t="shared" si="19"/>
        <v>0</v>
      </c>
      <c r="AP27" s="75" t="e">
        <f t="shared" si="16"/>
        <v>#DIV/0!</v>
      </c>
      <c r="AQ27" s="76">
        <f t="shared" si="12"/>
        <v>0</v>
      </c>
      <c r="AR27" s="77">
        <f t="shared" si="17"/>
        <v>0</v>
      </c>
    </row>
    <row r="28" spans="1:49" x14ac:dyDescent="0.25">
      <c r="A28" t="str">
        <f t="shared" si="14"/>
        <v>46186M</v>
      </c>
      <c r="B28" s="51">
        <f t="shared" si="18"/>
        <v>46186</v>
      </c>
      <c r="C28" s="52" t="s">
        <v>87</v>
      </c>
      <c r="D28" s="91"/>
      <c r="E28" s="62"/>
      <c r="F28" s="62"/>
      <c r="G28" s="62">
        <f t="shared" si="0"/>
        <v>0</v>
      </c>
      <c r="H28" s="63">
        <f t="shared" si="1"/>
        <v>0</v>
      </c>
      <c r="I28" s="119"/>
      <c r="J28" s="120"/>
      <c r="K28" s="121"/>
      <c r="L28" s="122"/>
      <c r="M28" s="58"/>
      <c r="N28" s="58"/>
      <c r="O28" s="59"/>
      <c r="P28" s="56"/>
      <c r="Q28" s="60"/>
      <c r="R28" s="61">
        <f t="shared" si="2"/>
        <v>0</v>
      </c>
      <c r="S28" s="62">
        <f t="shared" si="3"/>
        <v>0</v>
      </c>
      <c r="T28" s="63">
        <f t="shared" si="4"/>
        <v>0</v>
      </c>
      <c r="U28" s="64"/>
      <c r="V28" s="65"/>
      <c r="W28" s="66"/>
      <c r="X28" s="67"/>
      <c r="Y28" s="68"/>
      <c r="Z28" s="68"/>
      <c r="AA28" s="62">
        <f t="shared" si="5"/>
        <v>0</v>
      </c>
      <c r="AB28" s="63">
        <f t="shared" si="6"/>
        <v>0</v>
      </c>
      <c r="AC28" s="69"/>
      <c r="AD28" s="70"/>
      <c r="AE28" s="70"/>
      <c r="AF28" s="62">
        <f t="shared" si="7"/>
        <v>0</v>
      </c>
      <c r="AG28" s="63">
        <f t="shared" si="8"/>
        <v>0</v>
      </c>
      <c r="AH28" s="89"/>
      <c r="AI28" s="66"/>
      <c r="AJ28" s="66"/>
      <c r="AK28" s="62">
        <f t="shared" si="9"/>
        <v>0</v>
      </c>
      <c r="AL28" s="72">
        <f t="shared" si="10"/>
        <v>0</v>
      </c>
      <c r="AM28" s="73">
        <f t="shared" si="15"/>
        <v>0</v>
      </c>
      <c r="AN28" s="74">
        <f t="shared" si="19"/>
        <v>0</v>
      </c>
      <c r="AO28" s="74">
        <f t="shared" si="19"/>
        <v>0</v>
      </c>
      <c r="AP28" s="75" t="e">
        <f t="shared" si="16"/>
        <v>#DIV/0!</v>
      </c>
      <c r="AQ28" s="76">
        <f t="shared" si="12"/>
        <v>0</v>
      </c>
      <c r="AR28" s="77">
        <f t="shared" si="17"/>
        <v>0</v>
      </c>
    </row>
    <row r="29" spans="1:49" x14ac:dyDescent="0.25">
      <c r="A29" t="str">
        <f t="shared" si="14"/>
        <v>46186E</v>
      </c>
      <c r="B29" s="51">
        <f t="shared" si="18"/>
        <v>46186</v>
      </c>
      <c r="C29" s="52" t="s">
        <v>88</v>
      </c>
      <c r="D29" s="91"/>
      <c r="E29" s="62"/>
      <c r="F29" s="62"/>
      <c r="G29" s="62">
        <f t="shared" si="0"/>
        <v>0</v>
      </c>
      <c r="H29" s="63">
        <f t="shared" si="1"/>
        <v>0</v>
      </c>
      <c r="I29" s="119"/>
      <c r="J29" s="120"/>
      <c r="K29" s="121"/>
      <c r="L29" s="122"/>
      <c r="M29" s="58"/>
      <c r="N29" s="58"/>
      <c r="O29" s="59"/>
      <c r="P29" s="56"/>
      <c r="Q29" s="60"/>
      <c r="R29" s="61">
        <f t="shared" si="2"/>
        <v>0</v>
      </c>
      <c r="S29" s="62">
        <f t="shared" si="3"/>
        <v>0</v>
      </c>
      <c r="T29" s="63">
        <f t="shared" si="4"/>
        <v>0</v>
      </c>
      <c r="U29" s="64"/>
      <c r="V29" s="65"/>
      <c r="W29" s="66"/>
      <c r="X29" s="67"/>
      <c r="Y29" s="68"/>
      <c r="Z29" s="68"/>
      <c r="AA29" s="62">
        <f t="shared" si="5"/>
        <v>0</v>
      </c>
      <c r="AB29" s="63">
        <f t="shared" si="6"/>
        <v>0</v>
      </c>
      <c r="AC29" s="69"/>
      <c r="AD29" s="70"/>
      <c r="AE29" s="70"/>
      <c r="AF29" s="62">
        <f t="shared" si="7"/>
        <v>0</v>
      </c>
      <c r="AG29" s="63">
        <f t="shared" si="8"/>
        <v>0</v>
      </c>
      <c r="AH29" s="89"/>
      <c r="AI29" s="66"/>
      <c r="AJ29" s="66"/>
      <c r="AK29" s="62">
        <f t="shared" si="9"/>
        <v>0</v>
      </c>
      <c r="AL29" s="72">
        <f t="shared" si="10"/>
        <v>0</v>
      </c>
      <c r="AM29" s="73">
        <f t="shared" si="15"/>
        <v>0</v>
      </c>
      <c r="AN29" s="74">
        <f t="shared" si="19"/>
        <v>0</v>
      </c>
      <c r="AO29" s="74">
        <f t="shared" si="19"/>
        <v>0</v>
      </c>
      <c r="AP29" s="75" t="e">
        <f t="shared" si="16"/>
        <v>#DIV/0!</v>
      </c>
      <c r="AQ29" s="76">
        <f t="shared" si="12"/>
        <v>0</v>
      </c>
      <c r="AR29" s="77">
        <f t="shared" si="17"/>
        <v>0</v>
      </c>
    </row>
    <row r="30" spans="1:49" x14ac:dyDescent="0.25">
      <c r="A30" t="str">
        <f t="shared" si="14"/>
        <v>46187M</v>
      </c>
      <c r="B30" s="51">
        <f t="shared" si="18"/>
        <v>46187</v>
      </c>
      <c r="C30" s="52" t="s">
        <v>87</v>
      </c>
      <c r="D30" s="91"/>
      <c r="E30" s="62"/>
      <c r="F30" s="62"/>
      <c r="G30" s="62">
        <f t="shared" si="0"/>
        <v>0</v>
      </c>
      <c r="H30" s="63">
        <f t="shared" si="1"/>
        <v>0</v>
      </c>
      <c r="I30" s="119"/>
      <c r="J30" s="120"/>
      <c r="K30" s="121"/>
      <c r="L30" s="122"/>
      <c r="M30" s="58"/>
      <c r="N30" s="58"/>
      <c r="O30" s="59"/>
      <c r="P30" s="56"/>
      <c r="Q30" s="60"/>
      <c r="R30" s="61">
        <f t="shared" si="2"/>
        <v>0</v>
      </c>
      <c r="S30" s="62">
        <f t="shared" si="3"/>
        <v>0</v>
      </c>
      <c r="T30" s="63">
        <f t="shared" si="4"/>
        <v>0</v>
      </c>
      <c r="U30" s="64"/>
      <c r="V30" s="65"/>
      <c r="W30" s="66"/>
      <c r="X30" s="67"/>
      <c r="Y30" s="68"/>
      <c r="Z30" s="68"/>
      <c r="AA30" s="62">
        <f t="shared" si="5"/>
        <v>0</v>
      </c>
      <c r="AB30" s="63">
        <f t="shared" si="6"/>
        <v>0</v>
      </c>
      <c r="AC30" s="69"/>
      <c r="AD30" s="70"/>
      <c r="AE30" s="70"/>
      <c r="AF30" s="62">
        <f t="shared" si="7"/>
        <v>0</v>
      </c>
      <c r="AG30" s="63">
        <f t="shared" si="8"/>
        <v>0</v>
      </c>
      <c r="AH30" s="89"/>
      <c r="AI30" s="66"/>
      <c r="AJ30" s="66"/>
      <c r="AK30" s="62">
        <f t="shared" si="9"/>
        <v>0</v>
      </c>
      <c r="AL30" s="72">
        <f t="shared" si="10"/>
        <v>0</v>
      </c>
      <c r="AM30" s="73">
        <f t="shared" si="15"/>
        <v>0</v>
      </c>
      <c r="AN30" s="74">
        <f t="shared" si="19"/>
        <v>0</v>
      </c>
      <c r="AO30" s="74">
        <f t="shared" si="19"/>
        <v>0</v>
      </c>
      <c r="AP30" s="75" t="e">
        <f t="shared" si="16"/>
        <v>#DIV/0!</v>
      </c>
      <c r="AQ30" s="76">
        <f t="shared" si="12"/>
        <v>0</v>
      </c>
      <c r="AR30" s="77">
        <f t="shared" si="17"/>
        <v>0</v>
      </c>
    </row>
    <row r="31" spans="1:49" x14ac:dyDescent="0.25">
      <c r="A31" t="str">
        <f t="shared" si="14"/>
        <v>46187E</v>
      </c>
      <c r="B31" s="51">
        <f t="shared" si="18"/>
        <v>46187</v>
      </c>
      <c r="C31" s="52" t="s">
        <v>88</v>
      </c>
      <c r="D31" s="91"/>
      <c r="E31" s="62"/>
      <c r="F31" s="62"/>
      <c r="G31" s="62">
        <f t="shared" si="0"/>
        <v>0</v>
      </c>
      <c r="H31" s="63">
        <f t="shared" si="1"/>
        <v>0</v>
      </c>
      <c r="I31" s="119"/>
      <c r="J31" s="120"/>
      <c r="K31" s="121"/>
      <c r="L31" s="122"/>
      <c r="M31" s="58"/>
      <c r="N31" s="58"/>
      <c r="O31" s="59"/>
      <c r="P31" s="56"/>
      <c r="Q31" s="60"/>
      <c r="R31" s="61">
        <f t="shared" si="2"/>
        <v>0</v>
      </c>
      <c r="S31" s="62">
        <f t="shared" si="3"/>
        <v>0</v>
      </c>
      <c r="T31" s="63">
        <f t="shared" si="4"/>
        <v>0</v>
      </c>
      <c r="U31" s="64"/>
      <c r="V31" s="85"/>
      <c r="W31" s="66"/>
      <c r="X31" s="67"/>
      <c r="Y31" s="68"/>
      <c r="Z31" s="68"/>
      <c r="AA31" s="62">
        <f t="shared" si="5"/>
        <v>0</v>
      </c>
      <c r="AB31" s="63">
        <f t="shared" si="6"/>
        <v>0</v>
      </c>
      <c r="AC31" s="69"/>
      <c r="AD31" s="70"/>
      <c r="AE31" s="70"/>
      <c r="AF31" s="62">
        <f t="shared" si="7"/>
        <v>0</v>
      </c>
      <c r="AG31" s="63">
        <f t="shared" si="8"/>
        <v>0</v>
      </c>
      <c r="AH31" s="89"/>
      <c r="AI31" s="66"/>
      <c r="AJ31" s="66"/>
      <c r="AK31" s="62">
        <f t="shared" si="9"/>
        <v>0</v>
      </c>
      <c r="AL31" s="72">
        <f t="shared" si="10"/>
        <v>0</v>
      </c>
      <c r="AM31" s="73">
        <f t="shared" si="15"/>
        <v>0</v>
      </c>
      <c r="AN31" s="74">
        <f t="shared" si="19"/>
        <v>0</v>
      </c>
      <c r="AO31" s="74">
        <f t="shared" si="19"/>
        <v>0</v>
      </c>
      <c r="AP31" s="75" t="e">
        <f t="shared" si="16"/>
        <v>#DIV/0!</v>
      </c>
      <c r="AQ31" s="76">
        <f t="shared" si="12"/>
        <v>0</v>
      </c>
      <c r="AR31" s="77">
        <f t="shared" si="17"/>
        <v>0</v>
      </c>
    </row>
    <row r="32" spans="1:49" x14ac:dyDescent="0.25">
      <c r="A32" t="str">
        <f t="shared" si="14"/>
        <v>46188M</v>
      </c>
      <c r="B32" s="51">
        <f t="shared" si="18"/>
        <v>46188</v>
      </c>
      <c r="C32" s="52" t="s">
        <v>87</v>
      </c>
      <c r="D32" s="91"/>
      <c r="E32" s="62"/>
      <c r="F32" s="62"/>
      <c r="G32" s="62">
        <f t="shared" si="0"/>
        <v>0</v>
      </c>
      <c r="H32" s="63">
        <f t="shared" si="1"/>
        <v>0</v>
      </c>
      <c r="I32" s="119"/>
      <c r="J32" s="120"/>
      <c r="K32" s="121"/>
      <c r="L32" s="122"/>
      <c r="M32" s="58"/>
      <c r="N32" s="58"/>
      <c r="O32" s="59"/>
      <c r="P32" s="56"/>
      <c r="Q32" s="60"/>
      <c r="R32" s="61">
        <f t="shared" si="2"/>
        <v>0</v>
      </c>
      <c r="S32" s="62">
        <f t="shared" si="3"/>
        <v>0</v>
      </c>
      <c r="T32" s="63">
        <f t="shared" si="4"/>
        <v>0</v>
      </c>
      <c r="U32" s="64"/>
      <c r="V32" s="65"/>
      <c r="W32" s="66"/>
      <c r="X32" s="67"/>
      <c r="Y32" s="68"/>
      <c r="Z32" s="68"/>
      <c r="AA32" s="62">
        <f t="shared" si="5"/>
        <v>0</v>
      </c>
      <c r="AB32" s="63">
        <f t="shared" si="6"/>
        <v>0</v>
      </c>
      <c r="AC32" s="69"/>
      <c r="AD32" s="70"/>
      <c r="AE32" s="70"/>
      <c r="AF32" s="62">
        <f t="shared" si="7"/>
        <v>0</v>
      </c>
      <c r="AG32" s="63">
        <f t="shared" si="8"/>
        <v>0</v>
      </c>
      <c r="AH32" s="89"/>
      <c r="AI32" s="66"/>
      <c r="AJ32" s="66"/>
      <c r="AK32" s="62">
        <f t="shared" si="9"/>
        <v>0</v>
      </c>
      <c r="AL32" s="72">
        <f t="shared" si="10"/>
        <v>0</v>
      </c>
      <c r="AM32" s="73">
        <f t="shared" si="15"/>
        <v>0</v>
      </c>
      <c r="AN32" s="74">
        <f t="shared" si="19"/>
        <v>0</v>
      </c>
      <c r="AO32" s="74">
        <f t="shared" si="19"/>
        <v>0</v>
      </c>
      <c r="AP32" s="75" t="e">
        <f t="shared" si="16"/>
        <v>#DIV/0!</v>
      </c>
      <c r="AQ32" s="76">
        <f t="shared" si="12"/>
        <v>0</v>
      </c>
      <c r="AR32" s="77">
        <f t="shared" si="17"/>
        <v>0</v>
      </c>
    </row>
    <row r="33" spans="1:44" x14ac:dyDescent="0.25">
      <c r="A33" t="str">
        <f t="shared" si="14"/>
        <v>46188E</v>
      </c>
      <c r="B33" s="51">
        <f t="shared" si="18"/>
        <v>46188</v>
      </c>
      <c r="C33" s="52" t="s">
        <v>88</v>
      </c>
      <c r="D33" s="91"/>
      <c r="E33" s="62"/>
      <c r="F33" s="62"/>
      <c r="G33" s="62">
        <f t="shared" si="0"/>
        <v>0</v>
      </c>
      <c r="H33" s="63">
        <f t="shared" si="1"/>
        <v>0</v>
      </c>
      <c r="I33" s="119"/>
      <c r="J33" s="120"/>
      <c r="K33" s="121"/>
      <c r="L33" s="122"/>
      <c r="M33" s="58"/>
      <c r="N33" s="58"/>
      <c r="O33" s="59"/>
      <c r="P33" s="56"/>
      <c r="Q33" s="60"/>
      <c r="R33" s="61">
        <f t="shared" si="2"/>
        <v>0</v>
      </c>
      <c r="S33" s="62">
        <f t="shared" si="3"/>
        <v>0</v>
      </c>
      <c r="T33" s="63">
        <f t="shared" si="4"/>
        <v>0</v>
      </c>
      <c r="U33" s="64"/>
      <c r="V33" s="65"/>
      <c r="W33" s="66"/>
      <c r="X33" s="67"/>
      <c r="Y33" s="68"/>
      <c r="Z33" s="68"/>
      <c r="AA33" s="62">
        <f t="shared" si="5"/>
        <v>0</v>
      </c>
      <c r="AB33" s="63">
        <f t="shared" si="6"/>
        <v>0</v>
      </c>
      <c r="AC33" s="69"/>
      <c r="AD33" s="70"/>
      <c r="AE33" s="70"/>
      <c r="AF33" s="62">
        <f t="shared" si="7"/>
        <v>0</v>
      </c>
      <c r="AG33" s="63">
        <f t="shared" si="8"/>
        <v>0</v>
      </c>
      <c r="AH33" s="89"/>
      <c r="AI33" s="66"/>
      <c r="AJ33" s="66"/>
      <c r="AK33" s="62">
        <f t="shared" si="9"/>
        <v>0</v>
      </c>
      <c r="AL33" s="72">
        <f t="shared" si="10"/>
        <v>0</v>
      </c>
      <c r="AM33" s="73">
        <f t="shared" si="15"/>
        <v>0</v>
      </c>
      <c r="AN33" s="74">
        <f t="shared" si="19"/>
        <v>0</v>
      </c>
      <c r="AO33" s="74">
        <f t="shared" si="19"/>
        <v>0</v>
      </c>
      <c r="AP33" s="75" t="e">
        <f t="shared" si="16"/>
        <v>#DIV/0!</v>
      </c>
      <c r="AQ33" s="76">
        <f t="shared" si="12"/>
        <v>0</v>
      </c>
      <c r="AR33" s="77">
        <f t="shared" si="17"/>
        <v>0</v>
      </c>
    </row>
    <row r="34" spans="1:44" x14ac:dyDescent="0.25">
      <c r="A34" t="str">
        <f t="shared" si="14"/>
        <v>46189M</v>
      </c>
      <c r="B34" s="51">
        <f t="shared" si="18"/>
        <v>46189</v>
      </c>
      <c r="C34" s="52" t="s">
        <v>87</v>
      </c>
      <c r="D34" s="91"/>
      <c r="E34" s="62"/>
      <c r="F34" s="62"/>
      <c r="G34" s="62">
        <f t="shared" si="0"/>
        <v>0</v>
      </c>
      <c r="H34" s="63">
        <f t="shared" si="1"/>
        <v>0</v>
      </c>
      <c r="I34" s="119"/>
      <c r="J34" s="120"/>
      <c r="K34" s="121"/>
      <c r="L34" s="122"/>
      <c r="M34" s="58"/>
      <c r="N34" s="58"/>
      <c r="O34" s="59"/>
      <c r="P34" s="56"/>
      <c r="Q34" s="60"/>
      <c r="R34" s="61">
        <f t="shared" si="2"/>
        <v>0</v>
      </c>
      <c r="S34" s="62">
        <f t="shared" si="3"/>
        <v>0</v>
      </c>
      <c r="T34" s="63">
        <f t="shared" si="4"/>
        <v>0</v>
      </c>
      <c r="U34" s="64"/>
      <c r="V34" s="65"/>
      <c r="W34" s="66"/>
      <c r="X34" s="67"/>
      <c r="Y34" s="68"/>
      <c r="Z34" s="68"/>
      <c r="AA34" s="62">
        <f t="shared" ref="AA34:AA65" si="20">X34*Y34%</f>
        <v>0</v>
      </c>
      <c r="AB34" s="63">
        <f t="shared" ref="AB34:AB65" si="21">X34*Z34%</f>
        <v>0</v>
      </c>
      <c r="AC34" s="69"/>
      <c r="AD34" s="70"/>
      <c r="AE34" s="70"/>
      <c r="AF34" s="62">
        <f t="shared" si="7"/>
        <v>0</v>
      </c>
      <c r="AG34" s="63">
        <f t="shared" si="8"/>
        <v>0</v>
      </c>
      <c r="AH34" s="89"/>
      <c r="AI34" s="66"/>
      <c r="AJ34" s="66"/>
      <c r="AK34" s="62">
        <f t="shared" si="9"/>
        <v>0</v>
      </c>
      <c r="AL34" s="72">
        <f t="shared" si="10"/>
        <v>0</v>
      </c>
      <c r="AM34" s="73">
        <f t="shared" si="15"/>
        <v>0</v>
      </c>
      <c r="AN34" s="74">
        <f t="shared" si="19"/>
        <v>0</v>
      </c>
      <c r="AO34" s="74">
        <f t="shared" si="19"/>
        <v>0</v>
      </c>
      <c r="AP34" s="75" t="e">
        <f t="shared" si="16"/>
        <v>#DIV/0!</v>
      </c>
      <c r="AQ34" s="76">
        <f t="shared" si="12"/>
        <v>0</v>
      </c>
      <c r="AR34" s="77">
        <f t="shared" si="17"/>
        <v>0</v>
      </c>
    </row>
    <row r="35" spans="1:44" x14ac:dyDescent="0.25">
      <c r="A35" t="str">
        <f t="shared" si="14"/>
        <v>46189E</v>
      </c>
      <c r="B35" s="51">
        <f t="shared" si="18"/>
        <v>46189</v>
      </c>
      <c r="C35" s="52" t="s">
        <v>88</v>
      </c>
      <c r="D35" s="91"/>
      <c r="E35" s="62"/>
      <c r="F35" s="62"/>
      <c r="G35" s="62">
        <f t="shared" si="0"/>
        <v>0</v>
      </c>
      <c r="H35" s="63">
        <f t="shared" si="1"/>
        <v>0</v>
      </c>
      <c r="I35" s="119"/>
      <c r="J35" s="120"/>
      <c r="K35" s="121"/>
      <c r="L35" s="122"/>
      <c r="M35" s="58"/>
      <c r="N35" s="58"/>
      <c r="O35" s="59"/>
      <c r="P35" s="56"/>
      <c r="Q35" s="60"/>
      <c r="R35" s="61">
        <f t="shared" si="2"/>
        <v>0</v>
      </c>
      <c r="S35" s="62">
        <f t="shared" si="3"/>
        <v>0</v>
      </c>
      <c r="T35" s="63">
        <f t="shared" si="4"/>
        <v>0</v>
      </c>
      <c r="U35" s="64"/>
      <c r="V35" s="65"/>
      <c r="W35" s="66"/>
      <c r="X35" s="67"/>
      <c r="Y35" s="68"/>
      <c r="Z35" s="68"/>
      <c r="AA35" s="62">
        <f t="shared" si="20"/>
        <v>0</v>
      </c>
      <c r="AB35" s="63">
        <f t="shared" si="21"/>
        <v>0</v>
      </c>
      <c r="AC35" s="69"/>
      <c r="AD35" s="70"/>
      <c r="AE35" s="70"/>
      <c r="AF35" s="62">
        <f t="shared" si="7"/>
        <v>0</v>
      </c>
      <c r="AG35" s="63">
        <f t="shared" si="8"/>
        <v>0</v>
      </c>
      <c r="AH35" s="89"/>
      <c r="AI35" s="66"/>
      <c r="AJ35" s="66"/>
      <c r="AK35" s="62">
        <f t="shared" si="9"/>
        <v>0</v>
      </c>
      <c r="AL35" s="72">
        <f t="shared" si="10"/>
        <v>0</v>
      </c>
      <c r="AM35" s="73">
        <f t="shared" si="15"/>
        <v>0</v>
      </c>
      <c r="AN35" s="74">
        <f t="shared" si="19"/>
        <v>0</v>
      </c>
      <c r="AO35" s="74">
        <f t="shared" si="19"/>
        <v>0</v>
      </c>
      <c r="AP35" s="75" t="e">
        <f t="shared" si="16"/>
        <v>#DIV/0!</v>
      </c>
      <c r="AQ35" s="76">
        <f t="shared" si="12"/>
        <v>0</v>
      </c>
      <c r="AR35" s="77">
        <f t="shared" si="17"/>
        <v>0</v>
      </c>
    </row>
    <row r="36" spans="1:44" x14ac:dyDescent="0.25">
      <c r="A36" t="str">
        <f t="shared" si="14"/>
        <v>46190M</v>
      </c>
      <c r="B36" s="51">
        <f t="shared" si="18"/>
        <v>46190</v>
      </c>
      <c r="C36" s="52" t="s">
        <v>87</v>
      </c>
      <c r="D36" s="91"/>
      <c r="E36" s="62"/>
      <c r="F36" s="62"/>
      <c r="G36" s="62">
        <f t="shared" si="0"/>
        <v>0</v>
      </c>
      <c r="H36" s="63">
        <f t="shared" si="1"/>
        <v>0</v>
      </c>
      <c r="I36" s="119"/>
      <c r="J36" s="120"/>
      <c r="K36" s="121"/>
      <c r="L36" s="122"/>
      <c r="M36" s="58"/>
      <c r="N36" s="58"/>
      <c r="O36" s="59"/>
      <c r="P36" s="56"/>
      <c r="Q36" s="60"/>
      <c r="R36" s="61">
        <f t="shared" si="2"/>
        <v>0</v>
      </c>
      <c r="S36" s="62">
        <f t="shared" si="3"/>
        <v>0</v>
      </c>
      <c r="T36" s="63">
        <f t="shared" si="4"/>
        <v>0</v>
      </c>
      <c r="U36" s="64"/>
      <c r="V36" s="85"/>
      <c r="W36" s="66"/>
      <c r="X36" s="67"/>
      <c r="Y36" s="68"/>
      <c r="Z36" s="68"/>
      <c r="AA36" s="62">
        <f t="shared" si="20"/>
        <v>0</v>
      </c>
      <c r="AB36" s="63">
        <f t="shared" si="21"/>
        <v>0</v>
      </c>
      <c r="AC36" s="69"/>
      <c r="AD36" s="70"/>
      <c r="AE36" s="70"/>
      <c r="AF36" s="62">
        <f t="shared" si="7"/>
        <v>0</v>
      </c>
      <c r="AG36" s="63">
        <f t="shared" si="8"/>
        <v>0</v>
      </c>
      <c r="AH36" s="89"/>
      <c r="AI36" s="66"/>
      <c r="AJ36" s="66"/>
      <c r="AK36" s="62">
        <f t="shared" si="9"/>
        <v>0</v>
      </c>
      <c r="AL36" s="72">
        <f t="shared" si="10"/>
        <v>0</v>
      </c>
      <c r="AM36" s="73">
        <f t="shared" si="15"/>
        <v>0</v>
      </c>
      <c r="AN36" s="74">
        <f t="shared" si="19"/>
        <v>0</v>
      </c>
      <c r="AO36" s="74">
        <f t="shared" si="19"/>
        <v>0</v>
      </c>
      <c r="AP36" s="75" t="e">
        <f t="shared" si="16"/>
        <v>#DIV/0!</v>
      </c>
      <c r="AQ36" s="76">
        <f t="shared" si="12"/>
        <v>0</v>
      </c>
      <c r="AR36" s="77">
        <f t="shared" si="17"/>
        <v>0</v>
      </c>
    </row>
    <row r="37" spans="1:44" x14ac:dyDescent="0.25">
      <c r="A37" t="str">
        <f t="shared" si="14"/>
        <v>46190E</v>
      </c>
      <c r="B37" s="51">
        <f t="shared" si="18"/>
        <v>46190</v>
      </c>
      <c r="C37" s="52" t="s">
        <v>88</v>
      </c>
      <c r="D37" s="91"/>
      <c r="E37" s="62"/>
      <c r="F37" s="62"/>
      <c r="G37" s="62">
        <f t="shared" si="0"/>
        <v>0</v>
      </c>
      <c r="H37" s="63">
        <f t="shared" si="1"/>
        <v>0</v>
      </c>
      <c r="I37" s="119"/>
      <c r="J37" s="120"/>
      <c r="K37" s="121"/>
      <c r="L37" s="122"/>
      <c r="M37" s="58"/>
      <c r="N37" s="58"/>
      <c r="O37" s="59"/>
      <c r="P37" s="56"/>
      <c r="Q37" s="60"/>
      <c r="R37" s="61">
        <f t="shared" si="2"/>
        <v>0</v>
      </c>
      <c r="S37" s="62">
        <f t="shared" si="3"/>
        <v>0</v>
      </c>
      <c r="T37" s="63">
        <f t="shared" si="4"/>
        <v>0</v>
      </c>
      <c r="U37" s="64"/>
      <c r="V37" s="65"/>
      <c r="W37" s="66"/>
      <c r="X37" s="67"/>
      <c r="Y37" s="68"/>
      <c r="Z37" s="68"/>
      <c r="AA37" s="62">
        <f t="shared" si="20"/>
        <v>0</v>
      </c>
      <c r="AB37" s="63">
        <f t="shared" si="21"/>
        <v>0</v>
      </c>
      <c r="AC37" s="69"/>
      <c r="AD37" s="70"/>
      <c r="AE37" s="70"/>
      <c r="AF37" s="62">
        <f t="shared" si="7"/>
        <v>0</v>
      </c>
      <c r="AG37" s="63">
        <f t="shared" si="8"/>
        <v>0</v>
      </c>
      <c r="AH37" s="89"/>
      <c r="AI37" s="66"/>
      <c r="AJ37" s="66"/>
      <c r="AK37" s="62">
        <f t="shared" si="9"/>
        <v>0</v>
      </c>
      <c r="AL37" s="72">
        <f t="shared" si="10"/>
        <v>0</v>
      </c>
      <c r="AM37" s="73">
        <f t="shared" si="15"/>
        <v>0</v>
      </c>
      <c r="AN37" s="74">
        <f t="shared" si="19"/>
        <v>0</v>
      </c>
      <c r="AO37" s="74">
        <f t="shared" si="19"/>
        <v>0</v>
      </c>
      <c r="AP37" s="75" t="e">
        <f t="shared" si="16"/>
        <v>#DIV/0!</v>
      </c>
      <c r="AQ37" s="76">
        <f t="shared" si="12"/>
        <v>0</v>
      </c>
      <c r="AR37" s="77">
        <f t="shared" si="17"/>
        <v>0</v>
      </c>
    </row>
    <row r="38" spans="1:44" x14ac:dyDescent="0.25">
      <c r="A38" t="str">
        <f t="shared" si="14"/>
        <v>46191M</v>
      </c>
      <c r="B38" s="51">
        <f t="shared" si="18"/>
        <v>46191</v>
      </c>
      <c r="C38" s="52" t="s">
        <v>87</v>
      </c>
      <c r="D38" s="91"/>
      <c r="E38" s="62"/>
      <c r="F38" s="62"/>
      <c r="G38" s="62">
        <f t="shared" si="0"/>
        <v>0</v>
      </c>
      <c r="H38" s="63">
        <f t="shared" si="1"/>
        <v>0</v>
      </c>
      <c r="I38" s="119"/>
      <c r="J38" s="120"/>
      <c r="K38" s="121"/>
      <c r="L38" s="122"/>
      <c r="M38" s="58"/>
      <c r="N38" s="58"/>
      <c r="O38" s="59"/>
      <c r="P38" s="56"/>
      <c r="Q38" s="60"/>
      <c r="R38" s="61">
        <f t="shared" si="2"/>
        <v>0</v>
      </c>
      <c r="S38" s="62">
        <f t="shared" si="3"/>
        <v>0</v>
      </c>
      <c r="T38" s="63">
        <f t="shared" si="4"/>
        <v>0</v>
      </c>
      <c r="U38" s="64"/>
      <c r="V38" s="65"/>
      <c r="W38" s="66"/>
      <c r="X38" s="67"/>
      <c r="Y38" s="68"/>
      <c r="Z38" s="68"/>
      <c r="AA38" s="62">
        <f t="shared" si="20"/>
        <v>0</v>
      </c>
      <c r="AB38" s="63">
        <f t="shared" si="21"/>
        <v>0</v>
      </c>
      <c r="AC38" s="69"/>
      <c r="AD38" s="70"/>
      <c r="AE38" s="70"/>
      <c r="AF38" s="62">
        <f t="shared" si="7"/>
        <v>0</v>
      </c>
      <c r="AG38" s="63">
        <f t="shared" si="8"/>
        <v>0</v>
      </c>
      <c r="AH38" s="89"/>
      <c r="AI38" s="66"/>
      <c r="AJ38" s="66"/>
      <c r="AK38" s="62">
        <f t="shared" si="9"/>
        <v>0</v>
      </c>
      <c r="AL38" s="72">
        <f t="shared" si="10"/>
        <v>0</v>
      </c>
      <c r="AM38" s="73">
        <f t="shared" si="15"/>
        <v>0</v>
      </c>
      <c r="AN38" s="74">
        <f t="shared" si="19"/>
        <v>0</v>
      </c>
      <c r="AO38" s="74">
        <f t="shared" si="19"/>
        <v>0</v>
      </c>
      <c r="AP38" s="75" t="e">
        <f t="shared" si="16"/>
        <v>#DIV/0!</v>
      </c>
      <c r="AQ38" s="76">
        <f t="shared" si="12"/>
        <v>0</v>
      </c>
      <c r="AR38" s="77">
        <f t="shared" si="17"/>
        <v>0</v>
      </c>
    </row>
    <row r="39" spans="1:44" x14ac:dyDescent="0.25">
      <c r="A39" t="str">
        <f t="shared" si="14"/>
        <v>46191E</v>
      </c>
      <c r="B39" s="51">
        <f t="shared" si="18"/>
        <v>46191</v>
      </c>
      <c r="C39" s="52" t="s">
        <v>88</v>
      </c>
      <c r="D39" s="91"/>
      <c r="E39" s="62"/>
      <c r="F39" s="62"/>
      <c r="G39" s="62">
        <f t="shared" si="0"/>
        <v>0</v>
      </c>
      <c r="H39" s="63">
        <f t="shared" si="1"/>
        <v>0</v>
      </c>
      <c r="I39" s="119"/>
      <c r="J39" s="120"/>
      <c r="K39" s="121"/>
      <c r="L39" s="122"/>
      <c r="M39" s="58"/>
      <c r="N39" s="58"/>
      <c r="O39" s="59"/>
      <c r="P39" s="56"/>
      <c r="Q39" s="60"/>
      <c r="R39" s="61">
        <f t="shared" si="2"/>
        <v>0</v>
      </c>
      <c r="S39" s="62">
        <f t="shared" si="3"/>
        <v>0</v>
      </c>
      <c r="T39" s="63">
        <f t="shared" si="4"/>
        <v>0</v>
      </c>
      <c r="U39" s="64"/>
      <c r="V39" s="65"/>
      <c r="W39" s="66"/>
      <c r="X39" s="67"/>
      <c r="Y39" s="68"/>
      <c r="Z39" s="68"/>
      <c r="AA39" s="62">
        <f t="shared" si="20"/>
        <v>0</v>
      </c>
      <c r="AB39" s="63">
        <f t="shared" si="21"/>
        <v>0</v>
      </c>
      <c r="AC39" s="69"/>
      <c r="AD39" s="70"/>
      <c r="AE39" s="70"/>
      <c r="AF39" s="62">
        <f t="shared" si="7"/>
        <v>0</v>
      </c>
      <c r="AG39" s="63">
        <f t="shared" si="8"/>
        <v>0</v>
      </c>
      <c r="AH39" s="89"/>
      <c r="AI39" s="66"/>
      <c r="AJ39" s="66"/>
      <c r="AK39" s="62">
        <f t="shared" si="9"/>
        <v>0</v>
      </c>
      <c r="AL39" s="72">
        <f t="shared" si="10"/>
        <v>0</v>
      </c>
      <c r="AM39" s="73">
        <f t="shared" si="15"/>
        <v>0</v>
      </c>
      <c r="AN39" s="74">
        <f t="shared" si="19"/>
        <v>0</v>
      </c>
      <c r="AO39" s="74">
        <f t="shared" si="19"/>
        <v>0</v>
      </c>
      <c r="AP39" s="75" t="e">
        <f t="shared" si="16"/>
        <v>#DIV/0!</v>
      </c>
      <c r="AQ39" s="76">
        <f t="shared" si="12"/>
        <v>0</v>
      </c>
      <c r="AR39" s="77">
        <f t="shared" si="17"/>
        <v>0</v>
      </c>
    </row>
    <row r="40" spans="1:44" x14ac:dyDescent="0.25">
      <c r="A40" t="str">
        <f t="shared" si="14"/>
        <v>46192M</v>
      </c>
      <c r="B40" s="51">
        <f t="shared" si="18"/>
        <v>46192</v>
      </c>
      <c r="C40" s="52" t="s">
        <v>87</v>
      </c>
      <c r="D40" s="91"/>
      <c r="E40" s="62"/>
      <c r="F40" s="62"/>
      <c r="G40" s="62">
        <f t="shared" si="0"/>
        <v>0</v>
      </c>
      <c r="H40" s="63">
        <f t="shared" si="1"/>
        <v>0</v>
      </c>
      <c r="I40" s="119"/>
      <c r="J40" s="120"/>
      <c r="K40" s="121"/>
      <c r="L40" s="122"/>
      <c r="M40" s="58"/>
      <c r="N40" s="58"/>
      <c r="O40" s="59"/>
      <c r="P40" s="56"/>
      <c r="Q40" s="60"/>
      <c r="R40" s="61">
        <f t="shared" si="2"/>
        <v>0</v>
      </c>
      <c r="S40" s="62">
        <f t="shared" si="3"/>
        <v>0</v>
      </c>
      <c r="T40" s="63">
        <f t="shared" si="4"/>
        <v>0</v>
      </c>
      <c r="U40" s="64"/>
      <c r="V40" s="65"/>
      <c r="W40" s="66"/>
      <c r="X40" s="67"/>
      <c r="Y40" s="68"/>
      <c r="Z40" s="68"/>
      <c r="AA40" s="62">
        <f t="shared" si="20"/>
        <v>0</v>
      </c>
      <c r="AB40" s="63">
        <f t="shared" si="21"/>
        <v>0</v>
      </c>
      <c r="AC40" s="69"/>
      <c r="AD40" s="70"/>
      <c r="AE40" s="70"/>
      <c r="AF40" s="62">
        <f t="shared" si="7"/>
        <v>0</v>
      </c>
      <c r="AG40" s="63">
        <f t="shared" si="8"/>
        <v>0</v>
      </c>
      <c r="AH40" s="89"/>
      <c r="AI40" s="66"/>
      <c r="AJ40" s="66"/>
      <c r="AK40" s="62">
        <f t="shared" si="9"/>
        <v>0</v>
      </c>
      <c r="AL40" s="72">
        <f t="shared" si="10"/>
        <v>0</v>
      </c>
      <c r="AM40" s="73">
        <f t="shared" si="15"/>
        <v>0</v>
      </c>
      <c r="AN40" s="74">
        <f t="shared" si="19"/>
        <v>0</v>
      </c>
      <c r="AO40" s="74">
        <f t="shared" si="19"/>
        <v>0</v>
      </c>
      <c r="AP40" s="75" t="e">
        <f t="shared" si="16"/>
        <v>#DIV/0!</v>
      </c>
      <c r="AQ40" s="76">
        <f t="shared" si="12"/>
        <v>0</v>
      </c>
      <c r="AR40" s="77">
        <f t="shared" si="17"/>
        <v>0</v>
      </c>
    </row>
    <row r="41" spans="1:44" x14ac:dyDescent="0.25">
      <c r="A41" t="str">
        <f t="shared" si="14"/>
        <v>46192E</v>
      </c>
      <c r="B41" s="51">
        <f t="shared" si="18"/>
        <v>46192</v>
      </c>
      <c r="C41" s="52" t="s">
        <v>88</v>
      </c>
      <c r="D41" s="91"/>
      <c r="E41" s="62"/>
      <c r="F41" s="62"/>
      <c r="G41" s="62">
        <f t="shared" si="0"/>
        <v>0</v>
      </c>
      <c r="H41" s="63">
        <f t="shared" si="1"/>
        <v>0</v>
      </c>
      <c r="I41" s="119"/>
      <c r="J41" s="120"/>
      <c r="K41" s="121"/>
      <c r="L41" s="122"/>
      <c r="M41" s="58"/>
      <c r="N41" s="58"/>
      <c r="O41" s="59"/>
      <c r="P41" s="56"/>
      <c r="Q41" s="60"/>
      <c r="R41" s="61">
        <f t="shared" si="2"/>
        <v>0</v>
      </c>
      <c r="S41" s="62">
        <f t="shared" si="3"/>
        <v>0</v>
      </c>
      <c r="T41" s="63">
        <f t="shared" si="4"/>
        <v>0</v>
      </c>
      <c r="U41" s="64"/>
      <c r="V41" s="65"/>
      <c r="W41" s="66"/>
      <c r="X41" s="67"/>
      <c r="Y41" s="68"/>
      <c r="Z41" s="68"/>
      <c r="AA41" s="62">
        <f t="shared" si="20"/>
        <v>0</v>
      </c>
      <c r="AB41" s="63">
        <f t="shared" si="21"/>
        <v>0</v>
      </c>
      <c r="AC41" s="69"/>
      <c r="AD41" s="70"/>
      <c r="AE41" s="70"/>
      <c r="AF41" s="62">
        <f t="shared" si="7"/>
        <v>0</v>
      </c>
      <c r="AG41" s="63">
        <f t="shared" si="8"/>
        <v>0</v>
      </c>
      <c r="AH41" s="89"/>
      <c r="AI41" s="66"/>
      <c r="AJ41" s="66"/>
      <c r="AK41" s="62">
        <f t="shared" si="9"/>
        <v>0</v>
      </c>
      <c r="AL41" s="72">
        <f t="shared" si="10"/>
        <v>0</v>
      </c>
      <c r="AM41" s="73">
        <f t="shared" si="15"/>
        <v>0</v>
      </c>
      <c r="AN41" s="74">
        <f t="shared" si="19"/>
        <v>0</v>
      </c>
      <c r="AO41" s="74">
        <f t="shared" si="19"/>
        <v>0</v>
      </c>
      <c r="AP41" s="75" t="e">
        <f t="shared" si="16"/>
        <v>#DIV/0!</v>
      </c>
      <c r="AQ41" s="76">
        <f t="shared" si="12"/>
        <v>0</v>
      </c>
      <c r="AR41" s="77">
        <f t="shared" si="17"/>
        <v>0</v>
      </c>
    </row>
    <row r="42" spans="1:44" x14ac:dyDescent="0.25">
      <c r="A42" t="str">
        <f t="shared" si="14"/>
        <v>46193M</v>
      </c>
      <c r="B42" s="51">
        <f t="shared" si="18"/>
        <v>46193</v>
      </c>
      <c r="C42" s="52" t="s">
        <v>87</v>
      </c>
      <c r="D42" s="91"/>
      <c r="E42" s="62"/>
      <c r="F42" s="62"/>
      <c r="G42" s="62">
        <f t="shared" si="0"/>
        <v>0</v>
      </c>
      <c r="H42" s="63">
        <f t="shared" si="1"/>
        <v>0</v>
      </c>
      <c r="I42" s="119"/>
      <c r="J42" s="120"/>
      <c r="K42" s="121"/>
      <c r="L42" s="122"/>
      <c r="M42" s="58"/>
      <c r="N42" s="58"/>
      <c r="O42" s="59"/>
      <c r="P42" s="56"/>
      <c r="Q42" s="60"/>
      <c r="R42" s="61">
        <f t="shared" si="2"/>
        <v>0</v>
      </c>
      <c r="S42" s="62">
        <f t="shared" si="3"/>
        <v>0</v>
      </c>
      <c r="T42" s="63">
        <f t="shared" si="4"/>
        <v>0</v>
      </c>
      <c r="U42" s="64"/>
      <c r="V42" s="65"/>
      <c r="W42" s="66"/>
      <c r="X42" s="67"/>
      <c r="Y42" s="68"/>
      <c r="Z42" s="68"/>
      <c r="AA42" s="62">
        <f t="shared" si="20"/>
        <v>0</v>
      </c>
      <c r="AB42" s="63">
        <f t="shared" si="21"/>
        <v>0</v>
      </c>
      <c r="AC42" s="69"/>
      <c r="AD42" s="70"/>
      <c r="AE42" s="70"/>
      <c r="AF42" s="62">
        <f t="shared" si="7"/>
        <v>0</v>
      </c>
      <c r="AG42" s="63">
        <f t="shared" si="8"/>
        <v>0</v>
      </c>
      <c r="AH42" s="89"/>
      <c r="AI42" s="66"/>
      <c r="AJ42" s="66"/>
      <c r="AK42" s="62">
        <f t="shared" si="9"/>
        <v>0</v>
      </c>
      <c r="AL42" s="72">
        <f t="shared" si="10"/>
        <v>0</v>
      </c>
      <c r="AM42" s="73">
        <f t="shared" si="15"/>
        <v>0</v>
      </c>
      <c r="AN42" s="74">
        <f t="shared" si="19"/>
        <v>0</v>
      </c>
      <c r="AO42" s="74">
        <f t="shared" si="19"/>
        <v>0</v>
      </c>
      <c r="AP42" s="75" t="e">
        <f t="shared" si="16"/>
        <v>#DIV/0!</v>
      </c>
      <c r="AQ42" s="76">
        <f t="shared" si="12"/>
        <v>0</v>
      </c>
      <c r="AR42" s="77">
        <f t="shared" si="17"/>
        <v>0</v>
      </c>
    </row>
    <row r="43" spans="1:44" x14ac:dyDescent="0.25">
      <c r="A43" t="str">
        <f t="shared" si="14"/>
        <v>46193E</v>
      </c>
      <c r="B43" s="51">
        <f t="shared" si="18"/>
        <v>46193</v>
      </c>
      <c r="C43" s="52" t="s">
        <v>88</v>
      </c>
      <c r="D43" s="91"/>
      <c r="E43" s="62"/>
      <c r="F43" s="62"/>
      <c r="G43" s="62">
        <f t="shared" si="0"/>
        <v>0</v>
      </c>
      <c r="H43" s="63">
        <f t="shared" si="1"/>
        <v>0</v>
      </c>
      <c r="I43" s="119"/>
      <c r="J43" s="120"/>
      <c r="K43" s="121"/>
      <c r="L43" s="122"/>
      <c r="M43" s="58"/>
      <c r="N43" s="58"/>
      <c r="O43" s="59"/>
      <c r="P43" s="56"/>
      <c r="Q43" s="60"/>
      <c r="R43" s="61">
        <f t="shared" si="2"/>
        <v>0</v>
      </c>
      <c r="S43" s="62">
        <f t="shared" si="3"/>
        <v>0</v>
      </c>
      <c r="T43" s="63">
        <f t="shared" si="4"/>
        <v>0</v>
      </c>
      <c r="U43" s="64"/>
      <c r="V43" s="65"/>
      <c r="W43" s="66"/>
      <c r="X43" s="67"/>
      <c r="Y43" s="68"/>
      <c r="Z43" s="68"/>
      <c r="AA43" s="62">
        <f t="shared" si="20"/>
        <v>0</v>
      </c>
      <c r="AB43" s="63">
        <f t="shared" si="21"/>
        <v>0</v>
      </c>
      <c r="AC43" s="69"/>
      <c r="AD43" s="70"/>
      <c r="AE43" s="70"/>
      <c r="AF43" s="62">
        <f t="shared" si="7"/>
        <v>0</v>
      </c>
      <c r="AG43" s="63">
        <f t="shared" si="8"/>
        <v>0</v>
      </c>
      <c r="AH43" s="89"/>
      <c r="AI43" s="66"/>
      <c r="AJ43" s="66"/>
      <c r="AK43" s="62">
        <f t="shared" si="9"/>
        <v>0</v>
      </c>
      <c r="AL43" s="72">
        <f t="shared" si="10"/>
        <v>0</v>
      </c>
      <c r="AM43" s="73">
        <f t="shared" si="15"/>
        <v>0</v>
      </c>
      <c r="AN43" s="74">
        <f t="shared" si="19"/>
        <v>0</v>
      </c>
      <c r="AO43" s="74">
        <f t="shared" si="19"/>
        <v>0</v>
      </c>
      <c r="AP43" s="75" t="e">
        <f t="shared" si="16"/>
        <v>#DIV/0!</v>
      </c>
      <c r="AQ43" s="76">
        <f t="shared" si="12"/>
        <v>0</v>
      </c>
      <c r="AR43" s="77">
        <f t="shared" si="17"/>
        <v>0</v>
      </c>
    </row>
    <row r="44" spans="1:44" x14ac:dyDescent="0.25">
      <c r="A44" t="str">
        <f t="shared" si="14"/>
        <v>46194M</v>
      </c>
      <c r="B44" s="51">
        <f t="shared" si="18"/>
        <v>46194</v>
      </c>
      <c r="C44" s="52" t="s">
        <v>87</v>
      </c>
      <c r="D44" s="91"/>
      <c r="E44" s="62"/>
      <c r="F44" s="62"/>
      <c r="G44" s="62">
        <f t="shared" si="0"/>
        <v>0</v>
      </c>
      <c r="H44" s="63">
        <f t="shared" si="1"/>
        <v>0</v>
      </c>
      <c r="I44" s="119"/>
      <c r="J44" s="120"/>
      <c r="K44" s="121"/>
      <c r="L44" s="122"/>
      <c r="M44" s="58"/>
      <c r="N44" s="58"/>
      <c r="O44" s="59"/>
      <c r="P44" s="56"/>
      <c r="Q44" s="60"/>
      <c r="R44" s="61">
        <f t="shared" si="2"/>
        <v>0</v>
      </c>
      <c r="S44" s="62">
        <f t="shared" si="3"/>
        <v>0</v>
      </c>
      <c r="T44" s="63">
        <f t="shared" si="4"/>
        <v>0</v>
      </c>
      <c r="U44" s="64"/>
      <c r="V44" s="65"/>
      <c r="W44" s="66"/>
      <c r="X44" s="67"/>
      <c r="Y44" s="68"/>
      <c r="Z44" s="68"/>
      <c r="AA44" s="62">
        <f t="shared" si="20"/>
        <v>0</v>
      </c>
      <c r="AB44" s="63">
        <f t="shared" si="21"/>
        <v>0</v>
      </c>
      <c r="AC44" s="69"/>
      <c r="AD44" s="70"/>
      <c r="AE44" s="70"/>
      <c r="AF44" s="62">
        <f t="shared" si="7"/>
        <v>0</v>
      </c>
      <c r="AG44" s="63">
        <f t="shared" si="8"/>
        <v>0</v>
      </c>
      <c r="AH44" s="89"/>
      <c r="AI44" s="66"/>
      <c r="AJ44" s="66"/>
      <c r="AK44" s="62">
        <f t="shared" si="9"/>
        <v>0</v>
      </c>
      <c r="AL44" s="72">
        <f t="shared" si="10"/>
        <v>0</v>
      </c>
      <c r="AM44" s="73">
        <f t="shared" si="15"/>
        <v>0</v>
      </c>
      <c r="AN44" s="74">
        <f t="shared" si="19"/>
        <v>0</v>
      </c>
      <c r="AO44" s="74">
        <f t="shared" si="19"/>
        <v>0</v>
      </c>
      <c r="AP44" s="75" t="e">
        <f t="shared" si="16"/>
        <v>#DIV/0!</v>
      </c>
      <c r="AQ44" s="76">
        <f t="shared" si="12"/>
        <v>0</v>
      </c>
      <c r="AR44" s="77">
        <f t="shared" si="17"/>
        <v>0</v>
      </c>
    </row>
    <row r="45" spans="1:44" x14ac:dyDescent="0.25">
      <c r="A45" t="str">
        <f t="shared" si="14"/>
        <v>46194E</v>
      </c>
      <c r="B45" s="51">
        <f t="shared" si="18"/>
        <v>46194</v>
      </c>
      <c r="C45" s="52" t="s">
        <v>88</v>
      </c>
      <c r="D45" s="91"/>
      <c r="E45" s="62"/>
      <c r="F45" s="62"/>
      <c r="G45" s="62">
        <f t="shared" si="0"/>
        <v>0</v>
      </c>
      <c r="H45" s="63">
        <f t="shared" si="1"/>
        <v>0</v>
      </c>
      <c r="I45" s="119"/>
      <c r="J45" s="120"/>
      <c r="K45" s="121"/>
      <c r="L45" s="122"/>
      <c r="M45" s="58"/>
      <c r="N45" s="58"/>
      <c r="O45" s="59"/>
      <c r="P45" s="56"/>
      <c r="Q45" s="60"/>
      <c r="R45" s="61">
        <f t="shared" si="2"/>
        <v>0</v>
      </c>
      <c r="S45" s="62">
        <f t="shared" si="3"/>
        <v>0</v>
      </c>
      <c r="T45" s="63">
        <f t="shared" si="4"/>
        <v>0</v>
      </c>
      <c r="U45" s="64"/>
      <c r="V45" s="65"/>
      <c r="W45" s="66"/>
      <c r="X45" s="67"/>
      <c r="Y45" s="68"/>
      <c r="Z45" s="68"/>
      <c r="AA45" s="62">
        <f t="shared" si="20"/>
        <v>0</v>
      </c>
      <c r="AB45" s="63">
        <f t="shared" si="21"/>
        <v>0</v>
      </c>
      <c r="AC45" s="69"/>
      <c r="AD45" s="70"/>
      <c r="AE45" s="70"/>
      <c r="AF45" s="62">
        <f t="shared" si="7"/>
        <v>0</v>
      </c>
      <c r="AG45" s="63">
        <f t="shared" si="8"/>
        <v>0</v>
      </c>
      <c r="AH45" s="89"/>
      <c r="AI45" s="66"/>
      <c r="AJ45" s="66"/>
      <c r="AK45" s="62">
        <f t="shared" si="9"/>
        <v>0</v>
      </c>
      <c r="AL45" s="72">
        <f t="shared" si="10"/>
        <v>0</v>
      </c>
      <c r="AM45" s="73">
        <f t="shared" si="15"/>
        <v>0</v>
      </c>
      <c r="AN45" s="74">
        <f t="shared" si="19"/>
        <v>0</v>
      </c>
      <c r="AO45" s="74">
        <f t="shared" si="19"/>
        <v>0</v>
      </c>
      <c r="AP45" s="75" t="e">
        <f t="shared" si="16"/>
        <v>#DIV/0!</v>
      </c>
      <c r="AQ45" s="76">
        <f t="shared" si="12"/>
        <v>0</v>
      </c>
      <c r="AR45" s="77">
        <f t="shared" si="17"/>
        <v>0</v>
      </c>
    </row>
    <row r="46" spans="1:44" x14ac:dyDescent="0.25">
      <c r="A46" t="str">
        <f t="shared" si="14"/>
        <v>46195M</v>
      </c>
      <c r="B46" s="51">
        <f t="shared" si="18"/>
        <v>46195</v>
      </c>
      <c r="C46" s="52" t="s">
        <v>87</v>
      </c>
      <c r="D46" s="91"/>
      <c r="E46" s="62"/>
      <c r="F46" s="62"/>
      <c r="G46" s="62">
        <f t="shared" si="0"/>
        <v>0</v>
      </c>
      <c r="H46" s="63">
        <f t="shared" si="1"/>
        <v>0</v>
      </c>
      <c r="I46" s="119"/>
      <c r="J46" s="120"/>
      <c r="K46" s="121"/>
      <c r="L46" s="122"/>
      <c r="M46" s="58"/>
      <c r="N46" s="58"/>
      <c r="O46" s="59"/>
      <c r="P46" s="56"/>
      <c r="Q46" s="60"/>
      <c r="R46" s="61">
        <f t="shared" si="2"/>
        <v>0</v>
      </c>
      <c r="S46" s="62">
        <f t="shared" si="3"/>
        <v>0</v>
      </c>
      <c r="T46" s="63">
        <f t="shared" si="4"/>
        <v>0</v>
      </c>
      <c r="U46" s="64"/>
      <c r="V46" s="65"/>
      <c r="W46" s="66"/>
      <c r="X46" s="67"/>
      <c r="Y46" s="68"/>
      <c r="Z46" s="68"/>
      <c r="AA46" s="62">
        <f t="shared" si="20"/>
        <v>0</v>
      </c>
      <c r="AB46" s="63">
        <f t="shared" si="21"/>
        <v>0</v>
      </c>
      <c r="AC46" s="69"/>
      <c r="AD46" s="70"/>
      <c r="AE46" s="70"/>
      <c r="AF46" s="62">
        <f t="shared" si="7"/>
        <v>0</v>
      </c>
      <c r="AG46" s="63">
        <f t="shared" si="8"/>
        <v>0</v>
      </c>
      <c r="AH46" s="89"/>
      <c r="AI46" s="66"/>
      <c r="AJ46" s="66"/>
      <c r="AK46" s="62">
        <f t="shared" si="9"/>
        <v>0</v>
      </c>
      <c r="AL46" s="72">
        <f t="shared" si="10"/>
        <v>0</v>
      </c>
      <c r="AM46" s="73">
        <f t="shared" si="15"/>
        <v>0</v>
      </c>
      <c r="AN46" s="74">
        <f t="shared" si="19"/>
        <v>0</v>
      </c>
      <c r="AO46" s="74">
        <f t="shared" si="19"/>
        <v>0</v>
      </c>
      <c r="AP46" s="75" t="e">
        <f t="shared" si="16"/>
        <v>#DIV/0!</v>
      </c>
      <c r="AQ46" s="76">
        <f t="shared" si="12"/>
        <v>0</v>
      </c>
      <c r="AR46" s="77">
        <f t="shared" si="17"/>
        <v>0</v>
      </c>
    </row>
    <row r="47" spans="1:44" x14ac:dyDescent="0.25">
      <c r="A47" t="str">
        <f t="shared" si="14"/>
        <v>46195E</v>
      </c>
      <c r="B47" s="51">
        <f t="shared" si="18"/>
        <v>46195</v>
      </c>
      <c r="C47" s="52" t="s">
        <v>88</v>
      </c>
      <c r="D47" s="91"/>
      <c r="E47" s="62"/>
      <c r="F47" s="62"/>
      <c r="G47" s="62">
        <f t="shared" si="0"/>
        <v>0</v>
      </c>
      <c r="H47" s="63">
        <f t="shared" si="1"/>
        <v>0</v>
      </c>
      <c r="I47" s="119"/>
      <c r="J47" s="120"/>
      <c r="K47" s="121"/>
      <c r="L47" s="122"/>
      <c r="M47" s="58"/>
      <c r="N47" s="58"/>
      <c r="O47" s="59"/>
      <c r="P47" s="56"/>
      <c r="Q47" s="60"/>
      <c r="R47" s="61">
        <f t="shared" si="2"/>
        <v>0</v>
      </c>
      <c r="S47" s="62">
        <f t="shared" si="3"/>
        <v>0</v>
      </c>
      <c r="T47" s="63">
        <f t="shared" si="4"/>
        <v>0</v>
      </c>
      <c r="U47" s="64"/>
      <c r="V47" s="65"/>
      <c r="W47" s="66"/>
      <c r="X47" s="67"/>
      <c r="Y47" s="68"/>
      <c r="Z47" s="68"/>
      <c r="AA47" s="62">
        <f t="shared" si="20"/>
        <v>0</v>
      </c>
      <c r="AB47" s="63">
        <f t="shared" si="21"/>
        <v>0</v>
      </c>
      <c r="AC47" s="69"/>
      <c r="AD47" s="70"/>
      <c r="AE47" s="70"/>
      <c r="AF47" s="62">
        <f t="shared" si="7"/>
        <v>0</v>
      </c>
      <c r="AG47" s="63">
        <f t="shared" si="8"/>
        <v>0</v>
      </c>
      <c r="AH47" s="89"/>
      <c r="AI47" s="66"/>
      <c r="AJ47" s="66"/>
      <c r="AK47" s="62">
        <f t="shared" si="9"/>
        <v>0</v>
      </c>
      <c r="AL47" s="72">
        <f t="shared" si="10"/>
        <v>0</v>
      </c>
      <c r="AM47" s="73">
        <f t="shared" si="15"/>
        <v>0</v>
      </c>
      <c r="AN47" s="74">
        <f t="shared" si="19"/>
        <v>0</v>
      </c>
      <c r="AO47" s="74">
        <f t="shared" si="19"/>
        <v>0</v>
      </c>
      <c r="AP47" s="75" t="e">
        <f t="shared" si="16"/>
        <v>#DIV/0!</v>
      </c>
      <c r="AQ47" s="76">
        <f t="shared" si="12"/>
        <v>0</v>
      </c>
      <c r="AR47" s="77">
        <f t="shared" si="17"/>
        <v>0</v>
      </c>
    </row>
    <row r="48" spans="1:44" x14ac:dyDescent="0.25">
      <c r="A48" t="str">
        <f t="shared" si="14"/>
        <v>46196M</v>
      </c>
      <c r="B48" s="51">
        <f t="shared" si="18"/>
        <v>46196</v>
      </c>
      <c r="C48" s="52" t="s">
        <v>87</v>
      </c>
      <c r="D48" s="91"/>
      <c r="E48" s="62"/>
      <c r="F48" s="62"/>
      <c r="G48" s="62">
        <f t="shared" si="0"/>
        <v>0</v>
      </c>
      <c r="H48" s="63">
        <f t="shared" si="1"/>
        <v>0</v>
      </c>
      <c r="I48" s="119"/>
      <c r="J48" s="120"/>
      <c r="K48" s="121"/>
      <c r="L48" s="122"/>
      <c r="M48" s="58"/>
      <c r="N48" s="58"/>
      <c r="O48" s="59"/>
      <c r="P48" s="56"/>
      <c r="Q48" s="60"/>
      <c r="R48" s="61">
        <f t="shared" si="2"/>
        <v>0</v>
      </c>
      <c r="S48" s="62">
        <f t="shared" si="3"/>
        <v>0</v>
      </c>
      <c r="T48" s="63">
        <f t="shared" si="4"/>
        <v>0</v>
      </c>
      <c r="U48" s="64"/>
      <c r="V48" s="65"/>
      <c r="W48" s="66"/>
      <c r="X48" s="67"/>
      <c r="Y48" s="68"/>
      <c r="Z48" s="68"/>
      <c r="AA48" s="62">
        <f t="shared" si="20"/>
        <v>0</v>
      </c>
      <c r="AB48" s="63">
        <f t="shared" si="21"/>
        <v>0</v>
      </c>
      <c r="AC48" s="69"/>
      <c r="AD48" s="70"/>
      <c r="AE48" s="70"/>
      <c r="AF48" s="62">
        <f t="shared" si="7"/>
        <v>0</v>
      </c>
      <c r="AG48" s="63">
        <f t="shared" si="8"/>
        <v>0</v>
      </c>
      <c r="AH48" s="89"/>
      <c r="AI48" s="66"/>
      <c r="AJ48" s="66"/>
      <c r="AK48" s="62">
        <f t="shared" si="9"/>
        <v>0</v>
      </c>
      <c r="AL48" s="72">
        <f t="shared" si="10"/>
        <v>0</v>
      </c>
      <c r="AM48" s="73">
        <f t="shared" si="15"/>
        <v>0</v>
      </c>
      <c r="AN48" s="74">
        <f t="shared" si="19"/>
        <v>0</v>
      </c>
      <c r="AO48" s="74">
        <f t="shared" si="19"/>
        <v>0</v>
      </c>
      <c r="AP48" s="75" t="e">
        <f t="shared" si="16"/>
        <v>#DIV/0!</v>
      </c>
      <c r="AQ48" s="76">
        <f t="shared" si="12"/>
        <v>0</v>
      </c>
      <c r="AR48" s="77">
        <f t="shared" si="17"/>
        <v>0</v>
      </c>
    </row>
    <row r="49" spans="1:44" x14ac:dyDescent="0.25">
      <c r="A49" t="str">
        <f t="shared" si="14"/>
        <v>46196E</v>
      </c>
      <c r="B49" s="51">
        <f t="shared" si="18"/>
        <v>46196</v>
      </c>
      <c r="C49" s="52" t="s">
        <v>88</v>
      </c>
      <c r="D49" s="91"/>
      <c r="E49" s="62"/>
      <c r="F49" s="62"/>
      <c r="G49" s="62">
        <f t="shared" si="0"/>
        <v>0</v>
      </c>
      <c r="H49" s="63">
        <f t="shared" si="1"/>
        <v>0</v>
      </c>
      <c r="I49" s="119"/>
      <c r="J49" s="120"/>
      <c r="K49" s="121"/>
      <c r="L49" s="122"/>
      <c r="M49" s="58"/>
      <c r="N49" s="58"/>
      <c r="O49" s="59"/>
      <c r="P49" s="56"/>
      <c r="Q49" s="60"/>
      <c r="R49" s="61">
        <f t="shared" si="2"/>
        <v>0</v>
      </c>
      <c r="S49" s="62">
        <f t="shared" si="3"/>
        <v>0</v>
      </c>
      <c r="T49" s="63">
        <f t="shared" si="4"/>
        <v>0</v>
      </c>
      <c r="U49" s="64"/>
      <c r="V49" s="65"/>
      <c r="W49" s="66"/>
      <c r="X49" s="67"/>
      <c r="Y49" s="68"/>
      <c r="Z49" s="68"/>
      <c r="AA49" s="62">
        <f t="shared" si="20"/>
        <v>0</v>
      </c>
      <c r="AB49" s="63">
        <f t="shared" si="21"/>
        <v>0</v>
      </c>
      <c r="AC49" s="69"/>
      <c r="AD49" s="70"/>
      <c r="AE49" s="70"/>
      <c r="AF49" s="62">
        <f t="shared" si="7"/>
        <v>0</v>
      </c>
      <c r="AG49" s="63">
        <f t="shared" si="8"/>
        <v>0</v>
      </c>
      <c r="AH49" s="89"/>
      <c r="AI49" s="66"/>
      <c r="AJ49" s="66"/>
      <c r="AK49" s="62">
        <f t="shared" si="9"/>
        <v>0</v>
      </c>
      <c r="AL49" s="72">
        <f t="shared" si="10"/>
        <v>0</v>
      </c>
      <c r="AM49" s="73">
        <f t="shared" si="15"/>
        <v>0</v>
      </c>
      <c r="AN49" s="74">
        <f t="shared" si="19"/>
        <v>0</v>
      </c>
      <c r="AO49" s="74">
        <f t="shared" si="19"/>
        <v>0</v>
      </c>
      <c r="AP49" s="75" t="e">
        <f t="shared" si="16"/>
        <v>#DIV/0!</v>
      </c>
      <c r="AQ49" s="76">
        <f t="shared" si="12"/>
        <v>0</v>
      </c>
      <c r="AR49" s="77">
        <f t="shared" si="17"/>
        <v>0</v>
      </c>
    </row>
    <row r="50" spans="1:44" x14ac:dyDescent="0.25">
      <c r="A50" t="str">
        <f t="shared" si="14"/>
        <v>46197M</v>
      </c>
      <c r="B50" s="51">
        <f t="shared" si="18"/>
        <v>46197</v>
      </c>
      <c r="C50" s="52" t="s">
        <v>87</v>
      </c>
      <c r="D50" s="91"/>
      <c r="E50" s="62"/>
      <c r="F50" s="62"/>
      <c r="G50" s="62">
        <f t="shared" si="0"/>
        <v>0</v>
      </c>
      <c r="H50" s="63">
        <f t="shared" si="1"/>
        <v>0</v>
      </c>
      <c r="I50" s="119"/>
      <c r="J50" s="120"/>
      <c r="K50" s="121"/>
      <c r="L50" s="122"/>
      <c r="M50" s="58"/>
      <c r="N50" s="58"/>
      <c r="O50" s="59"/>
      <c r="P50" s="56"/>
      <c r="Q50" s="60"/>
      <c r="R50" s="61">
        <f t="shared" si="2"/>
        <v>0</v>
      </c>
      <c r="S50" s="62">
        <f t="shared" si="3"/>
        <v>0</v>
      </c>
      <c r="T50" s="63">
        <f t="shared" si="4"/>
        <v>0</v>
      </c>
      <c r="U50" s="64"/>
      <c r="V50" s="65"/>
      <c r="W50" s="66"/>
      <c r="X50" s="67"/>
      <c r="Y50" s="68"/>
      <c r="Z50" s="68"/>
      <c r="AA50" s="62">
        <f t="shared" si="20"/>
        <v>0</v>
      </c>
      <c r="AB50" s="63">
        <f t="shared" si="21"/>
        <v>0</v>
      </c>
      <c r="AC50" s="69"/>
      <c r="AD50" s="70"/>
      <c r="AE50" s="70"/>
      <c r="AF50" s="62">
        <f t="shared" si="7"/>
        <v>0</v>
      </c>
      <c r="AG50" s="63">
        <f t="shared" si="8"/>
        <v>0</v>
      </c>
      <c r="AH50" s="89"/>
      <c r="AI50" s="66"/>
      <c r="AJ50" s="66"/>
      <c r="AK50" s="62">
        <f t="shared" si="9"/>
        <v>0</v>
      </c>
      <c r="AL50" s="72">
        <f t="shared" si="10"/>
        <v>0</v>
      </c>
      <c r="AM50" s="73">
        <f t="shared" si="15"/>
        <v>0</v>
      </c>
      <c r="AN50" s="74">
        <f t="shared" si="19"/>
        <v>0</v>
      </c>
      <c r="AO50" s="74">
        <f t="shared" si="19"/>
        <v>0</v>
      </c>
      <c r="AP50" s="75" t="e">
        <f t="shared" si="16"/>
        <v>#DIV/0!</v>
      </c>
      <c r="AQ50" s="76">
        <f t="shared" si="12"/>
        <v>0</v>
      </c>
      <c r="AR50" s="77">
        <f t="shared" si="17"/>
        <v>0</v>
      </c>
    </row>
    <row r="51" spans="1:44" x14ac:dyDescent="0.25">
      <c r="A51" t="str">
        <f t="shared" si="14"/>
        <v>46197E</v>
      </c>
      <c r="B51" s="51">
        <f t="shared" si="18"/>
        <v>46197</v>
      </c>
      <c r="C51" s="52" t="s">
        <v>88</v>
      </c>
      <c r="D51" s="91"/>
      <c r="E51" s="62"/>
      <c r="F51" s="62"/>
      <c r="G51" s="62">
        <f t="shared" si="0"/>
        <v>0</v>
      </c>
      <c r="H51" s="63">
        <f t="shared" si="1"/>
        <v>0</v>
      </c>
      <c r="I51" s="119"/>
      <c r="J51" s="120"/>
      <c r="K51" s="121"/>
      <c r="L51" s="122"/>
      <c r="M51" s="58"/>
      <c r="N51" s="58"/>
      <c r="O51" s="59"/>
      <c r="P51" s="56"/>
      <c r="Q51" s="60"/>
      <c r="R51" s="61">
        <f t="shared" si="2"/>
        <v>0</v>
      </c>
      <c r="S51" s="62">
        <f t="shared" si="3"/>
        <v>0</v>
      </c>
      <c r="T51" s="63">
        <f t="shared" si="4"/>
        <v>0</v>
      </c>
      <c r="U51" s="64"/>
      <c r="V51" s="85"/>
      <c r="W51" s="66"/>
      <c r="X51" s="67"/>
      <c r="Y51" s="68"/>
      <c r="Z51" s="68"/>
      <c r="AA51" s="62">
        <f t="shared" si="20"/>
        <v>0</v>
      </c>
      <c r="AB51" s="63">
        <f t="shared" si="21"/>
        <v>0</v>
      </c>
      <c r="AC51" s="69"/>
      <c r="AD51" s="70"/>
      <c r="AE51" s="70"/>
      <c r="AF51" s="62">
        <f t="shared" si="7"/>
        <v>0</v>
      </c>
      <c r="AG51" s="63">
        <f t="shared" si="8"/>
        <v>0</v>
      </c>
      <c r="AH51" s="89"/>
      <c r="AI51" s="66"/>
      <c r="AJ51" s="66"/>
      <c r="AK51" s="62">
        <f t="shared" si="9"/>
        <v>0</v>
      </c>
      <c r="AL51" s="72">
        <f t="shared" si="10"/>
        <v>0</v>
      </c>
      <c r="AM51" s="73">
        <f t="shared" si="15"/>
        <v>0</v>
      </c>
      <c r="AN51" s="74">
        <f t="shared" si="19"/>
        <v>0</v>
      </c>
      <c r="AO51" s="74">
        <f t="shared" si="19"/>
        <v>0</v>
      </c>
      <c r="AP51" s="75" t="e">
        <f t="shared" si="16"/>
        <v>#DIV/0!</v>
      </c>
      <c r="AQ51" s="76">
        <f t="shared" si="12"/>
        <v>0</v>
      </c>
      <c r="AR51" s="77">
        <f t="shared" si="17"/>
        <v>0</v>
      </c>
    </row>
    <row r="52" spans="1:44" x14ac:dyDescent="0.25">
      <c r="A52" t="str">
        <f t="shared" si="14"/>
        <v>46198M</v>
      </c>
      <c r="B52" s="51">
        <f t="shared" si="18"/>
        <v>46198</v>
      </c>
      <c r="C52" s="52" t="s">
        <v>87</v>
      </c>
      <c r="D52" s="91"/>
      <c r="E52" s="62"/>
      <c r="F52" s="62"/>
      <c r="G52" s="62">
        <f t="shared" si="0"/>
        <v>0</v>
      </c>
      <c r="H52" s="63">
        <f t="shared" si="1"/>
        <v>0</v>
      </c>
      <c r="I52" s="119"/>
      <c r="J52" s="120"/>
      <c r="K52" s="121"/>
      <c r="L52" s="122"/>
      <c r="M52" s="58"/>
      <c r="N52" s="58"/>
      <c r="O52" s="59"/>
      <c r="P52" s="56"/>
      <c r="Q52" s="60"/>
      <c r="R52" s="61">
        <f t="shared" si="2"/>
        <v>0</v>
      </c>
      <c r="S52" s="62">
        <f t="shared" si="3"/>
        <v>0</v>
      </c>
      <c r="T52" s="63">
        <f t="shared" si="4"/>
        <v>0</v>
      </c>
      <c r="U52" s="64"/>
      <c r="V52" s="65"/>
      <c r="W52" s="66"/>
      <c r="X52" s="67"/>
      <c r="Y52" s="68"/>
      <c r="Z52" s="68"/>
      <c r="AA52" s="62">
        <f t="shared" si="20"/>
        <v>0</v>
      </c>
      <c r="AB52" s="63">
        <f t="shared" si="21"/>
        <v>0</v>
      </c>
      <c r="AC52" s="69"/>
      <c r="AD52" s="70"/>
      <c r="AE52" s="70"/>
      <c r="AF52" s="62">
        <f t="shared" si="7"/>
        <v>0</v>
      </c>
      <c r="AG52" s="63">
        <f t="shared" si="8"/>
        <v>0</v>
      </c>
      <c r="AH52" s="89"/>
      <c r="AI52" s="66"/>
      <c r="AJ52" s="66"/>
      <c r="AK52" s="62">
        <f t="shared" si="9"/>
        <v>0</v>
      </c>
      <c r="AL52" s="72">
        <f t="shared" si="10"/>
        <v>0</v>
      </c>
      <c r="AM52" s="73">
        <f t="shared" si="15"/>
        <v>0</v>
      </c>
      <c r="AN52" s="74">
        <f t="shared" si="19"/>
        <v>0</v>
      </c>
      <c r="AO52" s="74">
        <f t="shared" si="19"/>
        <v>0</v>
      </c>
      <c r="AP52" s="75" t="e">
        <f t="shared" si="16"/>
        <v>#DIV/0!</v>
      </c>
      <c r="AQ52" s="76">
        <f t="shared" si="12"/>
        <v>0</v>
      </c>
      <c r="AR52" s="77">
        <f t="shared" si="17"/>
        <v>0</v>
      </c>
    </row>
    <row r="53" spans="1:44" x14ac:dyDescent="0.25">
      <c r="A53" t="str">
        <f t="shared" si="14"/>
        <v>46198E</v>
      </c>
      <c r="B53" s="51">
        <f t="shared" si="18"/>
        <v>46198</v>
      </c>
      <c r="C53" s="52" t="s">
        <v>88</v>
      </c>
      <c r="D53" s="91"/>
      <c r="E53" s="62"/>
      <c r="F53" s="62"/>
      <c r="G53" s="62">
        <f t="shared" si="0"/>
        <v>0</v>
      </c>
      <c r="H53" s="63">
        <f t="shared" si="1"/>
        <v>0</v>
      </c>
      <c r="I53" s="119"/>
      <c r="J53" s="120"/>
      <c r="K53" s="121"/>
      <c r="L53" s="122"/>
      <c r="M53" s="58"/>
      <c r="N53" s="58"/>
      <c r="O53" s="59"/>
      <c r="P53" s="56"/>
      <c r="Q53" s="60"/>
      <c r="R53" s="61">
        <f t="shared" si="2"/>
        <v>0</v>
      </c>
      <c r="S53" s="62">
        <f t="shared" si="3"/>
        <v>0</v>
      </c>
      <c r="T53" s="63">
        <f t="shared" si="4"/>
        <v>0</v>
      </c>
      <c r="U53" s="64"/>
      <c r="V53" s="65"/>
      <c r="W53" s="66"/>
      <c r="X53" s="67"/>
      <c r="Y53" s="68"/>
      <c r="Z53" s="68"/>
      <c r="AA53" s="62">
        <f t="shared" si="20"/>
        <v>0</v>
      </c>
      <c r="AB53" s="63">
        <f t="shared" si="21"/>
        <v>0</v>
      </c>
      <c r="AC53" s="69"/>
      <c r="AD53" s="70"/>
      <c r="AE53" s="70"/>
      <c r="AF53" s="62">
        <f t="shared" si="7"/>
        <v>0</v>
      </c>
      <c r="AG53" s="63">
        <f t="shared" si="8"/>
        <v>0</v>
      </c>
      <c r="AH53" s="89"/>
      <c r="AI53" s="66"/>
      <c r="AJ53" s="66"/>
      <c r="AK53" s="62">
        <f t="shared" si="9"/>
        <v>0</v>
      </c>
      <c r="AL53" s="72">
        <f t="shared" si="10"/>
        <v>0</v>
      </c>
      <c r="AM53" s="73">
        <f t="shared" si="15"/>
        <v>0</v>
      </c>
      <c r="AN53" s="74">
        <f t="shared" si="19"/>
        <v>0</v>
      </c>
      <c r="AO53" s="74">
        <f t="shared" si="19"/>
        <v>0</v>
      </c>
      <c r="AP53" s="75" t="e">
        <f t="shared" si="16"/>
        <v>#DIV/0!</v>
      </c>
      <c r="AQ53" s="76">
        <f t="shared" si="12"/>
        <v>0</v>
      </c>
      <c r="AR53" s="77">
        <f t="shared" si="17"/>
        <v>0</v>
      </c>
    </row>
    <row r="54" spans="1:44" x14ac:dyDescent="0.25">
      <c r="A54" t="str">
        <f t="shared" si="14"/>
        <v>46199M</v>
      </c>
      <c r="B54" s="51">
        <f t="shared" si="18"/>
        <v>46199</v>
      </c>
      <c r="C54" s="52" t="s">
        <v>87</v>
      </c>
      <c r="D54" s="91"/>
      <c r="E54" s="62"/>
      <c r="F54" s="62"/>
      <c r="G54" s="62">
        <f t="shared" si="0"/>
        <v>0</v>
      </c>
      <c r="H54" s="63">
        <f t="shared" si="1"/>
        <v>0</v>
      </c>
      <c r="I54" s="119"/>
      <c r="J54" s="120"/>
      <c r="K54" s="121"/>
      <c r="L54" s="122"/>
      <c r="M54" s="58"/>
      <c r="N54" s="58"/>
      <c r="O54" s="59"/>
      <c r="P54" s="56"/>
      <c r="Q54" s="60"/>
      <c r="R54" s="61">
        <f t="shared" si="2"/>
        <v>0</v>
      </c>
      <c r="S54" s="62">
        <f t="shared" si="3"/>
        <v>0</v>
      </c>
      <c r="T54" s="63">
        <f t="shared" si="4"/>
        <v>0</v>
      </c>
      <c r="U54" s="64"/>
      <c r="V54" s="65"/>
      <c r="W54" s="66"/>
      <c r="X54" s="67"/>
      <c r="Y54" s="68"/>
      <c r="Z54" s="68"/>
      <c r="AA54" s="62">
        <f t="shared" si="20"/>
        <v>0</v>
      </c>
      <c r="AB54" s="63">
        <f t="shared" si="21"/>
        <v>0</v>
      </c>
      <c r="AC54" s="69"/>
      <c r="AD54" s="70"/>
      <c r="AE54" s="70"/>
      <c r="AF54" s="62">
        <f t="shared" si="7"/>
        <v>0</v>
      </c>
      <c r="AG54" s="63">
        <f t="shared" si="8"/>
        <v>0</v>
      </c>
      <c r="AH54" s="89"/>
      <c r="AI54" s="66"/>
      <c r="AJ54" s="66"/>
      <c r="AK54" s="62">
        <f t="shared" si="9"/>
        <v>0</v>
      </c>
      <c r="AL54" s="72">
        <f t="shared" si="10"/>
        <v>0</v>
      </c>
      <c r="AM54" s="73">
        <f t="shared" si="15"/>
        <v>0</v>
      </c>
      <c r="AN54" s="74">
        <f t="shared" si="19"/>
        <v>0</v>
      </c>
      <c r="AO54" s="74">
        <f t="shared" si="19"/>
        <v>0</v>
      </c>
      <c r="AP54" s="75" t="e">
        <f t="shared" si="16"/>
        <v>#DIV/0!</v>
      </c>
      <c r="AQ54" s="76">
        <f t="shared" si="12"/>
        <v>0</v>
      </c>
      <c r="AR54" s="77">
        <f t="shared" si="17"/>
        <v>0</v>
      </c>
    </row>
    <row r="55" spans="1:44" x14ac:dyDescent="0.25">
      <c r="A55" t="str">
        <f t="shared" si="14"/>
        <v>46199E</v>
      </c>
      <c r="B55" s="51">
        <f t="shared" si="18"/>
        <v>46199</v>
      </c>
      <c r="C55" s="52" t="s">
        <v>88</v>
      </c>
      <c r="D55" s="91"/>
      <c r="E55" s="62"/>
      <c r="F55" s="62"/>
      <c r="G55" s="62">
        <f t="shared" si="0"/>
        <v>0</v>
      </c>
      <c r="H55" s="63">
        <f t="shared" si="1"/>
        <v>0</v>
      </c>
      <c r="I55" s="119"/>
      <c r="J55" s="120"/>
      <c r="K55" s="121"/>
      <c r="L55" s="122"/>
      <c r="M55" s="58"/>
      <c r="N55" s="58"/>
      <c r="O55" s="59"/>
      <c r="P55" s="56"/>
      <c r="Q55" s="60"/>
      <c r="R55" s="61">
        <f t="shared" si="2"/>
        <v>0</v>
      </c>
      <c r="S55" s="62">
        <f t="shared" si="3"/>
        <v>0</v>
      </c>
      <c r="T55" s="63">
        <f t="shared" si="4"/>
        <v>0</v>
      </c>
      <c r="U55" s="64"/>
      <c r="V55" s="65"/>
      <c r="W55" s="66"/>
      <c r="X55" s="67"/>
      <c r="Y55" s="68"/>
      <c r="Z55" s="68"/>
      <c r="AA55" s="62">
        <f t="shared" si="20"/>
        <v>0</v>
      </c>
      <c r="AB55" s="63">
        <f t="shared" si="21"/>
        <v>0</v>
      </c>
      <c r="AC55" s="69"/>
      <c r="AD55" s="70"/>
      <c r="AE55" s="70"/>
      <c r="AF55" s="62">
        <f t="shared" si="7"/>
        <v>0</v>
      </c>
      <c r="AG55" s="63">
        <f t="shared" si="8"/>
        <v>0</v>
      </c>
      <c r="AH55" s="89"/>
      <c r="AI55" s="66"/>
      <c r="AJ55" s="66"/>
      <c r="AK55" s="62">
        <f t="shared" si="9"/>
        <v>0</v>
      </c>
      <c r="AL55" s="72">
        <f t="shared" si="10"/>
        <v>0</v>
      </c>
      <c r="AM55" s="73">
        <f t="shared" si="15"/>
        <v>0</v>
      </c>
      <c r="AN55" s="74">
        <f t="shared" si="19"/>
        <v>0</v>
      </c>
      <c r="AO55" s="74">
        <f t="shared" si="19"/>
        <v>0</v>
      </c>
      <c r="AP55" s="75" t="e">
        <f t="shared" si="16"/>
        <v>#DIV/0!</v>
      </c>
      <c r="AQ55" s="76">
        <f t="shared" si="12"/>
        <v>0</v>
      </c>
      <c r="AR55" s="77">
        <f t="shared" si="17"/>
        <v>0</v>
      </c>
    </row>
    <row r="56" spans="1:44" x14ac:dyDescent="0.25">
      <c r="A56" t="str">
        <f t="shared" si="14"/>
        <v>46200M</v>
      </c>
      <c r="B56" s="51">
        <f t="shared" si="18"/>
        <v>46200</v>
      </c>
      <c r="C56" s="52" t="s">
        <v>87</v>
      </c>
      <c r="D56" s="91"/>
      <c r="E56" s="62"/>
      <c r="F56" s="62"/>
      <c r="G56" s="62">
        <f t="shared" si="0"/>
        <v>0</v>
      </c>
      <c r="H56" s="63">
        <f t="shared" si="1"/>
        <v>0</v>
      </c>
      <c r="I56" s="119"/>
      <c r="J56" s="120"/>
      <c r="K56" s="121"/>
      <c r="L56" s="122"/>
      <c r="M56" s="58"/>
      <c r="N56" s="58"/>
      <c r="O56" s="59"/>
      <c r="P56" s="56"/>
      <c r="Q56" s="60"/>
      <c r="R56" s="61">
        <f t="shared" si="2"/>
        <v>0</v>
      </c>
      <c r="S56" s="62">
        <f t="shared" si="3"/>
        <v>0</v>
      </c>
      <c r="T56" s="63">
        <f t="shared" si="4"/>
        <v>0</v>
      </c>
      <c r="U56" s="64"/>
      <c r="V56" s="65"/>
      <c r="W56" s="66"/>
      <c r="X56" s="67"/>
      <c r="Y56" s="68"/>
      <c r="Z56" s="68"/>
      <c r="AA56" s="62">
        <f t="shared" si="20"/>
        <v>0</v>
      </c>
      <c r="AB56" s="63">
        <f t="shared" si="21"/>
        <v>0</v>
      </c>
      <c r="AC56" s="69"/>
      <c r="AD56" s="70"/>
      <c r="AE56" s="70"/>
      <c r="AF56" s="62">
        <f t="shared" si="7"/>
        <v>0</v>
      </c>
      <c r="AG56" s="63">
        <f t="shared" si="8"/>
        <v>0</v>
      </c>
      <c r="AH56" s="89"/>
      <c r="AI56" s="66"/>
      <c r="AJ56" s="66"/>
      <c r="AK56" s="62">
        <f t="shared" si="9"/>
        <v>0</v>
      </c>
      <c r="AL56" s="72">
        <f t="shared" si="10"/>
        <v>0</v>
      </c>
      <c r="AM56" s="73">
        <f t="shared" si="15"/>
        <v>0</v>
      </c>
      <c r="AN56" s="74">
        <f t="shared" si="19"/>
        <v>0</v>
      </c>
      <c r="AO56" s="74">
        <f t="shared" si="19"/>
        <v>0</v>
      </c>
      <c r="AP56" s="75" t="e">
        <f t="shared" si="16"/>
        <v>#DIV/0!</v>
      </c>
      <c r="AQ56" s="76">
        <f t="shared" si="12"/>
        <v>0</v>
      </c>
      <c r="AR56" s="77">
        <f t="shared" si="17"/>
        <v>0</v>
      </c>
    </row>
    <row r="57" spans="1:44" x14ac:dyDescent="0.25">
      <c r="A57" t="str">
        <f t="shared" si="14"/>
        <v>46200E</v>
      </c>
      <c r="B57" s="51">
        <f t="shared" si="18"/>
        <v>46200</v>
      </c>
      <c r="C57" s="52" t="s">
        <v>88</v>
      </c>
      <c r="D57" s="91"/>
      <c r="E57" s="62"/>
      <c r="F57" s="62"/>
      <c r="G57" s="62">
        <f t="shared" si="0"/>
        <v>0</v>
      </c>
      <c r="H57" s="63">
        <f t="shared" si="1"/>
        <v>0</v>
      </c>
      <c r="I57" s="119"/>
      <c r="J57" s="120"/>
      <c r="K57" s="121"/>
      <c r="L57" s="122"/>
      <c r="M57" s="58"/>
      <c r="N57" s="58"/>
      <c r="O57" s="59"/>
      <c r="P57" s="56"/>
      <c r="Q57" s="60"/>
      <c r="R57" s="61">
        <f t="shared" si="2"/>
        <v>0</v>
      </c>
      <c r="S57" s="62">
        <f t="shared" si="3"/>
        <v>0</v>
      </c>
      <c r="T57" s="63">
        <f t="shared" si="4"/>
        <v>0</v>
      </c>
      <c r="U57" s="64"/>
      <c r="V57" s="65"/>
      <c r="W57" s="66"/>
      <c r="X57" s="67"/>
      <c r="Y57" s="68"/>
      <c r="Z57" s="68"/>
      <c r="AA57" s="62">
        <f t="shared" si="20"/>
        <v>0</v>
      </c>
      <c r="AB57" s="63">
        <f t="shared" si="21"/>
        <v>0</v>
      </c>
      <c r="AC57" s="69"/>
      <c r="AD57" s="70"/>
      <c r="AE57" s="70"/>
      <c r="AF57" s="62">
        <f t="shared" si="7"/>
        <v>0</v>
      </c>
      <c r="AG57" s="63">
        <f t="shared" si="8"/>
        <v>0</v>
      </c>
      <c r="AH57" s="89"/>
      <c r="AI57" s="66"/>
      <c r="AJ57" s="66"/>
      <c r="AK57" s="62">
        <f t="shared" si="9"/>
        <v>0</v>
      </c>
      <c r="AL57" s="72">
        <f t="shared" si="10"/>
        <v>0</v>
      </c>
      <c r="AM57" s="73">
        <f t="shared" si="15"/>
        <v>0</v>
      </c>
      <c r="AN57" s="74">
        <f t="shared" si="19"/>
        <v>0</v>
      </c>
      <c r="AO57" s="74">
        <f t="shared" si="19"/>
        <v>0</v>
      </c>
      <c r="AP57" s="75" t="e">
        <f t="shared" si="16"/>
        <v>#DIV/0!</v>
      </c>
      <c r="AQ57" s="76">
        <f t="shared" si="12"/>
        <v>0</v>
      </c>
      <c r="AR57" s="77">
        <f t="shared" si="17"/>
        <v>0</v>
      </c>
    </row>
    <row r="58" spans="1:44" x14ac:dyDescent="0.25">
      <c r="A58" t="str">
        <f t="shared" si="14"/>
        <v>46201M</v>
      </c>
      <c r="B58" s="51">
        <f t="shared" si="18"/>
        <v>46201</v>
      </c>
      <c r="C58" s="52" t="s">
        <v>87</v>
      </c>
      <c r="D58" s="91"/>
      <c r="E58" s="62"/>
      <c r="F58" s="62"/>
      <c r="G58" s="62">
        <f t="shared" si="0"/>
        <v>0</v>
      </c>
      <c r="H58" s="63">
        <f t="shared" si="1"/>
        <v>0</v>
      </c>
      <c r="I58" s="119"/>
      <c r="J58" s="120"/>
      <c r="K58" s="121"/>
      <c r="L58" s="122"/>
      <c r="M58" s="58"/>
      <c r="N58" s="58"/>
      <c r="O58" s="59"/>
      <c r="P58" s="56"/>
      <c r="Q58" s="60"/>
      <c r="R58" s="61">
        <f t="shared" si="2"/>
        <v>0</v>
      </c>
      <c r="S58" s="62">
        <f t="shared" si="3"/>
        <v>0</v>
      </c>
      <c r="T58" s="63">
        <f t="shared" si="4"/>
        <v>0</v>
      </c>
      <c r="U58" s="64"/>
      <c r="V58" s="65"/>
      <c r="W58" s="66"/>
      <c r="X58" s="67"/>
      <c r="Y58" s="68"/>
      <c r="Z58" s="68"/>
      <c r="AA58" s="62">
        <f t="shared" si="20"/>
        <v>0</v>
      </c>
      <c r="AB58" s="63">
        <f t="shared" si="21"/>
        <v>0</v>
      </c>
      <c r="AC58" s="69"/>
      <c r="AD58" s="70"/>
      <c r="AE58" s="70"/>
      <c r="AF58" s="62">
        <f t="shared" si="7"/>
        <v>0</v>
      </c>
      <c r="AG58" s="63">
        <f t="shared" si="8"/>
        <v>0</v>
      </c>
      <c r="AH58" s="89"/>
      <c r="AI58" s="66"/>
      <c r="AJ58" s="66"/>
      <c r="AK58" s="62">
        <f t="shared" si="9"/>
        <v>0</v>
      </c>
      <c r="AL58" s="72">
        <f t="shared" si="10"/>
        <v>0</v>
      </c>
      <c r="AM58" s="73">
        <f t="shared" si="15"/>
        <v>0</v>
      </c>
      <c r="AN58" s="74">
        <f t="shared" si="19"/>
        <v>0</v>
      </c>
      <c r="AO58" s="74">
        <f t="shared" si="19"/>
        <v>0</v>
      </c>
      <c r="AP58" s="75" t="e">
        <f t="shared" si="16"/>
        <v>#DIV/0!</v>
      </c>
      <c r="AQ58" s="76">
        <f t="shared" si="12"/>
        <v>0</v>
      </c>
      <c r="AR58" s="77">
        <f t="shared" si="17"/>
        <v>0</v>
      </c>
    </row>
    <row r="59" spans="1:44" x14ac:dyDescent="0.25">
      <c r="A59" t="str">
        <f t="shared" si="14"/>
        <v>46201E</v>
      </c>
      <c r="B59" s="51">
        <f t="shared" si="18"/>
        <v>46201</v>
      </c>
      <c r="C59" s="52" t="s">
        <v>88</v>
      </c>
      <c r="D59" s="91"/>
      <c r="E59" s="62"/>
      <c r="F59" s="62"/>
      <c r="G59" s="62">
        <f t="shared" si="0"/>
        <v>0</v>
      </c>
      <c r="H59" s="63">
        <f t="shared" si="1"/>
        <v>0</v>
      </c>
      <c r="I59" s="119"/>
      <c r="J59" s="120"/>
      <c r="K59" s="121"/>
      <c r="L59" s="122"/>
      <c r="M59" s="58"/>
      <c r="N59" s="58"/>
      <c r="O59" s="59"/>
      <c r="P59" s="56"/>
      <c r="Q59" s="60"/>
      <c r="R59" s="61">
        <f t="shared" si="2"/>
        <v>0</v>
      </c>
      <c r="S59" s="62">
        <f t="shared" si="3"/>
        <v>0</v>
      </c>
      <c r="T59" s="63">
        <f t="shared" si="4"/>
        <v>0</v>
      </c>
      <c r="U59" s="64"/>
      <c r="V59" s="65"/>
      <c r="W59" s="66"/>
      <c r="X59" s="67"/>
      <c r="Y59" s="68"/>
      <c r="Z59" s="68"/>
      <c r="AA59" s="62">
        <f t="shared" si="20"/>
        <v>0</v>
      </c>
      <c r="AB59" s="63">
        <f t="shared" si="21"/>
        <v>0</v>
      </c>
      <c r="AC59" s="69"/>
      <c r="AD59" s="70"/>
      <c r="AE59" s="70"/>
      <c r="AF59" s="62">
        <f t="shared" si="7"/>
        <v>0</v>
      </c>
      <c r="AG59" s="63">
        <f t="shared" si="8"/>
        <v>0</v>
      </c>
      <c r="AH59" s="89"/>
      <c r="AI59" s="66"/>
      <c r="AJ59" s="66"/>
      <c r="AK59" s="62">
        <f t="shared" si="9"/>
        <v>0</v>
      </c>
      <c r="AL59" s="72">
        <f t="shared" si="10"/>
        <v>0</v>
      </c>
      <c r="AM59" s="73">
        <f t="shared" si="15"/>
        <v>0</v>
      </c>
      <c r="AN59" s="74">
        <f t="shared" si="19"/>
        <v>0</v>
      </c>
      <c r="AO59" s="74">
        <f t="shared" si="19"/>
        <v>0</v>
      </c>
      <c r="AP59" s="75" t="e">
        <f t="shared" si="16"/>
        <v>#DIV/0!</v>
      </c>
      <c r="AQ59" s="76">
        <f t="shared" si="12"/>
        <v>0</v>
      </c>
      <c r="AR59" s="77">
        <f t="shared" si="17"/>
        <v>0</v>
      </c>
    </row>
    <row r="60" spans="1:44" x14ac:dyDescent="0.25">
      <c r="A60" t="str">
        <f t="shared" si="14"/>
        <v>46202M</v>
      </c>
      <c r="B60" s="51">
        <f t="shared" si="18"/>
        <v>46202</v>
      </c>
      <c r="C60" s="52" t="s">
        <v>87</v>
      </c>
      <c r="D60" s="91"/>
      <c r="E60" s="62"/>
      <c r="F60" s="62"/>
      <c r="G60" s="62">
        <f t="shared" si="0"/>
        <v>0</v>
      </c>
      <c r="H60" s="63">
        <f t="shared" si="1"/>
        <v>0</v>
      </c>
      <c r="I60" s="119"/>
      <c r="J60" s="120"/>
      <c r="K60" s="121"/>
      <c r="L60" s="122"/>
      <c r="M60" s="58"/>
      <c r="N60" s="58"/>
      <c r="O60" s="59"/>
      <c r="P60" s="56"/>
      <c r="Q60" s="60"/>
      <c r="R60" s="61">
        <f t="shared" si="2"/>
        <v>0</v>
      </c>
      <c r="S60" s="62">
        <f t="shared" si="3"/>
        <v>0</v>
      </c>
      <c r="T60" s="63">
        <f t="shared" si="4"/>
        <v>0</v>
      </c>
      <c r="U60" s="64"/>
      <c r="V60" s="65"/>
      <c r="W60" s="66"/>
      <c r="X60" s="67"/>
      <c r="Y60" s="68"/>
      <c r="Z60" s="68"/>
      <c r="AA60" s="62">
        <f t="shared" si="20"/>
        <v>0</v>
      </c>
      <c r="AB60" s="63">
        <f t="shared" si="21"/>
        <v>0</v>
      </c>
      <c r="AC60" s="69"/>
      <c r="AD60" s="70"/>
      <c r="AE60" s="70"/>
      <c r="AF60" s="62">
        <f t="shared" si="7"/>
        <v>0</v>
      </c>
      <c r="AG60" s="63">
        <f t="shared" si="8"/>
        <v>0</v>
      </c>
      <c r="AH60" s="89"/>
      <c r="AI60" s="66"/>
      <c r="AJ60" s="66"/>
      <c r="AK60" s="62">
        <f t="shared" si="9"/>
        <v>0</v>
      </c>
      <c r="AL60" s="72">
        <f t="shared" si="10"/>
        <v>0</v>
      </c>
      <c r="AM60" s="73">
        <f t="shared" si="15"/>
        <v>0</v>
      </c>
      <c r="AN60" s="74">
        <f t="shared" si="19"/>
        <v>0</v>
      </c>
      <c r="AO60" s="74">
        <f t="shared" si="19"/>
        <v>0</v>
      </c>
      <c r="AP60" s="75" t="e">
        <f t="shared" si="16"/>
        <v>#DIV/0!</v>
      </c>
      <c r="AQ60" s="76">
        <f t="shared" si="12"/>
        <v>0</v>
      </c>
      <c r="AR60" s="77">
        <f t="shared" si="17"/>
        <v>0</v>
      </c>
    </row>
    <row r="61" spans="1:44" x14ac:dyDescent="0.25">
      <c r="A61" t="str">
        <f t="shared" si="14"/>
        <v>46202E</v>
      </c>
      <c r="B61" s="51">
        <f t="shared" si="18"/>
        <v>46202</v>
      </c>
      <c r="C61" s="52" t="s">
        <v>88</v>
      </c>
      <c r="D61" s="91"/>
      <c r="E61" s="62"/>
      <c r="F61" s="62"/>
      <c r="G61" s="62">
        <f t="shared" si="0"/>
        <v>0</v>
      </c>
      <c r="H61" s="63">
        <f t="shared" si="1"/>
        <v>0</v>
      </c>
      <c r="I61" s="119"/>
      <c r="J61" s="120"/>
      <c r="K61" s="121"/>
      <c r="L61" s="122"/>
      <c r="M61" s="58"/>
      <c r="N61" s="58"/>
      <c r="O61" s="59"/>
      <c r="P61" s="56"/>
      <c r="Q61" s="60"/>
      <c r="R61" s="61">
        <f t="shared" si="2"/>
        <v>0</v>
      </c>
      <c r="S61" s="62">
        <f t="shared" si="3"/>
        <v>0</v>
      </c>
      <c r="T61" s="63">
        <f t="shared" si="4"/>
        <v>0</v>
      </c>
      <c r="U61" s="64"/>
      <c r="V61" s="65"/>
      <c r="W61" s="66"/>
      <c r="X61" s="67"/>
      <c r="Y61" s="68"/>
      <c r="Z61" s="68"/>
      <c r="AA61" s="62">
        <f t="shared" si="20"/>
        <v>0</v>
      </c>
      <c r="AB61" s="63">
        <f t="shared" si="21"/>
        <v>0</v>
      </c>
      <c r="AC61" s="69"/>
      <c r="AD61" s="70"/>
      <c r="AE61" s="70"/>
      <c r="AF61" s="62">
        <f t="shared" si="7"/>
        <v>0</v>
      </c>
      <c r="AG61" s="63">
        <f t="shared" si="8"/>
        <v>0</v>
      </c>
      <c r="AH61" s="89"/>
      <c r="AI61" s="66"/>
      <c r="AJ61" s="66"/>
      <c r="AK61" s="62">
        <f t="shared" si="9"/>
        <v>0</v>
      </c>
      <c r="AL61" s="72">
        <f t="shared" si="10"/>
        <v>0</v>
      </c>
      <c r="AM61" s="73">
        <f t="shared" si="15"/>
        <v>0</v>
      </c>
      <c r="AN61" s="74">
        <f t="shared" si="19"/>
        <v>0</v>
      </c>
      <c r="AO61" s="74">
        <f t="shared" si="19"/>
        <v>0</v>
      </c>
      <c r="AP61" s="75" t="e">
        <f t="shared" si="16"/>
        <v>#DIV/0!</v>
      </c>
      <c r="AQ61" s="76">
        <f t="shared" si="12"/>
        <v>0</v>
      </c>
      <c r="AR61" s="77">
        <f t="shared" si="17"/>
        <v>0</v>
      </c>
    </row>
    <row r="62" spans="1:44" x14ac:dyDescent="0.25">
      <c r="A62" t="str">
        <f t="shared" si="14"/>
        <v>46203M</v>
      </c>
      <c r="B62" s="51">
        <f t="shared" si="18"/>
        <v>46203</v>
      </c>
      <c r="C62" s="52" t="s">
        <v>87</v>
      </c>
      <c r="D62" s="91"/>
      <c r="E62" s="62"/>
      <c r="F62" s="62"/>
      <c r="G62" s="62">
        <f t="shared" si="0"/>
        <v>0</v>
      </c>
      <c r="H62" s="63">
        <f t="shared" si="1"/>
        <v>0</v>
      </c>
      <c r="I62" s="119"/>
      <c r="J62" s="120"/>
      <c r="K62" s="121"/>
      <c r="L62" s="122"/>
      <c r="M62" s="58"/>
      <c r="N62" s="58"/>
      <c r="O62" s="59"/>
      <c r="P62" s="56"/>
      <c r="Q62" s="60"/>
      <c r="R62" s="61">
        <f t="shared" si="2"/>
        <v>0</v>
      </c>
      <c r="S62" s="62">
        <f t="shared" si="3"/>
        <v>0</v>
      </c>
      <c r="T62" s="63">
        <f t="shared" si="4"/>
        <v>0</v>
      </c>
      <c r="U62" s="64"/>
      <c r="V62" s="65"/>
      <c r="W62" s="66"/>
      <c r="X62" s="67"/>
      <c r="Y62" s="68"/>
      <c r="Z62" s="68"/>
      <c r="AA62" s="62">
        <f t="shared" si="20"/>
        <v>0</v>
      </c>
      <c r="AB62" s="63">
        <f t="shared" si="21"/>
        <v>0</v>
      </c>
      <c r="AC62" s="69"/>
      <c r="AD62" s="70"/>
      <c r="AE62" s="70"/>
      <c r="AF62" s="62">
        <f t="shared" si="7"/>
        <v>0</v>
      </c>
      <c r="AG62" s="63">
        <f t="shared" si="8"/>
        <v>0</v>
      </c>
      <c r="AH62" s="89"/>
      <c r="AI62" s="66"/>
      <c r="AJ62" s="66"/>
      <c r="AK62" s="62">
        <f t="shared" si="9"/>
        <v>0</v>
      </c>
      <c r="AL62" s="72">
        <f t="shared" si="10"/>
        <v>0</v>
      </c>
      <c r="AM62" s="73">
        <f t="shared" si="15"/>
        <v>0</v>
      </c>
      <c r="AN62" s="74">
        <f t="shared" si="19"/>
        <v>0</v>
      </c>
      <c r="AO62" s="74">
        <f t="shared" si="19"/>
        <v>0</v>
      </c>
      <c r="AP62" s="75" t="e">
        <f t="shared" si="16"/>
        <v>#DIV/0!</v>
      </c>
      <c r="AQ62" s="76">
        <f t="shared" si="12"/>
        <v>0</v>
      </c>
      <c r="AR62" s="77">
        <f t="shared" si="17"/>
        <v>0</v>
      </c>
    </row>
    <row r="63" spans="1:44" x14ac:dyDescent="0.25">
      <c r="A63" t="str">
        <f t="shared" si="14"/>
        <v>46203E</v>
      </c>
      <c r="B63" s="51">
        <f t="shared" si="18"/>
        <v>46203</v>
      </c>
      <c r="C63" s="52" t="s">
        <v>88</v>
      </c>
      <c r="D63" s="91"/>
      <c r="E63" s="62"/>
      <c r="F63" s="62"/>
      <c r="G63" s="62">
        <f t="shared" si="0"/>
        <v>0</v>
      </c>
      <c r="H63" s="63">
        <f t="shared" si="1"/>
        <v>0</v>
      </c>
      <c r="I63" s="119"/>
      <c r="J63" s="120"/>
      <c r="K63" s="121"/>
      <c r="L63" s="122"/>
      <c r="M63" s="58"/>
      <c r="N63" s="58"/>
      <c r="O63" s="59"/>
      <c r="P63" s="56"/>
      <c r="Q63" s="60"/>
      <c r="R63" s="61">
        <f t="shared" si="2"/>
        <v>0</v>
      </c>
      <c r="S63" s="62">
        <f t="shared" si="3"/>
        <v>0</v>
      </c>
      <c r="T63" s="63">
        <f t="shared" si="4"/>
        <v>0</v>
      </c>
      <c r="U63" s="64"/>
      <c r="V63" s="65"/>
      <c r="W63" s="66"/>
      <c r="X63" s="67"/>
      <c r="Y63" s="68"/>
      <c r="Z63" s="68"/>
      <c r="AA63" s="62">
        <f t="shared" si="20"/>
        <v>0</v>
      </c>
      <c r="AB63" s="63">
        <f t="shared" si="21"/>
        <v>0</v>
      </c>
      <c r="AC63" s="69"/>
      <c r="AD63" s="70"/>
      <c r="AE63" s="70"/>
      <c r="AF63" s="62">
        <f t="shared" si="7"/>
        <v>0</v>
      </c>
      <c r="AG63" s="63">
        <f t="shared" si="8"/>
        <v>0</v>
      </c>
      <c r="AH63" s="89"/>
      <c r="AI63" s="66"/>
      <c r="AJ63" s="66"/>
      <c r="AK63" s="62">
        <f t="shared" si="9"/>
        <v>0</v>
      </c>
      <c r="AL63" s="72">
        <f t="shared" si="10"/>
        <v>0</v>
      </c>
      <c r="AM63" s="73">
        <f t="shared" si="15"/>
        <v>0</v>
      </c>
      <c r="AN63" s="74">
        <f t="shared" si="19"/>
        <v>0</v>
      </c>
      <c r="AO63" s="74">
        <f t="shared" si="19"/>
        <v>0</v>
      </c>
      <c r="AP63" s="75" t="e">
        <f t="shared" si="16"/>
        <v>#DIV/0!</v>
      </c>
      <c r="AQ63" s="76">
        <f t="shared" si="12"/>
        <v>0</v>
      </c>
      <c r="AR63" s="77">
        <f t="shared" si="17"/>
        <v>0</v>
      </c>
    </row>
    <row r="64" spans="1:44" x14ac:dyDescent="0.25">
      <c r="A64" t="str">
        <f t="shared" si="14"/>
        <v>46204M</v>
      </c>
      <c r="B64" s="51">
        <f t="shared" si="18"/>
        <v>46204</v>
      </c>
      <c r="C64" s="52" t="s">
        <v>87</v>
      </c>
      <c r="D64" s="91"/>
      <c r="E64" s="62"/>
      <c r="F64" s="62"/>
      <c r="G64" s="62">
        <f t="shared" si="0"/>
        <v>0</v>
      </c>
      <c r="H64" s="63">
        <f t="shared" si="1"/>
        <v>0</v>
      </c>
      <c r="I64" s="119"/>
      <c r="J64" s="120"/>
      <c r="K64" s="121"/>
      <c r="L64" s="122"/>
      <c r="M64" s="58"/>
      <c r="N64" s="58"/>
      <c r="O64" s="59"/>
      <c r="P64" s="56"/>
      <c r="Q64" s="60"/>
      <c r="R64" s="61">
        <f t="shared" si="2"/>
        <v>0</v>
      </c>
      <c r="S64" s="62">
        <f t="shared" si="3"/>
        <v>0</v>
      </c>
      <c r="T64" s="63">
        <f t="shared" si="4"/>
        <v>0</v>
      </c>
      <c r="U64" s="64"/>
      <c r="V64" s="65"/>
      <c r="W64" s="66"/>
      <c r="X64" s="67"/>
      <c r="Y64" s="68"/>
      <c r="Z64" s="68"/>
      <c r="AA64" s="62">
        <f t="shared" si="20"/>
        <v>0</v>
      </c>
      <c r="AB64" s="63">
        <f t="shared" si="21"/>
        <v>0</v>
      </c>
      <c r="AC64" s="69"/>
      <c r="AD64" s="70"/>
      <c r="AE64" s="70"/>
      <c r="AF64" s="62">
        <f t="shared" si="7"/>
        <v>0</v>
      </c>
      <c r="AG64" s="63">
        <f t="shared" si="8"/>
        <v>0</v>
      </c>
      <c r="AH64" s="89"/>
      <c r="AI64" s="66"/>
      <c r="AJ64" s="66"/>
      <c r="AK64" s="62">
        <f t="shared" si="9"/>
        <v>0</v>
      </c>
      <c r="AL64" s="72">
        <f t="shared" si="10"/>
        <v>0</v>
      </c>
      <c r="AM64" s="73">
        <f t="shared" si="15"/>
        <v>0</v>
      </c>
      <c r="AN64" s="74">
        <f t="shared" si="19"/>
        <v>0</v>
      </c>
      <c r="AO64" s="74">
        <f t="shared" si="19"/>
        <v>0</v>
      </c>
      <c r="AP64" s="75" t="e">
        <f t="shared" si="16"/>
        <v>#DIV/0!</v>
      </c>
      <c r="AQ64" s="76">
        <f t="shared" si="12"/>
        <v>0</v>
      </c>
      <c r="AR64" s="77">
        <f t="shared" si="17"/>
        <v>0</v>
      </c>
    </row>
    <row r="65" spans="1:44" ht="15.75" thickBot="1" x14ac:dyDescent="0.3">
      <c r="A65" t="str">
        <f t="shared" si="14"/>
        <v>46204E</v>
      </c>
      <c r="B65" s="51">
        <f t="shared" si="18"/>
        <v>46204</v>
      </c>
      <c r="C65" s="93" t="s">
        <v>88</v>
      </c>
      <c r="D65" s="91"/>
      <c r="E65" s="62"/>
      <c r="F65" s="62"/>
      <c r="G65" s="62">
        <f t="shared" si="0"/>
        <v>0</v>
      </c>
      <c r="H65" s="63">
        <f t="shared" si="1"/>
        <v>0</v>
      </c>
      <c r="I65" s="119"/>
      <c r="J65" s="120"/>
      <c r="K65" s="121"/>
      <c r="L65" s="122"/>
      <c r="M65" s="58"/>
      <c r="N65" s="58"/>
      <c r="O65" s="59"/>
      <c r="P65" s="56"/>
      <c r="Q65" s="60"/>
      <c r="R65" s="61">
        <f t="shared" si="2"/>
        <v>0</v>
      </c>
      <c r="S65" s="62">
        <f t="shared" si="3"/>
        <v>0</v>
      </c>
      <c r="T65" s="63">
        <f t="shared" si="4"/>
        <v>0</v>
      </c>
      <c r="U65" s="64"/>
      <c r="V65" s="65"/>
      <c r="W65" s="66"/>
      <c r="X65" s="67"/>
      <c r="Y65" s="68"/>
      <c r="Z65" s="68"/>
      <c r="AA65" s="62">
        <f t="shared" si="20"/>
        <v>0</v>
      </c>
      <c r="AB65" s="63">
        <f t="shared" si="21"/>
        <v>0</v>
      </c>
      <c r="AC65" s="69"/>
      <c r="AD65" s="70"/>
      <c r="AE65" s="70"/>
      <c r="AF65" s="62">
        <f t="shared" si="7"/>
        <v>0</v>
      </c>
      <c r="AG65" s="63">
        <f t="shared" si="8"/>
        <v>0</v>
      </c>
      <c r="AH65" s="89"/>
      <c r="AI65" s="66"/>
      <c r="AJ65" s="66"/>
      <c r="AK65" s="62">
        <f t="shared" si="9"/>
        <v>0</v>
      </c>
      <c r="AL65" s="72">
        <f t="shared" si="10"/>
        <v>0</v>
      </c>
      <c r="AM65" s="73">
        <f t="shared" si="15"/>
        <v>0</v>
      </c>
      <c r="AN65" s="74">
        <f t="shared" si="19"/>
        <v>0</v>
      </c>
      <c r="AO65" s="74">
        <f t="shared" si="19"/>
        <v>0</v>
      </c>
      <c r="AP65" s="75" t="e">
        <f t="shared" si="16"/>
        <v>#DIV/0!</v>
      </c>
      <c r="AQ65" s="76">
        <f t="shared" si="12"/>
        <v>0</v>
      </c>
      <c r="AR65" s="77">
        <f t="shared" si="17"/>
        <v>0</v>
      </c>
    </row>
    <row r="66" spans="1:44" ht="15.75" thickBot="1" x14ac:dyDescent="0.3">
      <c r="J66" s="83">
        <f>SUM(J4:J65)</f>
        <v>22170.853000000006</v>
      </c>
      <c r="R66">
        <f>+J66+O66</f>
        <v>22170.853000000006</v>
      </c>
      <c r="S66">
        <f>+J66*K66%+O66*P66%</f>
        <v>0</v>
      </c>
      <c r="T66">
        <f>+J66*L66%+O66*Q66%</f>
        <v>0</v>
      </c>
      <c r="AA66">
        <f>X66*Y66%</f>
        <v>0</v>
      </c>
      <c r="AB66">
        <f>X66*Z66%</f>
        <v>0</v>
      </c>
      <c r="AF66">
        <f>AC66*AD66%</f>
        <v>0</v>
      </c>
      <c r="AG66">
        <f>AC66*AE66%</f>
        <v>0</v>
      </c>
      <c r="AJ66" t="s">
        <v>91</v>
      </c>
      <c r="AM66" s="94">
        <f>-SUM(AM4:AM65)</f>
        <v>779.34699999999964</v>
      </c>
      <c r="AN66" s="94">
        <f>-SUM(AN4:AN65)</f>
        <v>77.55334619999995</v>
      </c>
      <c r="AO66" s="94">
        <f>-SUM(AO4:AO65)</f>
        <v>116.03488079999954</v>
      </c>
      <c r="AP66" s="95"/>
      <c r="AQ66" s="96">
        <f>-SUM(AQ4:AQ65)</f>
        <v>69540.618202593847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74" priority="2" operator="lessThan">
      <formula>0.1</formula>
    </cfRule>
    <cfRule type="cellIs" dxfId="73" priority="3" operator="greaterThan">
      <formula>0.1</formula>
    </cfRule>
  </conditionalFormatting>
  <conditionalFormatting sqref="AP1:AQ1">
    <cfRule type="cellIs" dxfId="72" priority="1" operator="lessThan">
      <formula>1</formula>
    </cfRule>
  </conditionalFormatting>
  <conditionalFormatting sqref="AQ4:AQ65">
    <cfRule type="cellIs" dxfId="71" priority="4" operator="lessThan">
      <formula>0</formula>
    </cfRule>
    <cfRule type="cellIs" dxfId="70" priority="5" operator="greater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V71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C14" sqref="AC14:AE14"/>
    </sheetView>
  </sheetViews>
  <sheetFormatPr defaultRowHeight="15" x14ac:dyDescent="0.25"/>
  <cols>
    <col min="1" max="1" width="3.85546875" customWidth="1"/>
    <col min="2" max="2" width="10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10" width="8.140625" bestFit="1" customWidth="1"/>
    <col min="11" max="12" width="5.85546875" bestFit="1" customWidth="1"/>
    <col min="13" max="13" width="6" bestFit="1" customWidth="1"/>
    <col min="14" max="14" width="8.85546875" customWidth="1"/>
    <col min="15" max="15" width="7" bestFit="1" customWidth="1"/>
    <col min="16" max="17" width="5.85546875" bestFit="1" customWidth="1"/>
    <col min="18" max="18" width="8.14062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13" customWidth="1"/>
    <col min="24" max="24" width="9.5703125" customWidth="1"/>
    <col min="25" max="26" width="5.85546875" bestFit="1" customWidth="1"/>
    <col min="27" max="28" width="6.85546875" customWidth="1"/>
    <col min="29" max="29" width="8.140625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7.28515625" bestFit="1" customWidth="1"/>
    <col min="35" max="36" width="5.85546875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8.5703125" bestFit="1" customWidth="1"/>
    <col min="44" max="44" width="5.140625" bestFit="1" customWidth="1"/>
    <col min="45" max="49" width="8.7109375" bestFit="1" customWidth="1"/>
  </cols>
  <sheetData>
    <row r="1" spans="1:44" ht="15.75" thickBot="1" x14ac:dyDescent="0.3">
      <c r="B1" s="43" t="s">
        <v>147</v>
      </c>
      <c r="C1" s="44"/>
      <c r="G1" s="209"/>
      <c r="H1" s="209"/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59" t="s">
        <v>64</v>
      </c>
      <c r="C2" s="261" t="s">
        <v>65</v>
      </c>
      <c r="D2" s="263" t="s">
        <v>66</v>
      </c>
      <c r="E2" s="263"/>
      <c r="F2" s="263"/>
      <c r="G2" s="263"/>
      <c r="H2" s="264"/>
      <c r="I2" s="255" t="s">
        <v>67</v>
      </c>
      <c r="J2" s="256"/>
      <c r="K2" s="256"/>
      <c r="L2" s="257"/>
      <c r="M2" s="255" t="s">
        <v>68</v>
      </c>
      <c r="N2" s="265"/>
      <c r="O2" s="256"/>
      <c r="P2" s="256"/>
      <c r="Q2" s="257"/>
      <c r="R2" s="265" t="s">
        <v>69</v>
      </c>
      <c r="S2" s="256"/>
      <c r="T2" s="257"/>
      <c r="U2" s="252" t="s">
        <v>70</v>
      </c>
      <c r="V2" s="253"/>
      <c r="W2" s="253"/>
      <c r="X2" s="253"/>
      <c r="Y2" s="253"/>
      <c r="Z2" s="253"/>
      <c r="AA2" s="253"/>
      <c r="AB2" s="254"/>
      <c r="AC2" s="255" t="s">
        <v>71</v>
      </c>
      <c r="AD2" s="256"/>
      <c r="AE2" s="256"/>
      <c r="AF2" s="256"/>
      <c r="AG2" s="257"/>
      <c r="AH2" s="255" t="s">
        <v>72</v>
      </c>
      <c r="AI2" s="256"/>
      <c r="AJ2" s="256"/>
      <c r="AK2" s="256"/>
      <c r="AL2" s="258"/>
      <c r="AM2" s="252" t="s">
        <v>73</v>
      </c>
      <c r="AN2" s="253"/>
      <c r="AO2" s="253"/>
      <c r="AP2" s="253"/>
      <c r="AQ2" s="254"/>
    </row>
    <row r="3" spans="1:44" x14ac:dyDescent="0.25">
      <c r="B3" s="260"/>
      <c r="C3" s="26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87">
        <v>2110.1</v>
      </c>
      <c r="E4" s="88">
        <v>3.79</v>
      </c>
      <c r="F4" s="88">
        <v>8.1199999999999992</v>
      </c>
      <c r="G4" s="62">
        <f t="shared" ref="G4:G65" si="0">+D4*E4%</f>
        <v>79.972790000000003</v>
      </c>
      <c r="H4" s="63">
        <f t="shared" ref="H4:H65" si="1">+D4*F4%</f>
        <v>171.34011999999998</v>
      </c>
      <c r="I4" s="203">
        <v>1313.1000000000001</v>
      </c>
      <c r="J4" s="203">
        <v>1352.4930000000002</v>
      </c>
      <c r="K4" s="203">
        <v>4.9466529586474737</v>
      </c>
      <c r="L4" s="203">
        <v>8.3066179270428719</v>
      </c>
      <c r="M4" s="57">
        <v>0</v>
      </c>
      <c r="N4" s="58">
        <v>0</v>
      </c>
      <c r="O4" s="59">
        <v>0</v>
      </c>
      <c r="P4" s="56">
        <v>0</v>
      </c>
      <c r="Q4" s="60">
        <v>0</v>
      </c>
      <c r="R4" s="61">
        <f t="shared" ref="R4:R65" si="2">+J4+O4</f>
        <v>1352.4930000000002</v>
      </c>
      <c r="S4" s="62">
        <f t="shared" ref="S4:S65" si="3">+J4*K4%+O4*P4%</f>
        <v>66.903134999999992</v>
      </c>
      <c r="T4" s="63">
        <f t="shared" ref="T4:T65" si="4">+J4*L4%+O4*Q4%</f>
        <v>112.34642599999997</v>
      </c>
      <c r="U4" s="64" t="s">
        <v>251</v>
      </c>
      <c r="V4" s="65" t="s">
        <v>259</v>
      </c>
      <c r="W4" s="66" t="s">
        <v>189</v>
      </c>
      <c r="X4" s="67">
        <v>3220</v>
      </c>
      <c r="Y4" s="68">
        <v>4.25</v>
      </c>
      <c r="Z4" s="68">
        <v>8.14</v>
      </c>
      <c r="AA4" s="62">
        <f t="shared" ref="AA4:AA65" si="5">X4*Y4%</f>
        <v>136.85000000000002</v>
      </c>
      <c r="AB4" s="63">
        <f t="shared" ref="AB4:AB65" si="6">X4*Z4%</f>
        <v>262.108</v>
      </c>
      <c r="AC4" s="69">
        <v>3210</v>
      </c>
      <c r="AD4" s="70">
        <v>4.5925233644859818</v>
      </c>
      <c r="AE4" s="70">
        <v>8.2562616822429913</v>
      </c>
      <c r="AF4" s="62">
        <f t="shared" ref="AF4:AF65" si="7">AC4*AD4%</f>
        <v>147.42000000000002</v>
      </c>
      <c r="AG4" s="62">
        <f t="shared" ref="AG4:AG65" si="8">AC4*AE4%</f>
        <v>265.02600000000001</v>
      </c>
      <c r="AH4" s="89">
        <v>242.5</v>
      </c>
      <c r="AI4" s="66">
        <v>4.24</v>
      </c>
      <c r="AJ4" s="66">
        <v>8.1999999999999993</v>
      </c>
      <c r="AK4" s="62">
        <f t="shared" ref="AK4:AK65" si="9">AH4*AI4%</f>
        <v>10.282</v>
      </c>
      <c r="AL4" s="72">
        <f t="shared" ref="AL4:AL65" si="10">AH4*AJ4%</f>
        <v>19.884999999999998</v>
      </c>
      <c r="AM4" s="73">
        <f t="shared" ref="AM4:AM65" si="11">+D4+R4-AC4-AH4</f>
        <v>10.092999999999847</v>
      </c>
      <c r="AN4" s="74">
        <f t="shared" ref="AN4:AO19" si="12">+G4+S4-AF4-AK4</f>
        <v>-10.826075000000021</v>
      </c>
      <c r="AO4" s="74">
        <f t="shared" si="12"/>
        <v>-1.2244540000000441</v>
      </c>
      <c r="AP4" s="75">
        <f t="shared" ref="AP4:AP65" si="13">(AN4+AO4)/(S4+T4)</f>
        <v>-6.7227662554777842E-2</v>
      </c>
      <c r="AQ4" s="76">
        <f t="shared" ref="AQ4:AQ65" si="14">($AP$1*AN4+$AQ$1*AO4)</f>
        <v>-5226.3797583433561</v>
      </c>
      <c r="AR4" s="90">
        <f t="shared" ref="AR4:AR65" si="15">(D4+J4+O4)-(X4+AH4)</f>
        <v>9.2999999999847205E-2</v>
      </c>
    </row>
    <row r="5" spans="1:44" x14ac:dyDescent="0.25">
      <c r="A5" t="str">
        <f t="shared" ref="A5:A65" si="16">CONCATENATE(B5,C5)</f>
        <v>46174E</v>
      </c>
      <c r="B5" s="51">
        <f>+B4</f>
        <v>46174</v>
      </c>
      <c r="C5" s="52" t="s">
        <v>88</v>
      </c>
      <c r="D5" s="91">
        <v>242.5</v>
      </c>
      <c r="E5" s="62">
        <v>4.24</v>
      </c>
      <c r="F5" s="62">
        <v>8.1999999999999993</v>
      </c>
      <c r="G5" s="62">
        <f t="shared" si="0"/>
        <v>10.282</v>
      </c>
      <c r="H5" s="63">
        <f t="shared" si="1"/>
        <v>19.884999999999998</v>
      </c>
      <c r="I5" s="203">
        <v>2085.1000000000004</v>
      </c>
      <c r="J5" s="203">
        <v>2147.6530000000002</v>
      </c>
      <c r="K5" s="203">
        <v>3.9627787636084584</v>
      </c>
      <c r="L5" s="203">
        <v>8.1538343484724933</v>
      </c>
      <c r="M5" s="57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si="2"/>
        <v>2147.6530000000002</v>
      </c>
      <c r="S5" s="62">
        <f t="shared" si="3"/>
        <v>85.106736999999981</v>
      </c>
      <c r="T5" s="63">
        <f t="shared" si="4"/>
        <v>175.11606799999998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si="5"/>
        <v>0</v>
      </c>
      <c r="AB5" s="63">
        <f t="shared" si="6"/>
        <v>0</v>
      </c>
      <c r="AC5" s="69"/>
      <c r="AD5" s="70"/>
      <c r="AE5" s="70"/>
      <c r="AF5" s="62">
        <f t="shared" si="7"/>
        <v>0</v>
      </c>
      <c r="AG5" s="62">
        <f t="shared" si="8"/>
        <v>0</v>
      </c>
      <c r="AH5" s="89">
        <v>2390.1</v>
      </c>
      <c r="AI5" s="66">
        <v>3.98</v>
      </c>
      <c r="AJ5" s="66">
        <v>8.15</v>
      </c>
      <c r="AK5" s="62">
        <f t="shared" si="9"/>
        <v>95.125979999999998</v>
      </c>
      <c r="AL5" s="72">
        <f t="shared" si="10"/>
        <v>194.79315</v>
      </c>
      <c r="AM5" s="73">
        <f t="shared" si="11"/>
        <v>5.3000000000338332E-2</v>
      </c>
      <c r="AN5" s="74">
        <f t="shared" si="12"/>
        <v>0.26275699999997926</v>
      </c>
      <c r="AO5" s="74">
        <f t="shared" si="12"/>
        <v>0.20791799999997806</v>
      </c>
      <c r="AP5" s="75">
        <f t="shared" si="13"/>
        <v>1.8087384770137933E-3</v>
      </c>
      <c r="AQ5" s="76">
        <f t="shared" si="14"/>
        <v>180.17855778998413</v>
      </c>
      <c r="AR5" s="90">
        <f t="shared" si="15"/>
        <v>5.3000000000338332E-2</v>
      </c>
    </row>
    <row r="6" spans="1:44" x14ac:dyDescent="0.25">
      <c r="A6" t="str">
        <f t="shared" si="16"/>
        <v>46175M</v>
      </c>
      <c r="B6" s="51">
        <f>+B4+1</f>
        <v>46175</v>
      </c>
      <c r="C6" s="52" t="s">
        <v>87</v>
      </c>
      <c r="D6" s="91">
        <v>2390.1</v>
      </c>
      <c r="E6" s="62">
        <v>3.98</v>
      </c>
      <c r="F6" s="62">
        <v>8.15</v>
      </c>
      <c r="G6" s="62">
        <f t="shared" ref="G6:G39" si="17">+D6*E6%</f>
        <v>95.125979999999998</v>
      </c>
      <c r="H6" s="63">
        <f t="shared" ref="H6:H39" si="18">+D6*F6%</f>
        <v>194.79315</v>
      </c>
      <c r="I6" s="203">
        <v>1507.4</v>
      </c>
      <c r="J6" s="203">
        <v>1552.6220000000001</v>
      </c>
      <c r="K6" s="203">
        <v>4.661264428817832</v>
      </c>
      <c r="L6" s="203">
        <v>8.2499336606076685</v>
      </c>
      <c r="M6" s="57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ref="R6:R40" si="19">+J6+O6</f>
        <v>1552.6220000000001</v>
      </c>
      <c r="S6" s="62">
        <f t="shared" ref="S6:S40" si="20">+J6*K6%+O6*P6%</f>
        <v>72.371817000000007</v>
      </c>
      <c r="T6" s="63">
        <f t="shared" ref="T6:T40" si="21">+J6*L6%+O6*Q6%</f>
        <v>128.09028499999999</v>
      </c>
      <c r="U6" s="64" t="s">
        <v>256</v>
      </c>
      <c r="V6" s="65" t="s">
        <v>260</v>
      </c>
      <c r="W6" s="66" t="s">
        <v>225</v>
      </c>
      <c r="X6" s="67">
        <v>3950</v>
      </c>
      <c r="Y6" s="68">
        <v>4.45</v>
      </c>
      <c r="Z6" s="68">
        <v>8.17</v>
      </c>
      <c r="AA6" s="62">
        <f t="shared" ref="AA6:AA40" si="22">X6*Y6%</f>
        <v>175.77500000000001</v>
      </c>
      <c r="AB6" s="63">
        <f t="shared" ref="AB6:AB40" si="23">X6*Z6%</f>
        <v>322.71499999999997</v>
      </c>
      <c r="AC6" s="69">
        <v>3950</v>
      </c>
      <c r="AD6" s="70">
        <v>4.3324050632911399</v>
      </c>
      <c r="AE6" s="70">
        <v>8.1675949367088627</v>
      </c>
      <c r="AF6" s="62">
        <f t="shared" ref="AF6:AF40" si="24">AC6*AD6%</f>
        <v>171.13000000000002</v>
      </c>
      <c r="AG6" s="62">
        <f t="shared" ref="AG6:AG40" si="25">AC6*AE6%</f>
        <v>322.62000000000006</v>
      </c>
      <c r="AH6" s="89">
        <v>0</v>
      </c>
      <c r="AI6" s="66">
        <v>0</v>
      </c>
      <c r="AJ6" s="66">
        <v>0</v>
      </c>
      <c r="AK6" s="62">
        <f t="shared" ref="AK6:AK40" si="26">AH6*AI6%</f>
        <v>0</v>
      </c>
      <c r="AL6" s="72">
        <f t="shared" ref="AL6:AL40" si="27">AH6*AJ6%</f>
        <v>0</v>
      </c>
      <c r="AM6" s="73">
        <f t="shared" si="11"/>
        <v>-7.2780000000002474</v>
      </c>
      <c r="AN6" s="74">
        <f t="shared" si="12"/>
        <v>-3.6322030000000325</v>
      </c>
      <c r="AO6" s="74">
        <f t="shared" si="12"/>
        <v>0.26343499999990172</v>
      </c>
      <c r="AP6" s="75">
        <f t="shared" si="13"/>
        <v>-1.6805011852066336E-2</v>
      </c>
      <c r="AQ6" s="76">
        <f t="shared" si="14"/>
        <v>-1551.6931781633775</v>
      </c>
      <c r="AR6" s="90">
        <f t="shared" si="15"/>
        <v>-7.2780000000002474</v>
      </c>
    </row>
    <row r="7" spans="1:44" x14ac:dyDescent="0.25">
      <c r="A7" t="str">
        <f t="shared" si="16"/>
        <v>46175E</v>
      </c>
      <c r="B7" s="51">
        <f>+B5+1</f>
        <v>46175</v>
      </c>
      <c r="C7" s="52" t="s">
        <v>88</v>
      </c>
      <c r="D7" s="91">
        <v>0</v>
      </c>
      <c r="E7" s="62">
        <v>0</v>
      </c>
      <c r="F7" s="62">
        <v>0</v>
      </c>
      <c r="G7" s="62">
        <f t="shared" si="17"/>
        <v>0</v>
      </c>
      <c r="H7" s="63">
        <f t="shared" si="18"/>
        <v>0</v>
      </c>
      <c r="I7" s="203">
        <v>1968.8</v>
      </c>
      <c r="J7" s="203">
        <v>2027.864</v>
      </c>
      <c r="K7" s="203">
        <v>3.9305566842746846</v>
      </c>
      <c r="L7" s="203">
        <v>8.1457182039821223</v>
      </c>
      <c r="M7" s="57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9"/>
        <v>2027.864</v>
      </c>
      <c r="S7" s="62">
        <f t="shared" si="20"/>
        <v>79.706343999999987</v>
      </c>
      <c r="T7" s="63">
        <f t="shared" si="21"/>
        <v>165.18408700000001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22"/>
        <v>0</v>
      </c>
      <c r="AB7" s="63">
        <f t="shared" si="23"/>
        <v>0</v>
      </c>
      <c r="AC7" s="69"/>
      <c r="AD7" s="70"/>
      <c r="AE7" s="70"/>
      <c r="AF7" s="62">
        <f t="shared" si="24"/>
        <v>0</v>
      </c>
      <c r="AG7" s="62">
        <f t="shared" si="25"/>
        <v>0</v>
      </c>
      <c r="AH7" s="89">
        <v>2027.8</v>
      </c>
      <c r="AI7" s="66">
        <v>3.93</v>
      </c>
      <c r="AJ7" s="66">
        <v>8.15</v>
      </c>
      <c r="AK7" s="62">
        <f t="shared" si="26"/>
        <v>79.692540000000008</v>
      </c>
      <c r="AL7" s="72">
        <f t="shared" si="27"/>
        <v>165.26570000000001</v>
      </c>
      <c r="AM7" s="73">
        <f t="shared" si="11"/>
        <v>6.4000000000078217E-2</v>
      </c>
      <c r="AN7" s="74">
        <f t="shared" si="12"/>
        <v>1.3803999999979055E-2</v>
      </c>
      <c r="AO7" s="74">
        <f t="shared" si="12"/>
        <v>-8.1613000000004376E-2</v>
      </c>
      <c r="AP7" s="75">
        <f t="shared" si="13"/>
        <v>-2.7689526178352523E-4</v>
      </c>
      <c r="AQ7" s="76">
        <f t="shared" si="14"/>
        <v>-18.227840913344046</v>
      </c>
      <c r="AR7" s="90">
        <f t="shared" si="15"/>
        <v>6.4000000000078217E-2</v>
      </c>
    </row>
    <row r="8" spans="1:44" x14ac:dyDescent="0.25">
      <c r="A8" t="str">
        <f t="shared" si="16"/>
        <v>46176M</v>
      </c>
      <c r="B8" s="51">
        <f>+B6+1</f>
        <v>46176</v>
      </c>
      <c r="C8" s="52" t="s">
        <v>87</v>
      </c>
      <c r="D8" s="91">
        <v>2027.8</v>
      </c>
      <c r="E8" s="62">
        <v>3.93</v>
      </c>
      <c r="F8" s="62">
        <v>8.15</v>
      </c>
      <c r="G8" s="62">
        <f t="shared" si="17"/>
        <v>79.692540000000008</v>
      </c>
      <c r="H8" s="63">
        <f t="shared" si="18"/>
        <v>165.26570000000001</v>
      </c>
      <c r="I8" s="203">
        <v>1472.5</v>
      </c>
      <c r="J8" s="203">
        <v>1516.675</v>
      </c>
      <c r="K8" s="203">
        <v>4.8936842105263167</v>
      </c>
      <c r="L8" s="203">
        <v>8.2630831918505923</v>
      </c>
      <c r="M8" s="57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9"/>
        <v>1516.675</v>
      </c>
      <c r="S8" s="62">
        <f t="shared" si="20"/>
        <v>74.221285000000009</v>
      </c>
      <c r="T8" s="63">
        <f t="shared" si="21"/>
        <v>125.32411699999997</v>
      </c>
      <c r="U8" s="64" t="s">
        <v>167</v>
      </c>
      <c r="V8" s="65" t="s">
        <v>167</v>
      </c>
      <c r="W8" s="66">
        <v>0</v>
      </c>
      <c r="X8" s="67">
        <v>0</v>
      </c>
      <c r="Y8" s="68">
        <v>0</v>
      </c>
      <c r="Z8" s="68">
        <v>0</v>
      </c>
      <c r="AA8" s="62">
        <f t="shared" si="22"/>
        <v>0</v>
      </c>
      <c r="AB8" s="63">
        <f t="shared" si="23"/>
        <v>0</v>
      </c>
      <c r="AC8" s="69"/>
      <c r="AD8" s="70"/>
      <c r="AE8" s="70"/>
      <c r="AF8" s="62">
        <f t="shared" si="24"/>
        <v>0</v>
      </c>
      <c r="AG8" s="62">
        <f t="shared" si="25"/>
        <v>0</v>
      </c>
      <c r="AH8" s="89">
        <v>3544.4</v>
      </c>
      <c r="AI8" s="66">
        <v>4.34</v>
      </c>
      <c r="AJ8" s="66">
        <v>8.19</v>
      </c>
      <c r="AK8" s="62">
        <f t="shared" si="26"/>
        <v>153.82696000000001</v>
      </c>
      <c r="AL8" s="72">
        <f t="shared" si="27"/>
        <v>290.28636</v>
      </c>
      <c r="AM8" s="73">
        <f t="shared" si="11"/>
        <v>7.4999999999818101E-2</v>
      </c>
      <c r="AN8" s="74">
        <f t="shared" si="12"/>
        <v>8.6865000000017289E-2</v>
      </c>
      <c r="AO8" s="74">
        <f t="shared" si="12"/>
        <v>0.30345699999998033</v>
      </c>
      <c r="AP8" s="75">
        <f t="shared" si="13"/>
        <v>1.9560560959455114E-3</v>
      </c>
      <c r="AQ8" s="76">
        <f t="shared" si="14"/>
        <v>129.81115506333521</v>
      </c>
      <c r="AR8" s="90">
        <f t="shared" si="15"/>
        <v>7.4999999999818101E-2</v>
      </c>
    </row>
    <row r="9" spans="1:44" x14ac:dyDescent="0.25">
      <c r="A9" t="str">
        <f t="shared" si="16"/>
        <v>46176E</v>
      </c>
      <c r="B9" s="51">
        <f t="shared" ref="B9:B65" si="28">+B7+1</f>
        <v>46176</v>
      </c>
      <c r="C9" s="52" t="s">
        <v>88</v>
      </c>
      <c r="D9" s="91">
        <v>3544.4</v>
      </c>
      <c r="E9" s="62">
        <v>4.34</v>
      </c>
      <c r="F9" s="62">
        <v>8.19</v>
      </c>
      <c r="G9" s="62">
        <f t="shared" si="17"/>
        <v>153.82696000000001</v>
      </c>
      <c r="H9" s="63">
        <f t="shared" si="18"/>
        <v>290.28636</v>
      </c>
      <c r="I9" s="203">
        <v>2141</v>
      </c>
      <c r="J9" s="203">
        <v>2205.23</v>
      </c>
      <c r="K9" s="203">
        <v>3.9287202241943007</v>
      </c>
      <c r="L9" s="203">
        <v>8.1325361980383004</v>
      </c>
      <c r="M9" s="57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9"/>
        <v>2205.23</v>
      </c>
      <c r="S9" s="62">
        <f t="shared" si="20"/>
        <v>86.637316999999982</v>
      </c>
      <c r="T9" s="63">
        <f t="shared" si="21"/>
        <v>179.34112800000003</v>
      </c>
      <c r="U9" s="64" t="s">
        <v>256</v>
      </c>
      <c r="V9" s="65" t="s">
        <v>261</v>
      </c>
      <c r="W9" s="66" t="s">
        <v>262</v>
      </c>
      <c r="X9" s="67">
        <v>5765</v>
      </c>
      <c r="Y9" s="68">
        <v>4.25</v>
      </c>
      <c r="Z9" s="68">
        <v>8.19</v>
      </c>
      <c r="AA9" s="62">
        <f t="shared" si="22"/>
        <v>245.01250000000002</v>
      </c>
      <c r="AB9" s="63">
        <f t="shared" si="23"/>
        <v>472.15350000000001</v>
      </c>
      <c r="AC9" s="69">
        <v>5720</v>
      </c>
      <c r="AD9" s="70">
        <v>4.2</v>
      </c>
      <c r="AE9" s="70">
        <v>8</v>
      </c>
      <c r="AF9" s="62">
        <f t="shared" si="24"/>
        <v>240.24</v>
      </c>
      <c r="AG9" s="62">
        <f t="shared" si="25"/>
        <v>457.6</v>
      </c>
      <c r="AH9" s="89">
        <v>0</v>
      </c>
      <c r="AI9" s="66">
        <v>0</v>
      </c>
      <c r="AJ9" s="66">
        <v>0</v>
      </c>
      <c r="AK9" s="62">
        <f t="shared" si="26"/>
        <v>0</v>
      </c>
      <c r="AL9" s="72">
        <f t="shared" si="27"/>
        <v>0</v>
      </c>
      <c r="AM9" s="73">
        <f t="shared" si="11"/>
        <v>29.630000000000109</v>
      </c>
      <c r="AN9" s="74">
        <f t="shared" si="12"/>
        <v>0.2242769999999723</v>
      </c>
      <c r="AO9" s="74">
        <f t="shared" si="12"/>
        <v>12.027488000000005</v>
      </c>
      <c r="AP9" s="75">
        <f t="shared" si="13"/>
        <v>4.6062999578781572E-2</v>
      </c>
      <c r="AQ9" s="76">
        <f t="shared" si="14"/>
        <v>3700.1866134566562</v>
      </c>
      <c r="AR9" s="90">
        <f t="shared" si="15"/>
        <v>-15.369999999999891</v>
      </c>
    </row>
    <row r="10" spans="1:44" x14ac:dyDescent="0.25">
      <c r="A10" t="str">
        <f t="shared" si="16"/>
        <v>46177M</v>
      </c>
      <c r="B10" s="51">
        <f t="shared" si="28"/>
        <v>46177</v>
      </c>
      <c r="C10" s="52" t="s">
        <v>87</v>
      </c>
      <c r="D10" s="91">
        <v>0</v>
      </c>
      <c r="E10" s="62">
        <v>0</v>
      </c>
      <c r="F10" s="62">
        <v>0</v>
      </c>
      <c r="G10" s="62">
        <f t="shared" si="17"/>
        <v>0</v>
      </c>
      <c r="H10" s="63">
        <f t="shared" si="18"/>
        <v>0</v>
      </c>
      <c r="I10" s="203">
        <v>1474.6000000000001</v>
      </c>
      <c r="J10" s="203">
        <v>1518.8380000000002</v>
      </c>
      <c r="K10" s="203">
        <v>4.7368642343686425</v>
      </c>
      <c r="L10" s="203">
        <v>8.2157330801573316</v>
      </c>
      <c r="M10" s="57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9"/>
        <v>1518.8380000000002</v>
      </c>
      <c r="S10" s="62">
        <f t="shared" si="20"/>
        <v>71.945294000000004</v>
      </c>
      <c r="T10" s="63">
        <f t="shared" si="21"/>
        <v>124.78367600000004</v>
      </c>
      <c r="U10" s="64" t="s">
        <v>251</v>
      </c>
      <c r="V10" s="65" t="s">
        <v>263</v>
      </c>
      <c r="W10" s="66" t="s">
        <v>189</v>
      </c>
      <c r="X10" s="67">
        <v>1545</v>
      </c>
      <c r="Y10" s="68">
        <v>4.25</v>
      </c>
      <c r="Z10" s="68">
        <v>8.1300000000000008</v>
      </c>
      <c r="AA10" s="62">
        <f t="shared" si="22"/>
        <v>65.662500000000009</v>
      </c>
      <c r="AB10" s="63">
        <f t="shared" si="23"/>
        <v>125.60850000000002</v>
      </c>
      <c r="AC10" s="69">
        <v>1550</v>
      </c>
      <c r="AD10" s="70">
        <v>5.0503225806451582</v>
      </c>
      <c r="AE10" s="70">
        <v>8.2300645161290404</v>
      </c>
      <c r="AF10" s="62">
        <f t="shared" si="24"/>
        <v>78.279999999999959</v>
      </c>
      <c r="AG10" s="62">
        <f t="shared" si="25"/>
        <v>127.56600000000013</v>
      </c>
      <c r="AH10" s="89">
        <v>0</v>
      </c>
      <c r="AI10" s="66">
        <v>0</v>
      </c>
      <c r="AJ10" s="66">
        <v>0</v>
      </c>
      <c r="AK10" s="62">
        <f t="shared" si="26"/>
        <v>0</v>
      </c>
      <c r="AL10" s="72">
        <f t="shared" si="27"/>
        <v>0</v>
      </c>
      <c r="AM10" s="73">
        <f t="shared" si="11"/>
        <v>-31.161999999999807</v>
      </c>
      <c r="AN10" s="74">
        <f t="shared" si="12"/>
        <v>-6.3347059999999544</v>
      </c>
      <c r="AO10" s="74">
        <f t="shared" si="12"/>
        <v>-2.7823240000000879</v>
      </c>
      <c r="AP10" s="75">
        <f t="shared" si="13"/>
        <v>-4.6343098324563174E-2</v>
      </c>
      <c r="AQ10" s="76">
        <f t="shared" si="14"/>
        <v>-3676.3882483533393</v>
      </c>
      <c r="AR10" s="90">
        <f t="shared" si="15"/>
        <v>-26.161999999999807</v>
      </c>
    </row>
    <row r="11" spans="1:44" x14ac:dyDescent="0.25">
      <c r="A11" t="str">
        <f t="shared" si="16"/>
        <v>46177E</v>
      </c>
      <c r="B11" s="51">
        <f t="shared" si="28"/>
        <v>46177</v>
      </c>
      <c r="C11" s="52" t="s">
        <v>88</v>
      </c>
      <c r="D11" s="91">
        <v>0</v>
      </c>
      <c r="E11" s="62">
        <v>0</v>
      </c>
      <c r="F11" s="62">
        <v>0</v>
      </c>
      <c r="G11" s="62">
        <f t="shared" si="17"/>
        <v>0</v>
      </c>
      <c r="H11" s="63">
        <f t="shared" si="18"/>
        <v>0</v>
      </c>
      <c r="I11" s="203">
        <v>2147.6999999999998</v>
      </c>
      <c r="J11" s="203">
        <v>2212.1309999999999</v>
      </c>
      <c r="K11" s="203">
        <v>3.9283745402058026</v>
      </c>
      <c r="L11" s="203">
        <v>8.1144340457233337</v>
      </c>
      <c r="M11" s="57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9"/>
        <v>2212.1309999999999</v>
      </c>
      <c r="S11" s="62">
        <f t="shared" si="20"/>
        <v>86.900791000000027</v>
      </c>
      <c r="T11" s="63">
        <f t="shared" si="21"/>
        <v>179.50191100000004</v>
      </c>
      <c r="U11" s="64" t="s">
        <v>187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22"/>
        <v>0</v>
      </c>
      <c r="AB11" s="63">
        <f t="shared" si="23"/>
        <v>0</v>
      </c>
      <c r="AC11" s="69"/>
      <c r="AD11" s="70"/>
      <c r="AE11" s="70"/>
      <c r="AF11" s="62">
        <f t="shared" si="24"/>
        <v>0</v>
      </c>
      <c r="AG11" s="62">
        <f t="shared" si="25"/>
        <v>0</v>
      </c>
      <c r="AH11" s="89">
        <v>2212.1</v>
      </c>
      <c r="AI11" s="66">
        <v>3.93</v>
      </c>
      <c r="AJ11" s="66">
        <v>8.1199999999999992</v>
      </c>
      <c r="AK11" s="62">
        <f t="shared" si="26"/>
        <v>86.93553</v>
      </c>
      <c r="AL11" s="72">
        <f t="shared" si="27"/>
        <v>179.62251999999998</v>
      </c>
      <c r="AM11" s="73">
        <f t="shared" si="11"/>
        <v>3.0999999999949068E-2</v>
      </c>
      <c r="AN11" s="74">
        <f t="shared" si="12"/>
        <v>-3.473899999997343E-2</v>
      </c>
      <c r="AO11" s="74">
        <f t="shared" si="12"/>
        <v>-0.1206089999999449</v>
      </c>
      <c r="AP11" s="75">
        <f t="shared" si="13"/>
        <v>-5.8313222363607362E-4</v>
      </c>
      <c r="AQ11" s="76">
        <f t="shared" si="14"/>
        <v>-51.689741949971591</v>
      </c>
      <c r="AR11" s="90">
        <f t="shared" si="15"/>
        <v>3.0999999999949068E-2</v>
      </c>
    </row>
    <row r="12" spans="1:44" x14ac:dyDescent="0.25">
      <c r="A12" t="str">
        <f t="shared" si="16"/>
        <v>46178M</v>
      </c>
      <c r="B12" s="51">
        <f t="shared" si="28"/>
        <v>46178</v>
      </c>
      <c r="C12" s="52" t="s">
        <v>87</v>
      </c>
      <c r="D12" s="91">
        <v>2212.1</v>
      </c>
      <c r="E12" s="62">
        <v>3.93</v>
      </c>
      <c r="F12" s="62">
        <v>8.1199999999999992</v>
      </c>
      <c r="G12" s="62">
        <f t="shared" si="17"/>
        <v>86.93553</v>
      </c>
      <c r="H12" s="63">
        <f t="shared" si="18"/>
        <v>179.62251999999998</v>
      </c>
      <c r="I12" s="203">
        <v>1468.8</v>
      </c>
      <c r="J12" s="203">
        <v>1512.864</v>
      </c>
      <c r="K12" s="203">
        <v>4.91</v>
      </c>
      <c r="L12" s="203">
        <v>8.26</v>
      </c>
      <c r="M12" s="57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9"/>
        <v>1512.864</v>
      </c>
      <c r="S12" s="62">
        <f t="shared" si="20"/>
        <v>74.281622400000003</v>
      </c>
      <c r="T12" s="63">
        <f t="shared" si="21"/>
        <v>124.96256639999999</v>
      </c>
      <c r="U12" s="64" t="s">
        <v>246</v>
      </c>
      <c r="V12" s="65" t="s">
        <v>365</v>
      </c>
      <c r="W12" s="66" t="s">
        <v>189</v>
      </c>
      <c r="X12" s="67">
        <v>3480</v>
      </c>
      <c r="Y12" s="68">
        <v>4.2</v>
      </c>
      <c r="Z12" s="68">
        <v>8.1199999999999992</v>
      </c>
      <c r="AA12" s="62">
        <f t="shared" si="22"/>
        <v>146.16</v>
      </c>
      <c r="AB12" s="63">
        <f t="shared" si="23"/>
        <v>282.57599999999996</v>
      </c>
      <c r="AC12" s="69">
        <v>3460</v>
      </c>
      <c r="AD12" s="70">
        <v>4.6017341040462432</v>
      </c>
      <c r="AE12" s="70">
        <v>8.010346820809243</v>
      </c>
      <c r="AF12" s="62">
        <f t="shared" si="24"/>
        <v>159.22</v>
      </c>
      <c r="AG12" s="62">
        <f t="shared" si="25"/>
        <v>277.15799999999979</v>
      </c>
      <c r="AH12" s="89">
        <v>244.9</v>
      </c>
      <c r="AI12" s="66">
        <v>4.32</v>
      </c>
      <c r="AJ12" s="66">
        <v>8.17</v>
      </c>
      <c r="AK12" s="62">
        <f t="shared" si="26"/>
        <v>10.579680000000002</v>
      </c>
      <c r="AL12" s="72">
        <f t="shared" si="27"/>
        <v>20.008330000000001</v>
      </c>
      <c r="AM12" s="73">
        <f t="shared" si="11"/>
        <v>20.063999999999936</v>
      </c>
      <c r="AN12" s="74">
        <f t="shared" si="12"/>
        <v>-8.582527599999997</v>
      </c>
      <c r="AO12" s="74">
        <f t="shared" si="12"/>
        <v>7.4187564000001771</v>
      </c>
      <c r="AP12" s="75">
        <f t="shared" si="13"/>
        <v>-5.8409291985323892E-3</v>
      </c>
      <c r="AQ12" s="76">
        <f t="shared" si="14"/>
        <v>-1632.5465078999455</v>
      </c>
      <c r="AR12" s="90">
        <f t="shared" si="15"/>
        <v>6.3999999999850843E-2</v>
      </c>
    </row>
    <row r="13" spans="1:44" x14ac:dyDescent="0.25">
      <c r="A13" t="str">
        <f t="shared" si="16"/>
        <v>46178E</v>
      </c>
      <c r="B13" s="51">
        <f t="shared" si="28"/>
        <v>46178</v>
      </c>
      <c r="C13" s="52" t="s">
        <v>88</v>
      </c>
      <c r="D13" s="91">
        <v>244.9</v>
      </c>
      <c r="E13" s="62">
        <v>4.32</v>
      </c>
      <c r="F13" s="62">
        <v>8.17</v>
      </c>
      <c r="G13" s="62">
        <f t="shared" si="17"/>
        <v>10.579680000000002</v>
      </c>
      <c r="H13" s="63">
        <f t="shared" si="18"/>
        <v>20.008330000000001</v>
      </c>
      <c r="I13" s="203">
        <v>2096.6</v>
      </c>
      <c r="J13" s="203">
        <v>2159.498</v>
      </c>
      <c r="K13" s="203">
        <v>3.85</v>
      </c>
      <c r="L13" s="203">
        <v>8.09</v>
      </c>
      <c r="M13" s="57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9"/>
        <v>2159.498</v>
      </c>
      <c r="S13" s="62">
        <f t="shared" si="20"/>
        <v>83.140673000000007</v>
      </c>
      <c r="T13" s="63">
        <f t="shared" si="21"/>
        <v>174.70338820000001</v>
      </c>
      <c r="U13" s="64" t="s">
        <v>167</v>
      </c>
      <c r="V13" s="65" t="s">
        <v>187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22"/>
        <v>0</v>
      </c>
      <c r="AB13" s="63">
        <f t="shared" si="23"/>
        <v>0</v>
      </c>
      <c r="AC13" s="69"/>
      <c r="AD13" s="70"/>
      <c r="AE13" s="70"/>
      <c r="AF13" s="62">
        <f t="shared" si="24"/>
        <v>0</v>
      </c>
      <c r="AG13" s="62">
        <f t="shared" si="25"/>
        <v>0</v>
      </c>
      <c r="AH13" s="89">
        <v>2404.3000000000002</v>
      </c>
      <c r="AI13" s="66">
        <v>3.89</v>
      </c>
      <c r="AJ13" s="66">
        <v>8.09</v>
      </c>
      <c r="AK13" s="62">
        <f t="shared" si="26"/>
        <v>93.527270000000016</v>
      </c>
      <c r="AL13" s="72">
        <f t="shared" si="27"/>
        <v>194.50787000000003</v>
      </c>
      <c r="AM13" s="73">
        <f t="shared" si="11"/>
        <v>9.7999999999956344E-2</v>
      </c>
      <c r="AN13" s="74">
        <f t="shared" si="12"/>
        <v>0.19308299999998724</v>
      </c>
      <c r="AO13" s="74">
        <f t="shared" si="12"/>
        <v>0.20384819999998172</v>
      </c>
      <c r="AP13" s="75">
        <f t="shared" si="13"/>
        <v>1.5394234722826688E-3</v>
      </c>
      <c r="AQ13" s="76">
        <f t="shared" si="14"/>
        <v>147.68321983798882</v>
      </c>
      <c r="AR13" s="90">
        <f t="shared" si="15"/>
        <v>9.7999999999956344E-2</v>
      </c>
    </row>
    <row r="14" spans="1:44" x14ac:dyDescent="0.25">
      <c r="A14" t="str">
        <f t="shared" si="16"/>
        <v>46179M</v>
      </c>
      <c r="B14" s="51">
        <f t="shared" si="28"/>
        <v>46179</v>
      </c>
      <c r="C14" s="52" t="s">
        <v>87</v>
      </c>
      <c r="D14" s="91">
        <v>2404.3000000000002</v>
      </c>
      <c r="E14" s="62">
        <v>3.89</v>
      </c>
      <c r="F14" s="62">
        <v>8.09</v>
      </c>
      <c r="G14" s="62">
        <f t="shared" si="17"/>
        <v>93.527270000000016</v>
      </c>
      <c r="H14" s="63">
        <f t="shared" si="18"/>
        <v>194.50787000000003</v>
      </c>
      <c r="I14" s="203">
        <v>1510.1</v>
      </c>
      <c r="J14" s="203">
        <v>1555.403</v>
      </c>
      <c r="K14" s="203">
        <v>4.8499999999999996</v>
      </c>
      <c r="L14" s="203">
        <v>8.24</v>
      </c>
      <c r="M14" s="57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9"/>
        <v>1555.403</v>
      </c>
      <c r="S14" s="62">
        <f t="shared" si="20"/>
        <v>75.437045499999996</v>
      </c>
      <c r="T14" s="63">
        <f t="shared" si="21"/>
        <v>128.1652072</v>
      </c>
      <c r="U14" s="64" t="s">
        <v>256</v>
      </c>
      <c r="V14" s="65" t="s">
        <v>366</v>
      </c>
      <c r="W14" s="66" t="s">
        <v>262</v>
      </c>
      <c r="X14" s="67">
        <v>3935</v>
      </c>
      <c r="Y14" s="68">
        <v>4.5</v>
      </c>
      <c r="Z14" s="68">
        <v>8.24</v>
      </c>
      <c r="AA14" s="62">
        <f t="shared" si="22"/>
        <v>177.07499999999999</v>
      </c>
      <c r="AB14" s="63">
        <f t="shared" si="23"/>
        <v>324.24400000000003</v>
      </c>
      <c r="AC14" s="69">
        <v>3895</v>
      </c>
      <c r="AD14" s="70">
        <v>4.45</v>
      </c>
      <c r="AE14" s="70">
        <v>8.11</v>
      </c>
      <c r="AF14" s="62">
        <f t="shared" si="24"/>
        <v>173.32750000000001</v>
      </c>
      <c r="AG14" s="62">
        <f t="shared" si="25"/>
        <v>315.88449999999995</v>
      </c>
      <c r="AH14" s="89">
        <v>24</v>
      </c>
      <c r="AI14" s="66">
        <v>4.26</v>
      </c>
      <c r="AJ14" s="66">
        <v>8.24</v>
      </c>
      <c r="AK14" s="62">
        <f t="shared" si="26"/>
        <v>1.0224</v>
      </c>
      <c r="AL14" s="72">
        <f t="shared" si="27"/>
        <v>1.9776</v>
      </c>
      <c r="AM14" s="73">
        <f t="shared" si="11"/>
        <v>40.703000000000429</v>
      </c>
      <c r="AN14" s="74">
        <f t="shared" si="12"/>
        <v>-5.3855845000000171</v>
      </c>
      <c r="AO14" s="74">
        <f t="shared" si="12"/>
        <v>4.8109772000000772</v>
      </c>
      <c r="AP14" s="75">
        <f t="shared" si="13"/>
        <v>-2.8222050217027871E-3</v>
      </c>
      <c r="AQ14" s="76">
        <f t="shared" si="14"/>
        <v>-977.84555466031793</v>
      </c>
      <c r="AR14" s="90">
        <f t="shared" si="15"/>
        <v>0.70300000000042928</v>
      </c>
    </row>
    <row r="15" spans="1:44" x14ac:dyDescent="0.25">
      <c r="A15" t="str">
        <f t="shared" si="16"/>
        <v>46179E</v>
      </c>
      <c r="B15" s="51">
        <f t="shared" si="28"/>
        <v>46179</v>
      </c>
      <c r="C15" s="52" t="s">
        <v>88</v>
      </c>
      <c r="D15" s="91">
        <v>24</v>
      </c>
      <c r="E15" s="62">
        <v>4.26</v>
      </c>
      <c r="F15" s="62">
        <v>8.24</v>
      </c>
      <c r="G15" s="62">
        <f t="shared" si="17"/>
        <v>1.0224</v>
      </c>
      <c r="H15" s="63">
        <f t="shared" si="18"/>
        <v>1.9776</v>
      </c>
      <c r="I15" s="203">
        <v>2018.6</v>
      </c>
      <c r="J15" s="203">
        <v>2079.1579999999999</v>
      </c>
      <c r="K15" s="203">
        <v>3.99</v>
      </c>
      <c r="L15" s="203">
        <v>8.15</v>
      </c>
      <c r="M15" s="57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9"/>
        <v>2079.1579999999999</v>
      </c>
      <c r="S15" s="62">
        <f t="shared" si="20"/>
        <v>82.958404200000004</v>
      </c>
      <c r="T15" s="63">
        <f t="shared" si="21"/>
        <v>169.45137700000001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22"/>
        <v>0</v>
      </c>
      <c r="AB15" s="63">
        <f t="shared" si="23"/>
        <v>0</v>
      </c>
      <c r="AC15" s="69"/>
      <c r="AD15" s="70"/>
      <c r="AE15" s="70"/>
      <c r="AF15" s="62">
        <f t="shared" si="24"/>
        <v>0</v>
      </c>
      <c r="AG15" s="62">
        <f t="shared" si="25"/>
        <v>0</v>
      </c>
      <c r="AH15" s="89">
        <v>2103</v>
      </c>
      <c r="AI15" s="66">
        <v>3.99</v>
      </c>
      <c r="AJ15" s="66">
        <v>8.14</v>
      </c>
      <c r="AK15" s="62">
        <f t="shared" si="26"/>
        <v>83.909700000000015</v>
      </c>
      <c r="AL15" s="72">
        <f t="shared" si="27"/>
        <v>171.1842</v>
      </c>
      <c r="AM15" s="73">
        <f t="shared" si="11"/>
        <v>0.15799999999990177</v>
      </c>
      <c r="AN15" s="74">
        <f t="shared" si="12"/>
        <v>7.1104199999993511E-2</v>
      </c>
      <c r="AO15" s="74">
        <f t="shared" si="12"/>
        <v>0.24477699999999913</v>
      </c>
      <c r="AP15" s="75">
        <f t="shared" si="13"/>
        <v>1.2514618034936622E-3</v>
      </c>
      <c r="AQ15" s="76">
        <f t="shared" si="14"/>
        <v>105.17461513533017</v>
      </c>
      <c r="AR15" s="90">
        <f t="shared" si="15"/>
        <v>0.15799999999990177</v>
      </c>
    </row>
    <row r="16" spans="1:44" x14ac:dyDescent="0.25">
      <c r="A16" t="str">
        <f t="shared" si="16"/>
        <v>46180M</v>
      </c>
      <c r="B16" s="51">
        <f t="shared" si="28"/>
        <v>46180</v>
      </c>
      <c r="C16" s="52" t="s">
        <v>87</v>
      </c>
      <c r="D16" s="91">
        <v>2103</v>
      </c>
      <c r="E16" s="62">
        <v>3.99</v>
      </c>
      <c r="F16" s="62">
        <v>8.14</v>
      </c>
      <c r="G16" s="62">
        <f t="shared" si="17"/>
        <v>83.909700000000015</v>
      </c>
      <c r="H16" s="63">
        <f t="shared" si="18"/>
        <v>171.1842</v>
      </c>
      <c r="I16" s="203">
        <v>1525.4</v>
      </c>
      <c r="J16" s="203">
        <v>1571.162</v>
      </c>
      <c r="K16" s="203">
        <v>4.59</v>
      </c>
      <c r="L16" s="203">
        <v>8.19</v>
      </c>
      <c r="M16" s="57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9"/>
        <v>1571.162</v>
      </c>
      <c r="S16" s="62">
        <f t="shared" si="20"/>
        <v>72.116335800000002</v>
      </c>
      <c r="T16" s="63">
        <f t="shared" si="21"/>
        <v>128.67816780000001</v>
      </c>
      <c r="U16" s="64" t="s">
        <v>167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22"/>
        <v>0</v>
      </c>
      <c r="AB16" s="63">
        <f t="shared" si="23"/>
        <v>0</v>
      </c>
      <c r="AC16" s="69"/>
      <c r="AD16" s="70"/>
      <c r="AE16" s="70"/>
      <c r="AF16" s="62">
        <f t="shared" si="24"/>
        <v>0</v>
      </c>
      <c r="AG16" s="62">
        <f t="shared" si="25"/>
        <v>0</v>
      </c>
      <c r="AH16" s="89">
        <v>3674</v>
      </c>
      <c r="AI16" s="66">
        <v>4.24</v>
      </c>
      <c r="AJ16" s="66">
        <v>8.16</v>
      </c>
      <c r="AK16" s="62">
        <f t="shared" si="26"/>
        <v>155.77760000000001</v>
      </c>
      <c r="AL16" s="72">
        <f t="shared" si="27"/>
        <v>299.79840000000002</v>
      </c>
      <c r="AM16" s="73">
        <f t="shared" si="11"/>
        <v>0.16200000000026193</v>
      </c>
      <c r="AN16" s="74">
        <f t="shared" si="12"/>
        <v>0.24843580000000998</v>
      </c>
      <c r="AO16" s="74">
        <f t="shared" si="12"/>
        <v>6.3967800000000352E-2</v>
      </c>
      <c r="AP16" s="75">
        <f t="shared" si="13"/>
        <v>1.5558374078921268E-3</v>
      </c>
      <c r="AQ16" s="76">
        <f t="shared" si="14"/>
        <v>130.6691717100046</v>
      </c>
      <c r="AR16" s="90">
        <f t="shared" si="15"/>
        <v>0.16200000000026193</v>
      </c>
    </row>
    <row r="17" spans="1:48" x14ac:dyDescent="0.25">
      <c r="A17" t="str">
        <f t="shared" si="16"/>
        <v>46180E</v>
      </c>
      <c r="B17" s="51">
        <f t="shared" si="28"/>
        <v>46180</v>
      </c>
      <c r="C17" s="52" t="s">
        <v>88</v>
      </c>
      <c r="D17" s="91">
        <v>3674</v>
      </c>
      <c r="E17" s="62">
        <v>4.24</v>
      </c>
      <c r="F17" s="62">
        <v>8.16</v>
      </c>
      <c r="G17" s="62">
        <f t="shared" si="17"/>
        <v>155.77760000000001</v>
      </c>
      <c r="H17" s="63">
        <f t="shared" si="18"/>
        <v>299.79840000000002</v>
      </c>
      <c r="I17" s="203">
        <v>1951.2</v>
      </c>
      <c r="J17" s="203">
        <v>2009.7360000000001</v>
      </c>
      <c r="K17" s="203">
        <v>3.9</v>
      </c>
      <c r="L17" s="203">
        <v>8.1300000000000008</v>
      </c>
      <c r="M17" s="57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9"/>
        <v>2009.7360000000001</v>
      </c>
      <c r="S17" s="62">
        <f t="shared" si="20"/>
        <v>78.379704000000004</v>
      </c>
      <c r="T17" s="63">
        <f t="shared" si="21"/>
        <v>163.39153680000004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22"/>
        <v>0</v>
      </c>
      <c r="AB17" s="63">
        <f t="shared" si="23"/>
        <v>0</v>
      </c>
      <c r="AC17" s="69"/>
      <c r="AD17" s="70"/>
      <c r="AE17" s="70"/>
      <c r="AF17" s="62">
        <f t="shared" si="24"/>
        <v>0</v>
      </c>
      <c r="AG17" s="62">
        <f t="shared" si="25"/>
        <v>0</v>
      </c>
      <c r="AH17" s="89">
        <v>5683.7</v>
      </c>
      <c r="AI17" s="66">
        <v>4.1100000000000003</v>
      </c>
      <c r="AJ17" s="66">
        <v>8.14</v>
      </c>
      <c r="AK17" s="62">
        <f t="shared" si="26"/>
        <v>233.60007000000002</v>
      </c>
      <c r="AL17" s="72">
        <f t="shared" si="27"/>
        <v>462.65317999999996</v>
      </c>
      <c r="AM17" s="73">
        <f t="shared" si="11"/>
        <v>3.6000000000058208E-2</v>
      </c>
      <c r="AN17" s="74">
        <f t="shared" si="12"/>
        <v>0.55723399999999401</v>
      </c>
      <c r="AO17" s="74">
        <f t="shared" si="12"/>
        <v>0.53675680000009152</v>
      </c>
      <c r="AP17" s="75">
        <f t="shared" si="13"/>
        <v>4.5249004653331176E-3</v>
      </c>
      <c r="AQ17" s="76">
        <f t="shared" si="14"/>
        <v>410.78491166535809</v>
      </c>
      <c r="AR17" s="90">
        <f t="shared" si="15"/>
        <v>3.6000000000058208E-2</v>
      </c>
    </row>
    <row r="18" spans="1:48" x14ac:dyDescent="0.25">
      <c r="A18" t="str">
        <f t="shared" si="16"/>
        <v>46181M</v>
      </c>
      <c r="B18" s="51">
        <f t="shared" si="28"/>
        <v>46181</v>
      </c>
      <c r="C18" s="52" t="s">
        <v>87</v>
      </c>
      <c r="D18" s="91">
        <v>5683.7</v>
      </c>
      <c r="E18" s="62">
        <v>4.1100000000000003</v>
      </c>
      <c r="F18" s="62">
        <v>8.14</v>
      </c>
      <c r="G18" s="62">
        <f t="shared" si="17"/>
        <v>233.60007000000002</v>
      </c>
      <c r="H18" s="63">
        <f t="shared" si="18"/>
        <v>462.65317999999996</v>
      </c>
      <c r="I18" s="203">
        <v>1508.2</v>
      </c>
      <c r="J18" s="203">
        <v>1553.4460000000001</v>
      </c>
      <c r="K18" s="203">
        <v>4.7699999999999996</v>
      </c>
      <c r="L18" s="203">
        <v>8.2799999999999994</v>
      </c>
      <c r="M18" s="57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9"/>
        <v>1553.4460000000001</v>
      </c>
      <c r="S18" s="62">
        <f t="shared" si="20"/>
        <v>74.0993742</v>
      </c>
      <c r="T18" s="63">
        <f t="shared" si="21"/>
        <v>128.62532880000001</v>
      </c>
      <c r="U18" s="64" t="s">
        <v>246</v>
      </c>
      <c r="V18" s="65" t="s">
        <v>397</v>
      </c>
      <c r="W18" s="66" t="s">
        <v>189</v>
      </c>
      <c r="X18" s="67">
        <v>7400</v>
      </c>
      <c r="Y18" s="68">
        <v>4.3</v>
      </c>
      <c r="Z18" s="68">
        <v>8.1999999999999993</v>
      </c>
      <c r="AA18" s="62">
        <f t="shared" si="22"/>
        <v>318.2</v>
      </c>
      <c r="AB18" s="63">
        <f t="shared" si="23"/>
        <v>606.79999999999995</v>
      </c>
      <c r="AC18" s="69">
        <v>7390</v>
      </c>
      <c r="AD18" s="70">
        <v>4.25</v>
      </c>
      <c r="AE18" s="70">
        <v>8.07</v>
      </c>
      <c r="AF18" s="62">
        <f t="shared" si="24"/>
        <v>314.07500000000005</v>
      </c>
      <c r="AG18" s="62">
        <f t="shared" si="25"/>
        <v>596.37300000000005</v>
      </c>
      <c r="AH18" s="89">
        <v>0</v>
      </c>
      <c r="AI18" s="66">
        <v>0</v>
      </c>
      <c r="AJ18" s="66">
        <v>0</v>
      </c>
      <c r="AK18" s="62">
        <f t="shared" si="26"/>
        <v>0</v>
      </c>
      <c r="AL18" s="72">
        <f t="shared" si="27"/>
        <v>0</v>
      </c>
      <c r="AM18" s="73">
        <f t="shared" si="11"/>
        <v>-152.85400000000027</v>
      </c>
      <c r="AN18" s="74">
        <f t="shared" si="12"/>
        <v>-6.3755558000000292</v>
      </c>
      <c r="AO18" s="74">
        <f t="shared" si="12"/>
        <v>-5.0944912000001068</v>
      </c>
      <c r="AP18" s="75">
        <f t="shared" si="13"/>
        <v>-5.6579424363493259E-2</v>
      </c>
      <c r="AQ18" s="76">
        <f t="shared" si="14"/>
        <v>-4386.6961172393785</v>
      </c>
      <c r="AR18" s="90">
        <f>(D18+J18+O18)-(X18+AH18)</f>
        <v>-162.85400000000027</v>
      </c>
    </row>
    <row r="19" spans="1:48" x14ac:dyDescent="0.25">
      <c r="A19" t="str">
        <f t="shared" si="16"/>
        <v>46181E</v>
      </c>
      <c r="B19" s="51">
        <f t="shared" si="28"/>
        <v>46181</v>
      </c>
      <c r="C19" s="52" t="s">
        <v>88</v>
      </c>
      <c r="D19" s="91">
        <v>0</v>
      </c>
      <c r="E19" s="62">
        <v>0</v>
      </c>
      <c r="F19" s="62">
        <v>0</v>
      </c>
      <c r="G19" s="62">
        <f t="shared" si="17"/>
        <v>0</v>
      </c>
      <c r="H19" s="63">
        <f t="shared" si="18"/>
        <v>0</v>
      </c>
      <c r="I19" s="203">
        <v>2042.5</v>
      </c>
      <c r="J19" s="203">
        <v>2103.7750000000001</v>
      </c>
      <c r="K19" s="203">
        <v>3.98</v>
      </c>
      <c r="L19" s="203">
        <v>8.14</v>
      </c>
      <c r="M19" s="57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9"/>
        <v>2103.7750000000001</v>
      </c>
      <c r="S19" s="62">
        <f t="shared" si="20"/>
        <v>83.730245000000011</v>
      </c>
      <c r="T19" s="63">
        <f t="shared" si="21"/>
        <v>171.24728500000001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22"/>
        <v>0</v>
      </c>
      <c r="AB19" s="63">
        <f t="shared" si="23"/>
        <v>0</v>
      </c>
      <c r="AC19" s="69"/>
      <c r="AD19" s="70"/>
      <c r="AE19" s="70"/>
      <c r="AF19" s="62">
        <f t="shared" si="24"/>
        <v>0</v>
      </c>
      <c r="AG19" s="62">
        <f t="shared" si="25"/>
        <v>0</v>
      </c>
      <c r="AH19" s="89">
        <v>2103.6999999999998</v>
      </c>
      <c r="AI19" s="66">
        <v>3.98</v>
      </c>
      <c r="AJ19" s="66">
        <v>8.14</v>
      </c>
      <c r="AK19" s="62">
        <f t="shared" si="26"/>
        <v>83.727260000000001</v>
      </c>
      <c r="AL19" s="72">
        <f t="shared" si="27"/>
        <v>171.24117999999999</v>
      </c>
      <c r="AM19" s="73">
        <f t="shared" si="11"/>
        <v>7.5000000000272848E-2</v>
      </c>
      <c r="AN19" s="74">
        <f t="shared" si="12"/>
        <v>2.9850000000095633E-3</v>
      </c>
      <c r="AO19" s="74">
        <f t="shared" si="12"/>
        <v>6.105000000019345E-3</v>
      </c>
      <c r="AP19" s="75">
        <f t="shared" si="13"/>
        <v>3.5650200235404699E-5</v>
      </c>
      <c r="AQ19" s="76">
        <f t="shared" si="14"/>
        <v>3.1670600500100825</v>
      </c>
      <c r="AR19" s="90">
        <f>(D19+J19+O19)-(X19+AH19)</f>
        <v>7.5000000000272848E-2</v>
      </c>
    </row>
    <row r="20" spans="1:48" x14ac:dyDescent="0.25">
      <c r="A20" t="str">
        <f t="shared" si="16"/>
        <v>46182M</v>
      </c>
      <c r="B20" s="51">
        <f t="shared" si="28"/>
        <v>46182</v>
      </c>
      <c r="C20" s="52" t="s">
        <v>87</v>
      </c>
      <c r="D20" s="91">
        <v>2103.6999999999998</v>
      </c>
      <c r="E20" s="62">
        <v>3.98</v>
      </c>
      <c r="F20" s="62">
        <v>8.14</v>
      </c>
      <c r="G20" s="62">
        <f t="shared" si="17"/>
        <v>83.727260000000001</v>
      </c>
      <c r="H20" s="63">
        <f t="shared" si="18"/>
        <v>171.24117999999999</v>
      </c>
      <c r="I20" s="203">
        <v>1419</v>
      </c>
      <c r="J20" s="203">
        <v>1461.57</v>
      </c>
      <c r="K20" s="203">
        <v>4.6500000000000004</v>
      </c>
      <c r="L20" s="203">
        <v>8.24</v>
      </c>
      <c r="M20" s="57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9"/>
        <v>1461.57</v>
      </c>
      <c r="S20" s="62">
        <f t="shared" si="20"/>
        <v>67.96300500000001</v>
      </c>
      <c r="T20" s="63">
        <f t="shared" si="21"/>
        <v>120.433368</v>
      </c>
      <c r="U20" s="64" t="s">
        <v>187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22"/>
        <v>0</v>
      </c>
      <c r="AB20" s="63">
        <f t="shared" si="23"/>
        <v>0</v>
      </c>
      <c r="AC20" s="69"/>
      <c r="AD20" s="70"/>
      <c r="AE20" s="70"/>
      <c r="AF20" s="62">
        <f t="shared" si="24"/>
        <v>0</v>
      </c>
      <c r="AG20" s="62">
        <f t="shared" si="25"/>
        <v>0</v>
      </c>
      <c r="AH20" s="89">
        <v>3565.2</v>
      </c>
      <c r="AI20" s="66">
        <v>4.25</v>
      </c>
      <c r="AJ20" s="66">
        <v>8.18</v>
      </c>
      <c r="AK20" s="62">
        <f t="shared" si="26"/>
        <v>151.52100000000002</v>
      </c>
      <c r="AL20" s="72">
        <f t="shared" si="27"/>
        <v>291.63335999999998</v>
      </c>
      <c r="AM20" s="73">
        <f t="shared" si="11"/>
        <v>6.9999999999708962E-2</v>
      </c>
      <c r="AN20" s="74">
        <f t="shared" ref="AN20:AO65" si="29">+G20+S20-AF20-AK20</f>
        <v>0.16926499999999578</v>
      </c>
      <c r="AO20" s="74">
        <f t="shared" si="29"/>
        <v>4.118799999997691E-2</v>
      </c>
      <c r="AP20" s="75">
        <f t="shared" si="13"/>
        <v>1.1170756456122045E-3</v>
      </c>
      <c r="AQ20" s="76">
        <f t="shared" si="14"/>
        <v>88.311221203324521</v>
      </c>
      <c r="AR20" s="90">
        <f>(D20+J20+O20)-(X20+AH20)</f>
        <v>6.9999999999708962E-2</v>
      </c>
    </row>
    <row r="21" spans="1:48" x14ac:dyDescent="0.25">
      <c r="A21" t="str">
        <f t="shared" si="16"/>
        <v>46182E</v>
      </c>
      <c r="B21" s="51">
        <f t="shared" si="28"/>
        <v>46182</v>
      </c>
      <c r="C21" s="52" t="s">
        <v>88</v>
      </c>
      <c r="D21" s="91">
        <v>3565.2</v>
      </c>
      <c r="E21" s="62">
        <v>4.25</v>
      </c>
      <c r="F21" s="62">
        <v>8.18</v>
      </c>
      <c r="G21" s="62">
        <f t="shared" si="17"/>
        <v>151.52100000000002</v>
      </c>
      <c r="H21" s="63">
        <f t="shared" si="18"/>
        <v>291.63335999999998</v>
      </c>
      <c r="I21" s="203">
        <v>2106.5</v>
      </c>
      <c r="J21" s="203">
        <v>2169.6950000000002</v>
      </c>
      <c r="K21" s="203">
        <v>3.91</v>
      </c>
      <c r="L21" s="203">
        <v>8.15</v>
      </c>
      <c r="M21" s="57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9"/>
        <v>2169.6950000000002</v>
      </c>
      <c r="S21" s="62">
        <f t="shared" si="20"/>
        <v>84.835074500000019</v>
      </c>
      <c r="T21" s="63">
        <f t="shared" si="21"/>
        <v>176.83014250000002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22"/>
        <v>0</v>
      </c>
      <c r="AB21" s="63">
        <f t="shared" si="23"/>
        <v>0</v>
      </c>
      <c r="AC21" s="69"/>
      <c r="AD21" s="70"/>
      <c r="AE21" s="70"/>
      <c r="AF21" s="62">
        <f t="shared" si="24"/>
        <v>0</v>
      </c>
      <c r="AG21" s="62">
        <f t="shared" si="25"/>
        <v>0</v>
      </c>
      <c r="AH21" s="89">
        <v>5734.8</v>
      </c>
      <c r="AI21" s="66">
        <v>4.12</v>
      </c>
      <c r="AJ21" s="66">
        <v>8.16</v>
      </c>
      <c r="AK21" s="62">
        <f t="shared" si="26"/>
        <v>236.27376000000001</v>
      </c>
      <c r="AL21" s="72">
        <f t="shared" si="27"/>
        <v>467.95968000000005</v>
      </c>
      <c r="AM21" s="73">
        <f t="shared" si="11"/>
        <v>9.5000000000254659E-2</v>
      </c>
      <c r="AN21" s="74">
        <f t="shared" si="29"/>
        <v>8.2314500000023827E-2</v>
      </c>
      <c r="AO21" s="74">
        <f t="shared" si="29"/>
        <v>0.50382249999995565</v>
      </c>
      <c r="AP21" s="75">
        <f t="shared" si="13"/>
        <v>2.2400264227705104E-3</v>
      </c>
      <c r="AQ21" s="76">
        <f t="shared" si="14"/>
        <v>187.73244117833076</v>
      </c>
      <c r="AR21" s="90">
        <f>(D21+J21+O21)-(X21+AH21)</f>
        <v>9.5000000000254659E-2</v>
      </c>
    </row>
    <row r="22" spans="1:48" x14ac:dyDescent="0.25">
      <c r="A22" t="str">
        <f t="shared" si="16"/>
        <v>46183M</v>
      </c>
      <c r="B22" s="51">
        <f t="shared" si="28"/>
        <v>46183</v>
      </c>
      <c r="C22" s="52" t="s">
        <v>87</v>
      </c>
      <c r="D22" s="91"/>
      <c r="E22" s="62"/>
      <c r="F22" s="62"/>
      <c r="G22" s="62">
        <f t="shared" si="17"/>
        <v>0</v>
      </c>
      <c r="H22" s="63">
        <f t="shared" si="18"/>
        <v>0</v>
      </c>
      <c r="I22" s="203"/>
      <c r="J22" s="203"/>
      <c r="K22" s="203"/>
      <c r="L22" s="203"/>
      <c r="M22" s="57"/>
      <c r="N22" s="58"/>
      <c r="O22" s="59"/>
      <c r="P22" s="56"/>
      <c r="Q22" s="60"/>
      <c r="R22" s="61">
        <f t="shared" si="19"/>
        <v>0</v>
      </c>
      <c r="S22" s="62">
        <f t="shared" si="20"/>
        <v>0</v>
      </c>
      <c r="T22" s="63">
        <f t="shared" si="21"/>
        <v>0</v>
      </c>
      <c r="U22" s="64"/>
      <c r="V22" s="65"/>
      <c r="W22" s="66"/>
      <c r="X22" s="67"/>
      <c r="Y22" s="68"/>
      <c r="Z22" s="68"/>
      <c r="AA22" s="62">
        <f t="shared" si="22"/>
        <v>0</v>
      </c>
      <c r="AB22" s="63">
        <f t="shared" si="23"/>
        <v>0</v>
      </c>
      <c r="AC22" s="69"/>
      <c r="AD22" s="70"/>
      <c r="AE22" s="70"/>
      <c r="AF22" s="62">
        <f t="shared" si="24"/>
        <v>0</v>
      </c>
      <c r="AG22" s="62">
        <f t="shared" si="25"/>
        <v>0</v>
      </c>
      <c r="AH22" s="89"/>
      <c r="AI22" s="66"/>
      <c r="AJ22" s="66"/>
      <c r="AK22" s="62">
        <f t="shared" si="26"/>
        <v>0</v>
      </c>
      <c r="AL22" s="72">
        <f t="shared" si="27"/>
        <v>0</v>
      </c>
      <c r="AM22" s="73">
        <f t="shared" si="11"/>
        <v>0</v>
      </c>
      <c r="AN22" s="74">
        <f t="shared" si="29"/>
        <v>0</v>
      </c>
      <c r="AO22" s="74">
        <f t="shared" si="29"/>
        <v>0</v>
      </c>
      <c r="AP22" s="75" t="e">
        <f t="shared" si="13"/>
        <v>#DIV/0!</v>
      </c>
      <c r="AQ22" s="76">
        <f t="shared" si="14"/>
        <v>0</v>
      </c>
      <c r="AR22" s="90">
        <f t="shared" si="15"/>
        <v>0</v>
      </c>
      <c r="AT22" s="83"/>
      <c r="AU22" s="83"/>
    </row>
    <row r="23" spans="1:48" x14ac:dyDescent="0.25">
      <c r="A23" t="str">
        <f t="shared" si="16"/>
        <v>46183E</v>
      </c>
      <c r="B23" s="51">
        <f t="shared" si="28"/>
        <v>46183</v>
      </c>
      <c r="C23" s="52" t="s">
        <v>88</v>
      </c>
      <c r="D23" s="91"/>
      <c r="E23" s="62"/>
      <c r="F23" s="62"/>
      <c r="G23" s="62">
        <f t="shared" si="17"/>
        <v>0</v>
      </c>
      <c r="H23" s="63">
        <f t="shared" si="18"/>
        <v>0</v>
      </c>
      <c r="I23" s="203"/>
      <c r="J23" s="203"/>
      <c r="K23" s="203"/>
      <c r="L23" s="203"/>
      <c r="M23" s="57"/>
      <c r="N23" s="58"/>
      <c r="O23" s="59"/>
      <c r="P23" s="56"/>
      <c r="Q23" s="60"/>
      <c r="R23" s="61">
        <f t="shared" si="19"/>
        <v>0</v>
      </c>
      <c r="S23" s="62">
        <f t="shared" si="20"/>
        <v>0</v>
      </c>
      <c r="T23" s="63">
        <f t="shared" si="21"/>
        <v>0</v>
      </c>
      <c r="U23" s="64"/>
      <c r="V23" s="65"/>
      <c r="W23" s="66"/>
      <c r="X23" s="67"/>
      <c r="Y23" s="68"/>
      <c r="Z23" s="68"/>
      <c r="AA23" s="62">
        <f t="shared" si="22"/>
        <v>0</v>
      </c>
      <c r="AB23" s="63">
        <f t="shared" si="23"/>
        <v>0</v>
      </c>
      <c r="AC23" s="69"/>
      <c r="AD23" s="70"/>
      <c r="AE23" s="70"/>
      <c r="AF23" s="62">
        <f t="shared" si="24"/>
        <v>0</v>
      </c>
      <c r="AG23" s="62">
        <f t="shared" si="25"/>
        <v>0</v>
      </c>
      <c r="AH23" s="89"/>
      <c r="AI23" s="66"/>
      <c r="AJ23" s="66"/>
      <c r="AK23" s="62">
        <f t="shared" si="26"/>
        <v>0</v>
      </c>
      <c r="AL23" s="72">
        <f t="shared" si="27"/>
        <v>0</v>
      </c>
      <c r="AM23" s="73">
        <f t="shared" si="11"/>
        <v>0</v>
      </c>
      <c r="AN23" s="74">
        <f t="shared" si="29"/>
        <v>0</v>
      </c>
      <c r="AO23" s="74">
        <f t="shared" si="29"/>
        <v>0</v>
      </c>
      <c r="AP23" s="75" t="e">
        <f t="shared" si="13"/>
        <v>#DIV/0!</v>
      </c>
      <c r="AQ23" s="76">
        <f t="shared" si="14"/>
        <v>0</v>
      </c>
      <c r="AR23" s="90">
        <f t="shared" si="15"/>
        <v>0</v>
      </c>
      <c r="AU23" s="83"/>
    </row>
    <row r="24" spans="1:48" x14ac:dyDescent="0.25">
      <c r="A24" t="str">
        <f t="shared" si="16"/>
        <v>46184M</v>
      </c>
      <c r="B24" s="51">
        <f t="shared" si="28"/>
        <v>46184</v>
      </c>
      <c r="C24" s="52" t="s">
        <v>87</v>
      </c>
      <c r="D24" s="91"/>
      <c r="E24" s="62"/>
      <c r="F24" s="62"/>
      <c r="G24" s="62">
        <f t="shared" si="17"/>
        <v>0</v>
      </c>
      <c r="H24" s="63">
        <f t="shared" si="18"/>
        <v>0</v>
      </c>
      <c r="I24" s="203"/>
      <c r="J24" s="203"/>
      <c r="K24" s="203"/>
      <c r="L24" s="203"/>
      <c r="M24" s="57"/>
      <c r="N24" s="58"/>
      <c r="O24" s="59"/>
      <c r="P24" s="56"/>
      <c r="Q24" s="60"/>
      <c r="R24" s="61">
        <f t="shared" si="19"/>
        <v>0</v>
      </c>
      <c r="S24" s="62">
        <f t="shared" si="20"/>
        <v>0</v>
      </c>
      <c r="T24" s="63">
        <f t="shared" si="21"/>
        <v>0</v>
      </c>
      <c r="U24" s="64"/>
      <c r="V24" s="65"/>
      <c r="W24" s="66"/>
      <c r="X24" s="67"/>
      <c r="Y24" s="68"/>
      <c r="Z24" s="68"/>
      <c r="AA24" s="62">
        <f t="shared" si="22"/>
        <v>0</v>
      </c>
      <c r="AB24" s="63">
        <f t="shared" si="23"/>
        <v>0</v>
      </c>
      <c r="AC24" s="69"/>
      <c r="AD24" s="70"/>
      <c r="AE24" s="70"/>
      <c r="AF24" s="62">
        <f t="shared" si="24"/>
        <v>0</v>
      </c>
      <c r="AG24" s="62">
        <f t="shared" si="25"/>
        <v>0</v>
      </c>
      <c r="AH24" s="89"/>
      <c r="AI24" s="66"/>
      <c r="AJ24" s="66"/>
      <c r="AK24" s="62">
        <f t="shared" si="26"/>
        <v>0</v>
      </c>
      <c r="AL24" s="72">
        <f t="shared" si="27"/>
        <v>0</v>
      </c>
      <c r="AM24" s="73">
        <f t="shared" si="11"/>
        <v>0</v>
      </c>
      <c r="AN24" s="74">
        <f t="shared" si="29"/>
        <v>0</v>
      </c>
      <c r="AO24" s="74">
        <f t="shared" si="29"/>
        <v>0</v>
      </c>
      <c r="AP24" s="75" t="e">
        <f t="shared" si="13"/>
        <v>#DIV/0!</v>
      </c>
      <c r="AQ24" s="76">
        <f t="shared" si="14"/>
        <v>0</v>
      </c>
      <c r="AR24" s="90">
        <f t="shared" si="15"/>
        <v>0</v>
      </c>
      <c r="AT24" s="77"/>
      <c r="AU24" s="77"/>
      <c r="AV24" s="77"/>
    </row>
    <row r="25" spans="1:48" x14ac:dyDescent="0.25">
      <c r="A25" t="str">
        <f t="shared" si="16"/>
        <v>46184E</v>
      </c>
      <c r="B25" s="51">
        <f t="shared" si="28"/>
        <v>46184</v>
      </c>
      <c r="C25" s="52" t="s">
        <v>88</v>
      </c>
      <c r="D25" s="91"/>
      <c r="E25" s="62"/>
      <c r="F25" s="62"/>
      <c r="G25" s="62">
        <f t="shared" si="17"/>
        <v>0</v>
      </c>
      <c r="H25" s="63">
        <f t="shared" si="18"/>
        <v>0</v>
      </c>
      <c r="I25" s="203"/>
      <c r="J25" s="203"/>
      <c r="K25" s="203"/>
      <c r="L25" s="203"/>
      <c r="M25" s="57"/>
      <c r="N25" s="58"/>
      <c r="O25" s="59"/>
      <c r="P25" s="56"/>
      <c r="Q25" s="60"/>
      <c r="R25" s="61">
        <f t="shared" si="19"/>
        <v>0</v>
      </c>
      <c r="S25" s="62">
        <f t="shared" si="20"/>
        <v>0</v>
      </c>
      <c r="T25" s="63">
        <f t="shared" si="21"/>
        <v>0</v>
      </c>
      <c r="U25" s="64"/>
      <c r="V25" s="65"/>
      <c r="W25" s="66"/>
      <c r="X25" s="67"/>
      <c r="Y25" s="68"/>
      <c r="Z25" s="68"/>
      <c r="AA25" s="62">
        <f t="shared" si="22"/>
        <v>0</v>
      </c>
      <c r="AB25" s="63">
        <f t="shared" si="23"/>
        <v>0</v>
      </c>
      <c r="AC25" s="69"/>
      <c r="AD25" s="70"/>
      <c r="AE25" s="70"/>
      <c r="AF25" s="62">
        <f t="shared" si="24"/>
        <v>0</v>
      </c>
      <c r="AG25" s="62">
        <f t="shared" si="25"/>
        <v>0</v>
      </c>
      <c r="AH25" s="89"/>
      <c r="AI25" s="66"/>
      <c r="AJ25" s="66"/>
      <c r="AK25" s="62">
        <f t="shared" si="26"/>
        <v>0</v>
      </c>
      <c r="AL25" s="72">
        <f t="shared" si="27"/>
        <v>0</v>
      </c>
      <c r="AM25" s="73">
        <f t="shared" si="11"/>
        <v>0</v>
      </c>
      <c r="AN25" s="74">
        <f t="shared" si="29"/>
        <v>0</v>
      </c>
      <c r="AO25" s="74">
        <f t="shared" si="29"/>
        <v>0</v>
      </c>
      <c r="AP25" s="75" t="e">
        <f t="shared" si="13"/>
        <v>#DIV/0!</v>
      </c>
      <c r="AQ25" s="76">
        <f t="shared" si="14"/>
        <v>0</v>
      </c>
      <c r="AR25" s="90">
        <f t="shared" si="15"/>
        <v>0</v>
      </c>
    </row>
    <row r="26" spans="1:48" x14ac:dyDescent="0.25">
      <c r="A26" t="str">
        <f t="shared" si="16"/>
        <v>46185M</v>
      </c>
      <c r="B26" s="51">
        <f t="shared" si="28"/>
        <v>46185</v>
      </c>
      <c r="C26" s="52" t="s">
        <v>87</v>
      </c>
      <c r="D26" s="91"/>
      <c r="E26" s="62"/>
      <c r="F26" s="62"/>
      <c r="G26" s="62">
        <f t="shared" si="17"/>
        <v>0</v>
      </c>
      <c r="H26" s="63">
        <f t="shared" si="18"/>
        <v>0</v>
      </c>
      <c r="I26" s="203"/>
      <c r="J26" s="203"/>
      <c r="K26" s="203"/>
      <c r="L26" s="203"/>
      <c r="M26" s="57"/>
      <c r="N26" s="58"/>
      <c r="O26" s="59"/>
      <c r="P26" s="56"/>
      <c r="Q26" s="60"/>
      <c r="R26" s="61">
        <f t="shared" si="19"/>
        <v>0</v>
      </c>
      <c r="S26" s="62">
        <f t="shared" si="20"/>
        <v>0</v>
      </c>
      <c r="T26" s="63">
        <f t="shared" si="21"/>
        <v>0</v>
      </c>
      <c r="U26" s="64"/>
      <c r="V26" s="65"/>
      <c r="W26" s="66"/>
      <c r="X26" s="67"/>
      <c r="Y26" s="68"/>
      <c r="Z26" s="68"/>
      <c r="AA26" s="62">
        <f t="shared" si="22"/>
        <v>0</v>
      </c>
      <c r="AB26" s="63">
        <f t="shared" si="23"/>
        <v>0</v>
      </c>
      <c r="AC26" s="69"/>
      <c r="AD26" s="70"/>
      <c r="AE26" s="70"/>
      <c r="AF26" s="62">
        <f t="shared" si="24"/>
        <v>0</v>
      </c>
      <c r="AG26" s="62">
        <f t="shared" si="25"/>
        <v>0</v>
      </c>
      <c r="AH26" s="89"/>
      <c r="AI26" s="66"/>
      <c r="AJ26" s="66"/>
      <c r="AK26" s="62">
        <f t="shared" si="26"/>
        <v>0</v>
      </c>
      <c r="AL26" s="72">
        <f t="shared" si="27"/>
        <v>0</v>
      </c>
      <c r="AM26" s="73">
        <f t="shared" si="11"/>
        <v>0</v>
      </c>
      <c r="AN26" s="74">
        <f t="shared" si="29"/>
        <v>0</v>
      </c>
      <c r="AO26" s="74">
        <f t="shared" si="29"/>
        <v>0</v>
      </c>
      <c r="AP26" s="75" t="e">
        <f t="shared" si="13"/>
        <v>#DIV/0!</v>
      </c>
      <c r="AQ26" s="76">
        <f t="shared" si="14"/>
        <v>0</v>
      </c>
      <c r="AR26" s="90">
        <f t="shared" si="15"/>
        <v>0</v>
      </c>
    </row>
    <row r="27" spans="1:48" x14ac:dyDescent="0.25">
      <c r="A27" t="str">
        <f t="shared" si="16"/>
        <v>46185E</v>
      </c>
      <c r="B27" s="51">
        <f t="shared" si="28"/>
        <v>46185</v>
      </c>
      <c r="C27" s="52" t="s">
        <v>88</v>
      </c>
      <c r="D27" s="91"/>
      <c r="E27" s="62"/>
      <c r="F27" s="62"/>
      <c r="G27" s="62">
        <f t="shared" si="17"/>
        <v>0</v>
      </c>
      <c r="H27" s="63">
        <f t="shared" si="18"/>
        <v>0</v>
      </c>
      <c r="I27" s="203"/>
      <c r="J27" s="203"/>
      <c r="K27" s="203"/>
      <c r="L27" s="203"/>
      <c r="M27" s="57"/>
      <c r="N27" s="58"/>
      <c r="O27" s="59"/>
      <c r="P27" s="56"/>
      <c r="Q27" s="60"/>
      <c r="R27" s="61">
        <f t="shared" si="19"/>
        <v>0</v>
      </c>
      <c r="S27" s="62">
        <f t="shared" si="20"/>
        <v>0</v>
      </c>
      <c r="T27" s="63">
        <f t="shared" si="21"/>
        <v>0</v>
      </c>
      <c r="U27" s="64"/>
      <c r="V27" s="65"/>
      <c r="W27" s="66"/>
      <c r="X27" s="67"/>
      <c r="Y27" s="68"/>
      <c r="Z27" s="68"/>
      <c r="AA27" s="62">
        <f t="shared" si="22"/>
        <v>0</v>
      </c>
      <c r="AB27" s="63">
        <f t="shared" si="23"/>
        <v>0</v>
      </c>
      <c r="AC27" s="69"/>
      <c r="AD27" s="70"/>
      <c r="AE27" s="70"/>
      <c r="AF27" s="62">
        <f t="shared" si="24"/>
        <v>0</v>
      </c>
      <c r="AG27" s="62">
        <f t="shared" si="25"/>
        <v>0</v>
      </c>
      <c r="AH27" s="89"/>
      <c r="AI27" s="66"/>
      <c r="AJ27" s="66"/>
      <c r="AK27" s="62">
        <f t="shared" si="26"/>
        <v>0</v>
      </c>
      <c r="AL27" s="72">
        <f t="shared" si="27"/>
        <v>0</v>
      </c>
      <c r="AM27" s="73">
        <f t="shared" si="11"/>
        <v>0</v>
      </c>
      <c r="AN27" s="74">
        <f t="shared" si="29"/>
        <v>0</v>
      </c>
      <c r="AO27" s="74">
        <f t="shared" si="29"/>
        <v>0</v>
      </c>
      <c r="AP27" s="75" t="e">
        <f t="shared" si="13"/>
        <v>#DIV/0!</v>
      </c>
      <c r="AQ27" s="76">
        <f t="shared" si="14"/>
        <v>0</v>
      </c>
      <c r="AR27" s="90">
        <f t="shared" si="15"/>
        <v>0</v>
      </c>
    </row>
    <row r="28" spans="1:48" x14ac:dyDescent="0.25">
      <c r="A28" t="str">
        <f t="shared" si="16"/>
        <v>46186M</v>
      </c>
      <c r="B28" s="51">
        <f t="shared" si="28"/>
        <v>46186</v>
      </c>
      <c r="C28" s="52" t="s">
        <v>87</v>
      </c>
      <c r="D28" s="91"/>
      <c r="E28" s="62"/>
      <c r="F28" s="62"/>
      <c r="G28" s="62">
        <f t="shared" si="17"/>
        <v>0</v>
      </c>
      <c r="H28" s="63">
        <f t="shared" si="18"/>
        <v>0</v>
      </c>
      <c r="I28" s="203"/>
      <c r="J28" s="203"/>
      <c r="K28" s="203"/>
      <c r="L28" s="203"/>
      <c r="M28" s="57"/>
      <c r="N28" s="58"/>
      <c r="O28" s="59"/>
      <c r="P28" s="56"/>
      <c r="Q28" s="60"/>
      <c r="R28" s="61">
        <f t="shared" si="19"/>
        <v>0</v>
      </c>
      <c r="S28" s="62">
        <f t="shared" si="20"/>
        <v>0</v>
      </c>
      <c r="T28" s="63">
        <f t="shared" si="21"/>
        <v>0</v>
      </c>
      <c r="U28" s="64"/>
      <c r="V28" s="65"/>
      <c r="W28" s="66"/>
      <c r="X28" s="67"/>
      <c r="Y28" s="68"/>
      <c r="Z28" s="68"/>
      <c r="AA28" s="62">
        <f t="shared" si="22"/>
        <v>0</v>
      </c>
      <c r="AB28" s="63">
        <f t="shared" si="23"/>
        <v>0</v>
      </c>
      <c r="AC28" s="69"/>
      <c r="AD28" s="70"/>
      <c r="AE28" s="70"/>
      <c r="AF28" s="62">
        <f t="shared" si="24"/>
        <v>0</v>
      </c>
      <c r="AG28" s="62">
        <f t="shared" si="25"/>
        <v>0</v>
      </c>
      <c r="AH28" s="89"/>
      <c r="AI28" s="66"/>
      <c r="AJ28" s="66"/>
      <c r="AK28" s="62">
        <f t="shared" si="26"/>
        <v>0</v>
      </c>
      <c r="AL28" s="72">
        <f t="shared" si="27"/>
        <v>0</v>
      </c>
      <c r="AM28" s="73">
        <f t="shared" si="11"/>
        <v>0</v>
      </c>
      <c r="AN28" s="74">
        <f t="shared" si="29"/>
        <v>0</v>
      </c>
      <c r="AO28" s="74">
        <f t="shared" si="29"/>
        <v>0</v>
      </c>
      <c r="AP28" s="75" t="e">
        <f t="shared" si="13"/>
        <v>#DIV/0!</v>
      </c>
      <c r="AQ28" s="76">
        <f t="shared" si="14"/>
        <v>0</v>
      </c>
      <c r="AR28" s="90">
        <f t="shared" si="15"/>
        <v>0</v>
      </c>
    </row>
    <row r="29" spans="1:48" x14ac:dyDescent="0.25">
      <c r="A29" t="str">
        <f t="shared" si="16"/>
        <v>46186E</v>
      </c>
      <c r="B29" s="51">
        <f t="shared" si="28"/>
        <v>46186</v>
      </c>
      <c r="C29" s="52" t="s">
        <v>88</v>
      </c>
      <c r="D29" s="91"/>
      <c r="E29" s="62"/>
      <c r="F29" s="62"/>
      <c r="G29" s="62">
        <f t="shared" si="17"/>
        <v>0</v>
      </c>
      <c r="H29" s="63">
        <f t="shared" si="18"/>
        <v>0</v>
      </c>
      <c r="I29" s="203"/>
      <c r="J29" s="203"/>
      <c r="K29" s="203"/>
      <c r="L29" s="203"/>
      <c r="M29" s="57"/>
      <c r="N29" s="58"/>
      <c r="O29" s="59"/>
      <c r="P29" s="56"/>
      <c r="Q29" s="60"/>
      <c r="R29" s="61">
        <f t="shared" si="19"/>
        <v>0</v>
      </c>
      <c r="S29" s="62">
        <f t="shared" si="20"/>
        <v>0</v>
      </c>
      <c r="T29" s="63">
        <f t="shared" si="21"/>
        <v>0</v>
      </c>
      <c r="U29" s="64"/>
      <c r="V29" s="65"/>
      <c r="W29" s="66"/>
      <c r="X29" s="67"/>
      <c r="Y29" s="68"/>
      <c r="Z29" s="68"/>
      <c r="AA29" s="62">
        <f t="shared" si="22"/>
        <v>0</v>
      </c>
      <c r="AB29" s="63">
        <f t="shared" si="23"/>
        <v>0</v>
      </c>
      <c r="AC29" s="69"/>
      <c r="AD29" s="70"/>
      <c r="AE29" s="70"/>
      <c r="AF29" s="62">
        <f t="shared" si="24"/>
        <v>0</v>
      </c>
      <c r="AG29" s="62">
        <f t="shared" si="25"/>
        <v>0</v>
      </c>
      <c r="AH29" s="89"/>
      <c r="AI29" s="66"/>
      <c r="AJ29" s="66"/>
      <c r="AK29" s="62">
        <f t="shared" si="26"/>
        <v>0</v>
      </c>
      <c r="AL29" s="72">
        <f t="shared" si="27"/>
        <v>0</v>
      </c>
      <c r="AM29" s="73">
        <f t="shared" si="11"/>
        <v>0</v>
      </c>
      <c r="AN29" s="74">
        <f t="shared" si="29"/>
        <v>0</v>
      </c>
      <c r="AO29" s="74">
        <f t="shared" si="29"/>
        <v>0</v>
      </c>
      <c r="AP29" s="75" t="e">
        <f t="shared" si="13"/>
        <v>#DIV/0!</v>
      </c>
      <c r="AQ29" s="76">
        <f t="shared" si="14"/>
        <v>0</v>
      </c>
      <c r="AR29" s="90">
        <f t="shared" si="15"/>
        <v>0</v>
      </c>
    </row>
    <row r="30" spans="1:48" x14ac:dyDescent="0.25">
      <c r="A30" t="str">
        <f t="shared" si="16"/>
        <v>46187M</v>
      </c>
      <c r="B30" s="51">
        <f t="shared" si="28"/>
        <v>46187</v>
      </c>
      <c r="C30" s="52" t="s">
        <v>87</v>
      </c>
      <c r="D30" s="91"/>
      <c r="E30" s="62"/>
      <c r="F30" s="62"/>
      <c r="G30" s="62">
        <f t="shared" si="17"/>
        <v>0</v>
      </c>
      <c r="H30" s="63">
        <f t="shared" si="18"/>
        <v>0</v>
      </c>
      <c r="I30" s="203"/>
      <c r="J30" s="203"/>
      <c r="K30" s="203"/>
      <c r="L30" s="203"/>
      <c r="M30" s="57"/>
      <c r="N30" s="58"/>
      <c r="O30" s="59"/>
      <c r="P30" s="56"/>
      <c r="Q30" s="60"/>
      <c r="R30" s="61">
        <f t="shared" si="19"/>
        <v>0</v>
      </c>
      <c r="S30" s="62">
        <f t="shared" si="20"/>
        <v>0</v>
      </c>
      <c r="T30" s="63">
        <f t="shared" si="21"/>
        <v>0</v>
      </c>
      <c r="U30" s="64"/>
      <c r="V30" s="65"/>
      <c r="W30" s="66"/>
      <c r="X30" s="67"/>
      <c r="Y30" s="68"/>
      <c r="Z30" s="68"/>
      <c r="AA30" s="62">
        <f t="shared" si="22"/>
        <v>0</v>
      </c>
      <c r="AB30" s="63">
        <f t="shared" si="23"/>
        <v>0</v>
      </c>
      <c r="AC30" s="69"/>
      <c r="AD30" s="70"/>
      <c r="AE30" s="70"/>
      <c r="AF30" s="62">
        <f t="shared" si="24"/>
        <v>0</v>
      </c>
      <c r="AG30" s="62">
        <f t="shared" si="25"/>
        <v>0</v>
      </c>
      <c r="AH30" s="89"/>
      <c r="AI30" s="66"/>
      <c r="AJ30" s="66"/>
      <c r="AK30" s="62">
        <f t="shared" si="26"/>
        <v>0</v>
      </c>
      <c r="AL30" s="72">
        <f t="shared" si="27"/>
        <v>0</v>
      </c>
      <c r="AM30" s="73">
        <f t="shared" si="11"/>
        <v>0</v>
      </c>
      <c r="AN30" s="74">
        <f t="shared" si="29"/>
        <v>0</v>
      </c>
      <c r="AO30" s="74">
        <f t="shared" si="29"/>
        <v>0</v>
      </c>
      <c r="AP30" s="75" t="e">
        <f t="shared" si="13"/>
        <v>#DIV/0!</v>
      </c>
      <c r="AQ30" s="76">
        <f t="shared" si="14"/>
        <v>0</v>
      </c>
      <c r="AR30" s="90">
        <f t="shared" si="15"/>
        <v>0</v>
      </c>
    </row>
    <row r="31" spans="1:48" x14ac:dyDescent="0.25">
      <c r="A31" t="str">
        <f t="shared" si="16"/>
        <v>46187E</v>
      </c>
      <c r="B31" s="51">
        <f t="shared" si="28"/>
        <v>46187</v>
      </c>
      <c r="C31" s="52" t="s">
        <v>88</v>
      </c>
      <c r="D31" s="91"/>
      <c r="E31" s="62"/>
      <c r="F31" s="62"/>
      <c r="G31" s="62">
        <f t="shared" si="17"/>
        <v>0</v>
      </c>
      <c r="H31" s="63">
        <f t="shared" si="18"/>
        <v>0</v>
      </c>
      <c r="I31" s="203"/>
      <c r="J31" s="203"/>
      <c r="K31" s="203"/>
      <c r="L31" s="203"/>
      <c r="M31" s="57"/>
      <c r="N31" s="58"/>
      <c r="O31" s="59"/>
      <c r="P31" s="56"/>
      <c r="Q31" s="60"/>
      <c r="R31" s="61">
        <f t="shared" si="19"/>
        <v>0</v>
      </c>
      <c r="S31" s="62">
        <f t="shared" si="20"/>
        <v>0</v>
      </c>
      <c r="T31" s="63">
        <f t="shared" si="21"/>
        <v>0</v>
      </c>
      <c r="U31" s="64"/>
      <c r="V31" s="65"/>
      <c r="W31" s="66"/>
      <c r="X31" s="67"/>
      <c r="Y31" s="68"/>
      <c r="Z31" s="68"/>
      <c r="AA31" s="62">
        <f t="shared" si="22"/>
        <v>0</v>
      </c>
      <c r="AB31" s="63">
        <f t="shared" si="23"/>
        <v>0</v>
      </c>
      <c r="AC31" s="69"/>
      <c r="AD31" s="70"/>
      <c r="AE31" s="70"/>
      <c r="AF31" s="62">
        <f t="shared" si="24"/>
        <v>0</v>
      </c>
      <c r="AG31" s="62">
        <f t="shared" si="25"/>
        <v>0</v>
      </c>
      <c r="AH31" s="89"/>
      <c r="AI31" s="66"/>
      <c r="AJ31" s="66"/>
      <c r="AK31" s="62">
        <f t="shared" si="26"/>
        <v>0</v>
      </c>
      <c r="AL31" s="72">
        <f t="shared" si="27"/>
        <v>0</v>
      </c>
      <c r="AM31" s="73">
        <f t="shared" si="11"/>
        <v>0</v>
      </c>
      <c r="AN31" s="74">
        <f t="shared" si="29"/>
        <v>0</v>
      </c>
      <c r="AO31" s="74">
        <f t="shared" si="29"/>
        <v>0</v>
      </c>
      <c r="AP31" s="75" t="e">
        <f t="shared" si="13"/>
        <v>#DIV/0!</v>
      </c>
      <c r="AQ31" s="76">
        <f t="shared" si="14"/>
        <v>0</v>
      </c>
      <c r="AR31" s="90">
        <f t="shared" si="15"/>
        <v>0</v>
      </c>
    </row>
    <row r="32" spans="1:48" x14ac:dyDescent="0.25">
      <c r="A32" t="str">
        <f t="shared" si="16"/>
        <v>46188M</v>
      </c>
      <c r="B32" s="51">
        <f t="shared" si="28"/>
        <v>46188</v>
      </c>
      <c r="C32" s="52" t="s">
        <v>87</v>
      </c>
      <c r="D32" s="91"/>
      <c r="E32" s="62"/>
      <c r="F32" s="62"/>
      <c r="G32" s="62">
        <f t="shared" si="17"/>
        <v>0</v>
      </c>
      <c r="H32" s="63">
        <f t="shared" si="18"/>
        <v>0</v>
      </c>
      <c r="I32" s="203"/>
      <c r="J32" s="203"/>
      <c r="K32" s="203"/>
      <c r="L32" s="203"/>
      <c r="M32" s="57"/>
      <c r="N32" s="58"/>
      <c r="O32" s="59"/>
      <c r="P32" s="56"/>
      <c r="Q32" s="60"/>
      <c r="R32" s="61">
        <f t="shared" si="19"/>
        <v>0</v>
      </c>
      <c r="S32" s="62">
        <f t="shared" si="20"/>
        <v>0</v>
      </c>
      <c r="T32" s="63">
        <f t="shared" si="21"/>
        <v>0</v>
      </c>
      <c r="U32" s="64"/>
      <c r="V32" s="65"/>
      <c r="W32" s="66"/>
      <c r="X32" s="67"/>
      <c r="Y32" s="68"/>
      <c r="Z32" s="68"/>
      <c r="AA32" s="62">
        <f t="shared" si="22"/>
        <v>0</v>
      </c>
      <c r="AB32" s="63">
        <f t="shared" si="23"/>
        <v>0</v>
      </c>
      <c r="AC32" s="69"/>
      <c r="AD32" s="70"/>
      <c r="AE32" s="70"/>
      <c r="AF32" s="62">
        <f t="shared" si="24"/>
        <v>0</v>
      </c>
      <c r="AG32" s="62">
        <f t="shared" si="25"/>
        <v>0</v>
      </c>
      <c r="AH32" s="89"/>
      <c r="AI32" s="66"/>
      <c r="AJ32" s="66"/>
      <c r="AK32" s="62">
        <f t="shared" si="26"/>
        <v>0</v>
      </c>
      <c r="AL32" s="72">
        <f t="shared" si="27"/>
        <v>0</v>
      </c>
      <c r="AM32" s="73">
        <f t="shared" si="11"/>
        <v>0</v>
      </c>
      <c r="AN32" s="74">
        <f t="shared" si="29"/>
        <v>0</v>
      </c>
      <c r="AO32" s="74">
        <f t="shared" si="29"/>
        <v>0</v>
      </c>
      <c r="AP32" s="75" t="e">
        <f t="shared" si="13"/>
        <v>#DIV/0!</v>
      </c>
      <c r="AQ32" s="76">
        <f t="shared" si="14"/>
        <v>0</v>
      </c>
      <c r="AR32" s="90">
        <f t="shared" si="15"/>
        <v>0</v>
      </c>
    </row>
    <row r="33" spans="1:44" x14ac:dyDescent="0.25">
      <c r="A33" t="str">
        <f t="shared" si="16"/>
        <v>46188E</v>
      </c>
      <c r="B33" s="51">
        <f t="shared" si="28"/>
        <v>46188</v>
      </c>
      <c r="C33" s="52" t="s">
        <v>88</v>
      </c>
      <c r="D33" s="91"/>
      <c r="E33" s="62"/>
      <c r="F33" s="62"/>
      <c r="G33" s="62">
        <f t="shared" si="17"/>
        <v>0</v>
      </c>
      <c r="H33" s="63">
        <f t="shared" si="18"/>
        <v>0</v>
      </c>
      <c r="I33" s="203"/>
      <c r="J33" s="203"/>
      <c r="K33" s="203"/>
      <c r="L33" s="203"/>
      <c r="M33" s="57"/>
      <c r="N33" s="58"/>
      <c r="O33" s="59"/>
      <c r="P33" s="56"/>
      <c r="Q33" s="60"/>
      <c r="R33" s="61">
        <f t="shared" si="19"/>
        <v>0</v>
      </c>
      <c r="S33" s="62">
        <f t="shared" si="20"/>
        <v>0</v>
      </c>
      <c r="T33" s="63">
        <f t="shared" si="21"/>
        <v>0</v>
      </c>
      <c r="U33" s="64"/>
      <c r="V33" s="65"/>
      <c r="W33" s="66"/>
      <c r="X33" s="67"/>
      <c r="Y33" s="68"/>
      <c r="Z33" s="68"/>
      <c r="AA33" s="62">
        <f t="shared" si="22"/>
        <v>0</v>
      </c>
      <c r="AB33" s="63">
        <f t="shared" si="23"/>
        <v>0</v>
      </c>
      <c r="AC33" s="69"/>
      <c r="AD33" s="70"/>
      <c r="AE33" s="70"/>
      <c r="AF33" s="62">
        <f t="shared" si="24"/>
        <v>0</v>
      </c>
      <c r="AG33" s="62">
        <f t="shared" si="25"/>
        <v>0</v>
      </c>
      <c r="AH33" s="89"/>
      <c r="AI33" s="66"/>
      <c r="AJ33" s="66"/>
      <c r="AK33" s="62">
        <f t="shared" si="26"/>
        <v>0</v>
      </c>
      <c r="AL33" s="72">
        <f t="shared" si="27"/>
        <v>0</v>
      </c>
      <c r="AM33" s="73">
        <f t="shared" si="11"/>
        <v>0</v>
      </c>
      <c r="AN33" s="74">
        <f t="shared" si="29"/>
        <v>0</v>
      </c>
      <c r="AO33" s="74">
        <f t="shared" si="29"/>
        <v>0</v>
      </c>
      <c r="AP33" s="75" t="e">
        <f t="shared" si="13"/>
        <v>#DIV/0!</v>
      </c>
      <c r="AQ33" s="76">
        <f t="shared" si="14"/>
        <v>0</v>
      </c>
      <c r="AR33" s="90">
        <f t="shared" si="15"/>
        <v>0</v>
      </c>
    </row>
    <row r="34" spans="1:44" x14ac:dyDescent="0.25">
      <c r="A34" t="str">
        <f t="shared" si="16"/>
        <v>46189M</v>
      </c>
      <c r="B34" s="51">
        <f t="shared" si="28"/>
        <v>46189</v>
      </c>
      <c r="C34" s="52" t="s">
        <v>87</v>
      </c>
      <c r="D34" s="91"/>
      <c r="E34" s="62"/>
      <c r="F34" s="62"/>
      <c r="G34" s="62">
        <f t="shared" si="17"/>
        <v>0</v>
      </c>
      <c r="H34" s="63">
        <f t="shared" si="18"/>
        <v>0</v>
      </c>
      <c r="I34" s="203"/>
      <c r="J34" s="203"/>
      <c r="K34" s="203"/>
      <c r="L34" s="203"/>
      <c r="M34" s="57"/>
      <c r="N34" s="58"/>
      <c r="O34" s="59"/>
      <c r="P34" s="56"/>
      <c r="Q34" s="60"/>
      <c r="R34" s="61">
        <f t="shared" si="19"/>
        <v>0</v>
      </c>
      <c r="S34" s="62">
        <f t="shared" si="20"/>
        <v>0</v>
      </c>
      <c r="T34" s="63">
        <f t="shared" si="21"/>
        <v>0</v>
      </c>
      <c r="U34" s="64"/>
      <c r="V34" s="65"/>
      <c r="W34" s="66"/>
      <c r="X34" s="67"/>
      <c r="Y34" s="68"/>
      <c r="Z34" s="68"/>
      <c r="AA34" s="62">
        <f t="shared" si="22"/>
        <v>0</v>
      </c>
      <c r="AB34" s="63">
        <f t="shared" si="23"/>
        <v>0</v>
      </c>
      <c r="AC34" s="69"/>
      <c r="AD34" s="70"/>
      <c r="AE34" s="70"/>
      <c r="AF34" s="62">
        <f t="shared" si="24"/>
        <v>0</v>
      </c>
      <c r="AG34" s="62">
        <f t="shared" si="25"/>
        <v>0</v>
      </c>
      <c r="AH34" s="89"/>
      <c r="AI34" s="66"/>
      <c r="AJ34" s="66"/>
      <c r="AK34" s="62">
        <f t="shared" si="26"/>
        <v>0</v>
      </c>
      <c r="AL34" s="72">
        <f t="shared" si="27"/>
        <v>0</v>
      </c>
      <c r="AM34" s="73">
        <f t="shared" si="11"/>
        <v>0</v>
      </c>
      <c r="AN34" s="74">
        <f t="shared" si="29"/>
        <v>0</v>
      </c>
      <c r="AO34" s="74">
        <f t="shared" si="29"/>
        <v>0</v>
      </c>
      <c r="AP34" s="75" t="e">
        <f t="shared" si="13"/>
        <v>#DIV/0!</v>
      </c>
      <c r="AQ34" s="76">
        <f t="shared" si="14"/>
        <v>0</v>
      </c>
      <c r="AR34" s="90">
        <f t="shared" si="15"/>
        <v>0</v>
      </c>
    </row>
    <row r="35" spans="1:44" x14ac:dyDescent="0.25">
      <c r="A35" t="str">
        <f t="shared" si="16"/>
        <v>46189E</v>
      </c>
      <c r="B35" s="51">
        <f t="shared" si="28"/>
        <v>46189</v>
      </c>
      <c r="C35" s="52" t="s">
        <v>88</v>
      </c>
      <c r="D35" s="91"/>
      <c r="E35" s="62"/>
      <c r="F35" s="62"/>
      <c r="G35" s="62">
        <f t="shared" si="17"/>
        <v>0</v>
      </c>
      <c r="H35" s="63">
        <f t="shared" si="18"/>
        <v>0</v>
      </c>
      <c r="I35" s="203"/>
      <c r="J35" s="203"/>
      <c r="K35" s="203"/>
      <c r="L35" s="203"/>
      <c r="M35" s="57"/>
      <c r="N35" s="58"/>
      <c r="O35" s="59"/>
      <c r="P35" s="56"/>
      <c r="Q35" s="60"/>
      <c r="R35" s="61">
        <f t="shared" si="19"/>
        <v>0</v>
      </c>
      <c r="S35" s="62">
        <f t="shared" si="20"/>
        <v>0</v>
      </c>
      <c r="T35" s="63">
        <f t="shared" si="21"/>
        <v>0</v>
      </c>
      <c r="U35" s="64"/>
      <c r="V35" s="65"/>
      <c r="W35" s="66"/>
      <c r="X35" s="67"/>
      <c r="Y35" s="68"/>
      <c r="Z35" s="68"/>
      <c r="AA35" s="62">
        <f t="shared" si="22"/>
        <v>0</v>
      </c>
      <c r="AB35" s="63">
        <f t="shared" si="23"/>
        <v>0</v>
      </c>
      <c r="AC35" s="69"/>
      <c r="AD35" s="70"/>
      <c r="AE35" s="70"/>
      <c r="AF35" s="62">
        <f t="shared" si="24"/>
        <v>0</v>
      </c>
      <c r="AG35" s="62">
        <f t="shared" si="25"/>
        <v>0</v>
      </c>
      <c r="AH35" s="89"/>
      <c r="AI35" s="66"/>
      <c r="AJ35" s="66"/>
      <c r="AK35" s="62">
        <f t="shared" si="26"/>
        <v>0</v>
      </c>
      <c r="AL35" s="72">
        <f t="shared" si="27"/>
        <v>0</v>
      </c>
      <c r="AM35" s="73">
        <f t="shared" si="11"/>
        <v>0</v>
      </c>
      <c r="AN35" s="74">
        <f t="shared" si="29"/>
        <v>0</v>
      </c>
      <c r="AO35" s="74">
        <f t="shared" si="29"/>
        <v>0</v>
      </c>
      <c r="AP35" s="75" t="e">
        <f t="shared" si="13"/>
        <v>#DIV/0!</v>
      </c>
      <c r="AQ35" s="76">
        <f t="shared" si="14"/>
        <v>0</v>
      </c>
      <c r="AR35" s="90">
        <f t="shared" si="15"/>
        <v>0</v>
      </c>
    </row>
    <row r="36" spans="1:44" x14ac:dyDescent="0.25">
      <c r="A36" t="str">
        <f t="shared" si="16"/>
        <v>46190M</v>
      </c>
      <c r="B36" s="51">
        <f t="shared" si="28"/>
        <v>46190</v>
      </c>
      <c r="C36" s="52" t="s">
        <v>87</v>
      </c>
      <c r="D36" s="91"/>
      <c r="E36" s="62"/>
      <c r="F36" s="62"/>
      <c r="G36" s="62">
        <f t="shared" si="17"/>
        <v>0</v>
      </c>
      <c r="H36" s="63">
        <f t="shared" si="18"/>
        <v>0</v>
      </c>
      <c r="I36" s="203"/>
      <c r="J36" s="203"/>
      <c r="K36" s="203"/>
      <c r="L36" s="203"/>
      <c r="M36" s="57"/>
      <c r="N36" s="58"/>
      <c r="O36" s="59"/>
      <c r="P36" s="56"/>
      <c r="Q36" s="60"/>
      <c r="R36" s="61">
        <f t="shared" si="19"/>
        <v>0</v>
      </c>
      <c r="S36" s="62">
        <f t="shared" si="20"/>
        <v>0</v>
      </c>
      <c r="T36" s="63">
        <f t="shared" si="21"/>
        <v>0</v>
      </c>
      <c r="U36" s="64"/>
      <c r="V36" s="65"/>
      <c r="W36" s="66"/>
      <c r="X36" s="67"/>
      <c r="Y36" s="68"/>
      <c r="Z36" s="68"/>
      <c r="AA36" s="62">
        <f t="shared" si="22"/>
        <v>0</v>
      </c>
      <c r="AB36" s="63">
        <f t="shared" si="23"/>
        <v>0</v>
      </c>
      <c r="AC36" s="69"/>
      <c r="AD36" s="70"/>
      <c r="AE36" s="70"/>
      <c r="AF36" s="62">
        <f t="shared" si="24"/>
        <v>0</v>
      </c>
      <c r="AG36" s="62">
        <f t="shared" si="25"/>
        <v>0</v>
      </c>
      <c r="AH36" s="89"/>
      <c r="AI36" s="66"/>
      <c r="AJ36" s="66"/>
      <c r="AK36" s="62">
        <f t="shared" si="26"/>
        <v>0</v>
      </c>
      <c r="AL36" s="72">
        <f t="shared" si="27"/>
        <v>0</v>
      </c>
      <c r="AM36" s="73">
        <f t="shared" si="11"/>
        <v>0</v>
      </c>
      <c r="AN36" s="74">
        <f t="shared" si="29"/>
        <v>0</v>
      </c>
      <c r="AO36" s="74">
        <f t="shared" si="29"/>
        <v>0</v>
      </c>
      <c r="AP36" s="75" t="e">
        <f t="shared" si="13"/>
        <v>#DIV/0!</v>
      </c>
      <c r="AQ36" s="76">
        <f t="shared" si="14"/>
        <v>0</v>
      </c>
      <c r="AR36" s="90">
        <f t="shared" si="15"/>
        <v>0</v>
      </c>
    </row>
    <row r="37" spans="1:44" x14ac:dyDescent="0.25">
      <c r="A37" t="str">
        <f t="shared" si="16"/>
        <v>46190E</v>
      </c>
      <c r="B37" s="51">
        <f t="shared" si="28"/>
        <v>46190</v>
      </c>
      <c r="C37" s="52" t="s">
        <v>88</v>
      </c>
      <c r="D37" s="91"/>
      <c r="E37" s="62"/>
      <c r="F37" s="62"/>
      <c r="G37" s="62">
        <f t="shared" si="17"/>
        <v>0</v>
      </c>
      <c r="H37" s="63">
        <f t="shared" si="18"/>
        <v>0</v>
      </c>
      <c r="I37" s="203"/>
      <c r="J37" s="203"/>
      <c r="K37" s="203"/>
      <c r="L37" s="203"/>
      <c r="M37" s="57"/>
      <c r="N37" s="58"/>
      <c r="O37" s="59"/>
      <c r="P37" s="56"/>
      <c r="Q37" s="60"/>
      <c r="R37" s="61">
        <f t="shared" si="19"/>
        <v>0</v>
      </c>
      <c r="S37" s="62">
        <f t="shared" si="20"/>
        <v>0</v>
      </c>
      <c r="T37" s="63">
        <f t="shared" si="21"/>
        <v>0</v>
      </c>
      <c r="U37" s="64"/>
      <c r="V37" s="65"/>
      <c r="W37" s="66"/>
      <c r="X37" s="67"/>
      <c r="Y37" s="68"/>
      <c r="Z37" s="68"/>
      <c r="AA37" s="62">
        <f t="shared" si="22"/>
        <v>0</v>
      </c>
      <c r="AB37" s="63">
        <f t="shared" si="23"/>
        <v>0</v>
      </c>
      <c r="AC37" s="69"/>
      <c r="AD37" s="70"/>
      <c r="AE37" s="70"/>
      <c r="AF37" s="62">
        <f t="shared" si="24"/>
        <v>0</v>
      </c>
      <c r="AG37" s="62">
        <f t="shared" si="25"/>
        <v>0</v>
      </c>
      <c r="AH37" s="89"/>
      <c r="AI37" s="66"/>
      <c r="AJ37" s="66"/>
      <c r="AK37" s="62">
        <f t="shared" si="26"/>
        <v>0</v>
      </c>
      <c r="AL37" s="72">
        <f t="shared" si="27"/>
        <v>0</v>
      </c>
      <c r="AM37" s="73">
        <f t="shared" si="11"/>
        <v>0</v>
      </c>
      <c r="AN37" s="74">
        <f t="shared" si="29"/>
        <v>0</v>
      </c>
      <c r="AO37" s="74">
        <f t="shared" si="29"/>
        <v>0</v>
      </c>
      <c r="AP37" s="75" t="e">
        <f t="shared" si="13"/>
        <v>#DIV/0!</v>
      </c>
      <c r="AQ37" s="76">
        <f t="shared" si="14"/>
        <v>0</v>
      </c>
      <c r="AR37" s="90">
        <f t="shared" si="15"/>
        <v>0</v>
      </c>
    </row>
    <row r="38" spans="1:44" x14ac:dyDescent="0.25">
      <c r="A38" t="str">
        <f t="shared" si="16"/>
        <v>46191M</v>
      </c>
      <c r="B38" s="51">
        <f t="shared" si="28"/>
        <v>46191</v>
      </c>
      <c r="C38" s="52" t="s">
        <v>87</v>
      </c>
      <c r="D38" s="91"/>
      <c r="E38" s="62"/>
      <c r="F38" s="62"/>
      <c r="G38" s="62">
        <f t="shared" si="17"/>
        <v>0</v>
      </c>
      <c r="H38" s="63">
        <f t="shared" si="18"/>
        <v>0</v>
      </c>
      <c r="I38" s="203"/>
      <c r="J38" s="203"/>
      <c r="K38" s="203"/>
      <c r="L38" s="203"/>
      <c r="M38" s="57"/>
      <c r="N38" s="58"/>
      <c r="O38" s="59"/>
      <c r="P38" s="56"/>
      <c r="Q38" s="60"/>
      <c r="R38" s="61">
        <f t="shared" si="19"/>
        <v>0</v>
      </c>
      <c r="S38" s="62">
        <f t="shared" si="20"/>
        <v>0</v>
      </c>
      <c r="T38" s="63">
        <f t="shared" si="21"/>
        <v>0</v>
      </c>
      <c r="U38" s="64"/>
      <c r="V38" s="65"/>
      <c r="W38" s="66"/>
      <c r="X38" s="67"/>
      <c r="Y38" s="68"/>
      <c r="Z38" s="68"/>
      <c r="AA38" s="62">
        <f t="shared" si="22"/>
        <v>0</v>
      </c>
      <c r="AB38" s="63">
        <f t="shared" si="23"/>
        <v>0</v>
      </c>
      <c r="AC38" s="69"/>
      <c r="AD38" s="70"/>
      <c r="AE38" s="70"/>
      <c r="AF38" s="62">
        <f t="shared" si="24"/>
        <v>0</v>
      </c>
      <c r="AG38" s="62">
        <f t="shared" si="25"/>
        <v>0</v>
      </c>
      <c r="AH38" s="89"/>
      <c r="AI38" s="66"/>
      <c r="AJ38" s="66"/>
      <c r="AK38" s="62">
        <f t="shared" si="26"/>
        <v>0</v>
      </c>
      <c r="AL38" s="72">
        <f t="shared" si="27"/>
        <v>0</v>
      </c>
      <c r="AM38" s="73">
        <f t="shared" si="11"/>
        <v>0</v>
      </c>
      <c r="AN38" s="74">
        <f t="shared" si="29"/>
        <v>0</v>
      </c>
      <c r="AO38" s="74">
        <f t="shared" si="29"/>
        <v>0</v>
      </c>
      <c r="AP38" s="75" t="e">
        <f t="shared" si="13"/>
        <v>#DIV/0!</v>
      </c>
      <c r="AQ38" s="76">
        <f t="shared" si="14"/>
        <v>0</v>
      </c>
      <c r="AR38" s="90">
        <f t="shared" si="15"/>
        <v>0</v>
      </c>
    </row>
    <row r="39" spans="1:44" x14ac:dyDescent="0.25">
      <c r="A39" t="str">
        <f t="shared" si="16"/>
        <v>46191E</v>
      </c>
      <c r="B39" s="51">
        <f t="shared" si="28"/>
        <v>46191</v>
      </c>
      <c r="C39" s="52" t="s">
        <v>88</v>
      </c>
      <c r="D39" s="91"/>
      <c r="E39" s="62"/>
      <c r="F39" s="62"/>
      <c r="G39" s="62">
        <f t="shared" si="17"/>
        <v>0</v>
      </c>
      <c r="H39" s="63">
        <f t="shared" si="18"/>
        <v>0</v>
      </c>
      <c r="I39" s="203"/>
      <c r="J39" s="203"/>
      <c r="K39" s="203"/>
      <c r="L39" s="203"/>
      <c r="M39" s="57"/>
      <c r="N39" s="58"/>
      <c r="O39" s="59"/>
      <c r="P39" s="56"/>
      <c r="Q39" s="60"/>
      <c r="R39" s="61">
        <f t="shared" si="19"/>
        <v>0</v>
      </c>
      <c r="S39" s="62">
        <f t="shared" si="20"/>
        <v>0</v>
      </c>
      <c r="T39" s="63">
        <f t="shared" si="21"/>
        <v>0</v>
      </c>
      <c r="U39" s="64"/>
      <c r="V39" s="65"/>
      <c r="W39" s="66"/>
      <c r="X39" s="67"/>
      <c r="Y39" s="68"/>
      <c r="Z39" s="68"/>
      <c r="AA39" s="62">
        <f t="shared" si="22"/>
        <v>0</v>
      </c>
      <c r="AB39" s="63">
        <f t="shared" si="23"/>
        <v>0</v>
      </c>
      <c r="AC39" s="69"/>
      <c r="AD39" s="70"/>
      <c r="AE39" s="70"/>
      <c r="AF39" s="62">
        <f t="shared" si="24"/>
        <v>0</v>
      </c>
      <c r="AG39" s="62">
        <f t="shared" si="25"/>
        <v>0</v>
      </c>
      <c r="AH39" s="89"/>
      <c r="AI39" s="66"/>
      <c r="AJ39" s="66"/>
      <c r="AK39" s="62">
        <f t="shared" si="26"/>
        <v>0</v>
      </c>
      <c r="AL39" s="72">
        <f t="shared" si="27"/>
        <v>0</v>
      </c>
      <c r="AM39" s="73">
        <f t="shared" si="11"/>
        <v>0</v>
      </c>
      <c r="AN39" s="74">
        <f t="shared" si="29"/>
        <v>0</v>
      </c>
      <c r="AO39" s="74">
        <f t="shared" si="29"/>
        <v>0</v>
      </c>
      <c r="AP39" s="75" t="e">
        <f t="shared" si="13"/>
        <v>#DIV/0!</v>
      </c>
      <c r="AQ39" s="76">
        <f t="shared" si="14"/>
        <v>0</v>
      </c>
      <c r="AR39" s="90">
        <f t="shared" si="15"/>
        <v>0</v>
      </c>
    </row>
    <row r="40" spans="1:44" x14ac:dyDescent="0.25">
      <c r="A40" t="str">
        <f t="shared" si="16"/>
        <v>46192M</v>
      </c>
      <c r="B40" s="51">
        <f t="shared" si="28"/>
        <v>46192</v>
      </c>
      <c r="C40" s="52" t="s">
        <v>87</v>
      </c>
      <c r="D40" s="91"/>
      <c r="E40" s="62"/>
      <c r="F40" s="62"/>
      <c r="G40" s="62">
        <f t="shared" si="0"/>
        <v>0</v>
      </c>
      <c r="H40" s="63">
        <f t="shared" si="1"/>
        <v>0</v>
      </c>
      <c r="I40" s="203"/>
      <c r="J40" s="203"/>
      <c r="K40" s="203"/>
      <c r="L40" s="203"/>
      <c r="M40" s="57"/>
      <c r="N40" s="58"/>
      <c r="O40" s="59"/>
      <c r="P40" s="56"/>
      <c r="Q40" s="60"/>
      <c r="R40" s="61">
        <f t="shared" si="19"/>
        <v>0</v>
      </c>
      <c r="S40" s="62">
        <f t="shared" si="20"/>
        <v>0</v>
      </c>
      <c r="T40" s="63">
        <f t="shared" si="21"/>
        <v>0</v>
      </c>
      <c r="U40" s="64"/>
      <c r="V40" s="65"/>
      <c r="W40" s="66"/>
      <c r="X40" s="67"/>
      <c r="Y40" s="68"/>
      <c r="Z40" s="68"/>
      <c r="AA40" s="62">
        <f t="shared" si="22"/>
        <v>0</v>
      </c>
      <c r="AB40" s="63">
        <f t="shared" si="23"/>
        <v>0</v>
      </c>
      <c r="AC40" s="69"/>
      <c r="AD40" s="70"/>
      <c r="AE40" s="70"/>
      <c r="AF40" s="62">
        <f t="shared" si="24"/>
        <v>0</v>
      </c>
      <c r="AG40" s="62">
        <f t="shared" si="25"/>
        <v>0</v>
      </c>
      <c r="AH40" s="89"/>
      <c r="AI40" s="66"/>
      <c r="AJ40" s="66"/>
      <c r="AK40" s="62">
        <f t="shared" si="26"/>
        <v>0</v>
      </c>
      <c r="AL40" s="72">
        <f t="shared" si="27"/>
        <v>0</v>
      </c>
      <c r="AM40" s="73">
        <f t="shared" si="11"/>
        <v>0</v>
      </c>
      <c r="AN40" s="74">
        <f t="shared" si="29"/>
        <v>0</v>
      </c>
      <c r="AO40" s="74">
        <f t="shared" si="29"/>
        <v>0</v>
      </c>
      <c r="AP40" s="75" t="e">
        <f t="shared" si="13"/>
        <v>#DIV/0!</v>
      </c>
      <c r="AQ40" s="76">
        <f t="shared" si="14"/>
        <v>0</v>
      </c>
      <c r="AR40" s="90">
        <f t="shared" si="15"/>
        <v>0</v>
      </c>
    </row>
    <row r="41" spans="1:44" x14ac:dyDescent="0.25">
      <c r="A41" t="str">
        <f t="shared" si="16"/>
        <v>46192E</v>
      </c>
      <c r="B41" s="51">
        <f t="shared" si="28"/>
        <v>46192</v>
      </c>
      <c r="C41" s="52" t="s">
        <v>88</v>
      </c>
      <c r="D41" s="91"/>
      <c r="E41" s="62"/>
      <c r="F41" s="62"/>
      <c r="G41" s="62">
        <f t="shared" si="0"/>
        <v>0</v>
      </c>
      <c r="H41" s="63">
        <f t="shared" si="1"/>
        <v>0</v>
      </c>
      <c r="I41" s="203"/>
      <c r="J41" s="203"/>
      <c r="K41" s="203"/>
      <c r="L41" s="203"/>
      <c r="M41" s="58"/>
      <c r="N41" s="58"/>
      <c r="O41" s="59"/>
      <c r="P41" s="56"/>
      <c r="Q41" s="60"/>
      <c r="R41" s="61">
        <f t="shared" si="2"/>
        <v>0</v>
      </c>
      <c r="S41" s="62">
        <f t="shared" si="3"/>
        <v>0</v>
      </c>
      <c r="T41" s="63">
        <f t="shared" si="4"/>
        <v>0</v>
      </c>
      <c r="U41" s="64"/>
      <c r="V41" s="65"/>
      <c r="W41" s="66"/>
      <c r="X41" s="67"/>
      <c r="Y41" s="68"/>
      <c r="Z41" s="68"/>
      <c r="AA41" s="62">
        <f t="shared" si="5"/>
        <v>0</v>
      </c>
      <c r="AB41" s="63">
        <f t="shared" si="6"/>
        <v>0</v>
      </c>
      <c r="AC41" s="69"/>
      <c r="AD41" s="70"/>
      <c r="AE41" s="70"/>
      <c r="AF41" s="62">
        <f t="shared" si="7"/>
        <v>0</v>
      </c>
      <c r="AG41" s="63">
        <f t="shared" si="8"/>
        <v>0</v>
      </c>
      <c r="AH41" s="89"/>
      <c r="AI41" s="71"/>
      <c r="AJ41" s="71"/>
      <c r="AK41" s="62">
        <f t="shared" si="9"/>
        <v>0</v>
      </c>
      <c r="AL41" s="72">
        <f t="shared" si="10"/>
        <v>0</v>
      </c>
      <c r="AM41" s="73">
        <f t="shared" si="11"/>
        <v>0</v>
      </c>
      <c r="AN41" s="74">
        <f t="shared" si="29"/>
        <v>0</v>
      </c>
      <c r="AO41" s="74">
        <f t="shared" si="29"/>
        <v>0</v>
      </c>
      <c r="AP41" s="75" t="e">
        <f t="shared" si="13"/>
        <v>#DIV/0!</v>
      </c>
      <c r="AQ41" s="76">
        <f t="shared" si="14"/>
        <v>0</v>
      </c>
      <c r="AR41" s="90">
        <f t="shared" si="15"/>
        <v>0</v>
      </c>
    </row>
    <row r="42" spans="1:44" x14ac:dyDescent="0.25">
      <c r="A42" t="str">
        <f t="shared" si="16"/>
        <v>46193M</v>
      </c>
      <c r="B42" s="51">
        <f t="shared" si="28"/>
        <v>46193</v>
      </c>
      <c r="C42" s="52" t="s">
        <v>87</v>
      </c>
      <c r="D42" s="91"/>
      <c r="E42" s="62"/>
      <c r="F42" s="62"/>
      <c r="G42" s="62">
        <f t="shared" si="0"/>
        <v>0</v>
      </c>
      <c r="H42" s="63">
        <f t="shared" si="1"/>
        <v>0</v>
      </c>
      <c r="I42" s="203"/>
      <c r="J42" s="203"/>
      <c r="K42" s="203"/>
      <c r="L42" s="203"/>
      <c r="M42" s="58"/>
      <c r="N42" s="58"/>
      <c r="O42" s="59"/>
      <c r="P42" s="56"/>
      <c r="Q42" s="60"/>
      <c r="R42" s="61">
        <f t="shared" si="2"/>
        <v>0</v>
      </c>
      <c r="S42" s="62">
        <f t="shared" si="3"/>
        <v>0</v>
      </c>
      <c r="T42" s="63">
        <f t="shared" si="4"/>
        <v>0</v>
      </c>
      <c r="U42" s="64"/>
      <c r="V42" s="65"/>
      <c r="W42" s="66"/>
      <c r="X42" s="67"/>
      <c r="Y42" s="68"/>
      <c r="Z42" s="68"/>
      <c r="AA42" s="62">
        <f t="shared" si="5"/>
        <v>0</v>
      </c>
      <c r="AB42" s="63">
        <f t="shared" si="6"/>
        <v>0</v>
      </c>
      <c r="AC42" s="69"/>
      <c r="AD42" s="70"/>
      <c r="AE42" s="70"/>
      <c r="AF42" s="62">
        <f t="shared" si="7"/>
        <v>0</v>
      </c>
      <c r="AG42" s="63">
        <f t="shared" si="8"/>
        <v>0</v>
      </c>
      <c r="AH42" s="89"/>
      <c r="AI42" s="66"/>
      <c r="AJ42" s="66"/>
      <c r="AK42" s="62">
        <f t="shared" si="9"/>
        <v>0</v>
      </c>
      <c r="AL42" s="72">
        <f t="shared" si="10"/>
        <v>0</v>
      </c>
      <c r="AM42" s="73">
        <f t="shared" si="11"/>
        <v>0</v>
      </c>
      <c r="AN42" s="74">
        <f t="shared" si="29"/>
        <v>0</v>
      </c>
      <c r="AO42" s="74">
        <f t="shared" si="29"/>
        <v>0</v>
      </c>
      <c r="AP42" s="75" t="e">
        <f t="shared" si="13"/>
        <v>#DIV/0!</v>
      </c>
      <c r="AQ42" s="76">
        <f t="shared" si="14"/>
        <v>0</v>
      </c>
      <c r="AR42" s="90">
        <f t="shared" si="15"/>
        <v>0</v>
      </c>
    </row>
    <row r="43" spans="1:44" x14ac:dyDescent="0.25">
      <c r="A43" t="str">
        <f t="shared" si="16"/>
        <v>46193E</v>
      </c>
      <c r="B43" s="51">
        <f t="shared" si="28"/>
        <v>46193</v>
      </c>
      <c r="C43" s="52" t="s">
        <v>88</v>
      </c>
      <c r="D43" s="91"/>
      <c r="E43" s="62"/>
      <c r="F43" s="62"/>
      <c r="G43" s="62">
        <f t="shared" si="0"/>
        <v>0</v>
      </c>
      <c r="H43" s="63">
        <f t="shared" si="1"/>
        <v>0</v>
      </c>
      <c r="I43" s="203"/>
      <c r="J43" s="203"/>
      <c r="K43" s="203"/>
      <c r="L43" s="203"/>
      <c r="M43" s="58"/>
      <c r="N43" s="58"/>
      <c r="O43" s="59"/>
      <c r="P43" s="56"/>
      <c r="Q43" s="60"/>
      <c r="R43" s="61">
        <f t="shared" si="2"/>
        <v>0</v>
      </c>
      <c r="S43" s="62">
        <f t="shared" si="3"/>
        <v>0</v>
      </c>
      <c r="T43" s="63">
        <f t="shared" si="4"/>
        <v>0</v>
      </c>
      <c r="U43" s="64"/>
      <c r="V43" s="65"/>
      <c r="W43" s="66"/>
      <c r="X43" s="67"/>
      <c r="Y43" s="68"/>
      <c r="Z43" s="68"/>
      <c r="AA43" s="62">
        <f t="shared" si="5"/>
        <v>0</v>
      </c>
      <c r="AB43" s="63">
        <f t="shared" si="6"/>
        <v>0</v>
      </c>
      <c r="AC43" s="69"/>
      <c r="AD43" s="70"/>
      <c r="AE43" s="70"/>
      <c r="AF43" s="62">
        <f t="shared" si="7"/>
        <v>0</v>
      </c>
      <c r="AG43" s="63">
        <f t="shared" si="8"/>
        <v>0</v>
      </c>
      <c r="AH43" s="89"/>
      <c r="AI43" s="71"/>
      <c r="AJ43" s="71"/>
      <c r="AK43" s="62">
        <f t="shared" si="9"/>
        <v>0</v>
      </c>
      <c r="AL43" s="72">
        <f t="shared" si="10"/>
        <v>0</v>
      </c>
      <c r="AM43" s="73">
        <f t="shared" si="11"/>
        <v>0</v>
      </c>
      <c r="AN43" s="74">
        <f t="shared" si="29"/>
        <v>0</v>
      </c>
      <c r="AO43" s="74">
        <f t="shared" si="29"/>
        <v>0</v>
      </c>
      <c r="AP43" s="75" t="e">
        <f t="shared" si="13"/>
        <v>#DIV/0!</v>
      </c>
      <c r="AQ43" s="76">
        <f t="shared" si="14"/>
        <v>0</v>
      </c>
      <c r="AR43" s="90">
        <f t="shared" si="15"/>
        <v>0</v>
      </c>
    </row>
    <row r="44" spans="1:44" x14ac:dyDescent="0.25">
      <c r="A44" t="str">
        <f t="shared" si="16"/>
        <v>46194M</v>
      </c>
      <c r="B44" s="51">
        <f t="shared" si="28"/>
        <v>46194</v>
      </c>
      <c r="C44" s="52" t="s">
        <v>87</v>
      </c>
      <c r="D44" s="91"/>
      <c r="E44" s="62"/>
      <c r="F44" s="62"/>
      <c r="G44" s="62">
        <f t="shared" si="0"/>
        <v>0</v>
      </c>
      <c r="H44" s="63">
        <f t="shared" si="1"/>
        <v>0</v>
      </c>
      <c r="I44" s="203"/>
      <c r="J44" s="203"/>
      <c r="K44" s="203"/>
      <c r="L44" s="203"/>
      <c r="M44" s="58"/>
      <c r="N44" s="58"/>
      <c r="O44" s="59"/>
      <c r="P44" s="56"/>
      <c r="Q44" s="60"/>
      <c r="R44" s="61">
        <f t="shared" si="2"/>
        <v>0</v>
      </c>
      <c r="S44" s="62">
        <f t="shared" si="3"/>
        <v>0</v>
      </c>
      <c r="T44" s="63">
        <f t="shared" si="4"/>
        <v>0</v>
      </c>
      <c r="U44" s="64"/>
      <c r="V44" s="65"/>
      <c r="W44" s="66"/>
      <c r="X44" s="67"/>
      <c r="Y44" s="68"/>
      <c r="Z44" s="68"/>
      <c r="AA44" s="62">
        <f t="shared" si="5"/>
        <v>0</v>
      </c>
      <c r="AB44" s="63">
        <f t="shared" si="6"/>
        <v>0</v>
      </c>
      <c r="AC44" s="69"/>
      <c r="AD44" s="70"/>
      <c r="AE44" s="70"/>
      <c r="AF44" s="62">
        <f t="shared" si="7"/>
        <v>0</v>
      </c>
      <c r="AG44" s="63">
        <f t="shared" si="8"/>
        <v>0</v>
      </c>
      <c r="AH44" s="89"/>
      <c r="AI44" s="66"/>
      <c r="AJ44" s="66"/>
      <c r="AK44" s="62">
        <f t="shared" si="9"/>
        <v>0</v>
      </c>
      <c r="AL44" s="72">
        <f t="shared" si="10"/>
        <v>0</v>
      </c>
      <c r="AM44" s="73">
        <f t="shared" si="11"/>
        <v>0</v>
      </c>
      <c r="AN44" s="74">
        <f t="shared" si="29"/>
        <v>0</v>
      </c>
      <c r="AO44" s="74">
        <f t="shared" si="29"/>
        <v>0</v>
      </c>
      <c r="AP44" s="75" t="e">
        <f t="shared" si="13"/>
        <v>#DIV/0!</v>
      </c>
      <c r="AQ44" s="76">
        <f t="shared" si="14"/>
        <v>0</v>
      </c>
      <c r="AR44" s="90">
        <f t="shared" si="15"/>
        <v>0</v>
      </c>
    </row>
    <row r="45" spans="1:44" x14ac:dyDescent="0.25">
      <c r="A45" t="str">
        <f t="shared" si="16"/>
        <v>46194E</v>
      </c>
      <c r="B45" s="51">
        <f t="shared" si="28"/>
        <v>46194</v>
      </c>
      <c r="C45" s="52" t="s">
        <v>88</v>
      </c>
      <c r="D45" s="91"/>
      <c r="E45" s="62"/>
      <c r="F45" s="62"/>
      <c r="G45" s="62">
        <f t="shared" si="0"/>
        <v>0</v>
      </c>
      <c r="H45" s="63">
        <f t="shared" si="1"/>
        <v>0</v>
      </c>
      <c r="I45" s="203"/>
      <c r="J45" s="203"/>
      <c r="K45" s="203"/>
      <c r="L45" s="203"/>
      <c r="M45" s="58"/>
      <c r="N45" s="58"/>
      <c r="O45" s="59"/>
      <c r="P45" s="56"/>
      <c r="Q45" s="60"/>
      <c r="R45" s="61">
        <f t="shared" si="2"/>
        <v>0</v>
      </c>
      <c r="S45" s="62">
        <f t="shared" si="3"/>
        <v>0</v>
      </c>
      <c r="T45" s="63">
        <f t="shared" si="4"/>
        <v>0</v>
      </c>
      <c r="U45" s="64"/>
      <c r="V45" s="65"/>
      <c r="W45" s="66"/>
      <c r="X45" s="67"/>
      <c r="Y45" s="68"/>
      <c r="Z45" s="68"/>
      <c r="AA45" s="62">
        <f t="shared" si="5"/>
        <v>0</v>
      </c>
      <c r="AB45" s="63">
        <f t="shared" si="6"/>
        <v>0</v>
      </c>
      <c r="AC45" s="69"/>
      <c r="AD45" s="70"/>
      <c r="AE45" s="70"/>
      <c r="AF45" s="62">
        <f t="shared" si="7"/>
        <v>0</v>
      </c>
      <c r="AG45" s="63">
        <f t="shared" si="8"/>
        <v>0</v>
      </c>
      <c r="AH45" s="89"/>
      <c r="AI45" s="71"/>
      <c r="AJ45" s="71"/>
      <c r="AK45" s="62">
        <f t="shared" si="9"/>
        <v>0</v>
      </c>
      <c r="AL45" s="72">
        <f t="shared" si="10"/>
        <v>0</v>
      </c>
      <c r="AM45" s="73">
        <f t="shared" si="11"/>
        <v>0</v>
      </c>
      <c r="AN45" s="74">
        <f t="shared" si="29"/>
        <v>0</v>
      </c>
      <c r="AO45" s="74">
        <f t="shared" si="29"/>
        <v>0</v>
      </c>
      <c r="AP45" s="75" t="e">
        <f t="shared" si="13"/>
        <v>#DIV/0!</v>
      </c>
      <c r="AQ45" s="76">
        <f t="shared" si="14"/>
        <v>0</v>
      </c>
      <c r="AR45" s="90">
        <f t="shared" si="15"/>
        <v>0</v>
      </c>
    </row>
    <row r="46" spans="1:44" x14ac:dyDescent="0.25">
      <c r="A46" t="str">
        <f t="shared" si="16"/>
        <v>46195M</v>
      </c>
      <c r="B46" s="51">
        <f t="shared" si="28"/>
        <v>46195</v>
      </c>
      <c r="C46" s="52" t="s">
        <v>87</v>
      </c>
      <c r="D46" s="91"/>
      <c r="E46" s="62"/>
      <c r="F46" s="62"/>
      <c r="G46" s="62">
        <f t="shared" si="0"/>
        <v>0</v>
      </c>
      <c r="H46" s="63">
        <f t="shared" si="1"/>
        <v>0</v>
      </c>
      <c r="I46" s="203"/>
      <c r="J46" s="203"/>
      <c r="K46" s="203"/>
      <c r="L46" s="203"/>
      <c r="M46" s="58"/>
      <c r="N46" s="58"/>
      <c r="O46" s="59"/>
      <c r="P46" s="56"/>
      <c r="Q46" s="60"/>
      <c r="R46" s="61">
        <f t="shared" si="2"/>
        <v>0</v>
      </c>
      <c r="S46" s="62">
        <f t="shared" si="3"/>
        <v>0</v>
      </c>
      <c r="T46" s="63">
        <f t="shared" si="4"/>
        <v>0</v>
      </c>
      <c r="U46" s="64"/>
      <c r="V46" s="65"/>
      <c r="W46" s="66"/>
      <c r="X46" s="67"/>
      <c r="Y46" s="68"/>
      <c r="Z46" s="68"/>
      <c r="AA46" s="62">
        <f t="shared" si="5"/>
        <v>0</v>
      </c>
      <c r="AB46" s="63">
        <f t="shared" si="6"/>
        <v>0</v>
      </c>
      <c r="AC46" s="69"/>
      <c r="AD46" s="70"/>
      <c r="AE46" s="70"/>
      <c r="AF46" s="62">
        <f t="shared" si="7"/>
        <v>0</v>
      </c>
      <c r="AG46" s="63">
        <f t="shared" si="8"/>
        <v>0</v>
      </c>
      <c r="AH46" s="89"/>
      <c r="AI46" s="66"/>
      <c r="AJ46" s="66"/>
      <c r="AK46" s="62">
        <f t="shared" si="9"/>
        <v>0</v>
      </c>
      <c r="AL46" s="72">
        <f t="shared" si="10"/>
        <v>0</v>
      </c>
      <c r="AM46" s="73">
        <f t="shared" si="11"/>
        <v>0</v>
      </c>
      <c r="AN46" s="74">
        <f t="shared" si="29"/>
        <v>0</v>
      </c>
      <c r="AO46" s="74">
        <f t="shared" si="29"/>
        <v>0</v>
      </c>
      <c r="AP46" s="75" t="e">
        <f t="shared" si="13"/>
        <v>#DIV/0!</v>
      </c>
      <c r="AQ46" s="76">
        <f t="shared" si="14"/>
        <v>0</v>
      </c>
      <c r="AR46" s="90">
        <f t="shared" si="15"/>
        <v>0</v>
      </c>
    </row>
    <row r="47" spans="1:44" x14ac:dyDescent="0.25">
      <c r="A47" t="str">
        <f t="shared" si="16"/>
        <v>46195E</v>
      </c>
      <c r="B47" s="51">
        <f t="shared" si="28"/>
        <v>46195</v>
      </c>
      <c r="C47" s="52" t="s">
        <v>88</v>
      </c>
      <c r="D47" s="91"/>
      <c r="E47" s="62"/>
      <c r="F47" s="62"/>
      <c r="G47" s="62">
        <f t="shared" si="0"/>
        <v>0</v>
      </c>
      <c r="H47" s="63">
        <f t="shared" si="1"/>
        <v>0</v>
      </c>
      <c r="I47" s="203"/>
      <c r="J47" s="203"/>
      <c r="K47" s="203"/>
      <c r="L47" s="203"/>
      <c r="M47" s="58"/>
      <c r="N47" s="58"/>
      <c r="O47" s="59"/>
      <c r="P47" s="56"/>
      <c r="Q47" s="60"/>
      <c r="R47" s="61">
        <f t="shared" si="2"/>
        <v>0</v>
      </c>
      <c r="S47" s="62">
        <f t="shared" si="3"/>
        <v>0</v>
      </c>
      <c r="T47" s="63">
        <f t="shared" si="4"/>
        <v>0</v>
      </c>
      <c r="U47" s="64"/>
      <c r="V47" s="65"/>
      <c r="W47" s="66"/>
      <c r="X47" s="67"/>
      <c r="Y47" s="68"/>
      <c r="Z47" s="68"/>
      <c r="AA47" s="62">
        <f t="shared" si="5"/>
        <v>0</v>
      </c>
      <c r="AB47" s="63">
        <f t="shared" si="6"/>
        <v>0</v>
      </c>
      <c r="AC47" s="69"/>
      <c r="AD47" s="70"/>
      <c r="AE47" s="70"/>
      <c r="AF47" s="62">
        <f t="shared" si="7"/>
        <v>0</v>
      </c>
      <c r="AG47" s="63">
        <f t="shared" si="8"/>
        <v>0</v>
      </c>
      <c r="AH47" s="89"/>
      <c r="AI47" s="66"/>
      <c r="AJ47" s="66"/>
      <c r="AK47" s="62">
        <f t="shared" si="9"/>
        <v>0</v>
      </c>
      <c r="AL47" s="72">
        <f t="shared" si="10"/>
        <v>0</v>
      </c>
      <c r="AM47" s="73">
        <f t="shared" si="11"/>
        <v>0</v>
      </c>
      <c r="AN47" s="74">
        <f t="shared" si="29"/>
        <v>0</v>
      </c>
      <c r="AO47" s="74">
        <f t="shared" si="29"/>
        <v>0</v>
      </c>
      <c r="AP47" s="75" t="e">
        <f t="shared" si="13"/>
        <v>#DIV/0!</v>
      </c>
      <c r="AQ47" s="76">
        <f t="shared" si="14"/>
        <v>0</v>
      </c>
      <c r="AR47" s="90">
        <f t="shared" si="15"/>
        <v>0</v>
      </c>
    </row>
    <row r="48" spans="1:44" x14ac:dyDescent="0.25">
      <c r="A48" t="str">
        <f t="shared" si="16"/>
        <v>46196M</v>
      </c>
      <c r="B48" s="51">
        <f t="shared" si="28"/>
        <v>46196</v>
      </c>
      <c r="C48" s="52" t="s">
        <v>87</v>
      </c>
      <c r="D48" s="91"/>
      <c r="E48" s="62"/>
      <c r="F48" s="62"/>
      <c r="G48" s="62">
        <f t="shared" si="0"/>
        <v>0</v>
      </c>
      <c r="H48" s="63">
        <f t="shared" si="1"/>
        <v>0</v>
      </c>
      <c r="I48" s="203"/>
      <c r="J48" s="203"/>
      <c r="K48" s="203"/>
      <c r="L48" s="203"/>
      <c r="M48" s="58"/>
      <c r="N48" s="58"/>
      <c r="O48" s="59"/>
      <c r="P48" s="56"/>
      <c r="Q48" s="60"/>
      <c r="R48" s="61">
        <f t="shared" si="2"/>
        <v>0</v>
      </c>
      <c r="S48" s="62">
        <f t="shared" si="3"/>
        <v>0</v>
      </c>
      <c r="T48" s="63">
        <f t="shared" si="4"/>
        <v>0</v>
      </c>
      <c r="U48" s="64"/>
      <c r="V48" s="65"/>
      <c r="W48" s="66"/>
      <c r="X48" s="67"/>
      <c r="Y48" s="68"/>
      <c r="Z48" s="68"/>
      <c r="AA48" s="62">
        <f t="shared" si="5"/>
        <v>0</v>
      </c>
      <c r="AB48" s="63">
        <f t="shared" si="6"/>
        <v>0</v>
      </c>
      <c r="AC48" s="69"/>
      <c r="AD48" s="70"/>
      <c r="AE48" s="70"/>
      <c r="AF48" s="62">
        <f t="shared" si="7"/>
        <v>0</v>
      </c>
      <c r="AG48" s="63">
        <f t="shared" si="8"/>
        <v>0</v>
      </c>
      <c r="AH48" s="89"/>
      <c r="AI48" s="71"/>
      <c r="AJ48" s="71"/>
      <c r="AK48" s="62">
        <f t="shared" si="9"/>
        <v>0</v>
      </c>
      <c r="AL48" s="72">
        <f t="shared" si="10"/>
        <v>0</v>
      </c>
      <c r="AM48" s="73">
        <f t="shared" si="11"/>
        <v>0</v>
      </c>
      <c r="AN48" s="74">
        <f t="shared" si="29"/>
        <v>0</v>
      </c>
      <c r="AO48" s="74">
        <f t="shared" si="29"/>
        <v>0</v>
      </c>
      <c r="AP48" s="75" t="e">
        <f t="shared" si="13"/>
        <v>#DIV/0!</v>
      </c>
      <c r="AQ48" s="76">
        <f t="shared" si="14"/>
        <v>0</v>
      </c>
      <c r="AR48" s="90">
        <f t="shared" si="15"/>
        <v>0</v>
      </c>
    </row>
    <row r="49" spans="1:44" x14ac:dyDescent="0.25">
      <c r="A49" t="str">
        <f t="shared" si="16"/>
        <v>46196E</v>
      </c>
      <c r="B49" s="51">
        <f t="shared" si="28"/>
        <v>46196</v>
      </c>
      <c r="C49" s="52" t="s">
        <v>88</v>
      </c>
      <c r="D49" s="91"/>
      <c r="E49" s="62"/>
      <c r="F49" s="62"/>
      <c r="G49" s="62">
        <f t="shared" si="0"/>
        <v>0</v>
      </c>
      <c r="H49" s="63">
        <f t="shared" si="1"/>
        <v>0</v>
      </c>
      <c r="I49" s="203"/>
      <c r="J49" s="203"/>
      <c r="K49" s="203"/>
      <c r="L49" s="203"/>
      <c r="M49" s="58"/>
      <c r="N49" s="58"/>
      <c r="O49" s="59"/>
      <c r="P49" s="56"/>
      <c r="Q49" s="60"/>
      <c r="R49" s="61">
        <f t="shared" si="2"/>
        <v>0</v>
      </c>
      <c r="S49" s="62">
        <f t="shared" si="3"/>
        <v>0</v>
      </c>
      <c r="T49" s="63">
        <f t="shared" si="4"/>
        <v>0</v>
      </c>
      <c r="U49" s="64"/>
      <c r="V49" s="65"/>
      <c r="W49" s="66"/>
      <c r="X49" s="67"/>
      <c r="Y49" s="68"/>
      <c r="Z49" s="68"/>
      <c r="AA49" s="62">
        <f t="shared" si="5"/>
        <v>0</v>
      </c>
      <c r="AB49" s="63">
        <f t="shared" si="6"/>
        <v>0</v>
      </c>
      <c r="AC49" s="69"/>
      <c r="AD49" s="70"/>
      <c r="AE49" s="70"/>
      <c r="AF49" s="62">
        <f t="shared" si="7"/>
        <v>0</v>
      </c>
      <c r="AG49" s="63">
        <f t="shared" si="8"/>
        <v>0</v>
      </c>
      <c r="AH49" s="89"/>
      <c r="AI49" s="66"/>
      <c r="AJ49" s="66"/>
      <c r="AK49" s="62">
        <f t="shared" si="9"/>
        <v>0</v>
      </c>
      <c r="AL49" s="72">
        <f t="shared" si="10"/>
        <v>0</v>
      </c>
      <c r="AM49" s="73">
        <f t="shared" si="11"/>
        <v>0</v>
      </c>
      <c r="AN49" s="74">
        <f t="shared" si="29"/>
        <v>0</v>
      </c>
      <c r="AO49" s="74">
        <f t="shared" si="29"/>
        <v>0</v>
      </c>
      <c r="AP49" s="75" t="e">
        <f t="shared" si="13"/>
        <v>#DIV/0!</v>
      </c>
      <c r="AQ49" s="76">
        <f t="shared" si="14"/>
        <v>0</v>
      </c>
      <c r="AR49" s="90">
        <f t="shared" si="15"/>
        <v>0</v>
      </c>
    </row>
    <row r="50" spans="1:44" x14ac:dyDescent="0.25">
      <c r="A50" t="str">
        <f t="shared" si="16"/>
        <v>46197M</v>
      </c>
      <c r="B50" s="51">
        <f t="shared" si="28"/>
        <v>46197</v>
      </c>
      <c r="C50" s="52" t="s">
        <v>87</v>
      </c>
      <c r="D50" s="91"/>
      <c r="E50" s="62"/>
      <c r="F50" s="62"/>
      <c r="G50" s="62">
        <f t="shared" si="0"/>
        <v>0</v>
      </c>
      <c r="H50" s="63">
        <f t="shared" si="1"/>
        <v>0</v>
      </c>
      <c r="I50" s="203"/>
      <c r="J50" s="203"/>
      <c r="K50" s="203"/>
      <c r="L50" s="203"/>
      <c r="M50" s="58"/>
      <c r="N50" s="58"/>
      <c r="O50" s="59"/>
      <c r="P50" s="56"/>
      <c r="Q50" s="60"/>
      <c r="R50" s="61">
        <f t="shared" si="2"/>
        <v>0</v>
      </c>
      <c r="S50" s="62">
        <f t="shared" si="3"/>
        <v>0</v>
      </c>
      <c r="T50" s="63">
        <f t="shared" si="4"/>
        <v>0</v>
      </c>
      <c r="U50" s="64"/>
      <c r="V50" s="65"/>
      <c r="W50" s="66"/>
      <c r="X50" s="67"/>
      <c r="Y50" s="68"/>
      <c r="Z50" s="68"/>
      <c r="AA50" s="62">
        <f t="shared" si="5"/>
        <v>0</v>
      </c>
      <c r="AB50" s="63">
        <f t="shared" si="6"/>
        <v>0</v>
      </c>
      <c r="AC50" s="69"/>
      <c r="AD50" s="70"/>
      <c r="AE50" s="70"/>
      <c r="AF50" s="62">
        <f t="shared" si="7"/>
        <v>0</v>
      </c>
      <c r="AG50" s="63">
        <f t="shared" si="8"/>
        <v>0</v>
      </c>
      <c r="AH50" s="89"/>
      <c r="AI50" s="71"/>
      <c r="AJ50" s="71"/>
      <c r="AK50" s="62">
        <f t="shared" si="9"/>
        <v>0</v>
      </c>
      <c r="AL50" s="72">
        <f t="shared" si="10"/>
        <v>0</v>
      </c>
      <c r="AM50" s="73">
        <f t="shared" si="11"/>
        <v>0</v>
      </c>
      <c r="AN50" s="74">
        <f t="shared" si="29"/>
        <v>0</v>
      </c>
      <c r="AO50" s="74">
        <f t="shared" si="29"/>
        <v>0</v>
      </c>
      <c r="AP50" s="75" t="e">
        <f t="shared" si="13"/>
        <v>#DIV/0!</v>
      </c>
      <c r="AQ50" s="76">
        <f t="shared" si="14"/>
        <v>0</v>
      </c>
      <c r="AR50" s="90">
        <f t="shared" si="15"/>
        <v>0</v>
      </c>
    </row>
    <row r="51" spans="1:44" x14ac:dyDescent="0.25">
      <c r="A51" t="str">
        <f t="shared" si="16"/>
        <v>46197E</v>
      </c>
      <c r="B51" s="51">
        <f t="shared" si="28"/>
        <v>46197</v>
      </c>
      <c r="C51" s="52" t="s">
        <v>88</v>
      </c>
      <c r="D51" s="91"/>
      <c r="E51" s="62"/>
      <c r="F51" s="62"/>
      <c r="G51" s="62">
        <f t="shared" si="0"/>
        <v>0</v>
      </c>
      <c r="H51" s="63">
        <f t="shared" si="1"/>
        <v>0</v>
      </c>
      <c r="I51" s="203"/>
      <c r="J51" s="203"/>
      <c r="K51" s="203"/>
      <c r="L51" s="203"/>
      <c r="M51" s="58"/>
      <c r="N51" s="58"/>
      <c r="O51" s="59"/>
      <c r="P51" s="56"/>
      <c r="Q51" s="60"/>
      <c r="R51" s="61">
        <f t="shared" si="2"/>
        <v>0</v>
      </c>
      <c r="S51" s="62">
        <f t="shared" si="3"/>
        <v>0</v>
      </c>
      <c r="T51" s="63">
        <f t="shared" si="4"/>
        <v>0</v>
      </c>
      <c r="U51" s="64"/>
      <c r="V51" s="85"/>
      <c r="W51" s="66"/>
      <c r="X51" s="67"/>
      <c r="Y51" s="68"/>
      <c r="Z51" s="68"/>
      <c r="AA51" s="62">
        <f t="shared" si="5"/>
        <v>0</v>
      </c>
      <c r="AB51" s="63">
        <f t="shared" si="6"/>
        <v>0</v>
      </c>
      <c r="AC51" s="69"/>
      <c r="AD51" s="70"/>
      <c r="AE51" s="70"/>
      <c r="AF51" s="62">
        <f t="shared" si="7"/>
        <v>0</v>
      </c>
      <c r="AG51" s="63">
        <f t="shared" si="8"/>
        <v>0</v>
      </c>
      <c r="AH51" s="89"/>
      <c r="AI51" s="66"/>
      <c r="AJ51" s="66"/>
      <c r="AK51" s="62">
        <f t="shared" si="9"/>
        <v>0</v>
      </c>
      <c r="AL51" s="72">
        <f t="shared" si="10"/>
        <v>0</v>
      </c>
      <c r="AM51" s="73">
        <f t="shared" si="11"/>
        <v>0</v>
      </c>
      <c r="AN51" s="74">
        <f t="shared" si="29"/>
        <v>0</v>
      </c>
      <c r="AO51" s="74">
        <f t="shared" si="29"/>
        <v>0</v>
      </c>
      <c r="AP51" s="75" t="e">
        <f t="shared" si="13"/>
        <v>#DIV/0!</v>
      </c>
      <c r="AQ51" s="76">
        <f t="shared" si="14"/>
        <v>0</v>
      </c>
      <c r="AR51" s="90">
        <f t="shared" si="15"/>
        <v>0</v>
      </c>
    </row>
    <row r="52" spans="1:44" x14ac:dyDescent="0.25">
      <c r="A52" t="str">
        <f t="shared" si="16"/>
        <v>46198M</v>
      </c>
      <c r="B52" s="51">
        <f t="shared" si="28"/>
        <v>46198</v>
      </c>
      <c r="C52" s="52" t="s">
        <v>87</v>
      </c>
      <c r="D52" s="91"/>
      <c r="E52" s="62"/>
      <c r="F52" s="62"/>
      <c r="G52" s="62">
        <f t="shared" si="0"/>
        <v>0</v>
      </c>
      <c r="H52" s="63">
        <f t="shared" si="1"/>
        <v>0</v>
      </c>
      <c r="I52" s="119"/>
      <c r="J52" s="119"/>
      <c r="K52" s="119"/>
      <c r="L52" s="119"/>
      <c r="M52" s="58"/>
      <c r="N52" s="58"/>
      <c r="O52" s="59"/>
      <c r="P52" s="56"/>
      <c r="Q52" s="60"/>
      <c r="R52" s="61">
        <f t="shared" si="2"/>
        <v>0</v>
      </c>
      <c r="S52" s="62">
        <f t="shared" si="3"/>
        <v>0</v>
      </c>
      <c r="T52" s="63">
        <f t="shared" si="4"/>
        <v>0</v>
      </c>
      <c r="U52" s="64"/>
      <c r="V52" s="65"/>
      <c r="W52" s="66"/>
      <c r="X52" s="67"/>
      <c r="Y52" s="68"/>
      <c r="Z52" s="68"/>
      <c r="AA52" s="62">
        <f t="shared" si="5"/>
        <v>0</v>
      </c>
      <c r="AB52" s="63">
        <f t="shared" si="6"/>
        <v>0</v>
      </c>
      <c r="AC52" s="69"/>
      <c r="AD52" s="70"/>
      <c r="AE52" s="70"/>
      <c r="AF52" s="62">
        <f t="shared" si="7"/>
        <v>0</v>
      </c>
      <c r="AG52" s="63">
        <f t="shared" si="8"/>
        <v>0</v>
      </c>
      <c r="AH52" s="89"/>
      <c r="AI52" s="66"/>
      <c r="AJ52" s="66"/>
      <c r="AK52" s="62">
        <f t="shared" si="9"/>
        <v>0</v>
      </c>
      <c r="AL52" s="72">
        <f t="shared" si="10"/>
        <v>0</v>
      </c>
      <c r="AM52" s="73">
        <f t="shared" si="11"/>
        <v>0</v>
      </c>
      <c r="AN52" s="74">
        <f t="shared" si="29"/>
        <v>0</v>
      </c>
      <c r="AO52" s="74">
        <f t="shared" si="29"/>
        <v>0</v>
      </c>
      <c r="AP52" s="75" t="e">
        <f t="shared" si="13"/>
        <v>#DIV/0!</v>
      </c>
      <c r="AQ52" s="76">
        <f t="shared" si="14"/>
        <v>0</v>
      </c>
      <c r="AR52" s="90">
        <f t="shared" si="15"/>
        <v>0</v>
      </c>
    </row>
    <row r="53" spans="1:44" x14ac:dyDescent="0.25">
      <c r="A53" t="str">
        <f t="shared" si="16"/>
        <v>46198E</v>
      </c>
      <c r="B53" s="51">
        <f t="shared" si="28"/>
        <v>46198</v>
      </c>
      <c r="C53" s="52" t="s">
        <v>88</v>
      </c>
      <c r="D53" s="91"/>
      <c r="E53" s="62"/>
      <c r="F53" s="62"/>
      <c r="G53" s="62">
        <f t="shared" si="0"/>
        <v>0</v>
      </c>
      <c r="H53" s="63">
        <f t="shared" si="1"/>
        <v>0</v>
      </c>
      <c r="I53" s="119"/>
      <c r="J53" s="119"/>
      <c r="K53" s="119"/>
      <c r="L53" s="119"/>
      <c r="M53" s="58"/>
      <c r="N53" s="58"/>
      <c r="O53" s="59"/>
      <c r="P53" s="56"/>
      <c r="Q53" s="60"/>
      <c r="R53" s="61">
        <f t="shared" si="2"/>
        <v>0</v>
      </c>
      <c r="S53" s="62">
        <f t="shared" si="3"/>
        <v>0</v>
      </c>
      <c r="T53" s="63">
        <f t="shared" si="4"/>
        <v>0</v>
      </c>
      <c r="U53" s="64"/>
      <c r="V53" s="65"/>
      <c r="W53" s="66"/>
      <c r="X53" s="67"/>
      <c r="Y53" s="68"/>
      <c r="Z53" s="68"/>
      <c r="AA53" s="62">
        <f t="shared" si="5"/>
        <v>0</v>
      </c>
      <c r="AB53" s="63">
        <f t="shared" si="6"/>
        <v>0</v>
      </c>
      <c r="AC53" s="69"/>
      <c r="AD53" s="70"/>
      <c r="AE53" s="70"/>
      <c r="AF53" s="62">
        <f t="shared" si="7"/>
        <v>0</v>
      </c>
      <c r="AG53" s="63">
        <f t="shared" si="8"/>
        <v>0</v>
      </c>
      <c r="AH53" s="89"/>
      <c r="AI53" s="66"/>
      <c r="AJ53" s="66"/>
      <c r="AK53" s="62">
        <f t="shared" si="9"/>
        <v>0</v>
      </c>
      <c r="AL53" s="72">
        <f t="shared" si="10"/>
        <v>0</v>
      </c>
      <c r="AM53" s="73">
        <f t="shared" si="11"/>
        <v>0</v>
      </c>
      <c r="AN53" s="74">
        <f t="shared" si="29"/>
        <v>0</v>
      </c>
      <c r="AO53" s="74">
        <f t="shared" si="29"/>
        <v>0</v>
      </c>
      <c r="AP53" s="75" t="e">
        <f t="shared" si="13"/>
        <v>#DIV/0!</v>
      </c>
      <c r="AQ53" s="76">
        <f t="shared" si="14"/>
        <v>0</v>
      </c>
      <c r="AR53" s="90">
        <f t="shared" si="15"/>
        <v>0</v>
      </c>
    </row>
    <row r="54" spans="1:44" x14ac:dyDescent="0.25">
      <c r="A54" t="str">
        <f t="shared" si="16"/>
        <v>46199M</v>
      </c>
      <c r="B54" s="51">
        <f t="shared" si="28"/>
        <v>46199</v>
      </c>
      <c r="C54" s="52" t="s">
        <v>87</v>
      </c>
      <c r="D54" s="91"/>
      <c r="E54" s="62"/>
      <c r="F54" s="62"/>
      <c r="G54" s="62">
        <f t="shared" si="0"/>
        <v>0</v>
      </c>
      <c r="H54" s="63">
        <f t="shared" si="1"/>
        <v>0</v>
      </c>
      <c r="I54" s="119"/>
      <c r="J54" s="119"/>
      <c r="K54" s="119"/>
      <c r="L54" s="119"/>
      <c r="M54" s="58"/>
      <c r="N54" s="58"/>
      <c r="O54" s="59"/>
      <c r="P54" s="56"/>
      <c r="Q54" s="60"/>
      <c r="R54" s="61">
        <f t="shared" si="2"/>
        <v>0</v>
      </c>
      <c r="S54" s="62">
        <f t="shared" si="3"/>
        <v>0</v>
      </c>
      <c r="T54" s="63">
        <f t="shared" si="4"/>
        <v>0</v>
      </c>
      <c r="U54" s="64"/>
      <c r="V54" s="65"/>
      <c r="W54" s="66"/>
      <c r="X54" s="67"/>
      <c r="Y54" s="68"/>
      <c r="Z54" s="68"/>
      <c r="AA54" s="62">
        <f t="shared" si="5"/>
        <v>0</v>
      </c>
      <c r="AB54" s="63">
        <f t="shared" si="6"/>
        <v>0</v>
      </c>
      <c r="AC54" s="69"/>
      <c r="AD54" s="70"/>
      <c r="AE54" s="70"/>
      <c r="AF54" s="62">
        <f t="shared" si="7"/>
        <v>0</v>
      </c>
      <c r="AG54" s="63">
        <f t="shared" si="8"/>
        <v>0</v>
      </c>
      <c r="AH54" s="89"/>
      <c r="AI54" s="66"/>
      <c r="AJ54" s="66"/>
      <c r="AK54" s="62">
        <f t="shared" si="9"/>
        <v>0</v>
      </c>
      <c r="AL54" s="72">
        <f t="shared" si="10"/>
        <v>0</v>
      </c>
      <c r="AM54" s="73">
        <f t="shared" si="11"/>
        <v>0</v>
      </c>
      <c r="AN54" s="74">
        <f t="shared" si="29"/>
        <v>0</v>
      </c>
      <c r="AO54" s="74">
        <f t="shared" si="29"/>
        <v>0</v>
      </c>
      <c r="AP54" s="75" t="e">
        <f t="shared" si="13"/>
        <v>#DIV/0!</v>
      </c>
      <c r="AQ54" s="76">
        <f t="shared" si="14"/>
        <v>0</v>
      </c>
      <c r="AR54" s="90">
        <f t="shared" si="15"/>
        <v>0</v>
      </c>
    </row>
    <row r="55" spans="1:44" x14ac:dyDescent="0.25">
      <c r="A55" t="str">
        <f t="shared" si="16"/>
        <v>46199E</v>
      </c>
      <c r="B55" s="51">
        <f t="shared" si="28"/>
        <v>46199</v>
      </c>
      <c r="C55" s="52" t="s">
        <v>88</v>
      </c>
      <c r="D55" s="91"/>
      <c r="E55" s="62"/>
      <c r="F55" s="62"/>
      <c r="G55" s="62">
        <f t="shared" si="0"/>
        <v>0</v>
      </c>
      <c r="H55" s="63">
        <f t="shared" si="1"/>
        <v>0</v>
      </c>
      <c r="I55" s="119"/>
      <c r="J55" s="119"/>
      <c r="K55" s="119"/>
      <c r="L55" s="119"/>
      <c r="M55" s="58"/>
      <c r="N55" s="58"/>
      <c r="O55" s="59"/>
      <c r="P55" s="56"/>
      <c r="Q55" s="60"/>
      <c r="R55" s="61">
        <f t="shared" si="2"/>
        <v>0</v>
      </c>
      <c r="S55" s="62">
        <f t="shared" si="3"/>
        <v>0</v>
      </c>
      <c r="T55" s="63">
        <f t="shared" si="4"/>
        <v>0</v>
      </c>
      <c r="U55" s="64"/>
      <c r="V55" s="65"/>
      <c r="W55" s="66"/>
      <c r="X55" s="67"/>
      <c r="Y55" s="68"/>
      <c r="Z55" s="68"/>
      <c r="AA55" s="62">
        <f t="shared" si="5"/>
        <v>0</v>
      </c>
      <c r="AB55" s="63">
        <f t="shared" si="6"/>
        <v>0</v>
      </c>
      <c r="AC55" s="69"/>
      <c r="AD55" s="70"/>
      <c r="AE55" s="70"/>
      <c r="AF55" s="62">
        <f t="shared" si="7"/>
        <v>0</v>
      </c>
      <c r="AG55" s="63">
        <f t="shared" si="8"/>
        <v>0</v>
      </c>
      <c r="AH55" s="89"/>
      <c r="AI55" s="66"/>
      <c r="AJ55" s="66"/>
      <c r="AK55" s="62">
        <f t="shared" si="9"/>
        <v>0</v>
      </c>
      <c r="AL55" s="72">
        <f t="shared" si="10"/>
        <v>0</v>
      </c>
      <c r="AM55" s="73">
        <f t="shared" si="11"/>
        <v>0</v>
      </c>
      <c r="AN55" s="74">
        <f t="shared" si="29"/>
        <v>0</v>
      </c>
      <c r="AO55" s="74">
        <f t="shared" si="29"/>
        <v>0</v>
      </c>
      <c r="AP55" s="75" t="e">
        <f t="shared" si="13"/>
        <v>#DIV/0!</v>
      </c>
      <c r="AQ55" s="76">
        <f t="shared" si="14"/>
        <v>0</v>
      </c>
      <c r="AR55" s="90">
        <f t="shared" si="15"/>
        <v>0</v>
      </c>
    </row>
    <row r="56" spans="1:44" x14ac:dyDescent="0.25">
      <c r="A56" t="str">
        <f t="shared" si="16"/>
        <v>46200M</v>
      </c>
      <c r="B56" s="51">
        <f t="shared" si="28"/>
        <v>46200</v>
      </c>
      <c r="C56" s="52" t="s">
        <v>87</v>
      </c>
      <c r="D56" s="91"/>
      <c r="E56" s="62"/>
      <c r="F56" s="62"/>
      <c r="G56" s="62">
        <f t="shared" si="0"/>
        <v>0</v>
      </c>
      <c r="H56" s="63">
        <f t="shared" si="1"/>
        <v>0</v>
      </c>
      <c r="I56" s="119"/>
      <c r="J56" s="119"/>
      <c r="K56" s="119"/>
      <c r="L56" s="119"/>
      <c r="M56" s="58"/>
      <c r="N56" s="58"/>
      <c r="O56" s="59"/>
      <c r="P56" s="56"/>
      <c r="Q56" s="60"/>
      <c r="R56" s="61">
        <f t="shared" si="2"/>
        <v>0</v>
      </c>
      <c r="S56" s="62">
        <f t="shared" si="3"/>
        <v>0</v>
      </c>
      <c r="T56" s="63">
        <f t="shared" si="4"/>
        <v>0</v>
      </c>
      <c r="U56" s="64"/>
      <c r="V56" s="65"/>
      <c r="W56" s="66"/>
      <c r="X56" s="67"/>
      <c r="Y56" s="68"/>
      <c r="Z56" s="68"/>
      <c r="AA56" s="62">
        <f t="shared" si="5"/>
        <v>0</v>
      </c>
      <c r="AB56" s="63">
        <f t="shared" si="6"/>
        <v>0</v>
      </c>
      <c r="AC56" s="69"/>
      <c r="AD56" s="70"/>
      <c r="AE56" s="70"/>
      <c r="AF56" s="62">
        <f t="shared" si="7"/>
        <v>0</v>
      </c>
      <c r="AG56" s="63">
        <f t="shared" si="8"/>
        <v>0</v>
      </c>
      <c r="AH56" s="89"/>
      <c r="AI56" s="66"/>
      <c r="AJ56" s="66"/>
      <c r="AK56" s="62">
        <f t="shared" si="9"/>
        <v>0</v>
      </c>
      <c r="AL56" s="72">
        <f t="shared" si="10"/>
        <v>0</v>
      </c>
      <c r="AM56" s="73">
        <f t="shared" si="11"/>
        <v>0</v>
      </c>
      <c r="AN56" s="74">
        <f t="shared" si="29"/>
        <v>0</v>
      </c>
      <c r="AO56" s="74">
        <f t="shared" si="29"/>
        <v>0</v>
      </c>
      <c r="AP56" s="75" t="e">
        <f t="shared" si="13"/>
        <v>#DIV/0!</v>
      </c>
      <c r="AQ56" s="76">
        <f t="shared" si="14"/>
        <v>0</v>
      </c>
      <c r="AR56" s="90">
        <f t="shared" si="15"/>
        <v>0</v>
      </c>
    </row>
    <row r="57" spans="1:44" x14ac:dyDescent="0.25">
      <c r="A57" t="str">
        <f t="shared" si="16"/>
        <v>46200E</v>
      </c>
      <c r="B57" s="51">
        <f t="shared" si="28"/>
        <v>46200</v>
      </c>
      <c r="C57" s="52" t="s">
        <v>88</v>
      </c>
      <c r="D57" s="91"/>
      <c r="E57" s="62"/>
      <c r="F57" s="62"/>
      <c r="G57" s="62">
        <f t="shared" si="0"/>
        <v>0</v>
      </c>
      <c r="H57" s="63">
        <f t="shared" si="1"/>
        <v>0</v>
      </c>
      <c r="I57" s="119"/>
      <c r="J57" s="119"/>
      <c r="K57" s="119"/>
      <c r="L57" s="119"/>
      <c r="M57" s="58"/>
      <c r="N57" s="58"/>
      <c r="O57" s="59"/>
      <c r="P57" s="56"/>
      <c r="Q57" s="60"/>
      <c r="R57" s="61">
        <f t="shared" si="2"/>
        <v>0</v>
      </c>
      <c r="S57" s="62">
        <f t="shared" si="3"/>
        <v>0</v>
      </c>
      <c r="T57" s="63">
        <f t="shared" si="4"/>
        <v>0</v>
      </c>
      <c r="U57" s="64"/>
      <c r="V57" s="65"/>
      <c r="W57" s="66"/>
      <c r="X57" s="67"/>
      <c r="Y57" s="68"/>
      <c r="Z57" s="68"/>
      <c r="AA57" s="62">
        <f t="shared" si="5"/>
        <v>0</v>
      </c>
      <c r="AB57" s="63">
        <f t="shared" si="6"/>
        <v>0</v>
      </c>
      <c r="AC57" s="69"/>
      <c r="AD57" s="70"/>
      <c r="AE57" s="70"/>
      <c r="AF57" s="62">
        <f t="shared" si="7"/>
        <v>0</v>
      </c>
      <c r="AG57" s="63">
        <f t="shared" si="8"/>
        <v>0</v>
      </c>
      <c r="AH57" s="89"/>
      <c r="AI57" s="66"/>
      <c r="AJ57" s="66"/>
      <c r="AK57" s="62">
        <f t="shared" si="9"/>
        <v>0</v>
      </c>
      <c r="AL57" s="72">
        <f t="shared" si="10"/>
        <v>0</v>
      </c>
      <c r="AM57" s="73">
        <f t="shared" si="11"/>
        <v>0</v>
      </c>
      <c r="AN57" s="74">
        <f t="shared" si="29"/>
        <v>0</v>
      </c>
      <c r="AO57" s="74">
        <f t="shared" si="29"/>
        <v>0</v>
      </c>
      <c r="AP57" s="75" t="e">
        <f t="shared" si="13"/>
        <v>#DIV/0!</v>
      </c>
      <c r="AQ57" s="76">
        <f t="shared" si="14"/>
        <v>0</v>
      </c>
      <c r="AR57" s="90">
        <f t="shared" si="15"/>
        <v>0</v>
      </c>
    </row>
    <row r="58" spans="1:44" x14ac:dyDescent="0.25">
      <c r="A58" t="str">
        <f t="shared" si="16"/>
        <v>46201M</v>
      </c>
      <c r="B58" s="51">
        <f t="shared" si="28"/>
        <v>46201</v>
      </c>
      <c r="C58" s="52" t="s">
        <v>87</v>
      </c>
      <c r="D58" s="91"/>
      <c r="E58" s="62"/>
      <c r="F58" s="62"/>
      <c r="G58" s="62">
        <f t="shared" si="0"/>
        <v>0</v>
      </c>
      <c r="H58" s="63">
        <f t="shared" si="1"/>
        <v>0</v>
      </c>
      <c r="I58" s="119"/>
      <c r="J58" s="119"/>
      <c r="K58" s="119"/>
      <c r="L58" s="119"/>
      <c r="M58" s="58"/>
      <c r="N58" s="58"/>
      <c r="O58" s="59"/>
      <c r="P58" s="56"/>
      <c r="Q58" s="60"/>
      <c r="R58" s="61">
        <f t="shared" si="2"/>
        <v>0</v>
      </c>
      <c r="S58" s="62">
        <f t="shared" si="3"/>
        <v>0</v>
      </c>
      <c r="T58" s="63">
        <f t="shared" si="4"/>
        <v>0</v>
      </c>
      <c r="U58" s="64"/>
      <c r="V58" s="65"/>
      <c r="W58" s="66"/>
      <c r="X58" s="67"/>
      <c r="Y58" s="68"/>
      <c r="Z58" s="68"/>
      <c r="AA58" s="62">
        <f t="shared" si="5"/>
        <v>0</v>
      </c>
      <c r="AB58" s="63">
        <f t="shared" si="6"/>
        <v>0</v>
      </c>
      <c r="AC58" s="69"/>
      <c r="AD58" s="70"/>
      <c r="AE58" s="70"/>
      <c r="AF58" s="62">
        <f t="shared" si="7"/>
        <v>0</v>
      </c>
      <c r="AG58" s="63">
        <f t="shared" si="8"/>
        <v>0</v>
      </c>
      <c r="AH58" s="89"/>
      <c r="AI58" s="66"/>
      <c r="AJ58" s="66"/>
      <c r="AK58" s="62">
        <f t="shared" si="9"/>
        <v>0</v>
      </c>
      <c r="AL58" s="72">
        <f t="shared" si="10"/>
        <v>0</v>
      </c>
      <c r="AM58" s="73">
        <f t="shared" si="11"/>
        <v>0</v>
      </c>
      <c r="AN58" s="74">
        <f t="shared" si="29"/>
        <v>0</v>
      </c>
      <c r="AO58" s="74">
        <f t="shared" si="29"/>
        <v>0</v>
      </c>
      <c r="AP58" s="75" t="e">
        <f t="shared" si="13"/>
        <v>#DIV/0!</v>
      </c>
      <c r="AQ58" s="76">
        <f t="shared" si="14"/>
        <v>0</v>
      </c>
      <c r="AR58" s="90">
        <f t="shared" si="15"/>
        <v>0</v>
      </c>
    </row>
    <row r="59" spans="1:44" x14ac:dyDescent="0.25">
      <c r="A59" t="str">
        <f t="shared" si="16"/>
        <v>46201E</v>
      </c>
      <c r="B59" s="51">
        <f t="shared" si="28"/>
        <v>46201</v>
      </c>
      <c r="C59" s="52" t="s">
        <v>88</v>
      </c>
      <c r="D59" s="91"/>
      <c r="E59" s="62"/>
      <c r="F59" s="62"/>
      <c r="G59" s="62">
        <f t="shared" si="0"/>
        <v>0</v>
      </c>
      <c r="H59" s="63">
        <f t="shared" si="1"/>
        <v>0</v>
      </c>
      <c r="I59" s="119"/>
      <c r="J59" s="119"/>
      <c r="K59" s="119"/>
      <c r="L59" s="119"/>
      <c r="M59" s="58"/>
      <c r="N59" s="58"/>
      <c r="O59" s="59"/>
      <c r="P59" s="56"/>
      <c r="Q59" s="60"/>
      <c r="R59" s="61">
        <f t="shared" si="2"/>
        <v>0</v>
      </c>
      <c r="S59" s="62">
        <f t="shared" si="3"/>
        <v>0</v>
      </c>
      <c r="T59" s="63">
        <f t="shared" si="4"/>
        <v>0</v>
      </c>
      <c r="U59" s="64"/>
      <c r="V59" s="65"/>
      <c r="W59" s="66"/>
      <c r="X59" s="67"/>
      <c r="Y59" s="68"/>
      <c r="Z59" s="68"/>
      <c r="AA59" s="62">
        <f t="shared" si="5"/>
        <v>0</v>
      </c>
      <c r="AB59" s="63">
        <f t="shared" si="6"/>
        <v>0</v>
      </c>
      <c r="AC59" s="69"/>
      <c r="AD59" s="70"/>
      <c r="AE59" s="70"/>
      <c r="AF59" s="62">
        <f t="shared" si="7"/>
        <v>0</v>
      </c>
      <c r="AG59" s="63">
        <f t="shared" si="8"/>
        <v>0</v>
      </c>
      <c r="AH59" s="89"/>
      <c r="AI59" s="66"/>
      <c r="AJ59" s="66"/>
      <c r="AK59" s="62">
        <f t="shared" si="9"/>
        <v>0</v>
      </c>
      <c r="AL59" s="72">
        <f t="shared" si="10"/>
        <v>0</v>
      </c>
      <c r="AM59" s="73">
        <f t="shared" si="11"/>
        <v>0</v>
      </c>
      <c r="AN59" s="74">
        <f t="shared" si="29"/>
        <v>0</v>
      </c>
      <c r="AO59" s="74">
        <f t="shared" si="29"/>
        <v>0</v>
      </c>
      <c r="AP59" s="75" t="e">
        <f t="shared" si="13"/>
        <v>#DIV/0!</v>
      </c>
      <c r="AQ59" s="76">
        <f t="shared" si="14"/>
        <v>0</v>
      </c>
      <c r="AR59" s="90">
        <f t="shared" si="15"/>
        <v>0</v>
      </c>
    </row>
    <row r="60" spans="1:44" x14ac:dyDescent="0.25">
      <c r="A60" t="str">
        <f t="shared" si="16"/>
        <v>46202M</v>
      </c>
      <c r="B60" s="51">
        <f t="shared" si="28"/>
        <v>46202</v>
      </c>
      <c r="C60" s="52" t="s">
        <v>87</v>
      </c>
      <c r="D60" s="91"/>
      <c r="E60" s="62"/>
      <c r="F60" s="62"/>
      <c r="G60" s="62">
        <f t="shared" si="0"/>
        <v>0</v>
      </c>
      <c r="H60" s="63">
        <f t="shared" si="1"/>
        <v>0</v>
      </c>
      <c r="I60" s="119"/>
      <c r="J60" s="119"/>
      <c r="K60" s="119"/>
      <c r="L60" s="119"/>
      <c r="M60" s="58"/>
      <c r="N60" s="58"/>
      <c r="O60" s="59"/>
      <c r="P60" s="56"/>
      <c r="Q60" s="60"/>
      <c r="R60" s="61">
        <f t="shared" si="2"/>
        <v>0</v>
      </c>
      <c r="S60" s="62">
        <f t="shared" si="3"/>
        <v>0</v>
      </c>
      <c r="T60" s="63">
        <f t="shared" si="4"/>
        <v>0</v>
      </c>
      <c r="U60" s="64"/>
      <c r="V60" s="65"/>
      <c r="W60" s="66"/>
      <c r="X60" s="67"/>
      <c r="Y60" s="68"/>
      <c r="Z60" s="68"/>
      <c r="AA60" s="62">
        <f t="shared" si="5"/>
        <v>0</v>
      </c>
      <c r="AB60" s="63">
        <f t="shared" si="6"/>
        <v>0</v>
      </c>
      <c r="AC60" s="69"/>
      <c r="AD60" s="70"/>
      <c r="AE60" s="70"/>
      <c r="AF60" s="62">
        <f t="shared" si="7"/>
        <v>0</v>
      </c>
      <c r="AG60" s="63">
        <f t="shared" si="8"/>
        <v>0</v>
      </c>
      <c r="AH60" s="89"/>
      <c r="AI60" s="66"/>
      <c r="AJ60" s="66"/>
      <c r="AK60" s="62">
        <f t="shared" si="9"/>
        <v>0</v>
      </c>
      <c r="AL60" s="72">
        <f t="shared" si="10"/>
        <v>0</v>
      </c>
      <c r="AM60" s="73">
        <f t="shared" si="11"/>
        <v>0</v>
      </c>
      <c r="AN60" s="74">
        <f t="shared" si="29"/>
        <v>0</v>
      </c>
      <c r="AO60" s="74">
        <f t="shared" si="29"/>
        <v>0</v>
      </c>
      <c r="AP60" s="75" t="e">
        <f t="shared" si="13"/>
        <v>#DIV/0!</v>
      </c>
      <c r="AQ60" s="76">
        <f t="shared" si="14"/>
        <v>0</v>
      </c>
      <c r="AR60" s="90">
        <f t="shared" si="15"/>
        <v>0</v>
      </c>
    </row>
    <row r="61" spans="1:44" x14ac:dyDescent="0.25">
      <c r="A61" t="str">
        <f t="shared" si="16"/>
        <v>46202E</v>
      </c>
      <c r="B61" s="51">
        <f t="shared" si="28"/>
        <v>46202</v>
      </c>
      <c r="C61" s="52" t="s">
        <v>88</v>
      </c>
      <c r="D61" s="91"/>
      <c r="E61" s="62"/>
      <c r="F61" s="62"/>
      <c r="G61" s="62">
        <f t="shared" si="0"/>
        <v>0</v>
      </c>
      <c r="H61" s="63">
        <f t="shared" si="1"/>
        <v>0</v>
      </c>
      <c r="I61" s="119"/>
      <c r="J61" s="119"/>
      <c r="K61" s="119"/>
      <c r="L61" s="119"/>
      <c r="M61" s="58"/>
      <c r="N61" s="58"/>
      <c r="O61" s="59"/>
      <c r="P61" s="56"/>
      <c r="Q61" s="60"/>
      <c r="R61" s="61">
        <f t="shared" si="2"/>
        <v>0</v>
      </c>
      <c r="S61" s="62">
        <f t="shared" si="3"/>
        <v>0</v>
      </c>
      <c r="T61" s="63">
        <f t="shared" si="4"/>
        <v>0</v>
      </c>
      <c r="U61" s="64"/>
      <c r="V61" s="65"/>
      <c r="W61" s="66"/>
      <c r="X61" s="67"/>
      <c r="Y61" s="68"/>
      <c r="Z61" s="68"/>
      <c r="AA61" s="62">
        <f t="shared" si="5"/>
        <v>0</v>
      </c>
      <c r="AB61" s="63">
        <f t="shared" si="6"/>
        <v>0</v>
      </c>
      <c r="AC61" s="69"/>
      <c r="AD61" s="70"/>
      <c r="AE61" s="70"/>
      <c r="AF61" s="62">
        <f t="shared" si="7"/>
        <v>0</v>
      </c>
      <c r="AG61" s="63">
        <f t="shared" si="8"/>
        <v>0</v>
      </c>
      <c r="AH61" s="89"/>
      <c r="AI61" s="66"/>
      <c r="AJ61" s="66"/>
      <c r="AK61" s="62">
        <f t="shared" si="9"/>
        <v>0</v>
      </c>
      <c r="AL61" s="72">
        <f t="shared" si="10"/>
        <v>0</v>
      </c>
      <c r="AM61" s="73">
        <f t="shared" si="11"/>
        <v>0</v>
      </c>
      <c r="AN61" s="74">
        <f t="shared" si="29"/>
        <v>0</v>
      </c>
      <c r="AO61" s="74">
        <f t="shared" si="29"/>
        <v>0</v>
      </c>
      <c r="AP61" s="75" t="e">
        <f t="shared" si="13"/>
        <v>#DIV/0!</v>
      </c>
      <c r="AQ61" s="76">
        <f t="shared" si="14"/>
        <v>0</v>
      </c>
      <c r="AR61" s="90">
        <f t="shared" si="15"/>
        <v>0</v>
      </c>
    </row>
    <row r="62" spans="1:44" x14ac:dyDescent="0.25">
      <c r="A62" t="str">
        <f t="shared" si="16"/>
        <v>46203M</v>
      </c>
      <c r="B62" s="51">
        <f t="shared" si="28"/>
        <v>46203</v>
      </c>
      <c r="C62" s="52" t="s">
        <v>87</v>
      </c>
      <c r="D62" s="91"/>
      <c r="E62" s="62"/>
      <c r="F62" s="62"/>
      <c r="G62" s="62">
        <f t="shared" si="0"/>
        <v>0</v>
      </c>
      <c r="H62" s="63">
        <f t="shared" si="1"/>
        <v>0</v>
      </c>
      <c r="I62" s="119"/>
      <c r="J62" s="119"/>
      <c r="K62" s="119"/>
      <c r="L62" s="119"/>
      <c r="M62" s="58"/>
      <c r="N62" s="58"/>
      <c r="O62" s="59"/>
      <c r="P62" s="56"/>
      <c r="Q62" s="60"/>
      <c r="R62" s="61">
        <f t="shared" si="2"/>
        <v>0</v>
      </c>
      <c r="S62" s="62">
        <f t="shared" si="3"/>
        <v>0</v>
      </c>
      <c r="T62" s="63">
        <f t="shared" si="4"/>
        <v>0</v>
      </c>
      <c r="U62" s="64"/>
      <c r="V62" s="65"/>
      <c r="W62" s="66"/>
      <c r="X62" s="67"/>
      <c r="Y62" s="68"/>
      <c r="Z62" s="68"/>
      <c r="AA62" s="62">
        <f t="shared" si="5"/>
        <v>0</v>
      </c>
      <c r="AB62" s="63">
        <f t="shared" si="6"/>
        <v>0</v>
      </c>
      <c r="AC62" s="69"/>
      <c r="AD62" s="70"/>
      <c r="AE62" s="70"/>
      <c r="AF62" s="62">
        <f t="shared" si="7"/>
        <v>0</v>
      </c>
      <c r="AG62" s="63">
        <f t="shared" si="8"/>
        <v>0</v>
      </c>
      <c r="AH62" s="89"/>
      <c r="AI62" s="66"/>
      <c r="AJ62" s="66"/>
      <c r="AK62" s="62">
        <f t="shared" si="9"/>
        <v>0</v>
      </c>
      <c r="AL62" s="72">
        <f t="shared" si="10"/>
        <v>0</v>
      </c>
      <c r="AM62" s="73">
        <f t="shared" si="11"/>
        <v>0</v>
      </c>
      <c r="AN62" s="74">
        <f t="shared" si="29"/>
        <v>0</v>
      </c>
      <c r="AO62" s="74">
        <f t="shared" si="29"/>
        <v>0</v>
      </c>
      <c r="AP62" s="75" t="e">
        <f t="shared" si="13"/>
        <v>#DIV/0!</v>
      </c>
      <c r="AQ62" s="76">
        <f t="shared" si="14"/>
        <v>0</v>
      </c>
      <c r="AR62" s="90">
        <f t="shared" si="15"/>
        <v>0</v>
      </c>
    </row>
    <row r="63" spans="1:44" x14ac:dyDescent="0.25">
      <c r="A63" t="str">
        <f t="shared" si="16"/>
        <v>46203E</v>
      </c>
      <c r="B63" s="51">
        <f t="shared" si="28"/>
        <v>46203</v>
      </c>
      <c r="C63" s="52" t="s">
        <v>88</v>
      </c>
      <c r="D63" s="91"/>
      <c r="E63" s="62"/>
      <c r="F63" s="62"/>
      <c r="G63" s="62">
        <f t="shared" si="0"/>
        <v>0</v>
      </c>
      <c r="H63" s="63">
        <f t="shared" si="1"/>
        <v>0</v>
      </c>
      <c r="I63" s="119"/>
      <c r="J63" s="119"/>
      <c r="K63" s="119"/>
      <c r="L63" s="119"/>
      <c r="M63" s="58"/>
      <c r="N63" s="58"/>
      <c r="O63" s="59"/>
      <c r="P63" s="56"/>
      <c r="Q63" s="60"/>
      <c r="R63" s="61">
        <f t="shared" si="2"/>
        <v>0</v>
      </c>
      <c r="S63" s="62">
        <f t="shared" si="3"/>
        <v>0</v>
      </c>
      <c r="T63" s="63">
        <f t="shared" si="4"/>
        <v>0</v>
      </c>
      <c r="U63" s="64"/>
      <c r="V63" s="65"/>
      <c r="W63" s="66"/>
      <c r="X63" s="67"/>
      <c r="Y63" s="68"/>
      <c r="Z63" s="68"/>
      <c r="AA63" s="62">
        <f t="shared" si="5"/>
        <v>0</v>
      </c>
      <c r="AB63" s="63">
        <f t="shared" si="6"/>
        <v>0</v>
      </c>
      <c r="AC63" s="69"/>
      <c r="AD63" s="70"/>
      <c r="AE63" s="70"/>
      <c r="AF63" s="62">
        <f t="shared" si="7"/>
        <v>0</v>
      </c>
      <c r="AG63" s="63">
        <f t="shared" si="8"/>
        <v>0</v>
      </c>
      <c r="AH63" s="89"/>
      <c r="AI63" s="66"/>
      <c r="AJ63" s="66"/>
      <c r="AK63" s="62">
        <f t="shared" si="9"/>
        <v>0</v>
      </c>
      <c r="AL63" s="72">
        <f t="shared" si="10"/>
        <v>0</v>
      </c>
      <c r="AM63" s="73">
        <f t="shared" si="11"/>
        <v>0</v>
      </c>
      <c r="AN63" s="74">
        <f t="shared" si="29"/>
        <v>0</v>
      </c>
      <c r="AO63" s="74">
        <f t="shared" si="29"/>
        <v>0</v>
      </c>
      <c r="AP63" s="75" t="e">
        <f t="shared" si="13"/>
        <v>#DIV/0!</v>
      </c>
      <c r="AQ63" s="76">
        <f t="shared" si="14"/>
        <v>0</v>
      </c>
      <c r="AR63" s="90">
        <v>0</v>
      </c>
    </row>
    <row r="64" spans="1:44" x14ac:dyDescent="0.25">
      <c r="A64" t="str">
        <f t="shared" si="16"/>
        <v>46204M</v>
      </c>
      <c r="B64" s="51">
        <f t="shared" si="28"/>
        <v>46204</v>
      </c>
      <c r="C64" s="52" t="s">
        <v>87</v>
      </c>
      <c r="D64" s="91"/>
      <c r="E64" s="62"/>
      <c r="F64" s="62"/>
      <c r="G64" s="62">
        <f t="shared" si="0"/>
        <v>0</v>
      </c>
      <c r="H64" s="63">
        <f t="shared" si="1"/>
        <v>0</v>
      </c>
      <c r="I64" s="119"/>
      <c r="J64" s="119"/>
      <c r="K64" s="119"/>
      <c r="L64" s="119"/>
      <c r="M64" s="57"/>
      <c r="N64" s="58"/>
      <c r="O64" s="59"/>
      <c r="P64" s="56"/>
      <c r="Q64" s="60"/>
      <c r="R64" s="61">
        <f t="shared" si="2"/>
        <v>0</v>
      </c>
      <c r="S64" s="62">
        <f t="shared" si="3"/>
        <v>0</v>
      </c>
      <c r="T64" s="63">
        <f t="shared" si="4"/>
        <v>0</v>
      </c>
      <c r="U64" s="64"/>
      <c r="V64" s="65"/>
      <c r="W64" s="66"/>
      <c r="X64" s="67"/>
      <c r="Y64" s="68"/>
      <c r="Z64" s="68"/>
      <c r="AA64" s="62">
        <f t="shared" si="5"/>
        <v>0</v>
      </c>
      <c r="AB64" s="63">
        <f t="shared" si="6"/>
        <v>0</v>
      </c>
      <c r="AC64" s="69"/>
      <c r="AD64" s="70"/>
      <c r="AE64" s="70"/>
      <c r="AF64" s="62">
        <f t="shared" si="7"/>
        <v>0</v>
      </c>
      <c r="AG64" s="63">
        <f t="shared" si="8"/>
        <v>0</v>
      </c>
      <c r="AH64" s="89"/>
      <c r="AI64" s="71"/>
      <c r="AJ64" s="71"/>
      <c r="AK64" s="62">
        <f t="shared" si="9"/>
        <v>0</v>
      </c>
      <c r="AL64" s="72">
        <f t="shared" si="10"/>
        <v>0</v>
      </c>
      <c r="AM64" s="73">
        <f t="shared" si="11"/>
        <v>0</v>
      </c>
      <c r="AN64" s="74">
        <f t="shared" si="29"/>
        <v>0</v>
      </c>
      <c r="AO64" s="74">
        <f t="shared" si="29"/>
        <v>0</v>
      </c>
      <c r="AP64" s="75" t="e">
        <f t="shared" si="13"/>
        <v>#DIV/0!</v>
      </c>
      <c r="AQ64" s="76">
        <f t="shared" si="14"/>
        <v>0</v>
      </c>
      <c r="AR64" s="90">
        <f t="shared" si="15"/>
        <v>0</v>
      </c>
    </row>
    <row r="65" spans="1:44" x14ac:dyDescent="0.25">
      <c r="A65" t="str">
        <f t="shared" si="16"/>
        <v>46204E</v>
      </c>
      <c r="B65" s="51">
        <f t="shared" si="28"/>
        <v>46204</v>
      </c>
      <c r="C65" s="52" t="s">
        <v>88</v>
      </c>
      <c r="D65" s="91"/>
      <c r="E65" s="62"/>
      <c r="F65" s="62"/>
      <c r="G65" s="62">
        <f t="shared" si="0"/>
        <v>0</v>
      </c>
      <c r="H65" s="63">
        <f t="shared" si="1"/>
        <v>0</v>
      </c>
      <c r="I65" s="119"/>
      <c r="J65" s="119"/>
      <c r="K65" s="119"/>
      <c r="L65" s="119"/>
      <c r="M65" s="57"/>
      <c r="N65" s="58"/>
      <c r="O65" s="59"/>
      <c r="P65" s="56"/>
      <c r="Q65" s="60"/>
      <c r="R65" s="61">
        <f t="shared" si="2"/>
        <v>0</v>
      </c>
      <c r="S65" s="62">
        <f t="shared" si="3"/>
        <v>0</v>
      </c>
      <c r="T65" s="63">
        <f t="shared" si="4"/>
        <v>0</v>
      </c>
      <c r="U65" s="64"/>
      <c r="V65" s="65"/>
      <c r="W65" s="66"/>
      <c r="X65" s="67"/>
      <c r="Y65" s="68"/>
      <c r="Z65" s="68"/>
      <c r="AA65" s="62">
        <f t="shared" si="5"/>
        <v>0</v>
      </c>
      <c r="AB65" s="63">
        <f t="shared" si="6"/>
        <v>0</v>
      </c>
      <c r="AC65" s="69"/>
      <c r="AD65" s="70"/>
      <c r="AE65" s="70"/>
      <c r="AF65" s="62">
        <f t="shared" si="7"/>
        <v>0</v>
      </c>
      <c r="AG65" s="63">
        <f t="shared" si="8"/>
        <v>0</v>
      </c>
      <c r="AH65" s="89"/>
      <c r="AI65" s="71"/>
      <c r="AJ65" s="71"/>
      <c r="AK65" s="62">
        <f t="shared" si="9"/>
        <v>0</v>
      </c>
      <c r="AL65" s="72">
        <f t="shared" si="10"/>
        <v>0</v>
      </c>
      <c r="AM65" s="73">
        <f t="shared" si="11"/>
        <v>0</v>
      </c>
      <c r="AN65" s="74">
        <f t="shared" si="29"/>
        <v>0</v>
      </c>
      <c r="AO65" s="74">
        <f t="shared" si="29"/>
        <v>0</v>
      </c>
      <c r="AP65" s="75" t="e">
        <f t="shared" si="13"/>
        <v>#DIV/0!</v>
      </c>
      <c r="AQ65" s="76">
        <f t="shared" si="14"/>
        <v>0</v>
      </c>
      <c r="AR65" s="90">
        <f t="shared" si="15"/>
        <v>0</v>
      </c>
    </row>
    <row r="66" spans="1:44" x14ac:dyDescent="0.25">
      <c r="J66" s="83">
        <f>SUM(J4:J65)</f>
        <v>32709.812999999998</v>
      </c>
      <c r="R66" s="83">
        <f>SUM(R4:R65)</f>
        <v>32709.812999999998</v>
      </c>
      <c r="S66" s="83">
        <f t="shared" ref="S66:T66" si="30">SUM(S4:S65)</f>
        <v>1400.7342036</v>
      </c>
      <c r="T66" s="83">
        <f t="shared" si="30"/>
        <v>2676.1760657</v>
      </c>
      <c r="AH66" s="90"/>
      <c r="AI66" s="77"/>
      <c r="AJ66" s="77"/>
      <c r="AM66" s="83">
        <f>-SUM(AM4:AM65)</f>
        <v>89.886999999999404</v>
      </c>
      <c r="AN66" s="83">
        <f>-SUM(AN4:AN65)</f>
        <v>39.259266400000058</v>
      </c>
      <c r="AO66" s="83">
        <f>-SUM(AO4:AO65)</f>
        <v>-17.329005699999957</v>
      </c>
      <c r="AQ66" s="127">
        <f>-SUM(AQ4:AQ65)</f>
        <v>12437.767980432709</v>
      </c>
    </row>
    <row r="67" spans="1:44" x14ac:dyDescent="0.25">
      <c r="X67" s="90"/>
      <c r="Y67" s="77"/>
      <c r="Z67" s="77"/>
      <c r="AH67" s="90"/>
      <c r="AI67" s="77"/>
      <c r="AJ67" s="77"/>
    </row>
    <row r="68" spans="1:44" x14ac:dyDescent="0.25">
      <c r="AH68" s="90"/>
      <c r="AI68" s="90"/>
      <c r="AJ68" s="90"/>
    </row>
    <row r="69" spans="1:44" x14ac:dyDescent="0.25">
      <c r="V69" s="194">
        <v>4640</v>
      </c>
      <c r="W69" s="195">
        <v>4.9000000000000004</v>
      </c>
      <c r="X69" s="195">
        <v>8.39</v>
      </c>
      <c r="Y69" s="90">
        <f>+V69*W69%</f>
        <v>227.36</v>
      </c>
      <c r="Z69" s="90">
        <f>+V69*X69%</f>
        <v>389.29599999999999</v>
      </c>
      <c r="AH69" s="90"/>
      <c r="AI69" s="90"/>
      <c r="AJ69" s="90"/>
    </row>
    <row r="70" spans="1:44" x14ac:dyDescent="0.25">
      <c r="V70" s="59">
        <v>5300</v>
      </c>
      <c r="W70" s="56">
        <v>4.3</v>
      </c>
      <c r="X70" s="60">
        <v>8.52</v>
      </c>
      <c r="Y70" s="90">
        <f>+V70*W70%</f>
        <v>227.89999999999998</v>
      </c>
      <c r="Z70" s="90">
        <f>+V70*X70%</f>
        <v>451.56</v>
      </c>
    </row>
    <row r="71" spans="1:44" x14ac:dyDescent="0.25">
      <c r="V71">
        <f>SUM(V69:V70)</f>
        <v>9940</v>
      </c>
      <c r="W71">
        <f>+Y71/V71%</f>
        <v>4.580080482897384</v>
      </c>
      <c r="X71">
        <f>+Z71/V71%</f>
        <v>8.4593158953722334</v>
      </c>
      <c r="Y71" s="90">
        <f>SUM(Y69:Y70)</f>
        <v>455.26</v>
      </c>
      <c r="Z71" s="90">
        <f>SUM(Z69:Z70)</f>
        <v>840.85599999999999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69" priority="2" operator="lessThan">
      <formula>0.1</formula>
    </cfRule>
    <cfRule type="cellIs" dxfId="68" priority="3" operator="greaterThan">
      <formula>0.1</formula>
    </cfRule>
  </conditionalFormatting>
  <conditionalFormatting sqref="AP1:AQ1">
    <cfRule type="cellIs" dxfId="67" priority="1" operator="lessThan">
      <formula>1</formula>
    </cfRule>
  </conditionalFormatting>
  <conditionalFormatting sqref="AQ4:AQ65">
    <cfRule type="cellIs" dxfId="66" priority="4" operator="lessThan">
      <formula>0</formula>
    </cfRule>
    <cfRule type="cellIs" dxfId="65" priority="5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S66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C25" sqref="AC25:AE25"/>
    </sheetView>
  </sheetViews>
  <sheetFormatPr defaultColWidth="8.85546875" defaultRowHeight="12.75" x14ac:dyDescent="0.2"/>
  <cols>
    <col min="1" max="1" width="4.42578125" style="149" customWidth="1"/>
    <col min="2" max="2" width="9.7109375" style="190" customWidth="1"/>
    <col min="3" max="3" width="5" style="149" bestFit="1" customWidth="1"/>
    <col min="4" max="4" width="8.140625" style="149" bestFit="1" customWidth="1"/>
    <col min="5" max="5" width="5.28515625" style="149" bestFit="1" customWidth="1"/>
    <col min="6" max="6" width="5.140625" style="149" bestFit="1" customWidth="1"/>
    <col min="7" max="7" width="7.140625" style="149" bestFit="1" customWidth="1"/>
    <col min="8" max="8" width="8.140625" style="149" bestFit="1" customWidth="1"/>
    <col min="9" max="9" width="7.140625" style="149" bestFit="1" customWidth="1"/>
    <col min="10" max="10" width="9.28515625" style="149" bestFit="1" customWidth="1"/>
    <col min="11" max="11" width="5.28515625" style="149" bestFit="1" customWidth="1"/>
    <col min="12" max="12" width="5.140625" style="149" bestFit="1" customWidth="1"/>
    <col min="13" max="13" width="5.5703125" style="149" bestFit="1" customWidth="1"/>
    <col min="14" max="14" width="9.5703125" style="149" bestFit="1" customWidth="1"/>
    <col min="15" max="15" width="6.42578125" style="149" bestFit="1" customWidth="1"/>
    <col min="16" max="16" width="5.28515625" style="149" bestFit="1" customWidth="1"/>
    <col min="17" max="17" width="5.140625" style="149" bestFit="1" customWidth="1"/>
    <col min="18" max="20" width="7.140625" style="149" bestFit="1" customWidth="1"/>
    <col min="21" max="21" width="7" style="149" bestFit="1" customWidth="1"/>
    <col min="22" max="22" width="7.7109375" style="149" bestFit="1" customWidth="1"/>
    <col min="23" max="23" width="11.42578125" style="149" bestFit="1" customWidth="1"/>
    <col min="24" max="24" width="6.7109375" style="149" bestFit="1" customWidth="1"/>
    <col min="25" max="25" width="5.28515625" style="149" bestFit="1" customWidth="1"/>
    <col min="26" max="26" width="5.140625" style="149" bestFit="1" customWidth="1"/>
    <col min="27" max="28" width="8.140625" style="149" bestFit="1" customWidth="1"/>
    <col min="29" max="29" width="9.28515625" style="149" bestFit="1" customWidth="1"/>
    <col min="30" max="30" width="5.28515625" style="149" bestFit="1" customWidth="1"/>
    <col min="31" max="31" width="5.140625" style="149" bestFit="1" customWidth="1"/>
    <col min="32" max="33" width="8.140625" style="149" bestFit="1" customWidth="1"/>
    <col min="34" max="34" width="9.28515625" style="149" bestFit="1" customWidth="1"/>
    <col min="35" max="35" width="5.28515625" style="149" bestFit="1" customWidth="1"/>
    <col min="36" max="36" width="5.140625" style="149" bestFit="1" customWidth="1"/>
    <col min="37" max="37" width="7.140625" style="149" bestFit="1" customWidth="1"/>
    <col min="38" max="38" width="8.140625" style="149" bestFit="1" customWidth="1"/>
    <col min="39" max="39" width="6.7109375" style="149" bestFit="1" customWidth="1"/>
    <col min="40" max="40" width="6.42578125" style="149" bestFit="1" customWidth="1"/>
    <col min="41" max="41" width="6.5703125" style="149" bestFit="1" customWidth="1"/>
    <col min="42" max="42" width="8.5703125" style="149" bestFit="1" customWidth="1"/>
    <col min="43" max="43" width="12" style="149" bestFit="1" customWidth="1"/>
    <col min="44" max="44" width="5" style="149" bestFit="1" customWidth="1"/>
    <col min="45" max="45" width="8.7109375" style="149" bestFit="1" customWidth="1"/>
    <col min="46" max="16384" width="8.85546875" style="149"/>
  </cols>
  <sheetData>
    <row r="1" spans="1:44" ht="13.5" thickBot="1" x14ac:dyDescent="0.25">
      <c r="B1" s="150" t="s">
        <v>108</v>
      </c>
      <c r="C1" s="151"/>
      <c r="AP1" s="212">
        <f>Sumarry!K16</f>
        <v>448.91</v>
      </c>
      <c r="AQ1" s="212">
        <f>Sumarry!L16</f>
        <v>299.27333333333337</v>
      </c>
    </row>
    <row r="2" spans="1:44" x14ac:dyDescent="0.2">
      <c r="B2" s="275" t="s">
        <v>64</v>
      </c>
      <c r="C2" s="277" t="s">
        <v>65</v>
      </c>
      <c r="D2" s="279" t="s">
        <v>66</v>
      </c>
      <c r="E2" s="279"/>
      <c r="F2" s="279"/>
      <c r="G2" s="279"/>
      <c r="H2" s="280"/>
      <c r="I2" s="281" t="s">
        <v>67</v>
      </c>
      <c r="J2" s="281"/>
      <c r="K2" s="272"/>
      <c r="L2" s="272"/>
      <c r="M2" s="281" t="s">
        <v>68</v>
      </c>
      <c r="N2" s="281"/>
      <c r="O2" s="272"/>
      <c r="P2" s="272"/>
      <c r="Q2" s="273"/>
      <c r="R2" s="281" t="s">
        <v>69</v>
      </c>
      <c r="S2" s="272"/>
      <c r="T2" s="273"/>
      <c r="U2" s="268" t="s">
        <v>70</v>
      </c>
      <c r="V2" s="269"/>
      <c r="W2" s="269"/>
      <c r="X2" s="269"/>
      <c r="Y2" s="269"/>
      <c r="Z2" s="269"/>
      <c r="AA2" s="269"/>
      <c r="AB2" s="270"/>
      <c r="AC2" s="271" t="s">
        <v>71</v>
      </c>
      <c r="AD2" s="272"/>
      <c r="AE2" s="272"/>
      <c r="AF2" s="272"/>
      <c r="AG2" s="273"/>
      <c r="AH2" s="271" t="s">
        <v>72</v>
      </c>
      <c r="AI2" s="272"/>
      <c r="AJ2" s="272"/>
      <c r="AK2" s="272"/>
      <c r="AL2" s="274"/>
      <c r="AM2" s="268" t="s">
        <v>73</v>
      </c>
      <c r="AN2" s="269"/>
      <c r="AO2" s="269"/>
      <c r="AP2" s="269"/>
      <c r="AQ2" s="270"/>
    </row>
    <row r="3" spans="1:44" ht="15.6" customHeight="1" x14ac:dyDescent="0.2">
      <c r="B3" s="276"/>
      <c r="C3" s="278"/>
      <c r="D3" s="152" t="s">
        <v>74</v>
      </c>
      <c r="E3" s="152" t="s">
        <v>75</v>
      </c>
      <c r="F3" s="152" t="s">
        <v>76</v>
      </c>
      <c r="G3" s="152" t="s">
        <v>77</v>
      </c>
      <c r="H3" s="153" t="s">
        <v>8</v>
      </c>
      <c r="I3" s="153" t="s">
        <v>78</v>
      </c>
      <c r="J3" s="153" t="s">
        <v>79</v>
      </c>
      <c r="K3" s="153" t="s">
        <v>75</v>
      </c>
      <c r="L3" s="153" t="s">
        <v>76</v>
      </c>
      <c r="M3" s="154" t="s">
        <v>80</v>
      </c>
      <c r="N3" s="154" t="s">
        <v>81</v>
      </c>
      <c r="O3" s="152" t="s">
        <v>79</v>
      </c>
      <c r="P3" s="152" t="s">
        <v>75</v>
      </c>
      <c r="Q3" s="153" t="s">
        <v>76</v>
      </c>
      <c r="R3" s="154" t="s">
        <v>79</v>
      </c>
      <c r="S3" s="152" t="s">
        <v>77</v>
      </c>
      <c r="T3" s="153" t="s">
        <v>8</v>
      </c>
      <c r="U3" s="155" t="s">
        <v>82</v>
      </c>
      <c r="V3" s="152" t="s">
        <v>83</v>
      </c>
      <c r="W3" s="152" t="s">
        <v>84</v>
      </c>
      <c r="X3" s="152" t="s">
        <v>85</v>
      </c>
      <c r="Y3" s="152" t="s">
        <v>75</v>
      </c>
      <c r="Z3" s="152" t="s">
        <v>76</v>
      </c>
      <c r="AA3" s="152" t="s">
        <v>77</v>
      </c>
      <c r="AB3" s="153" t="s">
        <v>8</v>
      </c>
      <c r="AC3" s="155" t="s">
        <v>85</v>
      </c>
      <c r="AD3" s="152" t="s">
        <v>75</v>
      </c>
      <c r="AE3" s="152" t="s">
        <v>76</v>
      </c>
      <c r="AF3" s="152" t="s">
        <v>77</v>
      </c>
      <c r="AG3" s="153" t="s">
        <v>8</v>
      </c>
      <c r="AH3" s="155" t="s">
        <v>85</v>
      </c>
      <c r="AI3" s="152" t="s">
        <v>75</v>
      </c>
      <c r="AJ3" s="152" t="s">
        <v>76</v>
      </c>
      <c r="AK3" s="152" t="s">
        <v>77</v>
      </c>
      <c r="AL3" s="156" t="s">
        <v>8</v>
      </c>
      <c r="AM3" s="155" t="s">
        <v>85</v>
      </c>
      <c r="AN3" s="152" t="s">
        <v>77</v>
      </c>
      <c r="AO3" s="152" t="s">
        <v>8</v>
      </c>
      <c r="AP3" s="152" t="s">
        <v>86</v>
      </c>
      <c r="AQ3" s="157" t="s">
        <v>11</v>
      </c>
    </row>
    <row r="4" spans="1:44" ht="15" x14ac:dyDescent="0.25">
      <c r="A4" s="149" t="str">
        <f>CONCATENATE(B4,C4)</f>
        <v>46174M</v>
      </c>
      <c r="B4" s="51">
        <v>46174</v>
      </c>
      <c r="C4" s="158" t="s">
        <v>87</v>
      </c>
      <c r="D4" s="196">
        <v>0</v>
      </c>
      <c r="E4" s="88">
        <v>0</v>
      </c>
      <c r="F4" s="88">
        <v>0</v>
      </c>
      <c r="G4" s="170">
        <f t="shared" ref="G4" si="0">+D4*E4%</f>
        <v>0</v>
      </c>
      <c r="H4" s="171">
        <f t="shared" ref="H4" si="1">+D4*F4%</f>
        <v>0</v>
      </c>
      <c r="I4" s="161">
        <v>4011.7499999999991</v>
      </c>
      <c r="J4" s="162">
        <v>4132.1024999999991</v>
      </c>
      <c r="K4" s="163">
        <v>5.2974649467190122</v>
      </c>
      <c r="L4" s="164">
        <v>8.5201570386988159</v>
      </c>
      <c r="M4" s="165">
        <v>0</v>
      </c>
      <c r="N4" s="165">
        <v>0</v>
      </c>
      <c r="O4" s="166">
        <v>0</v>
      </c>
      <c r="P4" s="167">
        <v>0</v>
      </c>
      <c r="Q4" s="168">
        <v>0</v>
      </c>
      <c r="R4" s="169">
        <f>+J4+O4</f>
        <v>4132.1024999999991</v>
      </c>
      <c r="S4" s="170">
        <f t="shared" ref="S4" si="2">+J4*K4%+O4*P4%</f>
        <v>218.89668149999994</v>
      </c>
      <c r="T4" s="171">
        <f t="shared" ref="T4" si="3">+J4*L4%+O4*Q4%</f>
        <v>352.06162199999966</v>
      </c>
      <c r="U4" s="172" t="s">
        <v>167</v>
      </c>
      <c r="V4" s="173" t="s">
        <v>167</v>
      </c>
      <c r="W4" s="160">
        <v>0</v>
      </c>
      <c r="X4" s="174">
        <v>0</v>
      </c>
      <c r="Y4" s="175">
        <v>0</v>
      </c>
      <c r="Z4" s="175">
        <v>0</v>
      </c>
      <c r="AA4" s="62">
        <f>X4*Y4%</f>
        <v>0</v>
      </c>
      <c r="AB4" s="63">
        <f t="shared" ref="AB4" si="4">X4*Z4%</f>
        <v>0</v>
      </c>
      <c r="AC4" s="176"/>
      <c r="AD4" s="177"/>
      <c r="AE4" s="177"/>
      <c r="AF4" s="170">
        <f t="shared" ref="AF4" si="5">AC4*AD4%</f>
        <v>0</v>
      </c>
      <c r="AG4" s="171">
        <f t="shared" ref="AG4" si="6">AC4*AE4%</f>
        <v>0</v>
      </c>
      <c r="AH4" s="178">
        <v>4142.1000000000004</v>
      </c>
      <c r="AI4" s="160">
        <v>5.3</v>
      </c>
      <c r="AJ4" s="160">
        <v>8.51</v>
      </c>
      <c r="AK4" s="170">
        <f t="shared" ref="AK4:AK5" si="7">AH4*AI4%</f>
        <v>219.53130000000002</v>
      </c>
      <c r="AL4" s="179">
        <f t="shared" ref="AL4:AL5" si="8">AH4*AJ4%</f>
        <v>352.49270999999999</v>
      </c>
      <c r="AM4" s="180">
        <f t="shared" ref="AM4" si="9">+D4+R4-AC4-AH4</f>
        <v>-9.9975000000013097</v>
      </c>
      <c r="AN4" s="181">
        <f t="shared" ref="AN4" si="10">+G4+S4-AF4-AK4</f>
        <v>-0.63461850000007303</v>
      </c>
      <c r="AO4" s="181">
        <f t="shared" ref="AO4" si="11">+H4+T4-AG4-AL4</f>
        <v>-0.43108800000032943</v>
      </c>
      <c r="AP4" s="182">
        <f t="shared" ref="AP4" si="12">(AN4+AO4)/(S4+T4)</f>
        <v>-1.8665224648938014E-3</v>
      </c>
      <c r="AQ4" s="76">
        <f t="shared" ref="AQ4:AQ65" si="13">($AP$1*AN4+$AQ$1*AO4)</f>
        <v>-413.89973355513143</v>
      </c>
      <c r="AR4" s="183">
        <f t="shared" ref="AR4" si="14">(D4+J4+O4)-(X4+AH4)</f>
        <v>-9.9975000000013097</v>
      </c>
    </row>
    <row r="5" spans="1:44" ht="15" x14ac:dyDescent="0.25">
      <c r="A5" s="149" t="str">
        <f t="shared" ref="A5:A65" si="15">CONCATENATE(B5,C5)</f>
        <v>46174E</v>
      </c>
      <c r="B5" s="51">
        <f>+B4</f>
        <v>46174</v>
      </c>
      <c r="C5" s="158" t="s">
        <v>88</v>
      </c>
      <c r="D5" s="11">
        <v>4142.1000000000004</v>
      </c>
      <c r="E5" s="170">
        <v>5.3</v>
      </c>
      <c r="F5" s="170">
        <v>8.51</v>
      </c>
      <c r="G5" s="170">
        <f t="shared" ref="G5:G65" si="16">+D5*E5%</f>
        <v>219.53130000000002</v>
      </c>
      <c r="H5" s="171">
        <f t="shared" ref="H5:H65" si="17">+D5*F5%</f>
        <v>352.49270999999999</v>
      </c>
      <c r="I5" s="161">
        <v>7169.1500000000033</v>
      </c>
      <c r="J5" s="162">
        <v>7384.2245000000039</v>
      </c>
      <c r="K5" s="163">
        <v>4.2735142938842117</v>
      </c>
      <c r="L5" s="164">
        <v>8.4022806050926508</v>
      </c>
      <c r="M5" s="165">
        <v>0</v>
      </c>
      <c r="N5" s="165">
        <v>0</v>
      </c>
      <c r="O5" s="166">
        <v>0</v>
      </c>
      <c r="P5" s="167">
        <v>0</v>
      </c>
      <c r="Q5" s="168">
        <v>0</v>
      </c>
      <c r="R5" s="169">
        <f t="shared" ref="R5:R65" si="18">+J5+O5</f>
        <v>7384.2245000000039</v>
      </c>
      <c r="S5" s="170">
        <f t="shared" ref="S5:S65" si="19">+J5*K5%+O5*P5%</f>
        <v>315.56588950000014</v>
      </c>
      <c r="T5" s="171">
        <f t="shared" ref="T5:T65" si="20">+J5*L5%+O5*Q5%</f>
        <v>620.44326300000012</v>
      </c>
      <c r="U5" s="172" t="s">
        <v>167</v>
      </c>
      <c r="V5" s="173" t="s">
        <v>167</v>
      </c>
      <c r="W5" s="160">
        <v>0</v>
      </c>
      <c r="X5" s="174">
        <v>0</v>
      </c>
      <c r="Y5" s="175">
        <v>0</v>
      </c>
      <c r="Z5" s="175">
        <v>0</v>
      </c>
      <c r="AA5" s="62">
        <f t="shared" ref="AA5:AA11" si="21">X5*Y5%</f>
        <v>0</v>
      </c>
      <c r="AB5" s="63">
        <f t="shared" ref="AB5:AB11" si="22">X5*Z5%</f>
        <v>0</v>
      </c>
      <c r="AC5" s="176"/>
      <c r="AD5" s="177"/>
      <c r="AE5" s="177"/>
      <c r="AF5" s="170">
        <f t="shared" ref="AF5:AF65" si="23">AC5*AD5%</f>
        <v>0</v>
      </c>
      <c r="AG5" s="171">
        <f t="shared" ref="AG5:AG65" si="24">AC5*AE5%</f>
        <v>0</v>
      </c>
      <c r="AH5" s="184">
        <v>11526.2</v>
      </c>
      <c r="AI5" s="160">
        <v>4.6399999999999997</v>
      </c>
      <c r="AJ5" s="160">
        <v>8.43</v>
      </c>
      <c r="AK5" s="170">
        <f t="shared" si="7"/>
        <v>534.81568000000004</v>
      </c>
      <c r="AL5" s="179">
        <f t="shared" si="8"/>
        <v>971.65866000000005</v>
      </c>
      <c r="AM5" s="180">
        <f t="shared" ref="AM5" si="25">+D5+R5-AC5-AH5</f>
        <v>0.12450000000353612</v>
      </c>
      <c r="AN5" s="181">
        <f t="shared" ref="AN5" si="26">+G5+S5-AF5-AK5</f>
        <v>0.28150950000008379</v>
      </c>
      <c r="AO5" s="181">
        <f t="shared" ref="AO5" si="27">+H5+T5-AG5-AL5</f>
        <v>1.2773130000000492</v>
      </c>
      <c r="AP5" s="182">
        <f t="shared" ref="AP5:AP61" si="28">(AN5+AO5)/(S5+T5)</f>
        <v>1.6653923691201647E-3</v>
      </c>
      <c r="AQ5" s="76">
        <f t="shared" si="13"/>
        <v>508.63814886505241</v>
      </c>
      <c r="AR5" s="183">
        <f t="shared" ref="AR5:AR65" si="29">(D5+J5+O5)-(X5+AH5)</f>
        <v>0.12450000000353612</v>
      </c>
    </row>
    <row r="6" spans="1:44" ht="15" x14ac:dyDescent="0.25">
      <c r="A6" s="149" t="str">
        <f t="shared" si="15"/>
        <v>46175M</v>
      </c>
      <c r="B6" s="51">
        <f>+B4+1</f>
        <v>46175</v>
      </c>
      <c r="C6" s="158" t="s">
        <v>87</v>
      </c>
      <c r="D6" s="185">
        <v>11526.2</v>
      </c>
      <c r="E6" s="170">
        <v>4.6399999999999997</v>
      </c>
      <c r="F6" s="170">
        <v>8.43</v>
      </c>
      <c r="G6" s="170">
        <f t="shared" si="16"/>
        <v>534.81568000000004</v>
      </c>
      <c r="H6" s="171">
        <f t="shared" si="17"/>
        <v>971.65866000000005</v>
      </c>
      <c r="I6" s="161">
        <v>3742.4500000000021</v>
      </c>
      <c r="J6" s="162">
        <v>3854.7235000000023</v>
      </c>
      <c r="K6" s="163">
        <v>5.2615091717992204</v>
      </c>
      <c r="L6" s="164">
        <v>8.4852770244091449</v>
      </c>
      <c r="M6" s="165">
        <v>0</v>
      </c>
      <c r="N6" s="165">
        <v>0</v>
      </c>
      <c r="O6" s="166">
        <v>0</v>
      </c>
      <c r="P6" s="167">
        <v>0</v>
      </c>
      <c r="Q6" s="168">
        <v>0</v>
      </c>
      <c r="R6" s="169">
        <f t="shared" si="18"/>
        <v>3854.7235000000023</v>
      </c>
      <c r="S6" s="170">
        <f t="shared" si="19"/>
        <v>202.81663050000003</v>
      </c>
      <c r="T6" s="171">
        <f t="shared" si="20"/>
        <v>327.08396750000026</v>
      </c>
      <c r="U6" s="172" t="s">
        <v>266</v>
      </c>
      <c r="V6" s="173" t="s">
        <v>267</v>
      </c>
      <c r="W6" s="160" t="s">
        <v>225</v>
      </c>
      <c r="X6" s="174">
        <v>15570</v>
      </c>
      <c r="Y6" s="175">
        <v>4.9000000000000004</v>
      </c>
      <c r="Z6" s="175">
        <v>8.51</v>
      </c>
      <c r="AA6" s="62">
        <f t="shared" si="21"/>
        <v>762.93000000000006</v>
      </c>
      <c r="AB6" s="63">
        <f t="shared" si="22"/>
        <v>1325.0069999999998</v>
      </c>
      <c r="AC6" s="176">
        <v>15560</v>
      </c>
      <c r="AD6" s="177">
        <v>4.8499999999999996</v>
      </c>
      <c r="AE6" s="177">
        <v>8.44</v>
      </c>
      <c r="AF6" s="170">
        <f t="shared" si="23"/>
        <v>754.66</v>
      </c>
      <c r="AG6" s="171">
        <f t="shared" si="24"/>
        <v>1313.2639999999999</v>
      </c>
      <c r="AH6" s="184">
        <v>0</v>
      </c>
      <c r="AI6" s="160">
        <v>0</v>
      </c>
      <c r="AJ6" s="160">
        <v>0</v>
      </c>
      <c r="AK6" s="170">
        <f t="shared" ref="AK6:AK65" si="30">AH6*AI6%</f>
        <v>0</v>
      </c>
      <c r="AL6" s="179">
        <f t="shared" ref="AL6:AL65" si="31">AH6*AJ6%</f>
        <v>0</v>
      </c>
      <c r="AM6" s="180">
        <f t="shared" ref="AM6:AM65" si="32">+D6+R6-AC6-AH6</f>
        <v>-179.0764999999974</v>
      </c>
      <c r="AN6" s="181">
        <f t="shared" ref="AN6:AN65" si="33">+G6+S6-AF6-AK6</f>
        <v>-17.027689499999838</v>
      </c>
      <c r="AO6" s="181">
        <f t="shared" ref="AO6:AO65" si="34">+H6+T6-AG6-AL6</f>
        <v>-14.521372499999643</v>
      </c>
      <c r="AP6" s="182">
        <f t="shared" si="28"/>
        <v>-5.9537698426978307E-2</v>
      </c>
      <c r="AQ6" s="76">
        <f t="shared" si="13"/>
        <v>-11989.759646094823</v>
      </c>
      <c r="AR6" s="183">
        <f t="shared" si="29"/>
        <v>-189.0764999999974</v>
      </c>
    </row>
    <row r="7" spans="1:44" ht="15" x14ac:dyDescent="0.25">
      <c r="A7" s="149" t="str">
        <f t="shared" si="15"/>
        <v>46175E</v>
      </c>
      <c r="B7" s="51">
        <f>+B5+1</f>
        <v>46175</v>
      </c>
      <c r="C7" s="158" t="s">
        <v>88</v>
      </c>
      <c r="D7" s="185">
        <v>0</v>
      </c>
      <c r="E7" s="170">
        <v>0</v>
      </c>
      <c r="F7" s="170">
        <v>0</v>
      </c>
      <c r="G7" s="170">
        <f t="shared" si="16"/>
        <v>0</v>
      </c>
      <c r="H7" s="171">
        <f t="shared" si="17"/>
        <v>0</v>
      </c>
      <c r="I7" s="161">
        <v>7038.3</v>
      </c>
      <c r="J7" s="162">
        <v>7249.4490000000005</v>
      </c>
      <c r="K7" s="163">
        <v>4.1960054274469671</v>
      </c>
      <c r="L7" s="164">
        <v>8.3681236946421755</v>
      </c>
      <c r="M7" s="165">
        <v>0</v>
      </c>
      <c r="N7" s="165">
        <v>0</v>
      </c>
      <c r="O7" s="166">
        <v>0</v>
      </c>
      <c r="P7" s="167">
        <v>0</v>
      </c>
      <c r="Q7" s="168">
        <v>0</v>
      </c>
      <c r="R7" s="169">
        <f t="shared" si="18"/>
        <v>7249.4490000000005</v>
      </c>
      <c r="S7" s="170">
        <f t="shared" si="19"/>
        <v>304.18727349999989</v>
      </c>
      <c r="T7" s="171">
        <f t="shared" si="20"/>
        <v>606.64285950000033</v>
      </c>
      <c r="U7" s="172" t="s">
        <v>167</v>
      </c>
      <c r="V7" s="173" t="s">
        <v>167</v>
      </c>
      <c r="W7" s="160">
        <v>0</v>
      </c>
      <c r="X7" s="174">
        <v>0</v>
      </c>
      <c r="Y7" s="175">
        <v>0</v>
      </c>
      <c r="Z7" s="175">
        <v>0</v>
      </c>
      <c r="AA7" s="62">
        <f t="shared" si="21"/>
        <v>0</v>
      </c>
      <c r="AB7" s="63">
        <f t="shared" si="22"/>
        <v>0</v>
      </c>
      <c r="AC7" s="176"/>
      <c r="AD7" s="177"/>
      <c r="AE7" s="177"/>
      <c r="AF7" s="170">
        <f t="shared" si="23"/>
        <v>0</v>
      </c>
      <c r="AG7" s="171">
        <f t="shared" si="24"/>
        <v>0</v>
      </c>
      <c r="AH7" s="184">
        <v>7249.4</v>
      </c>
      <c r="AI7" s="160">
        <v>4.2</v>
      </c>
      <c r="AJ7" s="160">
        <v>8.3699999999999992</v>
      </c>
      <c r="AK7" s="170">
        <f t="shared" si="30"/>
        <v>304.47480000000002</v>
      </c>
      <c r="AL7" s="179">
        <f t="shared" si="31"/>
        <v>606.77477999999996</v>
      </c>
      <c r="AM7" s="180">
        <f t="shared" si="32"/>
        <v>4.9000000000887667E-2</v>
      </c>
      <c r="AN7" s="181">
        <f t="shared" si="33"/>
        <v>-0.28752650000012636</v>
      </c>
      <c r="AO7" s="181">
        <f t="shared" si="34"/>
        <v>-0.13192049999963729</v>
      </c>
      <c r="AP7" s="182">
        <f t="shared" si="28"/>
        <v>-4.6051067570440554E-4</v>
      </c>
      <c r="AQ7" s="76">
        <f t="shared" si="13"/>
        <v>-168.55380888494818</v>
      </c>
      <c r="AR7" s="183">
        <f t="shared" si="29"/>
        <v>4.9000000000887667E-2</v>
      </c>
    </row>
    <row r="8" spans="1:44" ht="15" x14ac:dyDescent="0.25">
      <c r="A8" s="149" t="str">
        <f t="shared" si="15"/>
        <v>46176M</v>
      </c>
      <c r="B8" s="51">
        <f>+B6+1</f>
        <v>46176</v>
      </c>
      <c r="C8" s="158" t="s">
        <v>87</v>
      </c>
      <c r="D8" s="185">
        <v>7249.4</v>
      </c>
      <c r="E8" s="170">
        <v>4.2</v>
      </c>
      <c r="F8" s="170">
        <v>8.3699999999999992</v>
      </c>
      <c r="G8" s="170">
        <f t="shared" si="16"/>
        <v>304.47480000000002</v>
      </c>
      <c r="H8" s="171">
        <f t="shared" si="17"/>
        <v>606.77477999999996</v>
      </c>
      <c r="I8" s="161">
        <v>5338.2500000000009</v>
      </c>
      <c r="J8" s="162">
        <v>5498.3975000000009</v>
      </c>
      <c r="K8" s="163">
        <v>4.9714812906851504</v>
      </c>
      <c r="L8" s="164">
        <v>8.3810864983843025</v>
      </c>
      <c r="M8" s="165">
        <v>0</v>
      </c>
      <c r="N8" s="165">
        <v>0</v>
      </c>
      <c r="O8" s="166">
        <v>0</v>
      </c>
      <c r="P8" s="167">
        <v>0</v>
      </c>
      <c r="Q8" s="168">
        <v>0</v>
      </c>
      <c r="R8" s="169">
        <f t="shared" si="18"/>
        <v>5498.3975000000009</v>
      </c>
      <c r="S8" s="170">
        <f t="shared" si="19"/>
        <v>273.35180300000013</v>
      </c>
      <c r="T8" s="171">
        <f t="shared" si="20"/>
        <v>460.8254505000001</v>
      </c>
      <c r="U8" s="172" t="s">
        <v>266</v>
      </c>
      <c r="V8" s="173" t="s">
        <v>268</v>
      </c>
      <c r="W8" s="160" t="s">
        <v>225</v>
      </c>
      <c r="X8" s="174">
        <v>12550</v>
      </c>
      <c r="Y8" s="175">
        <v>4.58</v>
      </c>
      <c r="Z8" s="175">
        <v>8.4700000000000006</v>
      </c>
      <c r="AA8" s="62">
        <f t="shared" si="21"/>
        <v>574.79</v>
      </c>
      <c r="AB8" s="63">
        <f t="shared" si="22"/>
        <v>1062.9850000000001</v>
      </c>
      <c r="AC8" s="176">
        <v>12530</v>
      </c>
      <c r="AD8" s="177">
        <v>4.5803272146847576</v>
      </c>
      <c r="AE8" s="177">
        <v>8.4743176376695928</v>
      </c>
      <c r="AF8" s="170">
        <f t="shared" si="23"/>
        <v>573.91500000000008</v>
      </c>
      <c r="AG8" s="171">
        <f t="shared" si="24"/>
        <v>1061.8319999999999</v>
      </c>
      <c r="AH8" s="186">
        <v>197.8</v>
      </c>
      <c r="AI8" s="160">
        <v>4.5</v>
      </c>
      <c r="AJ8" s="160">
        <v>8.35</v>
      </c>
      <c r="AK8" s="170">
        <f t="shared" si="30"/>
        <v>8.9009999999999998</v>
      </c>
      <c r="AL8" s="179">
        <f t="shared" si="31"/>
        <v>16.516299999999998</v>
      </c>
      <c r="AM8" s="180">
        <f t="shared" si="32"/>
        <v>19.997500000000571</v>
      </c>
      <c r="AN8" s="181">
        <f t="shared" si="33"/>
        <v>-4.9893969999998724</v>
      </c>
      <c r="AO8" s="181">
        <f t="shared" si="34"/>
        <v>-10.748069499999698</v>
      </c>
      <c r="AP8" s="182">
        <f t="shared" si="28"/>
        <v>-2.1435513596989374E-2</v>
      </c>
      <c r="AQ8" s="76">
        <f t="shared" si="13"/>
        <v>-5456.4007934331858</v>
      </c>
      <c r="AR8" s="183">
        <f t="shared" si="29"/>
        <v>-2.4999999986903276E-3</v>
      </c>
    </row>
    <row r="9" spans="1:44" ht="15" x14ac:dyDescent="0.25">
      <c r="A9" s="149" t="str">
        <f t="shared" si="15"/>
        <v>46176E</v>
      </c>
      <c r="B9" s="51">
        <f t="shared" ref="B9:B65" si="35">+B7+1</f>
        <v>46176</v>
      </c>
      <c r="C9" s="158" t="s">
        <v>88</v>
      </c>
      <c r="D9" s="185">
        <v>197.8</v>
      </c>
      <c r="E9" s="170">
        <v>4.5</v>
      </c>
      <c r="F9" s="170">
        <v>8.35</v>
      </c>
      <c r="G9" s="170">
        <f t="shared" si="16"/>
        <v>8.9009999999999998</v>
      </c>
      <c r="H9" s="171">
        <f t="shared" si="17"/>
        <v>16.516299999999998</v>
      </c>
      <c r="I9" s="161">
        <v>7701.5999999999976</v>
      </c>
      <c r="J9" s="162">
        <v>7932.6479999999974</v>
      </c>
      <c r="K9" s="163">
        <v>4.2696855198919748</v>
      </c>
      <c r="L9" s="164">
        <v>8.2356270125688269</v>
      </c>
      <c r="M9" s="165" t="s">
        <v>264</v>
      </c>
      <c r="N9" s="165" t="s">
        <v>265</v>
      </c>
      <c r="O9" s="166">
        <v>6280</v>
      </c>
      <c r="P9" s="167">
        <v>4.05</v>
      </c>
      <c r="Q9" s="168">
        <v>8.15</v>
      </c>
      <c r="R9" s="169">
        <f t="shared" si="18"/>
        <v>14212.647999999997</v>
      </c>
      <c r="S9" s="170">
        <f t="shared" si="19"/>
        <v>593.03912300000025</v>
      </c>
      <c r="T9" s="171">
        <f t="shared" si="20"/>
        <v>1165.1233015000007</v>
      </c>
      <c r="U9" s="172" t="s">
        <v>167</v>
      </c>
      <c r="V9" s="173" t="s">
        <v>187</v>
      </c>
      <c r="W9" s="160">
        <v>0</v>
      </c>
      <c r="X9" s="174">
        <v>0</v>
      </c>
      <c r="Y9" s="175">
        <v>0</v>
      </c>
      <c r="Z9" s="175">
        <v>0</v>
      </c>
      <c r="AA9" s="62">
        <f t="shared" si="21"/>
        <v>0</v>
      </c>
      <c r="AB9" s="63">
        <f t="shared" si="22"/>
        <v>0</v>
      </c>
      <c r="AC9" s="176"/>
      <c r="AD9" s="177"/>
      <c r="AE9" s="177"/>
      <c r="AF9" s="170">
        <f t="shared" si="23"/>
        <v>0</v>
      </c>
      <c r="AG9" s="171">
        <f t="shared" si="24"/>
        <v>0</v>
      </c>
      <c r="AH9" s="184">
        <v>14410.4</v>
      </c>
      <c r="AI9" s="160">
        <v>4.17</v>
      </c>
      <c r="AJ9" s="160">
        <v>8.1999999999999993</v>
      </c>
      <c r="AK9" s="170">
        <f t="shared" si="30"/>
        <v>600.91368</v>
      </c>
      <c r="AL9" s="179">
        <f t="shared" si="31"/>
        <v>1181.6527999999998</v>
      </c>
      <c r="AM9" s="180">
        <f t="shared" si="32"/>
        <v>4.7999999997045961E-2</v>
      </c>
      <c r="AN9" s="181">
        <f t="shared" si="33"/>
        <v>1.0264430000001994</v>
      </c>
      <c r="AO9" s="181">
        <f t="shared" si="34"/>
        <v>-1.3198499999134583E-2</v>
      </c>
      <c r="AP9" s="182">
        <f t="shared" si="28"/>
        <v>5.7630881304337892E-4</v>
      </c>
      <c r="AQ9" s="76">
        <f t="shared" si="13"/>
        <v>456.83056804034851</v>
      </c>
      <c r="AR9" s="183">
        <f t="shared" si="29"/>
        <v>4.7999999997045961E-2</v>
      </c>
    </row>
    <row r="10" spans="1:44" ht="15" x14ac:dyDescent="0.25">
      <c r="A10" s="149" t="str">
        <f t="shared" si="15"/>
        <v>46177M</v>
      </c>
      <c r="B10" s="51">
        <f t="shared" si="35"/>
        <v>46177</v>
      </c>
      <c r="C10" s="158" t="s">
        <v>87</v>
      </c>
      <c r="D10" s="185">
        <v>14410.3</v>
      </c>
      <c r="E10" s="170">
        <v>4.0999999999999996</v>
      </c>
      <c r="F10" s="170">
        <v>8.16</v>
      </c>
      <c r="G10" s="170">
        <f t="shared" si="16"/>
        <v>590.82229999999993</v>
      </c>
      <c r="H10" s="171">
        <f t="shared" si="17"/>
        <v>1175.88048</v>
      </c>
      <c r="I10" s="161">
        <v>3831.0000000000009</v>
      </c>
      <c r="J10" s="162">
        <v>3945.9300000000012</v>
      </c>
      <c r="K10" s="163">
        <v>5.3614199947794283</v>
      </c>
      <c r="L10" s="164">
        <v>8.4584273035760891</v>
      </c>
      <c r="M10" s="165">
        <v>0</v>
      </c>
      <c r="N10" s="165">
        <v>0</v>
      </c>
      <c r="O10" s="166">
        <v>0</v>
      </c>
      <c r="P10" s="167">
        <v>0</v>
      </c>
      <c r="Q10" s="168">
        <v>0</v>
      </c>
      <c r="R10" s="169">
        <f t="shared" si="18"/>
        <v>3945.9300000000012</v>
      </c>
      <c r="S10" s="170">
        <f t="shared" si="19"/>
        <v>211.55787999999995</v>
      </c>
      <c r="T10" s="171">
        <f t="shared" si="20"/>
        <v>333.76362050000012</v>
      </c>
      <c r="U10" s="172" t="s">
        <v>266</v>
      </c>
      <c r="V10" s="173" t="s">
        <v>269</v>
      </c>
      <c r="W10" s="160" t="s">
        <v>225</v>
      </c>
      <c r="X10" s="174">
        <v>18430</v>
      </c>
      <c r="Y10" s="175">
        <v>4.5999999999999996</v>
      </c>
      <c r="Z10" s="175">
        <v>8.39</v>
      </c>
      <c r="AA10" s="62">
        <f t="shared" si="21"/>
        <v>847.78</v>
      </c>
      <c r="AB10" s="63">
        <f t="shared" si="22"/>
        <v>1546.277</v>
      </c>
      <c r="AC10" s="176">
        <v>18430</v>
      </c>
      <c r="AD10" s="177">
        <v>4.5</v>
      </c>
      <c r="AE10" s="177">
        <v>8.31</v>
      </c>
      <c r="AF10" s="170">
        <f t="shared" si="23"/>
        <v>829.35</v>
      </c>
      <c r="AG10" s="171">
        <f t="shared" si="24"/>
        <v>1531.5330000000001</v>
      </c>
      <c r="AH10" s="184">
        <v>0</v>
      </c>
      <c r="AI10" s="160">
        <v>0</v>
      </c>
      <c r="AJ10" s="160">
        <v>0</v>
      </c>
      <c r="AK10" s="170">
        <f t="shared" si="30"/>
        <v>0</v>
      </c>
      <c r="AL10" s="179">
        <f t="shared" si="31"/>
        <v>0</v>
      </c>
      <c r="AM10" s="180">
        <f t="shared" si="32"/>
        <v>-73.770000000000437</v>
      </c>
      <c r="AN10" s="181">
        <f t="shared" si="33"/>
        <v>-26.969820000000141</v>
      </c>
      <c r="AO10" s="181">
        <f t="shared" si="34"/>
        <v>-21.88889949999998</v>
      </c>
      <c r="AP10" s="182">
        <f t="shared" si="28"/>
        <v>-8.959617300106823E-2</v>
      </c>
      <c r="AQ10" s="76">
        <f t="shared" si="13"/>
        <v>-18657.78581256339</v>
      </c>
      <c r="AR10" s="183">
        <f t="shared" si="29"/>
        <v>-73.770000000000437</v>
      </c>
    </row>
    <row r="11" spans="1:44" ht="15" x14ac:dyDescent="0.25">
      <c r="A11" s="149" t="str">
        <f t="shared" si="15"/>
        <v>46177E</v>
      </c>
      <c r="B11" s="51">
        <f t="shared" si="35"/>
        <v>46177</v>
      </c>
      <c r="C11" s="158" t="s">
        <v>88</v>
      </c>
      <c r="D11" s="185">
        <v>0</v>
      </c>
      <c r="E11" s="170">
        <v>0</v>
      </c>
      <c r="F11" s="170">
        <v>0</v>
      </c>
      <c r="G11" s="170">
        <f t="shared" si="16"/>
        <v>0</v>
      </c>
      <c r="H11" s="171">
        <f t="shared" si="17"/>
        <v>0</v>
      </c>
      <c r="I11" s="161">
        <v>7111.0000000000018</v>
      </c>
      <c r="J11" s="162">
        <v>7324.3300000000017</v>
      </c>
      <c r="K11" s="163">
        <v>4.1726459007171961</v>
      </c>
      <c r="L11" s="164">
        <v>8.2858261847841366</v>
      </c>
      <c r="M11" s="165">
        <v>0</v>
      </c>
      <c r="N11" s="165">
        <v>0</v>
      </c>
      <c r="O11" s="166">
        <v>0</v>
      </c>
      <c r="P11" s="167">
        <v>0</v>
      </c>
      <c r="Q11" s="168">
        <v>0</v>
      </c>
      <c r="R11" s="169">
        <f t="shared" si="18"/>
        <v>7324.3300000000017</v>
      </c>
      <c r="S11" s="170">
        <f t="shared" si="19"/>
        <v>305.61835549999984</v>
      </c>
      <c r="T11" s="171">
        <f t="shared" si="20"/>
        <v>606.88125300000013</v>
      </c>
      <c r="U11" s="172" t="s">
        <v>167</v>
      </c>
      <c r="V11" s="173" t="s">
        <v>167</v>
      </c>
      <c r="W11" s="160">
        <v>0</v>
      </c>
      <c r="X11" s="174">
        <v>0</v>
      </c>
      <c r="Y11" s="175">
        <v>0</v>
      </c>
      <c r="Z11" s="175">
        <v>0</v>
      </c>
      <c r="AA11" s="62">
        <f t="shared" si="21"/>
        <v>0</v>
      </c>
      <c r="AB11" s="63">
        <f t="shared" si="22"/>
        <v>0</v>
      </c>
      <c r="AC11" s="176"/>
      <c r="AD11" s="177"/>
      <c r="AE11" s="177"/>
      <c r="AF11" s="170">
        <f t="shared" si="23"/>
        <v>0</v>
      </c>
      <c r="AG11" s="171">
        <f t="shared" si="24"/>
        <v>0</v>
      </c>
      <c r="AH11" s="184">
        <v>7324.3</v>
      </c>
      <c r="AI11" s="160">
        <v>4.17</v>
      </c>
      <c r="AJ11" s="160">
        <v>8.2899999999999991</v>
      </c>
      <c r="AK11" s="170">
        <f t="shared" si="30"/>
        <v>305.42331000000001</v>
      </c>
      <c r="AL11" s="179">
        <f t="shared" si="31"/>
        <v>607.18446999999992</v>
      </c>
      <c r="AM11" s="180">
        <f t="shared" si="32"/>
        <v>3.0000000001564331E-2</v>
      </c>
      <c r="AN11" s="181">
        <f t="shared" si="33"/>
        <v>0.19504549999982146</v>
      </c>
      <c r="AO11" s="181">
        <f t="shared" si="34"/>
        <v>-0.30321699999979046</v>
      </c>
      <c r="AP11" s="182">
        <f t="shared" si="28"/>
        <v>-1.1854416044932364E-4</v>
      </c>
      <c r="AQ11" s="76">
        <f t="shared" si="13"/>
        <v>-3.186886908350786</v>
      </c>
      <c r="AR11" s="183">
        <f t="shared" si="29"/>
        <v>3.0000000001564331E-2</v>
      </c>
    </row>
    <row r="12" spans="1:44" ht="15" x14ac:dyDescent="0.25">
      <c r="A12" s="149" t="str">
        <f t="shared" si="15"/>
        <v>46178M</v>
      </c>
      <c r="B12" s="51">
        <f t="shared" si="35"/>
        <v>46178</v>
      </c>
      <c r="C12" s="158" t="s">
        <v>87</v>
      </c>
      <c r="D12" s="185">
        <v>7324.3</v>
      </c>
      <c r="E12" s="170">
        <v>4.17</v>
      </c>
      <c r="F12" s="170">
        <v>8.2899999999999991</v>
      </c>
      <c r="G12" s="170">
        <f t="shared" si="16"/>
        <v>305.42331000000001</v>
      </c>
      <c r="H12" s="171">
        <f t="shared" si="17"/>
        <v>607.18446999999992</v>
      </c>
      <c r="I12" s="161">
        <v>3667.7</v>
      </c>
      <c r="J12" s="162">
        <v>3777.7309999999998</v>
      </c>
      <c r="K12" s="163">
        <v>5.38</v>
      </c>
      <c r="L12" s="164">
        <v>8.44</v>
      </c>
      <c r="M12" s="165">
        <v>0</v>
      </c>
      <c r="N12" s="165">
        <v>0</v>
      </c>
      <c r="O12" s="166">
        <v>0</v>
      </c>
      <c r="P12" s="167">
        <v>0</v>
      </c>
      <c r="Q12" s="168">
        <v>0</v>
      </c>
      <c r="R12" s="169">
        <f t="shared" si="18"/>
        <v>3777.7309999999998</v>
      </c>
      <c r="S12" s="170">
        <f t="shared" si="19"/>
        <v>203.24192779999998</v>
      </c>
      <c r="T12" s="171">
        <f t="shared" si="20"/>
        <v>318.84049639999995</v>
      </c>
      <c r="U12" s="172" t="s">
        <v>266</v>
      </c>
      <c r="V12" s="173" t="s">
        <v>367</v>
      </c>
      <c r="W12" s="160" t="s">
        <v>225</v>
      </c>
      <c r="X12" s="174">
        <v>11200</v>
      </c>
      <c r="Y12" s="175">
        <v>4.67</v>
      </c>
      <c r="Z12" s="175">
        <v>8.34</v>
      </c>
      <c r="AA12" s="62">
        <f t="shared" ref="AA12:AA55" si="36">X12*Y12%</f>
        <v>523.04</v>
      </c>
      <c r="AB12" s="63">
        <f t="shared" ref="AB12:AB64" si="37">X12*Z12%</f>
        <v>934.08</v>
      </c>
      <c r="AC12" s="176">
        <v>11180</v>
      </c>
      <c r="AD12" s="177">
        <v>4.6797853309481212</v>
      </c>
      <c r="AE12" s="177">
        <v>8.345957066189623</v>
      </c>
      <c r="AF12" s="170">
        <f t="shared" si="23"/>
        <v>523.19999999999993</v>
      </c>
      <c r="AG12" s="171">
        <f t="shared" si="24"/>
        <v>933.07799999999986</v>
      </c>
      <c r="AH12" s="184">
        <v>0</v>
      </c>
      <c r="AI12" s="160">
        <v>0</v>
      </c>
      <c r="AJ12" s="160">
        <v>0</v>
      </c>
      <c r="AK12" s="170">
        <f t="shared" si="30"/>
        <v>0</v>
      </c>
      <c r="AL12" s="179">
        <f t="shared" si="31"/>
        <v>0</v>
      </c>
      <c r="AM12" s="180">
        <f t="shared" si="32"/>
        <v>-77.96900000000096</v>
      </c>
      <c r="AN12" s="181">
        <f t="shared" si="33"/>
        <v>-14.534762199999932</v>
      </c>
      <c r="AO12" s="181">
        <f t="shared" si="34"/>
        <v>-7.0530336000000489</v>
      </c>
      <c r="AP12" s="182">
        <f t="shared" si="28"/>
        <v>-4.1349401549150989E-2</v>
      </c>
      <c r="AQ12" s="76">
        <f t="shared" si="13"/>
        <v>-8635.5849747859847</v>
      </c>
      <c r="AR12" s="183">
        <f t="shared" si="29"/>
        <v>-97.96900000000096</v>
      </c>
    </row>
    <row r="13" spans="1:44" ht="15" x14ac:dyDescent="0.25">
      <c r="A13" s="149" t="str">
        <f t="shared" si="15"/>
        <v>46178E</v>
      </c>
      <c r="B13" s="51">
        <f t="shared" si="35"/>
        <v>46178</v>
      </c>
      <c r="C13" s="158" t="s">
        <v>88</v>
      </c>
      <c r="D13" s="185">
        <v>0</v>
      </c>
      <c r="E13" s="170">
        <v>0</v>
      </c>
      <c r="F13" s="170">
        <v>0</v>
      </c>
      <c r="G13" s="170">
        <f t="shared" si="16"/>
        <v>0</v>
      </c>
      <c r="H13" s="171">
        <f t="shared" si="17"/>
        <v>0</v>
      </c>
      <c r="I13" s="161">
        <v>8934.7000000000007</v>
      </c>
      <c r="J13" s="162">
        <v>9202.7410000000018</v>
      </c>
      <c r="K13" s="163">
        <v>4.22</v>
      </c>
      <c r="L13" s="164">
        <v>8.2200000000000006</v>
      </c>
      <c r="M13" s="165">
        <v>0</v>
      </c>
      <c r="N13" s="165">
        <v>0</v>
      </c>
      <c r="O13" s="166">
        <v>0</v>
      </c>
      <c r="P13" s="167">
        <v>0</v>
      </c>
      <c r="Q13" s="168">
        <v>0</v>
      </c>
      <c r="R13" s="169">
        <f t="shared" si="18"/>
        <v>9202.7410000000018</v>
      </c>
      <c r="S13" s="170">
        <f t="shared" si="19"/>
        <v>388.35567020000002</v>
      </c>
      <c r="T13" s="171">
        <f t="shared" si="20"/>
        <v>756.4653102000002</v>
      </c>
      <c r="U13" s="172" t="s">
        <v>167</v>
      </c>
      <c r="V13" s="173" t="s">
        <v>167</v>
      </c>
      <c r="W13" s="160">
        <v>0</v>
      </c>
      <c r="X13" s="174">
        <v>0</v>
      </c>
      <c r="Y13" s="175">
        <v>0</v>
      </c>
      <c r="Z13" s="175">
        <v>0</v>
      </c>
      <c r="AA13" s="62">
        <f t="shared" si="36"/>
        <v>0</v>
      </c>
      <c r="AB13" s="63">
        <f t="shared" si="37"/>
        <v>0</v>
      </c>
      <c r="AC13" s="176"/>
      <c r="AD13" s="177"/>
      <c r="AE13" s="177"/>
      <c r="AF13" s="170">
        <f t="shared" si="23"/>
        <v>0</v>
      </c>
      <c r="AG13" s="171">
        <f t="shared" si="24"/>
        <v>0</v>
      </c>
      <c r="AH13" s="184">
        <v>9202.7000000000007</v>
      </c>
      <c r="AI13" s="160">
        <v>4.22</v>
      </c>
      <c r="AJ13" s="160">
        <v>8.2200000000000006</v>
      </c>
      <c r="AK13" s="170">
        <f t="shared" si="30"/>
        <v>388.35393999999997</v>
      </c>
      <c r="AL13" s="179">
        <f t="shared" si="31"/>
        <v>756.46194000000014</v>
      </c>
      <c r="AM13" s="180">
        <f t="shared" si="32"/>
        <v>4.1000000001076842E-2</v>
      </c>
      <c r="AN13" s="181">
        <f t="shared" si="33"/>
        <v>1.7302000000540829E-3</v>
      </c>
      <c r="AO13" s="181">
        <f t="shared" si="34"/>
        <v>3.3702000000630505E-3</v>
      </c>
      <c r="AP13" s="182">
        <f t="shared" si="28"/>
        <v>4.4551943818631401E-6</v>
      </c>
      <c r="AQ13" s="76">
        <f t="shared" si="13"/>
        <v>1.7853150700431479</v>
      </c>
      <c r="AR13" s="183">
        <f t="shared" si="29"/>
        <v>4.1000000001076842E-2</v>
      </c>
    </row>
    <row r="14" spans="1:44" ht="15" x14ac:dyDescent="0.25">
      <c r="A14" s="149" t="str">
        <f t="shared" si="15"/>
        <v>46179M</v>
      </c>
      <c r="B14" s="51">
        <f t="shared" si="35"/>
        <v>46179</v>
      </c>
      <c r="C14" s="158" t="s">
        <v>87</v>
      </c>
      <c r="D14" s="185">
        <v>9202.7000000000007</v>
      </c>
      <c r="E14" s="170">
        <v>4.22</v>
      </c>
      <c r="F14" s="170">
        <v>8.2200000000000006</v>
      </c>
      <c r="G14" s="170">
        <f t="shared" si="16"/>
        <v>388.35393999999997</v>
      </c>
      <c r="H14" s="171">
        <f t="shared" si="17"/>
        <v>756.46194000000014</v>
      </c>
      <c r="I14" s="161">
        <v>4623</v>
      </c>
      <c r="J14" s="162">
        <v>4761.6900000000005</v>
      </c>
      <c r="K14" s="163">
        <v>5.17</v>
      </c>
      <c r="L14" s="164">
        <v>8.43</v>
      </c>
      <c r="M14" s="165">
        <v>0</v>
      </c>
      <c r="N14" s="165">
        <v>0</v>
      </c>
      <c r="O14" s="166">
        <v>0</v>
      </c>
      <c r="P14" s="167">
        <v>0</v>
      </c>
      <c r="Q14" s="168">
        <v>0</v>
      </c>
      <c r="R14" s="169">
        <f t="shared" si="18"/>
        <v>4761.6900000000005</v>
      </c>
      <c r="S14" s="170">
        <f t="shared" si="19"/>
        <v>246.179373</v>
      </c>
      <c r="T14" s="171">
        <f t="shared" si="20"/>
        <v>401.41046700000004</v>
      </c>
      <c r="U14" s="172" t="s">
        <v>266</v>
      </c>
      <c r="V14" s="173" t="s">
        <v>368</v>
      </c>
      <c r="W14" s="160" t="s">
        <v>225</v>
      </c>
      <c r="X14" s="174">
        <v>14075</v>
      </c>
      <c r="Y14" s="175">
        <v>4.62</v>
      </c>
      <c r="Z14" s="175">
        <v>8.27</v>
      </c>
      <c r="AA14" s="62">
        <f t="shared" si="36"/>
        <v>650.26499999999999</v>
      </c>
      <c r="AB14" s="63">
        <f t="shared" si="37"/>
        <v>1164.0024999999998</v>
      </c>
      <c r="AC14" s="176">
        <v>14095</v>
      </c>
      <c r="AD14" s="177">
        <v>4.562610854913089</v>
      </c>
      <c r="AE14" s="177">
        <v>8.2756083717630364</v>
      </c>
      <c r="AF14" s="170">
        <f t="shared" si="23"/>
        <v>643.09999999999991</v>
      </c>
      <c r="AG14" s="171">
        <f t="shared" si="24"/>
        <v>1166.4470000000001</v>
      </c>
      <c r="AH14" s="178">
        <v>0</v>
      </c>
      <c r="AI14" s="160">
        <v>0</v>
      </c>
      <c r="AJ14" s="160">
        <v>0</v>
      </c>
      <c r="AK14" s="170">
        <f t="shared" si="30"/>
        <v>0</v>
      </c>
      <c r="AL14" s="179">
        <f t="shared" si="31"/>
        <v>0</v>
      </c>
      <c r="AM14" s="180">
        <f t="shared" si="32"/>
        <v>-130.60999999999876</v>
      </c>
      <c r="AN14" s="181">
        <f t="shared" si="33"/>
        <v>-8.5666870000000017</v>
      </c>
      <c r="AO14" s="181">
        <f t="shared" si="34"/>
        <v>-8.5745929999998225</v>
      </c>
      <c r="AP14" s="182">
        <f t="shared" si="28"/>
        <v>-2.646934670871276E-2</v>
      </c>
      <c r="AQ14" s="76">
        <f t="shared" si="13"/>
        <v>-6411.8184902566145</v>
      </c>
      <c r="AR14" s="183">
        <f t="shared" si="29"/>
        <v>-110.60999999999876</v>
      </c>
    </row>
    <row r="15" spans="1:44" ht="15" x14ac:dyDescent="0.25">
      <c r="A15" s="149" t="str">
        <f t="shared" si="15"/>
        <v>46179E</v>
      </c>
      <c r="B15" s="51">
        <f t="shared" si="35"/>
        <v>46179</v>
      </c>
      <c r="C15" s="158" t="s">
        <v>88</v>
      </c>
      <c r="D15" s="185">
        <v>0</v>
      </c>
      <c r="E15" s="170">
        <v>0</v>
      </c>
      <c r="F15" s="170">
        <v>0</v>
      </c>
      <c r="G15" s="170">
        <f t="shared" si="16"/>
        <v>0</v>
      </c>
      <c r="H15" s="171">
        <f t="shared" si="17"/>
        <v>0</v>
      </c>
      <c r="I15" s="161">
        <v>5398.6</v>
      </c>
      <c r="J15" s="162">
        <v>5560.5580000000009</v>
      </c>
      <c r="K15" s="163">
        <v>4.33</v>
      </c>
      <c r="L15" s="164">
        <v>8.34</v>
      </c>
      <c r="M15" s="165">
        <v>0</v>
      </c>
      <c r="N15" s="165">
        <v>0</v>
      </c>
      <c r="O15" s="166">
        <v>0</v>
      </c>
      <c r="P15" s="167">
        <v>0</v>
      </c>
      <c r="Q15" s="168">
        <v>0</v>
      </c>
      <c r="R15" s="169">
        <f t="shared" si="18"/>
        <v>5560.5580000000009</v>
      </c>
      <c r="S15" s="170">
        <f t="shared" si="19"/>
        <v>240.77216140000002</v>
      </c>
      <c r="T15" s="171">
        <f t="shared" si="20"/>
        <v>463.75053720000011</v>
      </c>
      <c r="U15" s="172" t="s">
        <v>167</v>
      </c>
      <c r="V15" s="173" t="s">
        <v>167</v>
      </c>
      <c r="W15" s="160">
        <v>0</v>
      </c>
      <c r="X15" s="174">
        <v>0</v>
      </c>
      <c r="Y15" s="175">
        <v>0</v>
      </c>
      <c r="Z15" s="175">
        <v>0</v>
      </c>
      <c r="AA15" s="62">
        <f t="shared" si="36"/>
        <v>0</v>
      </c>
      <c r="AB15" s="63">
        <f t="shared" si="37"/>
        <v>0</v>
      </c>
      <c r="AC15" s="176"/>
      <c r="AD15" s="177"/>
      <c r="AE15" s="177"/>
      <c r="AF15" s="170">
        <f t="shared" si="23"/>
        <v>0</v>
      </c>
      <c r="AG15" s="171">
        <f t="shared" si="24"/>
        <v>0</v>
      </c>
      <c r="AH15" s="184">
        <v>5560.5</v>
      </c>
      <c r="AI15" s="160">
        <v>4.33</v>
      </c>
      <c r="AJ15" s="160">
        <v>8.34</v>
      </c>
      <c r="AK15" s="170">
        <f t="shared" si="30"/>
        <v>240.76964999999998</v>
      </c>
      <c r="AL15" s="179">
        <f t="shared" si="31"/>
        <v>463.7457</v>
      </c>
      <c r="AM15" s="180">
        <f t="shared" si="32"/>
        <v>5.8000000000902219E-2</v>
      </c>
      <c r="AN15" s="181">
        <f t="shared" si="33"/>
        <v>2.5114000000314718E-3</v>
      </c>
      <c r="AO15" s="181">
        <f t="shared" si="34"/>
        <v>4.8372000001108972E-3</v>
      </c>
      <c r="AP15" s="182">
        <f t="shared" si="28"/>
        <v>1.0430607863657508E-5</v>
      </c>
      <c r="AQ15" s="76">
        <f t="shared" si="13"/>
        <v>2.5750375420473164</v>
      </c>
      <c r="AR15" s="183">
        <f t="shared" si="29"/>
        <v>5.8000000000902219E-2</v>
      </c>
    </row>
    <row r="16" spans="1:44" ht="15" x14ac:dyDescent="0.25">
      <c r="A16" s="149" t="str">
        <f t="shared" si="15"/>
        <v>46180M</v>
      </c>
      <c r="B16" s="51">
        <f t="shared" si="35"/>
        <v>46180</v>
      </c>
      <c r="C16" s="158" t="s">
        <v>87</v>
      </c>
      <c r="D16" s="185">
        <v>5560.5</v>
      </c>
      <c r="E16" s="170">
        <v>4.33</v>
      </c>
      <c r="F16" s="170">
        <v>8.34</v>
      </c>
      <c r="G16" s="170">
        <f t="shared" si="16"/>
        <v>240.76964999999998</v>
      </c>
      <c r="H16" s="171">
        <f t="shared" si="17"/>
        <v>463.7457</v>
      </c>
      <c r="I16" s="161">
        <v>3598.3</v>
      </c>
      <c r="J16" s="162">
        <v>3706.2490000000003</v>
      </c>
      <c r="K16" s="163">
        <v>5.18</v>
      </c>
      <c r="L16" s="164">
        <v>8.42</v>
      </c>
      <c r="M16" s="165">
        <v>0</v>
      </c>
      <c r="N16" s="165">
        <v>0</v>
      </c>
      <c r="O16" s="166">
        <v>0</v>
      </c>
      <c r="P16" s="167">
        <v>0</v>
      </c>
      <c r="Q16" s="168">
        <v>0</v>
      </c>
      <c r="R16" s="169">
        <f t="shared" si="18"/>
        <v>3706.2490000000003</v>
      </c>
      <c r="S16" s="170">
        <f t="shared" si="19"/>
        <v>191.98369820000002</v>
      </c>
      <c r="T16" s="171">
        <f t="shared" si="20"/>
        <v>312.06616580000002</v>
      </c>
      <c r="U16" s="172" t="s">
        <v>167</v>
      </c>
      <c r="V16" s="173" t="s">
        <v>167</v>
      </c>
      <c r="W16" s="160">
        <v>0</v>
      </c>
      <c r="X16" s="174">
        <v>0</v>
      </c>
      <c r="Y16" s="175">
        <v>0</v>
      </c>
      <c r="Z16" s="175">
        <v>0</v>
      </c>
      <c r="AA16" s="62">
        <f t="shared" si="36"/>
        <v>0</v>
      </c>
      <c r="AB16" s="63">
        <f t="shared" si="37"/>
        <v>0</v>
      </c>
      <c r="AC16" s="176"/>
      <c r="AD16" s="177"/>
      <c r="AE16" s="177"/>
      <c r="AF16" s="170">
        <f t="shared" si="23"/>
        <v>0</v>
      </c>
      <c r="AG16" s="171">
        <f t="shared" si="24"/>
        <v>0</v>
      </c>
      <c r="AH16" s="184">
        <v>9266.7000000000007</v>
      </c>
      <c r="AI16" s="187">
        <v>4.66</v>
      </c>
      <c r="AJ16" s="187">
        <v>8.3699999999999992</v>
      </c>
      <c r="AK16" s="170">
        <f t="shared" si="30"/>
        <v>431.82822000000004</v>
      </c>
      <c r="AL16" s="179">
        <f t="shared" si="31"/>
        <v>775.62279000000001</v>
      </c>
      <c r="AM16" s="180">
        <f t="shared" si="32"/>
        <v>4.8999999999068677E-2</v>
      </c>
      <c r="AN16" s="181">
        <f t="shared" si="33"/>
        <v>0.92512819999996054</v>
      </c>
      <c r="AO16" s="181">
        <f t="shared" si="34"/>
        <v>0.18907580000006874</v>
      </c>
      <c r="AP16" s="182">
        <f t="shared" si="28"/>
        <v>2.2105035227229603E-3</v>
      </c>
      <c r="AQ16" s="76">
        <f t="shared" si="13"/>
        <v>471.88464518066957</v>
      </c>
      <c r="AR16" s="183">
        <f t="shared" si="29"/>
        <v>4.8999999999068677E-2</v>
      </c>
    </row>
    <row r="17" spans="1:45" ht="15" x14ac:dyDescent="0.25">
      <c r="A17" s="149" t="str">
        <f t="shared" si="15"/>
        <v>46180E</v>
      </c>
      <c r="B17" s="51">
        <f t="shared" si="35"/>
        <v>46180</v>
      </c>
      <c r="C17" s="158" t="s">
        <v>88</v>
      </c>
      <c r="D17" s="185">
        <v>9266.7000000000007</v>
      </c>
      <c r="E17" s="170">
        <v>4.66</v>
      </c>
      <c r="F17" s="170">
        <v>8.3699999999999992</v>
      </c>
      <c r="G17" s="170">
        <f t="shared" si="16"/>
        <v>431.82822000000004</v>
      </c>
      <c r="H17" s="171">
        <f t="shared" si="17"/>
        <v>775.62279000000001</v>
      </c>
      <c r="I17" s="161">
        <v>7252.5</v>
      </c>
      <c r="J17" s="162">
        <v>7470.0749999999998</v>
      </c>
      <c r="K17" s="163">
        <v>4.26</v>
      </c>
      <c r="L17" s="164">
        <v>8.39</v>
      </c>
      <c r="M17" s="165">
        <v>0</v>
      </c>
      <c r="N17" s="165">
        <v>0</v>
      </c>
      <c r="O17" s="166">
        <v>0</v>
      </c>
      <c r="P17" s="167">
        <v>0</v>
      </c>
      <c r="Q17" s="168">
        <v>0</v>
      </c>
      <c r="R17" s="169">
        <f t="shared" si="18"/>
        <v>7470.0749999999998</v>
      </c>
      <c r="S17" s="170">
        <f t="shared" si="19"/>
        <v>318.22519499999999</v>
      </c>
      <c r="T17" s="171">
        <f t="shared" si="20"/>
        <v>626.73929250000003</v>
      </c>
      <c r="U17" s="172" t="s">
        <v>167</v>
      </c>
      <c r="V17" s="173" t="s">
        <v>167</v>
      </c>
      <c r="W17" s="160">
        <v>0</v>
      </c>
      <c r="X17" s="174">
        <v>0</v>
      </c>
      <c r="Y17" s="175">
        <v>0</v>
      </c>
      <c r="Z17" s="175">
        <v>0</v>
      </c>
      <c r="AA17" s="62">
        <f t="shared" si="36"/>
        <v>0</v>
      </c>
      <c r="AB17" s="63">
        <f t="shared" si="37"/>
        <v>0</v>
      </c>
      <c r="AC17" s="176"/>
      <c r="AD17" s="177"/>
      <c r="AE17" s="177"/>
      <c r="AF17" s="170">
        <f t="shared" si="23"/>
        <v>0</v>
      </c>
      <c r="AG17" s="171">
        <f t="shared" si="24"/>
        <v>0</v>
      </c>
      <c r="AH17" s="184">
        <v>16736.7</v>
      </c>
      <c r="AI17" s="160">
        <v>4.4800000000000004</v>
      </c>
      <c r="AJ17" s="160">
        <v>8.3699999999999992</v>
      </c>
      <c r="AK17" s="170">
        <f t="shared" si="30"/>
        <v>749.80416000000014</v>
      </c>
      <c r="AL17" s="179">
        <f t="shared" si="31"/>
        <v>1400.8617899999999</v>
      </c>
      <c r="AM17" s="180">
        <f t="shared" si="32"/>
        <v>7.5000000000727596E-2</v>
      </c>
      <c r="AN17" s="181">
        <f t="shared" si="33"/>
        <v>0.24925499999994827</v>
      </c>
      <c r="AO17" s="181">
        <f t="shared" si="34"/>
        <v>1.5002925000001142</v>
      </c>
      <c r="AP17" s="182">
        <f t="shared" si="28"/>
        <v>1.8514425919101667E-3</v>
      </c>
      <c r="AQ17" s="76">
        <f t="shared" si="13"/>
        <v>560.89059950001092</v>
      </c>
      <c r="AR17" s="183">
        <f t="shared" si="29"/>
        <v>7.5000000000727596E-2</v>
      </c>
    </row>
    <row r="18" spans="1:45" ht="15" x14ac:dyDescent="0.25">
      <c r="A18" s="149" t="str">
        <f t="shared" si="15"/>
        <v>46181M</v>
      </c>
      <c r="B18" s="51">
        <f t="shared" si="35"/>
        <v>46181</v>
      </c>
      <c r="C18" s="158" t="s">
        <v>87</v>
      </c>
      <c r="D18" s="185">
        <v>16736.7</v>
      </c>
      <c r="E18" s="170">
        <v>4.4800000000000004</v>
      </c>
      <c r="F18" s="170">
        <v>8.3699999999999992</v>
      </c>
      <c r="G18" s="170">
        <f t="shared" si="16"/>
        <v>749.80416000000014</v>
      </c>
      <c r="H18" s="171">
        <f t="shared" si="17"/>
        <v>1400.8617899999999</v>
      </c>
      <c r="I18" s="161">
        <v>3898.2</v>
      </c>
      <c r="J18" s="162">
        <v>4015.1459999999997</v>
      </c>
      <c r="K18" s="163">
        <v>5.37</v>
      </c>
      <c r="L18" s="164">
        <v>8.48</v>
      </c>
      <c r="M18" s="165">
        <v>0</v>
      </c>
      <c r="N18" s="165">
        <v>0</v>
      </c>
      <c r="O18" s="166">
        <v>0</v>
      </c>
      <c r="P18" s="167">
        <v>0</v>
      </c>
      <c r="Q18" s="168">
        <v>0</v>
      </c>
      <c r="R18" s="169">
        <f t="shared" si="18"/>
        <v>4015.1459999999997</v>
      </c>
      <c r="S18" s="170">
        <f t="shared" si="19"/>
        <v>215.61334019999998</v>
      </c>
      <c r="T18" s="171">
        <f t="shared" si="20"/>
        <v>340.4843808</v>
      </c>
      <c r="U18" s="172" t="s">
        <v>266</v>
      </c>
      <c r="V18" s="173" t="s">
        <v>369</v>
      </c>
      <c r="W18" s="160" t="s">
        <v>225</v>
      </c>
      <c r="X18" s="174">
        <v>18450</v>
      </c>
      <c r="Y18" s="175">
        <v>4.8</v>
      </c>
      <c r="Z18" s="175">
        <v>8.49</v>
      </c>
      <c r="AA18" s="62">
        <f t="shared" si="36"/>
        <v>885.6</v>
      </c>
      <c r="AB18" s="63">
        <f t="shared" si="37"/>
        <v>1566.405</v>
      </c>
      <c r="AC18" s="176">
        <v>18440</v>
      </c>
      <c r="AD18" s="177">
        <v>4.6999999999999993</v>
      </c>
      <c r="AE18" s="177">
        <v>8.3499999999999979</v>
      </c>
      <c r="AF18" s="170">
        <f t="shared" si="23"/>
        <v>866.67999999999984</v>
      </c>
      <c r="AG18" s="171">
        <f t="shared" si="24"/>
        <v>1539.7399999999996</v>
      </c>
      <c r="AH18" s="184">
        <v>2301.8000000000002</v>
      </c>
      <c r="AI18" s="160">
        <v>4.6500000000000004</v>
      </c>
      <c r="AJ18" s="160">
        <v>8.39</v>
      </c>
      <c r="AK18" s="170">
        <f t="shared" si="30"/>
        <v>107.03370000000002</v>
      </c>
      <c r="AL18" s="179">
        <f t="shared" si="31"/>
        <v>193.12102000000002</v>
      </c>
      <c r="AM18" s="180">
        <f t="shared" si="32"/>
        <v>10.046000000001186</v>
      </c>
      <c r="AN18" s="181">
        <f t="shared" si="33"/>
        <v>-8.2961997999996839</v>
      </c>
      <c r="AO18" s="181">
        <f t="shared" si="34"/>
        <v>8.4851508000004117</v>
      </c>
      <c r="AP18" s="182">
        <f t="shared" si="28"/>
        <v>3.3978020924262651E-4</v>
      </c>
      <c r="AQ18" s="76">
        <f t="shared" si="13"/>
        <v>-1184.8676884657348</v>
      </c>
      <c r="AR18" s="183">
        <f t="shared" si="29"/>
        <v>4.6000000002095476E-2</v>
      </c>
    </row>
    <row r="19" spans="1:45" ht="15" x14ac:dyDescent="0.25">
      <c r="A19" s="149" t="str">
        <f t="shared" si="15"/>
        <v>46181E</v>
      </c>
      <c r="B19" s="51">
        <f t="shared" si="35"/>
        <v>46181</v>
      </c>
      <c r="C19" s="158" t="s">
        <v>88</v>
      </c>
      <c r="D19" s="185">
        <v>2301.8000000000002</v>
      </c>
      <c r="E19" s="170">
        <v>4.6500000000000004</v>
      </c>
      <c r="F19" s="170">
        <v>8.39</v>
      </c>
      <c r="G19" s="170">
        <f t="shared" si="16"/>
        <v>107.03370000000002</v>
      </c>
      <c r="H19" s="171">
        <f t="shared" si="17"/>
        <v>193.12102000000002</v>
      </c>
      <c r="I19" s="161">
        <v>7058.5</v>
      </c>
      <c r="J19" s="162">
        <v>7270.2550000000001</v>
      </c>
      <c r="K19" s="163">
        <v>4.3499999999999996</v>
      </c>
      <c r="L19" s="164">
        <v>8.43</v>
      </c>
      <c r="M19" s="165">
        <v>0</v>
      </c>
      <c r="N19" s="165">
        <v>0</v>
      </c>
      <c r="O19" s="166">
        <v>0</v>
      </c>
      <c r="P19" s="167">
        <v>0</v>
      </c>
      <c r="Q19" s="168">
        <v>0</v>
      </c>
      <c r="R19" s="169">
        <f t="shared" si="18"/>
        <v>7270.2550000000001</v>
      </c>
      <c r="S19" s="170">
        <f t="shared" si="19"/>
        <v>316.25609249999997</v>
      </c>
      <c r="T19" s="171">
        <f t="shared" si="20"/>
        <v>612.8824965</v>
      </c>
      <c r="U19" s="172" t="s">
        <v>167</v>
      </c>
      <c r="V19" s="173" t="s">
        <v>167</v>
      </c>
      <c r="W19" s="160">
        <v>0</v>
      </c>
      <c r="X19" s="174">
        <v>0</v>
      </c>
      <c r="Y19" s="175">
        <v>0</v>
      </c>
      <c r="Z19" s="175">
        <v>0</v>
      </c>
      <c r="AA19" s="62">
        <f t="shared" si="36"/>
        <v>0</v>
      </c>
      <c r="AB19" s="63">
        <f t="shared" si="37"/>
        <v>0</v>
      </c>
      <c r="AC19" s="176"/>
      <c r="AD19" s="177"/>
      <c r="AE19" s="177"/>
      <c r="AF19" s="170">
        <f t="shared" si="23"/>
        <v>0</v>
      </c>
      <c r="AG19" s="171">
        <f t="shared" si="24"/>
        <v>0</v>
      </c>
      <c r="AH19" s="184">
        <v>9572</v>
      </c>
      <c r="AI19" s="160">
        <v>4.42</v>
      </c>
      <c r="AJ19" s="160">
        <v>8.42</v>
      </c>
      <c r="AK19" s="170">
        <f t="shared" si="30"/>
        <v>423.08239999999995</v>
      </c>
      <c r="AL19" s="179">
        <f t="shared" si="31"/>
        <v>805.9624</v>
      </c>
      <c r="AM19" s="180">
        <f t="shared" si="32"/>
        <v>5.5000000000291038E-2</v>
      </c>
      <c r="AN19" s="181">
        <f t="shared" si="33"/>
        <v>0.20739250000002585</v>
      </c>
      <c r="AO19" s="181">
        <f t="shared" si="34"/>
        <v>4.1116500000043743E-2</v>
      </c>
      <c r="AP19" s="182">
        <f t="shared" si="28"/>
        <v>2.6746171447634238E-4</v>
      </c>
      <c r="AQ19" s="76">
        <f t="shared" si="13"/>
        <v>105.4056391850247</v>
      </c>
      <c r="AR19" s="183">
        <f t="shared" si="29"/>
        <v>5.5000000000291038E-2</v>
      </c>
    </row>
    <row r="20" spans="1:45" ht="15" x14ac:dyDescent="0.25">
      <c r="A20" s="149" t="str">
        <f t="shared" si="15"/>
        <v>46182M</v>
      </c>
      <c r="B20" s="51">
        <f t="shared" si="35"/>
        <v>46182</v>
      </c>
      <c r="C20" s="158" t="s">
        <v>87</v>
      </c>
      <c r="D20" s="185">
        <v>9572</v>
      </c>
      <c r="E20" s="170">
        <v>4.42</v>
      </c>
      <c r="F20" s="170">
        <v>8.42</v>
      </c>
      <c r="G20" s="170">
        <f t="shared" si="16"/>
        <v>423.08239999999995</v>
      </c>
      <c r="H20" s="171">
        <f t="shared" si="17"/>
        <v>805.9624</v>
      </c>
      <c r="I20" s="161">
        <v>5627.4</v>
      </c>
      <c r="J20" s="162">
        <v>5796.2219999999998</v>
      </c>
      <c r="K20" s="163">
        <v>5.09</v>
      </c>
      <c r="L20" s="164">
        <v>8.36</v>
      </c>
      <c r="M20" s="165">
        <v>0</v>
      </c>
      <c r="N20" s="165">
        <v>0</v>
      </c>
      <c r="O20" s="166">
        <v>0</v>
      </c>
      <c r="P20" s="167">
        <v>0</v>
      </c>
      <c r="Q20" s="168">
        <v>0</v>
      </c>
      <c r="R20" s="169">
        <f t="shared" si="18"/>
        <v>5796.2219999999998</v>
      </c>
      <c r="S20" s="170">
        <f t="shared" si="19"/>
        <v>295.02769979999999</v>
      </c>
      <c r="T20" s="171">
        <f t="shared" si="20"/>
        <v>484.56415919999995</v>
      </c>
      <c r="U20" s="172" t="s">
        <v>266</v>
      </c>
      <c r="V20" s="173" t="s">
        <v>370</v>
      </c>
      <c r="W20" s="160" t="s">
        <v>225</v>
      </c>
      <c r="X20" s="174">
        <v>12300</v>
      </c>
      <c r="Y20" s="175">
        <v>4.62</v>
      </c>
      <c r="Z20" s="175">
        <v>8.4499999999999993</v>
      </c>
      <c r="AA20" s="62">
        <f t="shared" si="36"/>
        <v>568.26</v>
      </c>
      <c r="AB20" s="63">
        <f t="shared" si="37"/>
        <v>1039.3499999999999</v>
      </c>
      <c r="AC20" s="176">
        <v>12320</v>
      </c>
      <c r="AD20" s="177">
        <v>4.6242694805194802</v>
      </c>
      <c r="AE20" s="177">
        <v>8.4592207792207823</v>
      </c>
      <c r="AF20" s="170">
        <f t="shared" si="23"/>
        <v>569.70999999999992</v>
      </c>
      <c r="AG20" s="171">
        <f t="shared" si="24"/>
        <v>1042.1760000000004</v>
      </c>
      <c r="AH20" s="184">
        <v>3068.2</v>
      </c>
      <c r="AI20" s="160">
        <v>4.67</v>
      </c>
      <c r="AJ20" s="160">
        <v>8.39</v>
      </c>
      <c r="AK20" s="170">
        <f t="shared" si="30"/>
        <v>143.28493999999998</v>
      </c>
      <c r="AL20" s="179">
        <f t="shared" si="31"/>
        <v>257.42198000000002</v>
      </c>
      <c r="AM20" s="180">
        <f t="shared" si="32"/>
        <v>-19.978000000000065</v>
      </c>
      <c r="AN20" s="181">
        <f t="shared" si="33"/>
        <v>5.1151598000000433</v>
      </c>
      <c r="AO20" s="181">
        <f t="shared" si="34"/>
        <v>-9.0714208000003396</v>
      </c>
      <c r="AP20" s="182">
        <f t="shared" si="28"/>
        <v>-5.0747849074194822E-3</v>
      </c>
      <c r="AQ20" s="76">
        <f t="shared" si="13"/>
        <v>-418.58795506741581</v>
      </c>
      <c r="AR20" s="183">
        <f t="shared" si="29"/>
        <v>2.1999999999025022E-2</v>
      </c>
    </row>
    <row r="21" spans="1:45" ht="15" x14ac:dyDescent="0.25">
      <c r="A21" s="149" t="str">
        <f t="shared" si="15"/>
        <v>46182E</v>
      </c>
      <c r="B21" s="51">
        <f t="shared" si="35"/>
        <v>46182</v>
      </c>
      <c r="C21" s="158" t="s">
        <v>88</v>
      </c>
      <c r="D21" s="185">
        <v>3068.2</v>
      </c>
      <c r="E21" s="170">
        <v>4.67</v>
      </c>
      <c r="F21" s="170">
        <v>8.39</v>
      </c>
      <c r="G21" s="170">
        <f t="shared" si="16"/>
        <v>143.28493999999998</v>
      </c>
      <c r="H21" s="171">
        <f t="shared" si="17"/>
        <v>257.42198000000002</v>
      </c>
      <c r="I21" s="161">
        <v>7392.1</v>
      </c>
      <c r="J21" s="162">
        <v>7613.8630000000003</v>
      </c>
      <c r="K21" s="163">
        <v>4.2</v>
      </c>
      <c r="L21" s="164">
        <v>8.34</v>
      </c>
      <c r="M21" s="165">
        <v>0</v>
      </c>
      <c r="N21" s="165">
        <v>0</v>
      </c>
      <c r="O21" s="166">
        <v>0</v>
      </c>
      <c r="P21" s="167">
        <v>0</v>
      </c>
      <c r="Q21" s="168">
        <v>0</v>
      </c>
      <c r="R21" s="169">
        <f t="shared" si="18"/>
        <v>7613.8630000000003</v>
      </c>
      <c r="S21" s="170">
        <f t="shared" si="19"/>
        <v>319.78224600000004</v>
      </c>
      <c r="T21" s="171">
        <f t="shared" si="20"/>
        <v>634.99617420000004</v>
      </c>
      <c r="U21" s="172" t="s">
        <v>167</v>
      </c>
      <c r="V21" s="173" t="s">
        <v>167</v>
      </c>
      <c r="W21" s="160">
        <v>0</v>
      </c>
      <c r="X21" s="174">
        <v>0</v>
      </c>
      <c r="Y21" s="175">
        <v>0</v>
      </c>
      <c r="Z21" s="175">
        <v>0</v>
      </c>
      <c r="AA21" s="62">
        <f t="shared" si="36"/>
        <v>0</v>
      </c>
      <c r="AB21" s="63">
        <f t="shared" si="37"/>
        <v>0</v>
      </c>
      <c r="AC21" s="176"/>
      <c r="AD21" s="177"/>
      <c r="AE21" s="177"/>
      <c r="AF21" s="170">
        <f t="shared" si="23"/>
        <v>0</v>
      </c>
      <c r="AG21" s="171">
        <f t="shared" si="24"/>
        <v>0</v>
      </c>
      <c r="AH21" s="184">
        <v>10682</v>
      </c>
      <c r="AI21" s="160">
        <v>4.33</v>
      </c>
      <c r="AJ21" s="160">
        <v>8.35</v>
      </c>
      <c r="AK21" s="170">
        <f t="shared" si="30"/>
        <v>462.53059999999999</v>
      </c>
      <c r="AL21" s="179">
        <f t="shared" si="31"/>
        <v>891.94699999999989</v>
      </c>
      <c r="AM21" s="180">
        <f t="shared" si="32"/>
        <v>6.3000000000101863E-2</v>
      </c>
      <c r="AN21" s="181">
        <f t="shared" si="33"/>
        <v>0.53658599999999979</v>
      </c>
      <c r="AO21" s="181">
        <f t="shared" si="34"/>
        <v>0.47115420000022823</v>
      </c>
      <c r="AP21" s="182">
        <f t="shared" si="28"/>
        <v>1.0554702312910822E-3</v>
      </c>
      <c r="AQ21" s="76">
        <f t="shared" si="13"/>
        <v>381.88270920806826</v>
      </c>
      <c r="AR21" s="183">
        <f t="shared" si="29"/>
        <v>6.3000000000101863E-2</v>
      </c>
    </row>
    <row r="22" spans="1:45" ht="15" x14ac:dyDescent="0.25">
      <c r="A22" s="149" t="str">
        <f t="shared" si="15"/>
        <v>46183M</v>
      </c>
      <c r="B22" s="51">
        <f t="shared" si="35"/>
        <v>46183</v>
      </c>
      <c r="C22" s="158" t="s">
        <v>87</v>
      </c>
      <c r="D22" s="185">
        <v>10682</v>
      </c>
      <c r="E22" s="170">
        <v>4.33</v>
      </c>
      <c r="F22" s="170">
        <v>8.35</v>
      </c>
      <c r="G22" s="170">
        <f t="shared" si="16"/>
        <v>462.53059999999999</v>
      </c>
      <c r="H22" s="171">
        <f t="shared" si="17"/>
        <v>891.94699999999989</v>
      </c>
      <c r="I22" s="161">
        <v>3791.9</v>
      </c>
      <c r="J22" s="162">
        <v>3905.6570000000002</v>
      </c>
      <c r="K22" s="163">
        <v>5.59</v>
      </c>
      <c r="L22" s="164">
        <v>8.5299999999999994</v>
      </c>
      <c r="M22" s="165">
        <v>0</v>
      </c>
      <c r="N22" s="165">
        <v>0</v>
      </c>
      <c r="O22" s="166">
        <v>0</v>
      </c>
      <c r="P22" s="167">
        <v>0</v>
      </c>
      <c r="Q22" s="168">
        <v>0</v>
      </c>
      <c r="R22" s="169">
        <f t="shared" si="18"/>
        <v>3905.6570000000002</v>
      </c>
      <c r="S22" s="170">
        <f t="shared" si="19"/>
        <v>218.3262263</v>
      </c>
      <c r="T22" s="171">
        <f t="shared" si="20"/>
        <v>333.15254209999995</v>
      </c>
      <c r="U22" s="172" t="s">
        <v>167</v>
      </c>
      <c r="V22" s="173" t="s">
        <v>167</v>
      </c>
      <c r="W22" s="160">
        <v>0</v>
      </c>
      <c r="X22" s="174">
        <v>0</v>
      </c>
      <c r="Y22" s="175">
        <v>0</v>
      </c>
      <c r="Z22" s="175">
        <v>0</v>
      </c>
      <c r="AA22" s="62">
        <f t="shared" si="36"/>
        <v>0</v>
      </c>
      <c r="AB22" s="63">
        <f t="shared" si="37"/>
        <v>0</v>
      </c>
      <c r="AC22" s="176"/>
      <c r="AD22" s="177"/>
      <c r="AE22" s="177"/>
      <c r="AF22" s="170">
        <f t="shared" si="23"/>
        <v>0</v>
      </c>
      <c r="AG22" s="171">
        <f t="shared" si="24"/>
        <v>0</v>
      </c>
      <c r="AH22" s="184">
        <v>14587.6</v>
      </c>
      <c r="AI22" s="160">
        <v>4.66</v>
      </c>
      <c r="AJ22" s="160">
        <v>8.39</v>
      </c>
      <c r="AK22" s="170">
        <f t="shared" si="30"/>
        <v>679.78216000000009</v>
      </c>
      <c r="AL22" s="179">
        <f t="shared" si="31"/>
        <v>1223.8996400000001</v>
      </c>
      <c r="AM22" s="180">
        <f t="shared" si="32"/>
        <v>5.6999999998879503E-2</v>
      </c>
      <c r="AN22" s="181">
        <f t="shared" si="33"/>
        <v>1.0746662999998762</v>
      </c>
      <c r="AO22" s="181">
        <f t="shared" si="34"/>
        <v>1.1999020999996901</v>
      </c>
      <c r="AP22" s="182">
        <f t="shared" si="28"/>
        <v>4.1244895186060377E-3</v>
      </c>
      <c r="AQ22" s="76">
        <f t="shared" si="13"/>
        <v>841.5271498735184</v>
      </c>
      <c r="AR22" s="183">
        <f t="shared" si="29"/>
        <v>5.6999999998879503E-2</v>
      </c>
    </row>
    <row r="23" spans="1:45" ht="15" x14ac:dyDescent="0.25">
      <c r="A23" s="149" t="str">
        <f t="shared" si="15"/>
        <v>46183E</v>
      </c>
      <c r="B23" s="51">
        <f t="shared" si="35"/>
        <v>46183</v>
      </c>
      <c r="C23" s="158" t="s">
        <v>88</v>
      </c>
      <c r="D23" s="185">
        <v>14587.6</v>
      </c>
      <c r="E23" s="170">
        <v>4.66</v>
      </c>
      <c r="F23" s="170">
        <v>8.39</v>
      </c>
      <c r="G23" s="170">
        <f t="shared" si="16"/>
        <v>679.78216000000009</v>
      </c>
      <c r="H23" s="171">
        <f t="shared" si="17"/>
        <v>1223.8996400000001</v>
      </c>
      <c r="I23" s="161">
        <v>6407.3</v>
      </c>
      <c r="J23" s="162">
        <v>6599.5190000000002</v>
      </c>
      <c r="K23" s="163">
        <v>4.3499999999999996</v>
      </c>
      <c r="L23" s="164">
        <v>8.42</v>
      </c>
      <c r="M23" s="165">
        <v>0</v>
      </c>
      <c r="N23" s="165">
        <v>0</v>
      </c>
      <c r="O23" s="166">
        <v>0</v>
      </c>
      <c r="P23" s="167">
        <v>0</v>
      </c>
      <c r="Q23" s="168">
        <v>0</v>
      </c>
      <c r="R23" s="169">
        <f t="shared" si="18"/>
        <v>6599.5190000000002</v>
      </c>
      <c r="S23" s="170">
        <f t="shared" si="19"/>
        <v>287.07907649999999</v>
      </c>
      <c r="T23" s="171">
        <f t="shared" si="20"/>
        <v>555.67949980000003</v>
      </c>
      <c r="U23" s="172" t="s">
        <v>266</v>
      </c>
      <c r="V23" s="173" t="s">
        <v>440</v>
      </c>
      <c r="W23" s="160" t="s">
        <v>225</v>
      </c>
      <c r="X23" s="174">
        <v>18470</v>
      </c>
      <c r="Y23" s="175">
        <v>4.75</v>
      </c>
      <c r="Z23" s="175">
        <v>8.49</v>
      </c>
      <c r="AA23" s="62">
        <f t="shared" si="36"/>
        <v>877.32500000000005</v>
      </c>
      <c r="AB23" s="63">
        <f t="shared" si="37"/>
        <v>1568.1030000000001</v>
      </c>
      <c r="AC23" s="230">
        <v>18470</v>
      </c>
      <c r="AD23" s="231">
        <v>4.75</v>
      </c>
      <c r="AE23" s="231">
        <v>8.49</v>
      </c>
      <c r="AF23" s="170">
        <f t="shared" si="23"/>
        <v>877.32500000000005</v>
      </c>
      <c r="AG23" s="171">
        <f t="shared" si="24"/>
        <v>1568.1030000000001</v>
      </c>
      <c r="AH23" s="184">
        <v>2717.1</v>
      </c>
      <c r="AI23" s="160">
        <v>4.5599999999999996</v>
      </c>
      <c r="AJ23" s="188">
        <v>8.39</v>
      </c>
      <c r="AK23" s="170">
        <f t="shared" si="30"/>
        <v>123.89975999999999</v>
      </c>
      <c r="AL23" s="179">
        <f t="shared" si="31"/>
        <v>227.96468999999999</v>
      </c>
      <c r="AM23" s="180">
        <f t="shared" si="32"/>
        <v>1.8999999998868589E-2</v>
      </c>
      <c r="AN23" s="181">
        <f t="shared" si="33"/>
        <v>-34.3635234999999</v>
      </c>
      <c r="AO23" s="181">
        <f t="shared" si="34"/>
        <v>-16.488550199999935</v>
      </c>
      <c r="AP23" s="182">
        <f t="shared" si="28"/>
        <v>-6.0340025162672242E-2</v>
      </c>
      <c r="AQ23" s="76">
        <f t="shared" si="13"/>
        <v>-20360.712714572936</v>
      </c>
      <c r="AR23" s="183">
        <f t="shared" si="29"/>
        <v>1.9000000000232831E-2</v>
      </c>
    </row>
    <row r="24" spans="1:45" ht="15" x14ac:dyDescent="0.25">
      <c r="A24" s="149" t="str">
        <f t="shared" si="15"/>
        <v>46184M</v>
      </c>
      <c r="B24" s="51">
        <f t="shared" si="35"/>
        <v>46184</v>
      </c>
      <c r="C24" s="158" t="s">
        <v>87</v>
      </c>
      <c r="D24" s="185">
        <v>2717.1</v>
      </c>
      <c r="E24" s="170">
        <v>4.5599999999999996</v>
      </c>
      <c r="F24" s="170">
        <v>8.39</v>
      </c>
      <c r="G24" s="170">
        <f t="shared" si="16"/>
        <v>123.89975999999999</v>
      </c>
      <c r="H24" s="171">
        <f t="shared" si="17"/>
        <v>227.96468999999999</v>
      </c>
      <c r="I24" s="161">
        <v>4034.7</v>
      </c>
      <c r="J24" s="162">
        <v>4155.741</v>
      </c>
      <c r="K24" s="163">
        <v>5.37</v>
      </c>
      <c r="L24" s="164">
        <v>8.5500000000000007</v>
      </c>
      <c r="M24" s="165">
        <v>0</v>
      </c>
      <c r="N24" s="165">
        <v>0</v>
      </c>
      <c r="O24" s="166">
        <v>0</v>
      </c>
      <c r="P24" s="167">
        <v>0</v>
      </c>
      <c r="Q24" s="168">
        <v>0</v>
      </c>
      <c r="R24" s="169">
        <f t="shared" si="18"/>
        <v>4155.741</v>
      </c>
      <c r="S24" s="170">
        <f t="shared" si="19"/>
        <v>223.1632917</v>
      </c>
      <c r="T24" s="171">
        <f t="shared" si="20"/>
        <v>355.3158555</v>
      </c>
      <c r="U24" s="172" t="s">
        <v>167</v>
      </c>
      <c r="V24" s="173" t="s">
        <v>167</v>
      </c>
      <c r="W24" s="160">
        <v>0</v>
      </c>
      <c r="X24" s="174">
        <v>0</v>
      </c>
      <c r="Y24" s="175">
        <v>0</v>
      </c>
      <c r="Z24" s="175">
        <v>0</v>
      </c>
      <c r="AA24" s="62">
        <f t="shared" si="36"/>
        <v>0</v>
      </c>
      <c r="AB24" s="63">
        <f t="shared" si="37"/>
        <v>0</v>
      </c>
      <c r="AC24" s="176"/>
      <c r="AD24" s="177"/>
      <c r="AE24" s="177"/>
      <c r="AF24" s="170">
        <f t="shared" si="23"/>
        <v>0</v>
      </c>
      <c r="AG24" s="171">
        <f t="shared" si="24"/>
        <v>0</v>
      </c>
      <c r="AH24" s="184">
        <v>6872.8</v>
      </c>
      <c r="AI24" s="160">
        <v>5.04</v>
      </c>
      <c r="AJ24" s="160">
        <v>8.48</v>
      </c>
      <c r="AK24" s="170">
        <f t="shared" si="30"/>
        <v>346.38911999999999</v>
      </c>
      <c r="AL24" s="179">
        <f t="shared" si="31"/>
        <v>582.81344000000001</v>
      </c>
      <c r="AM24" s="180">
        <f t="shared" si="32"/>
        <v>4.1000000000167347E-2</v>
      </c>
      <c r="AN24" s="181">
        <f t="shared" si="33"/>
        <v>0.67393169999996871</v>
      </c>
      <c r="AO24" s="181">
        <f t="shared" si="34"/>
        <v>0.46710550000000239</v>
      </c>
      <c r="AP24" s="182">
        <f t="shared" si="28"/>
        <v>1.9724776692866264E-3</v>
      </c>
      <c r="AQ24" s="76">
        <f t="shared" si="13"/>
        <v>442.32689945032007</v>
      </c>
      <c r="AR24" s="183">
        <f t="shared" si="29"/>
        <v>4.1000000000167347E-2</v>
      </c>
      <c r="AS24" s="189"/>
    </row>
    <row r="25" spans="1:45" ht="15" x14ac:dyDescent="0.25">
      <c r="A25" s="149" t="str">
        <f t="shared" si="15"/>
        <v>46184E</v>
      </c>
      <c r="B25" s="51">
        <f t="shared" si="35"/>
        <v>46184</v>
      </c>
      <c r="C25" s="158" t="s">
        <v>88</v>
      </c>
      <c r="D25" s="185">
        <v>6872.8</v>
      </c>
      <c r="E25" s="170">
        <v>5.04</v>
      </c>
      <c r="F25" s="170">
        <v>8.48</v>
      </c>
      <c r="G25" s="170">
        <f t="shared" si="16"/>
        <v>346.38911999999999</v>
      </c>
      <c r="H25" s="171">
        <f t="shared" si="17"/>
        <v>582.81344000000001</v>
      </c>
      <c r="I25" s="161">
        <v>8877</v>
      </c>
      <c r="J25" s="162">
        <v>9143.31</v>
      </c>
      <c r="K25" s="163">
        <v>4.45</v>
      </c>
      <c r="L25" s="164">
        <v>8.3800000000000008</v>
      </c>
      <c r="M25" s="165">
        <v>0</v>
      </c>
      <c r="N25" s="165">
        <v>0</v>
      </c>
      <c r="O25" s="166">
        <v>0</v>
      </c>
      <c r="P25" s="167">
        <v>0</v>
      </c>
      <c r="Q25" s="168">
        <v>0</v>
      </c>
      <c r="R25" s="169">
        <f t="shared" si="18"/>
        <v>9143.31</v>
      </c>
      <c r="S25" s="170">
        <f t="shared" si="19"/>
        <v>406.877295</v>
      </c>
      <c r="T25" s="171">
        <f t="shared" si="20"/>
        <v>766.20937800000013</v>
      </c>
      <c r="U25" s="172" t="s">
        <v>168</v>
      </c>
      <c r="V25" s="173" t="s">
        <v>441</v>
      </c>
      <c r="W25" s="160" t="s">
        <v>225</v>
      </c>
      <c r="X25" s="174">
        <v>5055</v>
      </c>
      <c r="Y25" s="175">
        <v>4.45</v>
      </c>
      <c r="Z25" s="175">
        <v>8.5</v>
      </c>
      <c r="AA25" s="62">
        <f t="shared" si="36"/>
        <v>224.94750000000002</v>
      </c>
      <c r="AB25" s="63">
        <f t="shared" si="37"/>
        <v>429.67500000000001</v>
      </c>
      <c r="AC25" s="230">
        <v>5055</v>
      </c>
      <c r="AD25" s="231">
        <v>4.45</v>
      </c>
      <c r="AE25" s="231">
        <v>8.5</v>
      </c>
      <c r="AF25" s="170">
        <f t="shared" si="23"/>
        <v>224.94750000000002</v>
      </c>
      <c r="AG25" s="171">
        <f t="shared" si="24"/>
        <v>429.67500000000001</v>
      </c>
      <c r="AH25" s="184">
        <v>10961.1</v>
      </c>
      <c r="AI25" s="160">
        <v>4.7</v>
      </c>
      <c r="AJ25" s="160">
        <v>8.42</v>
      </c>
      <c r="AK25" s="170">
        <f t="shared" si="30"/>
        <v>515.17169999999999</v>
      </c>
      <c r="AL25" s="179">
        <f t="shared" si="31"/>
        <v>922.92462</v>
      </c>
      <c r="AM25" s="180">
        <f t="shared" si="32"/>
        <v>1.0000000000218279E-2</v>
      </c>
      <c r="AN25" s="181">
        <f t="shared" si="33"/>
        <v>13.147215000000074</v>
      </c>
      <c r="AO25" s="181">
        <f t="shared" si="34"/>
        <v>-3.576801999999816</v>
      </c>
      <c r="AP25" s="182">
        <f t="shared" si="28"/>
        <v>8.1583170453426983E-3</v>
      </c>
      <c r="AQ25" s="76">
        <f t="shared" si="13"/>
        <v>4831.4748284367552</v>
      </c>
      <c r="AR25" s="183">
        <f t="shared" si="29"/>
        <v>1.0000000000218279E-2</v>
      </c>
    </row>
    <row r="26" spans="1:45" ht="15" x14ac:dyDescent="0.25">
      <c r="A26" s="149" t="str">
        <f t="shared" si="15"/>
        <v>46185M</v>
      </c>
      <c r="B26" s="51">
        <f t="shared" si="35"/>
        <v>46185</v>
      </c>
      <c r="C26" s="158" t="s">
        <v>87</v>
      </c>
      <c r="D26" s="185"/>
      <c r="E26" s="170"/>
      <c r="F26" s="170"/>
      <c r="G26" s="170">
        <f t="shared" si="16"/>
        <v>0</v>
      </c>
      <c r="H26" s="171">
        <f t="shared" si="17"/>
        <v>0</v>
      </c>
      <c r="I26" s="161"/>
      <c r="J26" s="162"/>
      <c r="K26" s="163"/>
      <c r="L26" s="164"/>
      <c r="M26" s="165"/>
      <c r="N26" s="165"/>
      <c r="O26" s="166"/>
      <c r="P26" s="167"/>
      <c r="Q26" s="168"/>
      <c r="R26" s="169">
        <f t="shared" si="18"/>
        <v>0</v>
      </c>
      <c r="S26" s="170">
        <f t="shared" si="19"/>
        <v>0</v>
      </c>
      <c r="T26" s="171">
        <f t="shared" si="20"/>
        <v>0</v>
      </c>
      <c r="U26" s="172"/>
      <c r="V26" s="173"/>
      <c r="W26" s="160"/>
      <c r="X26" s="174"/>
      <c r="Y26" s="175"/>
      <c r="Z26" s="175"/>
      <c r="AA26" s="62">
        <f t="shared" si="36"/>
        <v>0</v>
      </c>
      <c r="AB26" s="63">
        <f t="shared" si="37"/>
        <v>0</v>
      </c>
      <c r="AC26" s="176"/>
      <c r="AD26" s="177"/>
      <c r="AE26" s="177"/>
      <c r="AF26" s="170">
        <f t="shared" si="23"/>
        <v>0</v>
      </c>
      <c r="AG26" s="171">
        <f t="shared" si="24"/>
        <v>0</v>
      </c>
      <c r="AH26" s="184"/>
      <c r="AI26" s="160"/>
      <c r="AJ26" s="160"/>
      <c r="AK26" s="170">
        <f t="shared" si="30"/>
        <v>0</v>
      </c>
      <c r="AL26" s="179">
        <f t="shared" si="31"/>
        <v>0</v>
      </c>
      <c r="AM26" s="180">
        <f t="shared" si="32"/>
        <v>0</v>
      </c>
      <c r="AN26" s="181">
        <f t="shared" si="33"/>
        <v>0</v>
      </c>
      <c r="AO26" s="181">
        <f t="shared" si="34"/>
        <v>0</v>
      </c>
      <c r="AP26" s="182" t="e">
        <f t="shared" si="28"/>
        <v>#DIV/0!</v>
      </c>
      <c r="AQ26" s="76">
        <f t="shared" si="13"/>
        <v>0</v>
      </c>
      <c r="AR26" s="183">
        <f t="shared" si="29"/>
        <v>0</v>
      </c>
    </row>
    <row r="27" spans="1:45" ht="15" x14ac:dyDescent="0.25">
      <c r="A27" s="149" t="str">
        <f t="shared" si="15"/>
        <v>46185E</v>
      </c>
      <c r="B27" s="51">
        <f t="shared" si="35"/>
        <v>46185</v>
      </c>
      <c r="C27" s="158" t="s">
        <v>88</v>
      </c>
      <c r="D27" s="185"/>
      <c r="E27" s="170"/>
      <c r="F27" s="170"/>
      <c r="G27" s="170">
        <f t="shared" si="16"/>
        <v>0</v>
      </c>
      <c r="H27" s="171">
        <f t="shared" si="17"/>
        <v>0</v>
      </c>
      <c r="I27" s="161"/>
      <c r="J27" s="162"/>
      <c r="K27" s="163"/>
      <c r="L27" s="164"/>
      <c r="M27" s="165"/>
      <c r="N27" s="165"/>
      <c r="O27" s="166"/>
      <c r="P27" s="167"/>
      <c r="Q27" s="168"/>
      <c r="R27" s="169">
        <f t="shared" si="18"/>
        <v>0</v>
      </c>
      <c r="S27" s="170">
        <f t="shared" si="19"/>
        <v>0</v>
      </c>
      <c r="T27" s="171">
        <f t="shared" si="20"/>
        <v>0</v>
      </c>
      <c r="U27" s="172"/>
      <c r="V27" s="173"/>
      <c r="W27" s="160"/>
      <c r="X27" s="174"/>
      <c r="Y27" s="175"/>
      <c r="Z27" s="175"/>
      <c r="AA27" s="62">
        <f t="shared" si="36"/>
        <v>0</v>
      </c>
      <c r="AB27" s="63">
        <f t="shared" si="37"/>
        <v>0</v>
      </c>
      <c r="AC27" s="176"/>
      <c r="AD27" s="177"/>
      <c r="AE27" s="177"/>
      <c r="AF27" s="170">
        <f t="shared" si="23"/>
        <v>0</v>
      </c>
      <c r="AG27" s="171">
        <f t="shared" si="24"/>
        <v>0</v>
      </c>
      <c r="AH27" s="159"/>
      <c r="AI27" s="160"/>
      <c r="AJ27" s="160"/>
      <c r="AK27" s="170">
        <f t="shared" si="30"/>
        <v>0</v>
      </c>
      <c r="AL27" s="179">
        <f t="shared" si="31"/>
        <v>0</v>
      </c>
      <c r="AM27" s="180">
        <f t="shared" si="32"/>
        <v>0</v>
      </c>
      <c r="AN27" s="181">
        <f t="shared" si="33"/>
        <v>0</v>
      </c>
      <c r="AO27" s="181">
        <f t="shared" si="34"/>
        <v>0</v>
      </c>
      <c r="AP27" s="182" t="e">
        <f t="shared" si="28"/>
        <v>#DIV/0!</v>
      </c>
      <c r="AQ27" s="76">
        <f t="shared" si="13"/>
        <v>0</v>
      </c>
      <c r="AR27" s="183">
        <f t="shared" si="29"/>
        <v>0</v>
      </c>
    </row>
    <row r="28" spans="1:45" ht="15" x14ac:dyDescent="0.25">
      <c r="A28" s="149" t="str">
        <f t="shared" si="15"/>
        <v>46186M</v>
      </c>
      <c r="B28" s="51">
        <f t="shared" si="35"/>
        <v>46186</v>
      </c>
      <c r="C28" s="158" t="s">
        <v>87</v>
      </c>
      <c r="D28" s="185"/>
      <c r="E28" s="170"/>
      <c r="F28" s="170"/>
      <c r="G28" s="170">
        <f t="shared" si="16"/>
        <v>0</v>
      </c>
      <c r="H28" s="171">
        <f t="shared" si="17"/>
        <v>0</v>
      </c>
      <c r="I28" s="161"/>
      <c r="J28" s="162"/>
      <c r="K28" s="163"/>
      <c r="L28" s="164"/>
      <c r="M28" s="165"/>
      <c r="N28" s="165"/>
      <c r="O28" s="166"/>
      <c r="P28" s="167"/>
      <c r="Q28" s="168"/>
      <c r="R28" s="169">
        <f t="shared" si="18"/>
        <v>0</v>
      </c>
      <c r="S28" s="170">
        <f t="shared" si="19"/>
        <v>0</v>
      </c>
      <c r="T28" s="171">
        <f t="shared" si="20"/>
        <v>0</v>
      </c>
      <c r="U28" s="172"/>
      <c r="V28" s="173"/>
      <c r="W28" s="160"/>
      <c r="X28" s="174"/>
      <c r="Y28" s="175"/>
      <c r="Z28" s="175"/>
      <c r="AA28" s="62">
        <f t="shared" si="36"/>
        <v>0</v>
      </c>
      <c r="AB28" s="63">
        <f t="shared" si="37"/>
        <v>0</v>
      </c>
      <c r="AC28" s="176"/>
      <c r="AD28" s="177"/>
      <c r="AE28" s="177"/>
      <c r="AF28" s="170">
        <f t="shared" si="23"/>
        <v>0</v>
      </c>
      <c r="AG28" s="171">
        <f t="shared" si="24"/>
        <v>0</v>
      </c>
      <c r="AH28" s="159"/>
      <c r="AI28" s="160"/>
      <c r="AJ28" s="160"/>
      <c r="AK28" s="170">
        <f t="shared" si="30"/>
        <v>0</v>
      </c>
      <c r="AL28" s="179">
        <f t="shared" si="31"/>
        <v>0</v>
      </c>
      <c r="AM28" s="180">
        <f t="shared" si="32"/>
        <v>0</v>
      </c>
      <c r="AN28" s="181">
        <f t="shared" si="33"/>
        <v>0</v>
      </c>
      <c r="AO28" s="181">
        <f t="shared" si="34"/>
        <v>0</v>
      </c>
      <c r="AP28" s="182" t="e">
        <f t="shared" si="28"/>
        <v>#DIV/0!</v>
      </c>
      <c r="AQ28" s="76">
        <f t="shared" si="13"/>
        <v>0</v>
      </c>
      <c r="AR28" s="183">
        <f t="shared" si="29"/>
        <v>0</v>
      </c>
    </row>
    <row r="29" spans="1:45" ht="15" x14ac:dyDescent="0.25">
      <c r="A29" s="149" t="str">
        <f t="shared" si="15"/>
        <v>46186E</v>
      </c>
      <c r="B29" s="51">
        <f t="shared" si="35"/>
        <v>46186</v>
      </c>
      <c r="C29" s="158" t="s">
        <v>88</v>
      </c>
      <c r="D29" s="185"/>
      <c r="E29" s="170"/>
      <c r="F29" s="170"/>
      <c r="G29" s="170">
        <f t="shared" si="16"/>
        <v>0</v>
      </c>
      <c r="H29" s="171">
        <f t="shared" si="17"/>
        <v>0</v>
      </c>
      <c r="I29" s="161"/>
      <c r="J29" s="162"/>
      <c r="K29" s="163"/>
      <c r="L29" s="164"/>
      <c r="M29" s="165"/>
      <c r="N29" s="165"/>
      <c r="O29" s="166"/>
      <c r="P29" s="167"/>
      <c r="Q29" s="168"/>
      <c r="R29" s="169">
        <f t="shared" si="18"/>
        <v>0</v>
      </c>
      <c r="S29" s="170">
        <f t="shared" si="19"/>
        <v>0</v>
      </c>
      <c r="T29" s="171">
        <f t="shared" si="20"/>
        <v>0</v>
      </c>
      <c r="U29" s="172"/>
      <c r="V29" s="173"/>
      <c r="W29" s="160"/>
      <c r="X29" s="174"/>
      <c r="Y29" s="175"/>
      <c r="Z29" s="175"/>
      <c r="AA29" s="62">
        <f t="shared" si="36"/>
        <v>0</v>
      </c>
      <c r="AB29" s="63">
        <f t="shared" si="37"/>
        <v>0</v>
      </c>
      <c r="AC29" s="176"/>
      <c r="AD29" s="177"/>
      <c r="AE29" s="177"/>
      <c r="AF29" s="170">
        <f t="shared" si="23"/>
        <v>0</v>
      </c>
      <c r="AG29" s="171">
        <f t="shared" si="24"/>
        <v>0</v>
      </c>
      <c r="AH29" s="159"/>
      <c r="AI29" s="160"/>
      <c r="AJ29" s="160"/>
      <c r="AK29" s="170">
        <f t="shared" si="30"/>
        <v>0</v>
      </c>
      <c r="AL29" s="179">
        <f t="shared" si="31"/>
        <v>0</v>
      </c>
      <c r="AM29" s="180">
        <f t="shared" si="32"/>
        <v>0</v>
      </c>
      <c r="AN29" s="181">
        <f t="shared" si="33"/>
        <v>0</v>
      </c>
      <c r="AO29" s="181">
        <f t="shared" si="34"/>
        <v>0</v>
      </c>
      <c r="AP29" s="182" t="e">
        <f t="shared" si="28"/>
        <v>#DIV/0!</v>
      </c>
      <c r="AQ29" s="76">
        <f t="shared" si="13"/>
        <v>0</v>
      </c>
      <c r="AR29" s="183">
        <f t="shared" si="29"/>
        <v>0</v>
      </c>
    </row>
    <row r="30" spans="1:45" ht="15" x14ac:dyDescent="0.25">
      <c r="A30" s="149" t="str">
        <f t="shared" si="15"/>
        <v>46187M</v>
      </c>
      <c r="B30" s="51">
        <f t="shared" si="35"/>
        <v>46187</v>
      </c>
      <c r="C30" s="158" t="s">
        <v>87</v>
      </c>
      <c r="D30" s="79"/>
      <c r="E30" s="62"/>
      <c r="F30" s="62"/>
      <c r="G30" s="170">
        <f t="shared" si="16"/>
        <v>0</v>
      </c>
      <c r="H30" s="171">
        <f t="shared" si="17"/>
        <v>0</v>
      </c>
      <c r="I30" s="161"/>
      <c r="J30" s="162"/>
      <c r="K30" s="163"/>
      <c r="L30" s="164"/>
      <c r="M30" s="165"/>
      <c r="N30" s="165"/>
      <c r="O30" s="166"/>
      <c r="P30" s="167"/>
      <c r="Q30" s="168"/>
      <c r="R30" s="169">
        <f t="shared" si="18"/>
        <v>0</v>
      </c>
      <c r="S30" s="170">
        <f t="shared" si="19"/>
        <v>0</v>
      </c>
      <c r="T30" s="171">
        <f t="shared" si="20"/>
        <v>0</v>
      </c>
      <c r="U30" s="64"/>
      <c r="V30" s="65"/>
      <c r="W30" s="66"/>
      <c r="X30" s="67"/>
      <c r="Y30" s="68"/>
      <c r="Z30" s="68"/>
      <c r="AA30" s="62">
        <f t="shared" si="36"/>
        <v>0</v>
      </c>
      <c r="AB30" s="63">
        <f t="shared" si="37"/>
        <v>0</v>
      </c>
      <c r="AC30" s="176"/>
      <c r="AD30" s="177"/>
      <c r="AE30" s="177"/>
      <c r="AF30" s="170">
        <f t="shared" si="23"/>
        <v>0</v>
      </c>
      <c r="AG30" s="171">
        <f t="shared" si="24"/>
        <v>0</v>
      </c>
      <c r="AH30" s="71"/>
      <c r="AI30" s="66"/>
      <c r="AJ30" s="66"/>
      <c r="AK30" s="170">
        <f t="shared" si="30"/>
        <v>0</v>
      </c>
      <c r="AL30" s="179">
        <f t="shared" si="31"/>
        <v>0</v>
      </c>
      <c r="AM30" s="180">
        <f t="shared" si="32"/>
        <v>0</v>
      </c>
      <c r="AN30" s="181">
        <f t="shared" si="33"/>
        <v>0</v>
      </c>
      <c r="AO30" s="181">
        <f t="shared" si="34"/>
        <v>0</v>
      </c>
      <c r="AP30" s="182" t="e">
        <f t="shared" si="28"/>
        <v>#DIV/0!</v>
      </c>
      <c r="AQ30" s="76">
        <f t="shared" si="13"/>
        <v>0</v>
      </c>
      <c r="AR30" s="183">
        <f t="shared" si="29"/>
        <v>0</v>
      </c>
    </row>
    <row r="31" spans="1:45" ht="15" x14ac:dyDescent="0.25">
      <c r="A31" s="149" t="str">
        <f t="shared" si="15"/>
        <v>46187E</v>
      </c>
      <c r="B31" s="51">
        <f t="shared" si="35"/>
        <v>46187</v>
      </c>
      <c r="C31" s="158" t="s">
        <v>88</v>
      </c>
      <c r="D31" s="79"/>
      <c r="E31" s="62"/>
      <c r="F31" s="62"/>
      <c r="G31" s="170">
        <f t="shared" si="16"/>
        <v>0</v>
      </c>
      <c r="H31" s="171">
        <f t="shared" si="17"/>
        <v>0</v>
      </c>
      <c r="I31" s="161"/>
      <c r="J31" s="162"/>
      <c r="K31" s="163"/>
      <c r="L31" s="164"/>
      <c r="M31" s="165"/>
      <c r="N31" s="165"/>
      <c r="O31" s="166"/>
      <c r="P31" s="167"/>
      <c r="Q31" s="168"/>
      <c r="R31" s="169">
        <f t="shared" si="18"/>
        <v>0</v>
      </c>
      <c r="S31" s="170">
        <f t="shared" si="19"/>
        <v>0</v>
      </c>
      <c r="T31" s="171">
        <f t="shared" si="20"/>
        <v>0</v>
      </c>
      <c r="U31" s="64"/>
      <c r="V31" s="85"/>
      <c r="W31" s="66"/>
      <c r="X31" s="67"/>
      <c r="Y31" s="68"/>
      <c r="Z31" s="68"/>
      <c r="AA31" s="62">
        <f t="shared" si="36"/>
        <v>0</v>
      </c>
      <c r="AB31" s="63">
        <f t="shared" si="37"/>
        <v>0</v>
      </c>
      <c r="AC31" s="176"/>
      <c r="AD31" s="177"/>
      <c r="AE31" s="177"/>
      <c r="AF31" s="170">
        <f t="shared" si="23"/>
        <v>0</v>
      </c>
      <c r="AG31" s="171">
        <f t="shared" si="24"/>
        <v>0</v>
      </c>
      <c r="AH31" s="71"/>
      <c r="AI31" s="66"/>
      <c r="AJ31" s="66"/>
      <c r="AK31" s="170">
        <f t="shared" si="30"/>
        <v>0</v>
      </c>
      <c r="AL31" s="179">
        <f t="shared" si="31"/>
        <v>0</v>
      </c>
      <c r="AM31" s="180">
        <f t="shared" si="32"/>
        <v>0</v>
      </c>
      <c r="AN31" s="181">
        <f t="shared" si="33"/>
        <v>0</v>
      </c>
      <c r="AO31" s="181">
        <f t="shared" si="34"/>
        <v>0</v>
      </c>
      <c r="AP31" s="182" t="e">
        <f t="shared" si="28"/>
        <v>#DIV/0!</v>
      </c>
      <c r="AQ31" s="76">
        <f t="shared" si="13"/>
        <v>0</v>
      </c>
      <c r="AR31" s="183">
        <f t="shared" si="29"/>
        <v>0</v>
      </c>
    </row>
    <row r="32" spans="1:45" ht="15" x14ac:dyDescent="0.25">
      <c r="A32" s="149" t="str">
        <f t="shared" si="15"/>
        <v>46188M</v>
      </c>
      <c r="B32" s="51">
        <f t="shared" si="35"/>
        <v>46188</v>
      </c>
      <c r="C32" s="158" t="s">
        <v>87</v>
      </c>
      <c r="D32" s="79"/>
      <c r="E32" s="62"/>
      <c r="F32" s="62"/>
      <c r="G32" s="170">
        <f t="shared" si="16"/>
        <v>0</v>
      </c>
      <c r="H32" s="171">
        <f t="shared" si="17"/>
        <v>0</v>
      </c>
      <c r="I32" s="161"/>
      <c r="J32" s="162"/>
      <c r="K32" s="163"/>
      <c r="L32" s="164"/>
      <c r="M32" s="165"/>
      <c r="N32" s="165"/>
      <c r="O32" s="166"/>
      <c r="P32" s="167"/>
      <c r="Q32" s="168"/>
      <c r="R32" s="169">
        <f t="shared" si="18"/>
        <v>0</v>
      </c>
      <c r="S32" s="170">
        <f t="shared" si="19"/>
        <v>0</v>
      </c>
      <c r="T32" s="171">
        <f t="shared" si="20"/>
        <v>0</v>
      </c>
      <c r="U32" s="64"/>
      <c r="V32" s="65"/>
      <c r="W32" s="66"/>
      <c r="X32" s="67"/>
      <c r="Y32" s="68"/>
      <c r="Z32" s="68"/>
      <c r="AA32" s="62">
        <f t="shared" si="36"/>
        <v>0</v>
      </c>
      <c r="AB32" s="63">
        <f t="shared" si="37"/>
        <v>0</v>
      </c>
      <c r="AC32" s="176"/>
      <c r="AD32" s="177"/>
      <c r="AE32" s="177"/>
      <c r="AF32" s="170">
        <f t="shared" si="23"/>
        <v>0</v>
      </c>
      <c r="AG32" s="171">
        <f t="shared" si="24"/>
        <v>0</v>
      </c>
      <c r="AH32" s="71"/>
      <c r="AI32" s="66"/>
      <c r="AJ32" s="66"/>
      <c r="AK32" s="170">
        <f t="shared" si="30"/>
        <v>0</v>
      </c>
      <c r="AL32" s="179">
        <f t="shared" si="31"/>
        <v>0</v>
      </c>
      <c r="AM32" s="180">
        <f t="shared" si="32"/>
        <v>0</v>
      </c>
      <c r="AN32" s="181">
        <f t="shared" si="33"/>
        <v>0</v>
      </c>
      <c r="AO32" s="181">
        <f t="shared" si="34"/>
        <v>0</v>
      </c>
      <c r="AP32" s="182" t="e">
        <f t="shared" si="28"/>
        <v>#DIV/0!</v>
      </c>
      <c r="AQ32" s="76">
        <f t="shared" si="13"/>
        <v>0</v>
      </c>
      <c r="AR32" s="183">
        <f t="shared" si="29"/>
        <v>0</v>
      </c>
    </row>
    <row r="33" spans="1:44" ht="15" x14ac:dyDescent="0.25">
      <c r="A33" s="149" t="str">
        <f t="shared" si="15"/>
        <v>46188E</v>
      </c>
      <c r="B33" s="51">
        <f t="shared" si="35"/>
        <v>46188</v>
      </c>
      <c r="C33" s="158" t="s">
        <v>88</v>
      </c>
      <c r="D33" s="79"/>
      <c r="E33" s="62"/>
      <c r="F33" s="62"/>
      <c r="G33" s="170">
        <f t="shared" si="16"/>
        <v>0</v>
      </c>
      <c r="H33" s="171">
        <f t="shared" si="17"/>
        <v>0</v>
      </c>
      <c r="I33" s="161"/>
      <c r="J33" s="162"/>
      <c r="K33" s="163"/>
      <c r="L33" s="164"/>
      <c r="M33" s="165"/>
      <c r="N33" s="165"/>
      <c r="O33" s="166"/>
      <c r="P33" s="167"/>
      <c r="Q33" s="168"/>
      <c r="R33" s="169">
        <f t="shared" si="18"/>
        <v>0</v>
      </c>
      <c r="S33" s="170">
        <f t="shared" si="19"/>
        <v>0</v>
      </c>
      <c r="T33" s="171">
        <f t="shared" si="20"/>
        <v>0</v>
      </c>
      <c r="U33" s="64"/>
      <c r="V33" s="65"/>
      <c r="W33" s="66"/>
      <c r="X33" s="67"/>
      <c r="Y33" s="68"/>
      <c r="Z33" s="68"/>
      <c r="AA33" s="62">
        <f t="shared" si="36"/>
        <v>0</v>
      </c>
      <c r="AB33" s="63">
        <f t="shared" si="37"/>
        <v>0</v>
      </c>
      <c r="AC33" s="176"/>
      <c r="AD33" s="177"/>
      <c r="AE33" s="177"/>
      <c r="AF33" s="170">
        <f t="shared" si="23"/>
        <v>0</v>
      </c>
      <c r="AG33" s="171">
        <f t="shared" si="24"/>
        <v>0</v>
      </c>
      <c r="AH33" s="71"/>
      <c r="AI33" s="66"/>
      <c r="AJ33" s="66"/>
      <c r="AK33" s="170">
        <f t="shared" si="30"/>
        <v>0</v>
      </c>
      <c r="AL33" s="179">
        <f t="shared" si="31"/>
        <v>0</v>
      </c>
      <c r="AM33" s="180">
        <f t="shared" si="32"/>
        <v>0</v>
      </c>
      <c r="AN33" s="181">
        <f t="shared" si="33"/>
        <v>0</v>
      </c>
      <c r="AO33" s="181">
        <f t="shared" si="34"/>
        <v>0</v>
      </c>
      <c r="AP33" s="182" t="e">
        <f t="shared" si="28"/>
        <v>#DIV/0!</v>
      </c>
      <c r="AQ33" s="76">
        <f t="shared" si="13"/>
        <v>0</v>
      </c>
      <c r="AR33" s="183">
        <f t="shared" si="29"/>
        <v>0</v>
      </c>
    </row>
    <row r="34" spans="1:44" ht="15" x14ac:dyDescent="0.25">
      <c r="A34" s="149" t="str">
        <f t="shared" si="15"/>
        <v>46189M</v>
      </c>
      <c r="B34" s="51">
        <f t="shared" si="35"/>
        <v>46189</v>
      </c>
      <c r="C34" s="158" t="s">
        <v>87</v>
      </c>
      <c r="D34" s="79"/>
      <c r="E34" s="62"/>
      <c r="F34" s="62"/>
      <c r="G34" s="170">
        <f t="shared" si="16"/>
        <v>0</v>
      </c>
      <c r="H34" s="171">
        <f t="shared" si="17"/>
        <v>0</v>
      </c>
      <c r="I34" s="161"/>
      <c r="J34" s="162"/>
      <c r="K34" s="163"/>
      <c r="L34" s="164"/>
      <c r="M34" s="165"/>
      <c r="N34" s="165"/>
      <c r="O34" s="166"/>
      <c r="P34" s="167"/>
      <c r="Q34" s="168"/>
      <c r="R34" s="169">
        <f t="shared" si="18"/>
        <v>0</v>
      </c>
      <c r="S34" s="170">
        <f t="shared" si="19"/>
        <v>0</v>
      </c>
      <c r="T34" s="171">
        <f t="shared" si="20"/>
        <v>0</v>
      </c>
      <c r="U34" s="64"/>
      <c r="V34" s="65"/>
      <c r="W34" s="66"/>
      <c r="X34" s="67"/>
      <c r="Y34" s="68"/>
      <c r="Z34" s="68"/>
      <c r="AA34" s="62">
        <f t="shared" si="36"/>
        <v>0</v>
      </c>
      <c r="AB34" s="63">
        <f t="shared" si="37"/>
        <v>0</v>
      </c>
      <c r="AC34" s="176"/>
      <c r="AD34" s="177"/>
      <c r="AE34" s="177"/>
      <c r="AF34" s="170">
        <f t="shared" si="23"/>
        <v>0</v>
      </c>
      <c r="AG34" s="171">
        <f t="shared" si="24"/>
        <v>0</v>
      </c>
      <c r="AH34" s="71"/>
      <c r="AI34" s="66"/>
      <c r="AJ34" s="66"/>
      <c r="AK34" s="170">
        <f t="shared" si="30"/>
        <v>0</v>
      </c>
      <c r="AL34" s="179">
        <f t="shared" si="31"/>
        <v>0</v>
      </c>
      <c r="AM34" s="180">
        <f t="shared" si="32"/>
        <v>0</v>
      </c>
      <c r="AN34" s="181">
        <f t="shared" si="33"/>
        <v>0</v>
      </c>
      <c r="AO34" s="181">
        <f t="shared" si="34"/>
        <v>0</v>
      </c>
      <c r="AP34" s="182" t="e">
        <f t="shared" si="28"/>
        <v>#DIV/0!</v>
      </c>
      <c r="AQ34" s="76">
        <f t="shared" si="13"/>
        <v>0</v>
      </c>
      <c r="AR34" s="183">
        <f t="shared" si="29"/>
        <v>0</v>
      </c>
    </row>
    <row r="35" spans="1:44" ht="15" x14ac:dyDescent="0.25">
      <c r="A35" s="149" t="str">
        <f t="shared" si="15"/>
        <v>46189E</v>
      </c>
      <c r="B35" s="51">
        <f t="shared" si="35"/>
        <v>46189</v>
      </c>
      <c r="C35" s="158" t="s">
        <v>88</v>
      </c>
      <c r="D35" s="79"/>
      <c r="E35" s="62"/>
      <c r="F35" s="62"/>
      <c r="G35" s="170">
        <f t="shared" si="16"/>
        <v>0</v>
      </c>
      <c r="H35" s="171">
        <f t="shared" si="17"/>
        <v>0</v>
      </c>
      <c r="I35" s="161"/>
      <c r="J35" s="162"/>
      <c r="K35" s="163"/>
      <c r="L35" s="164"/>
      <c r="M35" s="165"/>
      <c r="N35" s="165"/>
      <c r="O35" s="166"/>
      <c r="P35" s="167"/>
      <c r="Q35" s="168"/>
      <c r="R35" s="169">
        <f t="shared" si="18"/>
        <v>0</v>
      </c>
      <c r="S35" s="170">
        <f t="shared" si="19"/>
        <v>0</v>
      </c>
      <c r="T35" s="171">
        <f t="shared" si="20"/>
        <v>0</v>
      </c>
      <c r="U35" s="64"/>
      <c r="V35" s="65"/>
      <c r="W35" s="66"/>
      <c r="X35" s="67"/>
      <c r="Y35" s="68"/>
      <c r="Z35" s="68"/>
      <c r="AA35" s="62">
        <f t="shared" si="36"/>
        <v>0</v>
      </c>
      <c r="AB35" s="63">
        <f t="shared" si="37"/>
        <v>0</v>
      </c>
      <c r="AC35" s="176"/>
      <c r="AD35" s="177"/>
      <c r="AE35" s="177"/>
      <c r="AF35" s="170">
        <f t="shared" si="23"/>
        <v>0</v>
      </c>
      <c r="AG35" s="171">
        <f t="shared" si="24"/>
        <v>0</v>
      </c>
      <c r="AH35" s="71"/>
      <c r="AI35" s="66"/>
      <c r="AJ35" s="66"/>
      <c r="AK35" s="170">
        <f t="shared" si="30"/>
        <v>0</v>
      </c>
      <c r="AL35" s="179">
        <f t="shared" si="31"/>
        <v>0</v>
      </c>
      <c r="AM35" s="180">
        <f t="shared" si="32"/>
        <v>0</v>
      </c>
      <c r="AN35" s="181">
        <f t="shared" si="33"/>
        <v>0</v>
      </c>
      <c r="AO35" s="181">
        <f t="shared" si="34"/>
        <v>0</v>
      </c>
      <c r="AP35" s="182" t="e">
        <f t="shared" si="28"/>
        <v>#DIV/0!</v>
      </c>
      <c r="AQ35" s="76">
        <f t="shared" si="13"/>
        <v>0</v>
      </c>
      <c r="AR35" s="183">
        <f t="shared" si="29"/>
        <v>0</v>
      </c>
    </row>
    <row r="36" spans="1:44" ht="15" x14ac:dyDescent="0.25">
      <c r="A36" s="149" t="str">
        <f t="shared" si="15"/>
        <v>46190M</v>
      </c>
      <c r="B36" s="51">
        <f t="shared" si="35"/>
        <v>46190</v>
      </c>
      <c r="C36" s="158" t="s">
        <v>87</v>
      </c>
      <c r="D36" s="79"/>
      <c r="E36" s="62"/>
      <c r="F36" s="62"/>
      <c r="G36" s="170">
        <f t="shared" si="16"/>
        <v>0</v>
      </c>
      <c r="H36" s="171">
        <f t="shared" si="17"/>
        <v>0</v>
      </c>
      <c r="I36" s="161"/>
      <c r="J36" s="162"/>
      <c r="K36" s="163"/>
      <c r="L36" s="164"/>
      <c r="M36" s="58"/>
      <c r="N36" s="58"/>
      <c r="O36" s="59"/>
      <c r="P36" s="56"/>
      <c r="Q36" s="60"/>
      <c r="R36" s="169">
        <f t="shared" si="18"/>
        <v>0</v>
      </c>
      <c r="S36" s="170">
        <f t="shared" si="19"/>
        <v>0</v>
      </c>
      <c r="T36" s="171">
        <f t="shared" si="20"/>
        <v>0</v>
      </c>
      <c r="U36" s="64"/>
      <c r="V36" s="85"/>
      <c r="W36" s="66"/>
      <c r="X36" s="67"/>
      <c r="Y36" s="68"/>
      <c r="Z36" s="68"/>
      <c r="AA36" s="62">
        <f t="shared" si="36"/>
        <v>0</v>
      </c>
      <c r="AB36" s="63">
        <f t="shared" si="37"/>
        <v>0</v>
      </c>
      <c r="AC36" s="176"/>
      <c r="AD36" s="177"/>
      <c r="AE36" s="177"/>
      <c r="AF36" s="170">
        <f t="shared" si="23"/>
        <v>0</v>
      </c>
      <c r="AG36" s="171">
        <f t="shared" si="24"/>
        <v>0</v>
      </c>
      <c r="AH36" s="71"/>
      <c r="AI36" s="66"/>
      <c r="AJ36" s="66"/>
      <c r="AK36" s="170">
        <f t="shared" si="30"/>
        <v>0</v>
      </c>
      <c r="AL36" s="179">
        <f t="shared" si="31"/>
        <v>0</v>
      </c>
      <c r="AM36" s="180">
        <f t="shared" si="32"/>
        <v>0</v>
      </c>
      <c r="AN36" s="181">
        <f t="shared" si="33"/>
        <v>0</v>
      </c>
      <c r="AO36" s="181">
        <f t="shared" si="34"/>
        <v>0</v>
      </c>
      <c r="AP36" s="182" t="e">
        <f t="shared" si="28"/>
        <v>#DIV/0!</v>
      </c>
      <c r="AQ36" s="76">
        <f t="shared" si="13"/>
        <v>0</v>
      </c>
      <c r="AR36" s="183">
        <f t="shared" si="29"/>
        <v>0</v>
      </c>
    </row>
    <row r="37" spans="1:44" ht="15" x14ac:dyDescent="0.25">
      <c r="A37" s="149" t="str">
        <f t="shared" si="15"/>
        <v>46190E</v>
      </c>
      <c r="B37" s="51">
        <f t="shared" si="35"/>
        <v>46190</v>
      </c>
      <c r="C37" s="158" t="s">
        <v>88</v>
      </c>
      <c r="D37" s="79"/>
      <c r="E37" s="62"/>
      <c r="F37" s="62"/>
      <c r="G37" s="170">
        <f t="shared" si="16"/>
        <v>0</v>
      </c>
      <c r="H37" s="171">
        <f t="shared" si="17"/>
        <v>0</v>
      </c>
      <c r="I37" s="161"/>
      <c r="J37" s="162"/>
      <c r="K37" s="163"/>
      <c r="L37" s="164"/>
      <c r="M37" s="58"/>
      <c r="N37" s="58"/>
      <c r="O37" s="59"/>
      <c r="P37" s="56"/>
      <c r="Q37" s="60"/>
      <c r="R37" s="169">
        <f t="shared" si="18"/>
        <v>0</v>
      </c>
      <c r="S37" s="170">
        <f t="shared" si="19"/>
        <v>0</v>
      </c>
      <c r="T37" s="171">
        <f t="shared" si="20"/>
        <v>0</v>
      </c>
      <c r="U37" s="64"/>
      <c r="V37" s="65"/>
      <c r="W37" s="66"/>
      <c r="X37" s="67"/>
      <c r="Y37" s="68"/>
      <c r="Z37" s="68"/>
      <c r="AA37" s="62">
        <f t="shared" si="36"/>
        <v>0</v>
      </c>
      <c r="AB37" s="63">
        <f t="shared" si="37"/>
        <v>0</v>
      </c>
      <c r="AC37" s="176"/>
      <c r="AD37" s="177"/>
      <c r="AE37" s="177"/>
      <c r="AF37" s="170">
        <f t="shared" si="23"/>
        <v>0</v>
      </c>
      <c r="AG37" s="171">
        <f t="shared" si="24"/>
        <v>0</v>
      </c>
      <c r="AH37" s="71"/>
      <c r="AI37" s="66"/>
      <c r="AJ37" s="66"/>
      <c r="AK37" s="170">
        <f t="shared" si="30"/>
        <v>0</v>
      </c>
      <c r="AL37" s="179">
        <f t="shared" si="31"/>
        <v>0</v>
      </c>
      <c r="AM37" s="180">
        <f t="shared" si="32"/>
        <v>0</v>
      </c>
      <c r="AN37" s="181">
        <f t="shared" si="33"/>
        <v>0</v>
      </c>
      <c r="AO37" s="181">
        <f t="shared" si="34"/>
        <v>0</v>
      </c>
      <c r="AP37" s="182" t="e">
        <f t="shared" si="28"/>
        <v>#DIV/0!</v>
      </c>
      <c r="AQ37" s="76">
        <f t="shared" si="13"/>
        <v>0</v>
      </c>
      <c r="AR37" s="183">
        <f t="shared" si="29"/>
        <v>0</v>
      </c>
    </row>
    <row r="38" spans="1:44" ht="15" x14ac:dyDescent="0.25">
      <c r="A38" s="149" t="str">
        <f t="shared" si="15"/>
        <v>46191M</v>
      </c>
      <c r="B38" s="51">
        <f t="shared" si="35"/>
        <v>46191</v>
      </c>
      <c r="C38" s="158" t="s">
        <v>87</v>
      </c>
      <c r="D38" s="79"/>
      <c r="E38" s="62"/>
      <c r="F38" s="62"/>
      <c r="G38" s="170">
        <f t="shared" si="16"/>
        <v>0</v>
      </c>
      <c r="H38" s="171">
        <f t="shared" si="17"/>
        <v>0</v>
      </c>
      <c r="I38" s="161"/>
      <c r="J38" s="162"/>
      <c r="K38" s="163"/>
      <c r="L38" s="164"/>
      <c r="M38" s="58"/>
      <c r="N38" s="58"/>
      <c r="O38" s="59"/>
      <c r="P38" s="56"/>
      <c r="Q38" s="60"/>
      <c r="R38" s="169">
        <f t="shared" si="18"/>
        <v>0</v>
      </c>
      <c r="S38" s="170">
        <f t="shared" si="19"/>
        <v>0</v>
      </c>
      <c r="T38" s="171">
        <f t="shared" si="20"/>
        <v>0</v>
      </c>
      <c r="U38" s="64"/>
      <c r="V38" s="65"/>
      <c r="W38" s="66"/>
      <c r="X38" s="67"/>
      <c r="Y38" s="68"/>
      <c r="Z38" s="68"/>
      <c r="AA38" s="62">
        <f t="shared" si="36"/>
        <v>0</v>
      </c>
      <c r="AB38" s="63">
        <f t="shared" si="37"/>
        <v>0</v>
      </c>
      <c r="AC38" s="176"/>
      <c r="AD38" s="177"/>
      <c r="AE38" s="177"/>
      <c r="AF38" s="170">
        <f t="shared" si="23"/>
        <v>0</v>
      </c>
      <c r="AG38" s="171">
        <f t="shared" si="24"/>
        <v>0</v>
      </c>
      <c r="AH38" s="71"/>
      <c r="AI38" s="66"/>
      <c r="AJ38" s="66"/>
      <c r="AK38" s="170">
        <f t="shared" si="30"/>
        <v>0</v>
      </c>
      <c r="AL38" s="179">
        <f t="shared" si="31"/>
        <v>0</v>
      </c>
      <c r="AM38" s="180">
        <f t="shared" si="32"/>
        <v>0</v>
      </c>
      <c r="AN38" s="181">
        <f t="shared" si="33"/>
        <v>0</v>
      </c>
      <c r="AO38" s="181">
        <f t="shared" si="34"/>
        <v>0</v>
      </c>
      <c r="AP38" s="182" t="e">
        <f t="shared" si="28"/>
        <v>#DIV/0!</v>
      </c>
      <c r="AQ38" s="76">
        <f t="shared" si="13"/>
        <v>0</v>
      </c>
      <c r="AR38" s="183">
        <f t="shared" si="29"/>
        <v>0</v>
      </c>
    </row>
    <row r="39" spans="1:44" ht="15" x14ac:dyDescent="0.25">
      <c r="A39" s="149" t="str">
        <f t="shared" si="15"/>
        <v>46191E</v>
      </c>
      <c r="B39" s="51">
        <f t="shared" si="35"/>
        <v>46191</v>
      </c>
      <c r="C39" s="158" t="s">
        <v>88</v>
      </c>
      <c r="D39" s="79"/>
      <c r="E39" s="62"/>
      <c r="F39" s="62"/>
      <c r="G39" s="170">
        <f t="shared" si="16"/>
        <v>0</v>
      </c>
      <c r="H39" s="171">
        <f t="shared" si="17"/>
        <v>0</v>
      </c>
      <c r="I39" s="161"/>
      <c r="J39" s="162"/>
      <c r="K39" s="163"/>
      <c r="L39" s="164"/>
      <c r="M39" s="58"/>
      <c r="N39" s="58"/>
      <c r="O39" s="59"/>
      <c r="P39" s="56"/>
      <c r="Q39" s="60"/>
      <c r="R39" s="169">
        <f t="shared" si="18"/>
        <v>0</v>
      </c>
      <c r="S39" s="170">
        <f t="shared" si="19"/>
        <v>0</v>
      </c>
      <c r="T39" s="171">
        <f t="shared" si="20"/>
        <v>0</v>
      </c>
      <c r="U39" s="64"/>
      <c r="V39" s="65"/>
      <c r="W39" s="66"/>
      <c r="X39" s="67"/>
      <c r="Y39" s="68"/>
      <c r="Z39" s="68"/>
      <c r="AA39" s="62">
        <f t="shared" si="36"/>
        <v>0</v>
      </c>
      <c r="AB39" s="63">
        <f t="shared" si="37"/>
        <v>0</v>
      </c>
      <c r="AC39" s="176"/>
      <c r="AD39" s="177"/>
      <c r="AE39" s="177"/>
      <c r="AF39" s="170">
        <f t="shared" si="23"/>
        <v>0</v>
      </c>
      <c r="AG39" s="171">
        <f t="shared" si="24"/>
        <v>0</v>
      </c>
      <c r="AH39" s="71"/>
      <c r="AI39" s="66"/>
      <c r="AJ39" s="66"/>
      <c r="AK39" s="170">
        <f t="shared" si="30"/>
        <v>0</v>
      </c>
      <c r="AL39" s="179">
        <f t="shared" si="31"/>
        <v>0</v>
      </c>
      <c r="AM39" s="180">
        <f t="shared" si="32"/>
        <v>0</v>
      </c>
      <c r="AN39" s="181">
        <f t="shared" si="33"/>
        <v>0</v>
      </c>
      <c r="AO39" s="181">
        <f t="shared" si="34"/>
        <v>0</v>
      </c>
      <c r="AP39" s="182" t="e">
        <f t="shared" si="28"/>
        <v>#DIV/0!</v>
      </c>
      <c r="AQ39" s="76">
        <f t="shared" si="13"/>
        <v>0</v>
      </c>
      <c r="AR39" s="183">
        <f t="shared" si="29"/>
        <v>0</v>
      </c>
    </row>
    <row r="40" spans="1:44" ht="15" x14ac:dyDescent="0.25">
      <c r="A40" s="149" t="str">
        <f t="shared" si="15"/>
        <v>46192M</v>
      </c>
      <c r="B40" s="51">
        <f t="shared" si="35"/>
        <v>46192</v>
      </c>
      <c r="C40" s="158" t="s">
        <v>87</v>
      </c>
      <c r="D40" s="79"/>
      <c r="E40" s="62"/>
      <c r="F40" s="62"/>
      <c r="G40" s="170">
        <f t="shared" si="16"/>
        <v>0</v>
      </c>
      <c r="H40" s="171">
        <f t="shared" si="17"/>
        <v>0</v>
      </c>
      <c r="I40" s="161"/>
      <c r="J40" s="162"/>
      <c r="K40" s="163"/>
      <c r="L40" s="164"/>
      <c r="M40" s="58"/>
      <c r="N40" s="58"/>
      <c r="O40" s="59"/>
      <c r="P40" s="56"/>
      <c r="Q40" s="60"/>
      <c r="R40" s="169">
        <f t="shared" si="18"/>
        <v>0</v>
      </c>
      <c r="S40" s="170">
        <f t="shared" si="19"/>
        <v>0</v>
      </c>
      <c r="T40" s="171">
        <f t="shared" si="20"/>
        <v>0</v>
      </c>
      <c r="U40" s="64"/>
      <c r="V40" s="65"/>
      <c r="W40" s="66"/>
      <c r="X40" s="67"/>
      <c r="Y40" s="68"/>
      <c r="Z40" s="68"/>
      <c r="AA40" s="62">
        <f t="shared" si="36"/>
        <v>0</v>
      </c>
      <c r="AB40" s="63">
        <f t="shared" si="37"/>
        <v>0</v>
      </c>
      <c r="AC40" s="176"/>
      <c r="AD40" s="177"/>
      <c r="AE40" s="177"/>
      <c r="AF40" s="170">
        <f t="shared" si="23"/>
        <v>0</v>
      </c>
      <c r="AG40" s="171">
        <f t="shared" si="24"/>
        <v>0</v>
      </c>
      <c r="AH40" s="71"/>
      <c r="AI40" s="66"/>
      <c r="AJ40" s="66"/>
      <c r="AK40" s="170">
        <f t="shared" si="30"/>
        <v>0</v>
      </c>
      <c r="AL40" s="179">
        <f t="shared" si="31"/>
        <v>0</v>
      </c>
      <c r="AM40" s="180">
        <f t="shared" si="32"/>
        <v>0</v>
      </c>
      <c r="AN40" s="181">
        <f t="shared" si="33"/>
        <v>0</v>
      </c>
      <c r="AO40" s="181">
        <f t="shared" si="34"/>
        <v>0</v>
      </c>
      <c r="AP40" s="182" t="e">
        <f t="shared" si="28"/>
        <v>#DIV/0!</v>
      </c>
      <c r="AQ40" s="76">
        <f t="shared" si="13"/>
        <v>0</v>
      </c>
      <c r="AR40" s="183">
        <f t="shared" si="29"/>
        <v>0</v>
      </c>
    </row>
    <row r="41" spans="1:44" ht="15" x14ac:dyDescent="0.25">
      <c r="A41" s="149" t="str">
        <f t="shared" si="15"/>
        <v>46192E</v>
      </c>
      <c r="B41" s="51">
        <f t="shared" si="35"/>
        <v>46192</v>
      </c>
      <c r="C41" s="158" t="s">
        <v>88</v>
      </c>
      <c r="D41" s="79"/>
      <c r="E41" s="62"/>
      <c r="F41" s="62"/>
      <c r="G41" s="170">
        <f t="shared" si="16"/>
        <v>0</v>
      </c>
      <c r="H41" s="171">
        <f t="shared" si="17"/>
        <v>0</v>
      </c>
      <c r="I41" s="161"/>
      <c r="J41" s="162"/>
      <c r="K41" s="163"/>
      <c r="L41" s="164"/>
      <c r="M41" s="58"/>
      <c r="N41" s="58"/>
      <c r="O41" s="59"/>
      <c r="P41" s="56"/>
      <c r="Q41" s="60"/>
      <c r="R41" s="169">
        <f t="shared" si="18"/>
        <v>0</v>
      </c>
      <c r="S41" s="170">
        <f t="shared" si="19"/>
        <v>0</v>
      </c>
      <c r="T41" s="171">
        <f t="shared" si="20"/>
        <v>0</v>
      </c>
      <c r="U41" s="64"/>
      <c r="V41" s="65"/>
      <c r="W41" s="66"/>
      <c r="X41" s="67"/>
      <c r="Y41" s="68"/>
      <c r="Z41" s="68"/>
      <c r="AA41" s="62">
        <f t="shared" si="36"/>
        <v>0</v>
      </c>
      <c r="AB41" s="63">
        <f t="shared" si="37"/>
        <v>0</v>
      </c>
      <c r="AC41" s="176"/>
      <c r="AD41" s="177"/>
      <c r="AE41" s="177"/>
      <c r="AF41" s="170">
        <f t="shared" si="23"/>
        <v>0</v>
      </c>
      <c r="AG41" s="171">
        <f t="shared" si="24"/>
        <v>0</v>
      </c>
      <c r="AH41" s="71"/>
      <c r="AI41" s="66"/>
      <c r="AJ41" s="66"/>
      <c r="AK41" s="170">
        <f t="shared" si="30"/>
        <v>0</v>
      </c>
      <c r="AL41" s="179">
        <f t="shared" si="31"/>
        <v>0</v>
      </c>
      <c r="AM41" s="180">
        <f t="shared" si="32"/>
        <v>0</v>
      </c>
      <c r="AN41" s="181">
        <f t="shared" si="33"/>
        <v>0</v>
      </c>
      <c r="AO41" s="181">
        <f t="shared" si="34"/>
        <v>0</v>
      </c>
      <c r="AP41" s="182" t="e">
        <f t="shared" si="28"/>
        <v>#DIV/0!</v>
      </c>
      <c r="AQ41" s="76">
        <f t="shared" si="13"/>
        <v>0</v>
      </c>
      <c r="AR41" s="183">
        <f t="shared" si="29"/>
        <v>0</v>
      </c>
    </row>
    <row r="42" spans="1:44" ht="15" x14ac:dyDescent="0.25">
      <c r="A42" s="149" t="str">
        <f t="shared" si="15"/>
        <v>46193M</v>
      </c>
      <c r="B42" s="51">
        <f t="shared" si="35"/>
        <v>46193</v>
      </c>
      <c r="C42" s="158" t="s">
        <v>87</v>
      </c>
      <c r="D42" s="79"/>
      <c r="E42" s="62"/>
      <c r="F42" s="62"/>
      <c r="G42" s="170">
        <f t="shared" si="16"/>
        <v>0</v>
      </c>
      <c r="H42" s="171">
        <f t="shared" si="17"/>
        <v>0</v>
      </c>
      <c r="I42" s="161"/>
      <c r="J42" s="162"/>
      <c r="K42" s="163"/>
      <c r="L42" s="164"/>
      <c r="M42" s="58"/>
      <c r="N42" s="58"/>
      <c r="O42" s="59"/>
      <c r="P42" s="56"/>
      <c r="Q42" s="60"/>
      <c r="R42" s="169">
        <f t="shared" si="18"/>
        <v>0</v>
      </c>
      <c r="S42" s="170">
        <f t="shared" si="19"/>
        <v>0</v>
      </c>
      <c r="T42" s="171">
        <f t="shared" si="20"/>
        <v>0</v>
      </c>
      <c r="U42" s="64"/>
      <c r="V42" s="65"/>
      <c r="W42" s="66"/>
      <c r="X42" s="67"/>
      <c r="Y42" s="68"/>
      <c r="Z42" s="68"/>
      <c r="AA42" s="62">
        <f t="shared" si="36"/>
        <v>0</v>
      </c>
      <c r="AB42" s="63">
        <f t="shared" si="37"/>
        <v>0</v>
      </c>
      <c r="AC42" s="176"/>
      <c r="AD42" s="177"/>
      <c r="AE42" s="177"/>
      <c r="AF42" s="170">
        <f t="shared" si="23"/>
        <v>0</v>
      </c>
      <c r="AG42" s="171">
        <f t="shared" si="24"/>
        <v>0</v>
      </c>
      <c r="AH42" s="71"/>
      <c r="AI42" s="66"/>
      <c r="AJ42" s="66"/>
      <c r="AK42" s="170">
        <f t="shared" si="30"/>
        <v>0</v>
      </c>
      <c r="AL42" s="179">
        <f t="shared" si="31"/>
        <v>0</v>
      </c>
      <c r="AM42" s="180">
        <f t="shared" si="32"/>
        <v>0</v>
      </c>
      <c r="AN42" s="181">
        <f t="shared" si="33"/>
        <v>0</v>
      </c>
      <c r="AO42" s="181">
        <f t="shared" si="34"/>
        <v>0</v>
      </c>
      <c r="AP42" s="182" t="e">
        <f t="shared" si="28"/>
        <v>#DIV/0!</v>
      </c>
      <c r="AQ42" s="76">
        <f t="shared" si="13"/>
        <v>0</v>
      </c>
      <c r="AR42" s="183">
        <f t="shared" si="29"/>
        <v>0</v>
      </c>
    </row>
    <row r="43" spans="1:44" ht="15" x14ac:dyDescent="0.25">
      <c r="A43" s="149" t="str">
        <f t="shared" si="15"/>
        <v>46193E</v>
      </c>
      <c r="B43" s="51">
        <f t="shared" si="35"/>
        <v>46193</v>
      </c>
      <c r="C43" s="158" t="s">
        <v>88</v>
      </c>
      <c r="D43" s="79"/>
      <c r="E43" s="62"/>
      <c r="F43" s="62"/>
      <c r="G43" s="170">
        <f t="shared" si="16"/>
        <v>0</v>
      </c>
      <c r="H43" s="171">
        <f t="shared" si="17"/>
        <v>0</v>
      </c>
      <c r="I43" s="161"/>
      <c r="J43" s="162"/>
      <c r="K43" s="163"/>
      <c r="L43" s="164"/>
      <c r="M43" s="58"/>
      <c r="N43" s="58"/>
      <c r="O43" s="59"/>
      <c r="P43" s="56"/>
      <c r="Q43" s="60"/>
      <c r="R43" s="169">
        <f t="shared" si="18"/>
        <v>0</v>
      </c>
      <c r="S43" s="170">
        <f t="shared" si="19"/>
        <v>0</v>
      </c>
      <c r="T43" s="171">
        <f t="shared" si="20"/>
        <v>0</v>
      </c>
      <c r="U43" s="64"/>
      <c r="V43" s="65"/>
      <c r="W43" s="66"/>
      <c r="X43" s="67"/>
      <c r="Y43" s="68"/>
      <c r="Z43" s="68"/>
      <c r="AA43" s="62">
        <f t="shared" si="36"/>
        <v>0</v>
      </c>
      <c r="AB43" s="63">
        <f t="shared" si="37"/>
        <v>0</v>
      </c>
      <c r="AC43" s="176"/>
      <c r="AD43" s="177"/>
      <c r="AE43" s="177"/>
      <c r="AF43" s="170">
        <f t="shared" si="23"/>
        <v>0</v>
      </c>
      <c r="AG43" s="171">
        <f t="shared" si="24"/>
        <v>0</v>
      </c>
      <c r="AH43" s="71"/>
      <c r="AI43" s="66"/>
      <c r="AJ43" s="66"/>
      <c r="AK43" s="170">
        <f t="shared" si="30"/>
        <v>0</v>
      </c>
      <c r="AL43" s="179">
        <f t="shared" si="31"/>
        <v>0</v>
      </c>
      <c r="AM43" s="180">
        <f t="shared" si="32"/>
        <v>0</v>
      </c>
      <c r="AN43" s="181">
        <f t="shared" si="33"/>
        <v>0</v>
      </c>
      <c r="AO43" s="181">
        <f t="shared" si="34"/>
        <v>0</v>
      </c>
      <c r="AP43" s="182" t="e">
        <f t="shared" si="28"/>
        <v>#DIV/0!</v>
      </c>
      <c r="AQ43" s="76">
        <f t="shared" si="13"/>
        <v>0</v>
      </c>
      <c r="AR43" s="183">
        <f t="shared" si="29"/>
        <v>0</v>
      </c>
    </row>
    <row r="44" spans="1:44" ht="15" x14ac:dyDescent="0.25">
      <c r="A44" s="149" t="str">
        <f t="shared" si="15"/>
        <v>46194M</v>
      </c>
      <c r="B44" s="51">
        <f t="shared" si="35"/>
        <v>46194</v>
      </c>
      <c r="C44" s="158" t="s">
        <v>87</v>
      </c>
      <c r="D44" s="79"/>
      <c r="E44" s="62"/>
      <c r="F44" s="62"/>
      <c r="G44" s="170">
        <f t="shared" si="16"/>
        <v>0</v>
      </c>
      <c r="H44" s="171">
        <f t="shared" si="17"/>
        <v>0</v>
      </c>
      <c r="I44" s="161"/>
      <c r="J44" s="162"/>
      <c r="K44" s="163"/>
      <c r="L44" s="164"/>
      <c r="M44" s="58"/>
      <c r="N44" s="58"/>
      <c r="O44" s="59"/>
      <c r="P44" s="56"/>
      <c r="Q44" s="60"/>
      <c r="R44" s="169">
        <f t="shared" si="18"/>
        <v>0</v>
      </c>
      <c r="S44" s="170">
        <f t="shared" si="19"/>
        <v>0</v>
      </c>
      <c r="T44" s="171">
        <f t="shared" si="20"/>
        <v>0</v>
      </c>
      <c r="U44" s="64"/>
      <c r="V44" s="65"/>
      <c r="W44" s="66"/>
      <c r="X44" s="67"/>
      <c r="Y44" s="68"/>
      <c r="Z44" s="68"/>
      <c r="AA44" s="62">
        <f t="shared" si="36"/>
        <v>0</v>
      </c>
      <c r="AB44" s="63">
        <f t="shared" si="37"/>
        <v>0</v>
      </c>
      <c r="AC44" s="176"/>
      <c r="AD44" s="177"/>
      <c r="AE44" s="177"/>
      <c r="AF44" s="170">
        <f t="shared" si="23"/>
        <v>0</v>
      </c>
      <c r="AG44" s="171">
        <f t="shared" si="24"/>
        <v>0</v>
      </c>
      <c r="AH44" s="71"/>
      <c r="AI44" s="66"/>
      <c r="AJ44" s="66"/>
      <c r="AK44" s="170">
        <f t="shared" si="30"/>
        <v>0</v>
      </c>
      <c r="AL44" s="179">
        <f t="shared" si="31"/>
        <v>0</v>
      </c>
      <c r="AM44" s="180">
        <f t="shared" si="32"/>
        <v>0</v>
      </c>
      <c r="AN44" s="181">
        <f t="shared" si="33"/>
        <v>0</v>
      </c>
      <c r="AO44" s="181">
        <f t="shared" si="34"/>
        <v>0</v>
      </c>
      <c r="AP44" s="182" t="e">
        <f t="shared" si="28"/>
        <v>#DIV/0!</v>
      </c>
      <c r="AQ44" s="76">
        <f t="shared" si="13"/>
        <v>0</v>
      </c>
      <c r="AR44" s="183">
        <f t="shared" si="29"/>
        <v>0</v>
      </c>
    </row>
    <row r="45" spans="1:44" ht="15" x14ac:dyDescent="0.25">
      <c r="A45" s="149" t="str">
        <f t="shared" si="15"/>
        <v>46194E</v>
      </c>
      <c r="B45" s="51">
        <f t="shared" si="35"/>
        <v>46194</v>
      </c>
      <c r="C45" s="158" t="s">
        <v>88</v>
      </c>
      <c r="D45" s="79"/>
      <c r="E45" s="62"/>
      <c r="F45" s="62"/>
      <c r="G45" s="170">
        <f t="shared" si="16"/>
        <v>0</v>
      </c>
      <c r="H45" s="171">
        <f t="shared" si="17"/>
        <v>0</v>
      </c>
      <c r="I45" s="161"/>
      <c r="J45" s="162"/>
      <c r="K45" s="163"/>
      <c r="L45" s="164"/>
      <c r="M45" s="58"/>
      <c r="N45" s="58"/>
      <c r="O45" s="59"/>
      <c r="P45" s="56"/>
      <c r="Q45" s="60"/>
      <c r="R45" s="169">
        <f t="shared" si="18"/>
        <v>0</v>
      </c>
      <c r="S45" s="170">
        <f t="shared" si="19"/>
        <v>0</v>
      </c>
      <c r="T45" s="171">
        <f t="shared" si="20"/>
        <v>0</v>
      </c>
      <c r="U45" s="64"/>
      <c r="V45" s="65"/>
      <c r="W45" s="66"/>
      <c r="X45" s="67"/>
      <c r="Y45" s="68"/>
      <c r="Z45" s="68"/>
      <c r="AA45" s="62">
        <f t="shared" si="36"/>
        <v>0</v>
      </c>
      <c r="AB45" s="63">
        <f t="shared" si="37"/>
        <v>0</v>
      </c>
      <c r="AC45" s="176"/>
      <c r="AD45" s="177"/>
      <c r="AE45" s="177"/>
      <c r="AF45" s="170">
        <f t="shared" si="23"/>
        <v>0</v>
      </c>
      <c r="AG45" s="171">
        <f t="shared" si="24"/>
        <v>0</v>
      </c>
      <c r="AH45" s="71"/>
      <c r="AI45" s="66"/>
      <c r="AJ45" s="66"/>
      <c r="AK45" s="170">
        <f t="shared" si="30"/>
        <v>0</v>
      </c>
      <c r="AL45" s="179">
        <f t="shared" si="31"/>
        <v>0</v>
      </c>
      <c r="AM45" s="180">
        <f t="shared" si="32"/>
        <v>0</v>
      </c>
      <c r="AN45" s="181">
        <f t="shared" si="33"/>
        <v>0</v>
      </c>
      <c r="AO45" s="181">
        <f t="shared" si="34"/>
        <v>0</v>
      </c>
      <c r="AP45" s="182" t="e">
        <f t="shared" si="28"/>
        <v>#DIV/0!</v>
      </c>
      <c r="AQ45" s="76">
        <f t="shared" si="13"/>
        <v>0</v>
      </c>
      <c r="AR45" s="183">
        <f t="shared" si="29"/>
        <v>0</v>
      </c>
    </row>
    <row r="46" spans="1:44" ht="14.25" customHeight="1" x14ac:dyDescent="0.25">
      <c r="A46" s="149" t="str">
        <f t="shared" si="15"/>
        <v>46195M</v>
      </c>
      <c r="B46" s="51">
        <f t="shared" si="35"/>
        <v>46195</v>
      </c>
      <c r="C46" s="158" t="s">
        <v>87</v>
      </c>
      <c r="D46" s="79"/>
      <c r="E46" s="62"/>
      <c r="F46" s="62"/>
      <c r="G46" s="170">
        <f t="shared" si="16"/>
        <v>0</v>
      </c>
      <c r="H46" s="171">
        <f t="shared" si="17"/>
        <v>0</v>
      </c>
      <c r="I46" s="161"/>
      <c r="J46" s="162"/>
      <c r="K46" s="163"/>
      <c r="L46" s="164"/>
      <c r="M46" s="58"/>
      <c r="N46" s="58"/>
      <c r="O46" s="59"/>
      <c r="P46" s="56"/>
      <c r="Q46" s="60"/>
      <c r="R46" s="169">
        <f t="shared" si="18"/>
        <v>0</v>
      </c>
      <c r="S46" s="170">
        <f t="shared" si="19"/>
        <v>0</v>
      </c>
      <c r="T46" s="171">
        <f t="shared" si="20"/>
        <v>0</v>
      </c>
      <c r="U46" s="64"/>
      <c r="V46" s="65"/>
      <c r="W46" s="66"/>
      <c r="X46" s="67"/>
      <c r="Y46" s="68"/>
      <c r="Z46" s="68"/>
      <c r="AA46" s="62">
        <f t="shared" si="36"/>
        <v>0</v>
      </c>
      <c r="AB46" s="63">
        <f t="shared" si="37"/>
        <v>0</v>
      </c>
      <c r="AC46" s="176"/>
      <c r="AD46" s="177"/>
      <c r="AE46" s="177"/>
      <c r="AF46" s="170">
        <f t="shared" si="23"/>
        <v>0</v>
      </c>
      <c r="AG46" s="171">
        <f t="shared" si="24"/>
        <v>0</v>
      </c>
      <c r="AH46" s="71"/>
      <c r="AI46" s="66"/>
      <c r="AJ46" s="66"/>
      <c r="AK46" s="170">
        <f t="shared" si="30"/>
        <v>0</v>
      </c>
      <c r="AL46" s="179">
        <f t="shared" si="31"/>
        <v>0</v>
      </c>
      <c r="AM46" s="180">
        <f t="shared" si="32"/>
        <v>0</v>
      </c>
      <c r="AN46" s="181">
        <f t="shared" si="33"/>
        <v>0</v>
      </c>
      <c r="AO46" s="181">
        <f t="shared" si="34"/>
        <v>0</v>
      </c>
      <c r="AP46" s="182" t="e">
        <f t="shared" si="28"/>
        <v>#DIV/0!</v>
      </c>
      <c r="AQ46" s="76">
        <f t="shared" si="13"/>
        <v>0</v>
      </c>
      <c r="AR46" s="183">
        <f t="shared" si="29"/>
        <v>0</v>
      </c>
    </row>
    <row r="47" spans="1:44" ht="15" x14ac:dyDescent="0.25">
      <c r="A47" s="149" t="str">
        <f t="shared" si="15"/>
        <v>46195E</v>
      </c>
      <c r="B47" s="51">
        <f t="shared" si="35"/>
        <v>46195</v>
      </c>
      <c r="C47" s="158" t="s">
        <v>88</v>
      </c>
      <c r="D47" s="79"/>
      <c r="E47" s="62"/>
      <c r="F47" s="62"/>
      <c r="G47" s="170">
        <f t="shared" si="16"/>
        <v>0</v>
      </c>
      <c r="H47" s="171">
        <f t="shared" si="17"/>
        <v>0</v>
      </c>
      <c r="I47" s="161"/>
      <c r="J47" s="162"/>
      <c r="K47" s="163"/>
      <c r="L47" s="164"/>
      <c r="M47" s="58"/>
      <c r="N47" s="58"/>
      <c r="O47" s="59"/>
      <c r="P47" s="56"/>
      <c r="Q47" s="60"/>
      <c r="R47" s="169">
        <f t="shared" si="18"/>
        <v>0</v>
      </c>
      <c r="S47" s="170">
        <f t="shared" si="19"/>
        <v>0</v>
      </c>
      <c r="T47" s="171">
        <f t="shared" si="20"/>
        <v>0</v>
      </c>
      <c r="U47" s="64"/>
      <c r="V47" s="65"/>
      <c r="W47" s="66"/>
      <c r="X47" s="67"/>
      <c r="Y47" s="68"/>
      <c r="Z47" s="68"/>
      <c r="AA47" s="62">
        <f t="shared" si="36"/>
        <v>0</v>
      </c>
      <c r="AB47" s="63">
        <f t="shared" si="37"/>
        <v>0</v>
      </c>
      <c r="AC47" s="176"/>
      <c r="AD47" s="177"/>
      <c r="AE47" s="177"/>
      <c r="AF47" s="170">
        <f t="shared" si="23"/>
        <v>0</v>
      </c>
      <c r="AG47" s="171">
        <f t="shared" si="24"/>
        <v>0</v>
      </c>
      <c r="AH47" s="71"/>
      <c r="AI47" s="66"/>
      <c r="AJ47" s="66"/>
      <c r="AK47" s="170">
        <f t="shared" si="30"/>
        <v>0</v>
      </c>
      <c r="AL47" s="179">
        <f t="shared" si="31"/>
        <v>0</v>
      </c>
      <c r="AM47" s="180">
        <f t="shared" si="32"/>
        <v>0</v>
      </c>
      <c r="AN47" s="181">
        <f t="shared" si="33"/>
        <v>0</v>
      </c>
      <c r="AO47" s="181">
        <f t="shared" si="34"/>
        <v>0</v>
      </c>
      <c r="AP47" s="182" t="e">
        <f t="shared" si="28"/>
        <v>#DIV/0!</v>
      </c>
      <c r="AQ47" s="76">
        <f t="shared" si="13"/>
        <v>0</v>
      </c>
      <c r="AR47" s="183">
        <f t="shared" si="29"/>
        <v>0</v>
      </c>
    </row>
    <row r="48" spans="1:44" ht="15" x14ac:dyDescent="0.25">
      <c r="A48" s="149" t="str">
        <f t="shared" si="15"/>
        <v>46196M</v>
      </c>
      <c r="B48" s="51">
        <f t="shared" si="35"/>
        <v>46196</v>
      </c>
      <c r="C48" s="158" t="s">
        <v>87</v>
      </c>
      <c r="D48" s="79"/>
      <c r="E48" s="62"/>
      <c r="F48" s="62"/>
      <c r="G48" s="170">
        <f t="shared" si="16"/>
        <v>0</v>
      </c>
      <c r="H48" s="171">
        <f t="shared" si="17"/>
        <v>0</v>
      </c>
      <c r="I48" s="161"/>
      <c r="J48" s="162"/>
      <c r="K48" s="163"/>
      <c r="L48" s="164"/>
      <c r="M48" s="58"/>
      <c r="N48" s="58"/>
      <c r="O48" s="59"/>
      <c r="P48" s="56"/>
      <c r="Q48" s="60"/>
      <c r="R48" s="169">
        <f t="shared" si="18"/>
        <v>0</v>
      </c>
      <c r="S48" s="170">
        <f t="shared" si="19"/>
        <v>0</v>
      </c>
      <c r="T48" s="171">
        <f t="shared" si="20"/>
        <v>0</v>
      </c>
      <c r="U48" s="64"/>
      <c r="V48" s="65"/>
      <c r="W48" s="66"/>
      <c r="X48" s="67"/>
      <c r="Y48" s="68"/>
      <c r="Z48" s="68"/>
      <c r="AA48" s="62">
        <f t="shared" si="36"/>
        <v>0</v>
      </c>
      <c r="AB48" s="63">
        <f t="shared" si="37"/>
        <v>0</v>
      </c>
      <c r="AC48" s="176"/>
      <c r="AD48" s="177"/>
      <c r="AE48" s="177"/>
      <c r="AF48" s="170">
        <f t="shared" si="23"/>
        <v>0</v>
      </c>
      <c r="AG48" s="171">
        <f t="shared" si="24"/>
        <v>0</v>
      </c>
      <c r="AH48" s="71"/>
      <c r="AI48" s="66"/>
      <c r="AJ48" s="66"/>
      <c r="AK48" s="170">
        <f t="shared" si="30"/>
        <v>0</v>
      </c>
      <c r="AL48" s="179">
        <f t="shared" si="31"/>
        <v>0</v>
      </c>
      <c r="AM48" s="180">
        <f t="shared" si="32"/>
        <v>0</v>
      </c>
      <c r="AN48" s="181">
        <f t="shared" si="33"/>
        <v>0</v>
      </c>
      <c r="AO48" s="181">
        <f t="shared" si="34"/>
        <v>0</v>
      </c>
      <c r="AP48" s="182" t="e">
        <f t="shared" si="28"/>
        <v>#DIV/0!</v>
      </c>
      <c r="AQ48" s="76">
        <f t="shared" si="13"/>
        <v>0</v>
      </c>
      <c r="AR48" s="183">
        <f t="shared" si="29"/>
        <v>0</v>
      </c>
    </row>
    <row r="49" spans="1:44" ht="15" x14ac:dyDescent="0.25">
      <c r="A49" s="149" t="str">
        <f t="shared" si="15"/>
        <v>46196E</v>
      </c>
      <c r="B49" s="51">
        <f t="shared" si="35"/>
        <v>46196</v>
      </c>
      <c r="C49" s="158" t="s">
        <v>88</v>
      </c>
      <c r="D49" s="79"/>
      <c r="E49" s="62"/>
      <c r="F49" s="62"/>
      <c r="G49" s="170">
        <f t="shared" si="16"/>
        <v>0</v>
      </c>
      <c r="H49" s="171">
        <f t="shared" si="17"/>
        <v>0</v>
      </c>
      <c r="I49" s="161"/>
      <c r="J49" s="162"/>
      <c r="K49" s="163"/>
      <c r="L49" s="164"/>
      <c r="M49" s="58"/>
      <c r="N49" s="58"/>
      <c r="O49" s="59"/>
      <c r="P49" s="56"/>
      <c r="Q49" s="60"/>
      <c r="R49" s="169">
        <f t="shared" si="18"/>
        <v>0</v>
      </c>
      <c r="S49" s="170">
        <f t="shared" si="19"/>
        <v>0</v>
      </c>
      <c r="T49" s="171">
        <f t="shared" si="20"/>
        <v>0</v>
      </c>
      <c r="U49" s="64"/>
      <c r="V49" s="65"/>
      <c r="W49" s="66"/>
      <c r="X49" s="67"/>
      <c r="Y49" s="68"/>
      <c r="Z49" s="68"/>
      <c r="AA49" s="62">
        <f t="shared" si="36"/>
        <v>0</v>
      </c>
      <c r="AB49" s="63">
        <f t="shared" si="37"/>
        <v>0</v>
      </c>
      <c r="AC49" s="176"/>
      <c r="AD49" s="177"/>
      <c r="AE49" s="177"/>
      <c r="AF49" s="170">
        <f t="shared" si="23"/>
        <v>0</v>
      </c>
      <c r="AG49" s="171">
        <f t="shared" si="24"/>
        <v>0</v>
      </c>
      <c r="AH49" s="71"/>
      <c r="AI49" s="66"/>
      <c r="AJ49" s="66"/>
      <c r="AK49" s="170">
        <f t="shared" si="30"/>
        <v>0</v>
      </c>
      <c r="AL49" s="179">
        <f t="shared" si="31"/>
        <v>0</v>
      </c>
      <c r="AM49" s="180">
        <f t="shared" si="32"/>
        <v>0</v>
      </c>
      <c r="AN49" s="181">
        <f t="shared" si="33"/>
        <v>0</v>
      </c>
      <c r="AO49" s="181">
        <f t="shared" si="34"/>
        <v>0</v>
      </c>
      <c r="AP49" s="182" t="e">
        <f t="shared" si="28"/>
        <v>#DIV/0!</v>
      </c>
      <c r="AQ49" s="76">
        <f t="shared" si="13"/>
        <v>0</v>
      </c>
      <c r="AR49" s="183">
        <f t="shared" si="29"/>
        <v>0</v>
      </c>
    </row>
    <row r="50" spans="1:44" ht="15" x14ac:dyDescent="0.25">
      <c r="A50" s="149" t="str">
        <f t="shared" si="15"/>
        <v>46197M</v>
      </c>
      <c r="B50" s="51">
        <f t="shared" si="35"/>
        <v>46197</v>
      </c>
      <c r="C50" s="158" t="s">
        <v>87</v>
      </c>
      <c r="D50" s="79"/>
      <c r="E50" s="62"/>
      <c r="F50" s="62"/>
      <c r="G50" s="170">
        <f t="shared" si="16"/>
        <v>0</v>
      </c>
      <c r="H50" s="171">
        <f t="shared" si="17"/>
        <v>0</v>
      </c>
      <c r="I50" s="161"/>
      <c r="J50" s="162"/>
      <c r="K50" s="163"/>
      <c r="L50" s="164"/>
      <c r="M50" s="58"/>
      <c r="N50" s="58"/>
      <c r="O50" s="59"/>
      <c r="P50" s="56"/>
      <c r="Q50" s="60"/>
      <c r="R50" s="169">
        <f t="shared" si="18"/>
        <v>0</v>
      </c>
      <c r="S50" s="170">
        <f t="shared" si="19"/>
        <v>0</v>
      </c>
      <c r="T50" s="171">
        <f t="shared" si="20"/>
        <v>0</v>
      </c>
      <c r="U50" s="64"/>
      <c r="V50" s="65"/>
      <c r="W50" s="66"/>
      <c r="X50" s="67"/>
      <c r="Y50" s="68"/>
      <c r="Z50" s="68"/>
      <c r="AA50" s="62">
        <f t="shared" si="36"/>
        <v>0</v>
      </c>
      <c r="AB50" s="63">
        <f t="shared" si="37"/>
        <v>0</v>
      </c>
      <c r="AC50" s="176"/>
      <c r="AD50" s="177"/>
      <c r="AE50" s="177"/>
      <c r="AF50" s="170">
        <f t="shared" si="23"/>
        <v>0</v>
      </c>
      <c r="AG50" s="171">
        <f t="shared" si="24"/>
        <v>0</v>
      </c>
      <c r="AH50" s="71"/>
      <c r="AI50" s="66"/>
      <c r="AJ50" s="66"/>
      <c r="AK50" s="170">
        <f t="shared" si="30"/>
        <v>0</v>
      </c>
      <c r="AL50" s="179">
        <f t="shared" si="31"/>
        <v>0</v>
      </c>
      <c r="AM50" s="180">
        <f t="shared" si="32"/>
        <v>0</v>
      </c>
      <c r="AN50" s="181">
        <f t="shared" si="33"/>
        <v>0</v>
      </c>
      <c r="AO50" s="181">
        <f t="shared" si="34"/>
        <v>0</v>
      </c>
      <c r="AP50" s="182" t="e">
        <f t="shared" si="28"/>
        <v>#DIV/0!</v>
      </c>
      <c r="AQ50" s="76">
        <f t="shared" si="13"/>
        <v>0</v>
      </c>
      <c r="AR50" s="183">
        <f t="shared" si="29"/>
        <v>0</v>
      </c>
    </row>
    <row r="51" spans="1:44" ht="15" x14ac:dyDescent="0.25">
      <c r="A51" s="149" t="str">
        <f t="shared" si="15"/>
        <v>46197E</v>
      </c>
      <c r="B51" s="51">
        <f t="shared" si="35"/>
        <v>46197</v>
      </c>
      <c r="C51" s="158" t="s">
        <v>88</v>
      </c>
      <c r="D51" s="79"/>
      <c r="E51" s="62"/>
      <c r="F51" s="62"/>
      <c r="G51" s="170">
        <f t="shared" si="16"/>
        <v>0</v>
      </c>
      <c r="H51" s="171">
        <f t="shared" si="17"/>
        <v>0</v>
      </c>
      <c r="I51" s="161"/>
      <c r="J51" s="162"/>
      <c r="K51" s="163"/>
      <c r="L51" s="164"/>
      <c r="M51" s="58"/>
      <c r="N51" s="58"/>
      <c r="O51" s="59"/>
      <c r="P51" s="56"/>
      <c r="Q51" s="60"/>
      <c r="R51" s="169">
        <f t="shared" si="18"/>
        <v>0</v>
      </c>
      <c r="S51" s="170">
        <f t="shared" si="19"/>
        <v>0</v>
      </c>
      <c r="T51" s="171">
        <f t="shared" si="20"/>
        <v>0</v>
      </c>
      <c r="U51" s="64"/>
      <c r="V51" s="85"/>
      <c r="W51" s="66"/>
      <c r="X51" s="67"/>
      <c r="Y51" s="68"/>
      <c r="Z51" s="68"/>
      <c r="AA51" s="62">
        <f t="shared" si="36"/>
        <v>0</v>
      </c>
      <c r="AB51" s="63">
        <f t="shared" si="37"/>
        <v>0</v>
      </c>
      <c r="AC51" s="176"/>
      <c r="AD51" s="177"/>
      <c r="AE51" s="177"/>
      <c r="AF51" s="170">
        <f t="shared" si="23"/>
        <v>0</v>
      </c>
      <c r="AG51" s="171">
        <f t="shared" si="24"/>
        <v>0</v>
      </c>
      <c r="AH51" s="71"/>
      <c r="AI51" s="66"/>
      <c r="AJ51" s="66"/>
      <c r="AK51" s="170">
        <f t="shared" si="30"/>
        <v>0</v>
      </c>
      <c r="AL51" s="179">
        <f t="shared" si="31"/>
        <v>0</v>
      </c>
      <c r="AM51" s="180">
        <f t="shared" si="32"/>
        <v>0</v>
      </c>
      <c r="AN51" s="181">
        <f t="shared" si="33"/>
        <v>0</v>
      </c>
      <c r="AO51" s="181">
        <f t="shared" si="34"/>
        <v>0</v>
      </c>
      <c r="AP51" s="182" t="e">
        <f t="shared" si="28"/>
        <v>#DIV/0!</v>
      </c>
      <c r="AQ51" s="76">
        <f t="shared" si="13"/>
        <v>0</v>
      </c>
      <c r="AR51" s="183">
        <f t="shared" si="29"/>
        <v>0</v>
      </c>
    </row>
    <row r="52" spans="1:44" ht="15" x14ac:dyDescent="0.25">
      <c r="A52" s="149" t="str">
        <f t="shared" si="15"/>
        <v>46198M</v>
      </c>
      <c r="B52" s="51">
        <f t="shared" si="35"/>
        <v>46198</v>
      </c>
      <c r="C52" s="158" t="s">
        <v>87</v>
      </c>
      <c r="D52" s="79"/>
      <c r="E52" s="62"/>
      <c r="F52" s="62"/>
      <c r="G52" s="170">
        <f t="shared" si="16"/>
        <v>0</v>
      </c>
      <c r="H52" s="171">
        <f t="shared" si="17"/>
        <v>0</v>
      </c>
      <c r="I52" s="119"/>
      <c r="J52" s="120"/>
      <c r="K52" s="121"/>
      <c r="L52" s="122"/>
      <c r="M52" s="58"/>
      <c r="N52" s="58"/>
      <c r="O52" s="59"/>
      <c r="P52" s="56"/>
      <c r="Q52" s="60"/>
      <c r="R52" s="169">
        <f t="shared" si="18"/>
        <v>0</v>
      </c>
      <c r="S52" s="170">
        <f t="shared" si="19"/>
        <v>0</v>
      </c>
      <c r="T52" s="171">
        <f t="shared" si="20"/>
        <v>0</v>
      </c>
      <c r="U52" s="64"/>
      <c r="V52" s="65"/>
      <c r="W52" s="66"/>
      <c r="X52" s="67"/>
      <c r="Y52" s="68"/>
      <c r="Z52" s="68"/>
      <c r="AA52" s="62">
        <f t="shared" si="36"/>
        <v>0</v>
      </c>
      <c r="AB52" s="63">
        <f t="shared" si="37"/>
        <v>0</v>
      </c>
      <c r="AC52" s="176"/>
      <c r="AD52" s="177"/>
      <c r="AE52" s="177"/>
      <c r="AF52" s="170">
        <f t="shared" si="23"/>
        <v>0</v>
      </c>
      <c r="AG52" s="171">
        <f t="shared" si="24"/>
        <v>0</v>
      </c>
      <c r="AH52" s="71"/>
      <c r="AI52" s="66"/>
      <c r="AJ52" s="66"/>
      <c r="AK52" s="170">
        <f t="shared" si="30"/>
        <v>0</v>
      </c>
      <c r="AL52" s="179">
        <f t="shared" si="31"/>
        <v>0</v>
      </c>
      <c r="AM52" s="180">
        <f t="shared" si="32"/>
        <v>0</v>
      </c>
      <c r="AN52" s="181">
        <f t="shared" si="33"/>
        <v>0</v>
      </c>
      <c r="AO52" s="181">
        <f t="shared" si="34"/>
        <v>0</v>
      </c>
      <c r="AP52" s="182" t="e">
        <f t="shared" si="28"/>
        <v>#DIV/0!</v>
      </c>
      <c r="AQ52" s="76">
        <f t="shared" si="13"/>
        <v>0</v>
      </c>
      <c r="AR52" s="183">
        <f t="shared" si="29"/>
        <v>0</v>
      </c>
    </row>
    <row r="53" spans="1:44" ht="15" x14ac:dyDescent="0.25">
      <c r="A53" s="149" t="str">
        <f t="shared" si="15"/>
        <v>46198E</v>
      </c>
      <c r="B53" s="51">
        <f t="shared" si="35"/>
        <v>46198</v>
      </c>
      <c r="C53" s="158" t="s">
        <v>88</v>
      </c>
      <c r="D53" s="79"/>
      <c r="E53" s="62"/>
      <c r="F53" s="62"/>
      <c r="G53" s="170">
        <f t="shared" si="16"/>
        <v>0</v>
      </c>
      <c r="H53" s="171">
        <f t="shared" si="17"/>
        <v>0</v>
      </c>
      <c r="I53" s="119"/>
      <c r="J53" s="120"/>
      <c r="K53" s="121"/>
      <c r="L53" s="122"/>
      <c r="M53" s="58"/>
      <c r="N53" s="58"/>
      <c r="O53" s="59"/>
      <c r="P53" s="56"/>
      <c r="Q53" s="60"/>
      <c r="R53" s="169">
        <f t="shared" si="18"/>
        <v>0</v>
      </c>
      <c r="S53" s="170">
        <f t="shared" si="19"/>
        <v>0</v>
      </c>
      <c r="T53" s="171">
        <f t="shared" si="20"/>
        <v>0</v>
      </c>
      <c r="U53" s="64"/>
      <c r="V53" s="65"/>
      <c r="W53" s="66"/>
      <c r="X53" s="67"/>
      <c r="Y53" s="68"/>
      <c r="Z53" s="68"/>
      <c r="AA53" s="62">
        <f t="shared" si="36"/>
        <v>0</v>
      </c>
      <c r="AB53" s="63">
        <f t="shared" si="37"/>
        <v>0</v>
      </c>
      <c r="AC53" s="176"/>
      <c r="AD53" s="177"/>
      <c r="AE53" s="177"/>
      <c r="AF53" s="170">
        <f t="shared" si="23"/>
        <v>0</v>
      </c>
      <c r="AG53" s="171">
        <f t="shared" si="24"/>
        <v>0</v>
      </c>
      <c r="AH53" s="71"/>
      <c r="AI53" s="66"/>
      <c r="AJ53" s="66"/>
      <c r="AK53" s="170">
        <f t="shared" si="30"/>
        <v>0</v>
      </c>
      <c r="AL53" s="179">
        <f t="shared" si="31"/>
        <v>0</v>
      </c>
      <c r="AM53" s="180">
        <f t="shared" si="32"/>
        <v>0</v>
      </c>
      <c r="AN53" s="181">
        <f t="shared" si="33"/>
        <v>0</v>
      </c>
      <c r="AO53" s="181">
        <f t="shared" si="34"/>
        <v>0</v>
      </c>
      <c r="AP53" s="182" t="e">
        <f t="shared" si="28"/>
        <v>#DIV/0!</v>
      </c>
      <c r="AQ53" s="76">
        <f t="shared" si="13"/>
        <v>0</v>
      </c>
      <c r="AR53" s="183">
        <f t="shared" si="29"/>
        <v>0</v>
      </c>
    </row>
    <row r="54" spans="1:44" ht="15" x14ac:dyDescent="0.25">
      <c r="A54" s="149" t="str">
        <f t="shared" si="15"/>
        <v>46199M</v>
      </c>
      <c r="B54" s="51">
        <f t="shared" si="35"/>
        <v>46199</v>
      </c>
      <c r="C54" s="158" t="s">
        <v>87</v>
      </c>
      <c r="D54" s="79"/>
      <c r="E54" s="62"/>
      <c r="F54" s="62"/>
      <c r="G54" s="170">
        <f t="shared" si="16"/>
        <v>0</v>
      </c>
      <c r="H54" s="171">
        <f t="shared" si="17"/>
        <v>0</v>
      </c>
      <c r="I54" s="119"/>
      <c r="J54" s="120"/>
      <c r="K54" s="121"/>
      <c r="L54" s="122"/>
      <c r="M54" s="58"/>
      <c r="N54" s="58"/>
      <c r="O54" s="59"/>
      <c r="P54" s="56"/>
      <c r="Q54" s="60"/>
      <c r="R54" s="169">
        <f t="shared" si="18"/>
        <v>0</v>
      </c>
      <c r="S54" s="170">
        <f t="shared" si="19"/>
        <v>0</v>
      </c>
      <c r="T54" s="171">
        <f t="shared" si="20"/>
        <v>0</v>
      </c>
      <c r="U54" s="64"/>
      <c r="V54" s="65"/>
      <c r="W54" s="66"/>
      <c r="X54" s="67"/>
      <c r="Y54" s="68"/>
      <c r="Z54" s="68"/>
      <c r="AA54" s="62">
        <f t="shared" si="36"/>
        <v>0</v>
      </c>
      <c r="AB54" s="63">
        <f t="shared" si="37"/>
        <v>0</v>
      </c>
      <c r="AC54" s="176"/>
      <c r="AD54" s="177"/>
      <c r="AE54" s="177"/>
      <c r="AF54" s="170">
        <f t="shared" si="23"/>
        <v>0</v>
      </c>
      <c r="AG54" s="171">
        <f t="shared" si="24"/>
        <v>0</v>
      </c>
      <c r="AH54" s="71"/>
      <c r="AI54" s="66"/>
      <c r="AJ54" s="66"/>
      <c r="AK54" s="170">
        <f t="shared" si="30"/>
        <v>0</v>
      </c>
      <c r="AL54" s="179">
        <f t="shared" si="31"/>
        <v>0</v>
      </c>
      <c r="AM54" s="180">
        <f t="shared" si="32"/>
        <v>0</v>
      </c>
      <c r="AN54" s="181">
        <f t="shared" si="33"/>
        <v>0</v>
      </c>
      <c r="AO54" s="181">
        <f t="shared" si="34"/>
        <v>0</v>
      </c>
      <c r="AP54" s="182" t="e">
        <f t="shared" si="28"/>
        <v>#DIV/0!</v>
      </c>
      <c r="AQ54" s="76">
        <f t="shared" si="13"/>
        <v>0</v>
      </c>
      <c r="AR54" s="183">
        <f t="shared" si="29"/>
        <v>0</v>
      </c>
    </row>
    <row r="55" spans="1:44" ht="15" x14ac:dyDescent="0.25">
      <c r="A55" s="149" t="str">
        <f t="shared" si="15"/>
        <v>46199E</v>
      </c>
      <c r="B55" s="51">
        <f t="shared" si="35"/>
        <v>46199</v>
      </c>
      <c r="C55" s="158" t="s">
        <v>88</v>
      </c>
      <c r="D55" s="79"/>
      <c r="E55" s="62"/>
      <c r="F55" s="62"/>
      <c r="G55" s="170">
        <f t="shared" si="16"/>
        <v>0</v>
      </c>
      <c r="H55" s="171">
        <f t="shared" si="17"/>
        <v>0</v>
      </c>
      <c r="I55" s="119"/>
      <c r="J55" s="120"/>
      <c r="K55" s="121"/>
      <c r="L55" s="122"/>
      <c r="M55" s="58"/>
      <c r="N55" s="58"/>
      <c r="O55" s="59"/>
      <c r="P55" s="56"/>
      <c r="Q55" s="60"/>
      <c r="R55" s="169">
        <f t="shared" si="18"/>
        <v>0</v>
      </c>
      <c r="S55" s="170">
        <f t="shared" si="19"/>
        <v>0</v>
      </c>
      <c r="T55" s="171">
        <f t="shared" si="20"/>
        <v>0</v>
      </c>
      <c r="U55" s="64"/>
      <c r="V55" s="65"/>
      <c r="W55" s="66"/>
      <c r="X55" s="67"/>
      <c r="Y55" s="68"/>
      <c r="Z55" s="68"/>
      <c r="AA55" s="62">
        <f t="shared" si="36"/>
        <v>0</v>
      </c>
      <c r="AB55" s="63">
        <f t="shared" si="37"/>
        <v>0</v>
      </c>
      <c r="AC55" s="176"/>
      <c r="AD55" s="177"/>
      <c r="AE55" s="177"/>
      <c r="AF55" s="170">
        <f t="shared" si="23"/>
        <v>0</v>
      </c>
      <c r="AG55" s="171">
        <f t="shared" si="24"/>
        <v>0</v>
      </c>
      <c r="AH55" s="71"/>
      <c r="AI55" s="66"/>
      <c r="AJ55" s="66"/>
      <c r="AK55" s="170">
        <f t="shared" si="30"/>
        <v>0</v>
      </c>
      <c r="AL55" s="179">
        <f t="shared" si="31"/>
        <v>0</v>
      </c>
      <c r="AM55" s="180">
        <f t="shared" si="32"/>
        <v>0</v>
      </c>
      <c r="AN55" s="181">
        <f t="shared" si="33"/>
        <v>0</v>
      </c>
      <c r="AO55" s="181">
        <f t="shared" si="34"/>
        <v>0</v>
      </c>
      <c r="AP55" s="182" t="e">
        <f t="shared" si="28"/>
        <v>#DIV/0!</v>
      </c>
      <c r="AQ55" s="76">
        <f t="shared" si="13"/>
        <v>0</v>
      </c>
      <c r="AR55" s="183">
        <f t="shared" si="29"/>
        <v>0</v>
      </c>
    </row>
    <row r="56" spans="1:44" ht="15" x14ac:dyDescent="0.25">
      <c r="A56" s="149" t="str">
        <f t="shared" si="15"/>
        <v>46200M</v>
      </c>
      <c r="B56" s="51">
        <f t="shared" si="35"/>
        <v>46200</v>
      </c>
      <c r="C56" s="158" t="s">
        <v>87</v>
      </c>
      <c r="D56" s="185"/>
      <c r="E56" s="170"/>
      <c r="F56" s="170"/>
      <c r="G56" s="170">
        <f t="shared" si="16"/>
        <v>0</v>
      </c>
      <c r="H56" s="171">
        <f t="shared" si="17"/>
        <v>0</v>
      </c>
      <c r="I56" s="161"/>
      <c r="J56" s="162"/>
      <c r="K56" s="163"/>
      <c r="L56" s="164"/>
      <c r="M56" s="58"/>
      <c r="N56" s="58"/>
      <c r="O56" s="59"/>
      <c r="P56" s="56"/>
      <c r="Q56" s="60"/>
      <c r="R56" s="169">
        <f t="shared" si="18"/>
        <v>0</v>
      </c>
      <c r="S56" s="170">
        <f t="shared" si="19"/>
        <v>0</v>
      </c>
      <c r="T56" s="171">
        <f t="shared" si="20"/>
        <v>0</v>
      </c>
      <c r="U56" s="172"/>
      <c r="V56" s="173"/>
      <c r="W56" s="160"/>
      <c r="X56" s="67"/>
      <c r="Y56" s="68"/>
      <c r="Z56" s="68"/>
      <c r="AA56" s="62">
        <f t="shared" ref="AA56:AA61" si="38">X56*Y56%</f>
        <v>0</v>
      </c>
      <c r="AB56" s="63">
        <f t="shared" si="37"/>
        <v>0</v>
      </c>
      <c r="AC56" s="176"/>
      <c r="AD56" s="177"/>
      <c r="AE56" s="177"/>
      <c r="AF56" s="170">
        <f t="shared" si="23"/>
        <v>0</v>
      </c>
      <c r="AG56" s="171">
        <f t="shared" si="24"/>
        <v>0</v>
      </c>
      <c r="AH56" s="159"/>
      <c r="AI56" s="160"/>
      <c r="AJ56" s="160"/>
      <c r="AK56" s="170">
        <f t="shared" si="30"/>
        <v>0</v>
      </c>
      <c r="AL56" s="179">
        <f t="shared" si="31"/>
        <v>0</v>
      </c>
      <c r="AM56" s="180">
        <f t="shared" si="32"/>
        <v>0</v>
      </c>
      <c r="AN56" s="181">
        <f t="shared" si="33"/>
        <v>0</v>
      </c>
      <c r="AO56" s="181">
        <f t="shared" si="34"/>
        <v>0</v>
      </c>
      <c r="AP56" s="182" t="e">
        <f t="shared" si="28"/>
        <v>#DIV/0!</v>
      </c>
      <c r="AQ56" s="76">
        <f t="shared" si="13"/>
        <v>0</v>
      </c>
      <c r="AR56" s="183">
        <f t="shared" si="29"/>
        <v>0</v>
      </c>
    </row>
    <row r="57" spans="1:44" ht="15" x14ac:dyDescent="0.25">
      <c r="A57" s="149" t="str">
        <f t="shared" si="15"/>
        <v>46200E</v>
      </c>
      <c r="B57" s="51">
        <f t="shared" si="35"/>
        <v>46200</v>
      </c>
      <c r="C57" s="158" t="s">
        <v>88</v>
      </c>
      <c r="D57" s="185"/>
      <c r="E57" s="170"/>
      <c r="F57" s="170"/>
      <c r="G57" s="170">
        <f t="shared" si="16"/>
        <v>0</v>
      </c>
      <c r="H57" s="171">
        <f t="shared" si="17"/>
        <v>0</v>
      </c>
      <c r="I57" s="161"/>
      <c r="J57" s="162"/>
      <c r="K57" s="163"/>
      <c r="L57" s="164"/>
      <c r="M57" s="58"/>
      <c r="N57" s="58"/>
      <c r="O57" s="59"/>
      <c r="P57" s="56"/>
      <c r="Q57" s="60"/>
      <c r="R57" s="169">
        <f t="shared" si="18"/>
        <v>0</v>
      </c>
      <c r="S57" s="170">
        <f t="shared" si="19"/>
        <v>0</v>
      </c>
      <c r="T57" s="171">
        <f t="shared" si="20"/>
        <v>0</v>
      </c>
      <c r="U57" s="172"/>
      <c r="V57" s="173"/>
      <c r="W57" s="160"/>
      <c r="X57" s="67"/>
      <c r="Y57" s="68"/>
      <c r="Z57" s="68"/>
      <c r="AA57" s="62">
        <f t="shared" si="38"/>
        <v>0</v>
      </c>
      <c r="AB57" s="63">
        <f t="shared" si="37"/>
        <v>0</v>
      </c>
      <c r="AC57" s="176"/>
      <c r="AD57" s="177"/>
      <c r="AE57" s="177"/>
      <c r="AF57" s="170">
        <f t="shared" si="23"/>
        <v>0</v>
      </c>
      <c r="AG57" s="171">
        <f t="shared" si="24"/>
        <v>0</v>
      </c>
      <c r="AH57" s="159"/>
      <c r="AI57" s="160"/>
      <c r="AJ57" s="160"/>
      <c r="AK57" s="170">
        <f t="shared" si="30"/>
        <v>0</v>
      </c>
      <c r="AL57" s="179">
        <f t="shared" si="31"/>
        <v>0</v>
      </c>
      <c r="AM57" s="180">
        <f t="shared" si="32"/>
        <v>0</v>
      </c>
      <c r="AN57" s="181">
        <f t="shared" si="33"/>
        <v>0</v>
      </c>
      <c r="AO57" s="181">
        <f t="shared" si="34"/>
        <v>0</v>
      </c>
      <c r="AP57" s="182" t="e">
        <f t="shared" si="28"/>
        <v>#DIV/0!</v>
      </c>
      <c r="AQ57" s="76">
        <f t="shared" si="13"/>
        <v>0</v>
      </c>
      <c r="AR57" s="183">
        <f t="shared" si="29"/>
        <v>0</v>
      </c>
    </row>
    <row r="58" spans="1:44" ht="15" x14ac:dyDescent="0.25">
      <c r="A58" s="149" t="str">
        <f t="shared" si="15"/>
        <v>46201M</v>
      </c>
      <c r="B58" s="51">
        <f t="shared" si="35"/>
        <v>46201</v>
      </c>
      <c r="C58" s="158" t="s">
        <v>87</v>
      </c>
      <c r="D58" s="185"/>
      <c r="E58" s="170"/>
      <c r="F58" s="170"/>
      <c r="G58" s="170">
        <f t="shared" si="16"/>
        <v>0</v>
      </c>
      <c r="H58" s="171">
        <f t="shared" si="17"/>
        <v>0</v>
      </c>
      <c r="I58" s="161"/>
      <c r="J58" s="162"/>
      <c r="K58" s="163"/>
      <c r="L58" s="164"/>
      <c r="M58" s="58"/>
      <c r="N58" s="58"/>
      <c r="O58" s="59"/>
      <c r="P58" s="56"/>
      <c r="Q58" s="60"/>
      <c r="R58" s="169">
        <f t="shared" si="18"/>
        <v>0</v>
      </c>
      <c r="S58" s="170">
        <f t="shared" si="19"/>
        <v>0</v>
      </c>
      <c r="T58" s="171">
        <f t="shared" si="20"/>
        <v>0</v>
      </c>
      <c r="U58" s="172"/>
      <c r="V58" s="173"/>
      <c r="W58" s="160"/>
      <c r="X58" s="67"/>
      <c r="Y58" s="68"/>
      <c r="Z58" s="68"/>
      <c r="AA58" s="62">
        <f t="shared" si="38"/>
        <v>0</v>
      </c>
      <c r="AB58" s="63">
        <f t="shared" si="37"/>
        <v>0</v>
      </c>
      <c r="AC58" s="176"/>
      <c r="AD58" s="177"/>
      <c r="AE58" s="177"/>
      <c r="AF58" s="170">
        <f t="shared" si="23"/>
        <v>0</v>
      </c>
      <c r="AG58" s="171">
        <f t="shared" si="24"/>
        <v>0</v>
      </c>
      <c r="AH58" s="159"/>
      <c r="AI58" s="160"/>
      <c r="AJ58" s="160"/>
      <c r="AK58" s="170">
        <f t="shared" si="30"/>
        <v>0</v>
      </c>
      <c r="AL58" s="179">
        <f t="shared" si="31"/>
        <v>0</v>
      </c>
      <c r="AM58" s="180">
        <f t="shared" si="32"/>
        <v>0</v>
      </c>
      <c r="AN58" s="181">
        <f t="shared" si="33"/>
        <v>0</v>
      </c>
      <c r="AO58" s="181">
        <f t="shared" si="34"/>
        <v>0</v>
      </c>
      <c r="AP58" s="182" t="e">
        <f t="shared" si="28"/>
        <v>#DIV/0!</v>
      </c>
      <c r="AQ58" s="76">
        <f t="shared" si="13"/>
        <v>0</v>
      </c>
      <c r="AR58" s="183">
        <f t="shared" si="29"/>
        <v>0</v>
      </c>
    </row>
    <row r="59" spans="1:44" ht="15" x14ac:dyDescent="0.25">
      <c r="A59" s="149" t="str">
        <f t="shared" si="15"/>
        <v>46201E</v>
      </c>
      <c r="B59" s="51">
        <f t="shared" si="35"/>
        <v>46201</v>
      </c>
      <c r="C59" s="158" t="s">
        <v>88</v>
      </c>
      <c r="D59" s="185"/>
      <c r="E59" s="170"/>
      <c r="F59" s="170"/>
      <c r="G59" s="170">
        <f t="shared" si="16"/>
        <v>0</v>
      </c>
      <c r="H59" s="171">
        <f t="shared" si="17"/>
        <v>0</v>
      </c>
      <c r="I59" s="161"/>
      <c r="J59" s="162"/>
      <c r="K59" s="163"/>
      <c r="L59" s="164"/>
      <c r="M59" s="58"/>
      <c r="N59" s="58"/>
      <c r="O59" s="59"/>
      <c r="P59" s="56"/>
      <c r="Q59" s="60"/>
      <c r="R59" s="169">
        <f t="shared" si="18"/>
        <v>0</v>
      </c>
      <c r="S59" s="170">
        <f t="shared" si="19"/>
        <v>0</v>
      </c>
      <c r="T59" s="171">
        <f t="shared" si="20"/>
        <v>0</v>
      </c>
      <c r="U59" s="172"/>
      <c r="V59" s="173"/>
      <c r="W59" s="160"/>
      <c r="X59" s="67"/>
      <c r="Y59" s="68"/>
      <c r="Z59" s="68"/>
      <c r="AA59" s="62">
        <f t="shared" si="38"/>
        <v>0</v>
      </c>
      <c r="AB59" s="63">
        <f t="shared" si="37"/>
        <v>0</v>
      </c>
      <c r="AC59" s="176"/>
      <c r="AD59" s="177"/>
      <c r="AE59" s="177"/>
      <c r="AF59" s="170">
        <f t="shared" si="23"/>
        <v>0</v>
      </c>
      <c r="AG59" s="171">
        <f t="shared" si="24"/>
        <v>0</v>
      </c>
      <c r="AH59" s="159"/>
      <c r="AI59" s="160"/>
      <c r="AJ59" s="160"/>
      <c r="AK59" s="170">
        <f t="shared" si="30"/>
        <v>0</v>
      </c>
      <c r="AL59" s="179">
        <f t="shared" si="31"/>
        <v>0</v>
      </c>
      <c r="AM59" s="180">
        <f t="shared" si="32"/>
        <v>0</v>
      </c>
      <c r="AN59" s="181">
        <f t="shared" si="33"/>
        <v>0</v>
      </c>
      <c r="AO59" s="181">
        <f t="shared" si="34"/>
        <v>0</v>
      </c>
      <c r="AP59" s="182" t="e">
        <f t="shared" si="28"/>
        <v>#DIV/0!</v>
      </c>
      <c r="AQ59" s="76">
        <f t="shared" si="13"/>
        <v>0</v>
      </c>
      <c r="AR59" s="183">
        <f t="shared" si="29"/>
        <v>0</v>
      </c>
    </row>
    <row r="60" spans="1:44" ht="15" x14ac:dyDescent="0.25">
      <c r="A60" s="149" t="str">
        <f t="shared" si="15"/>
        <v>46202M</v>
      </c>
      <c r="B60" s="51">
        <f t="shared" si="35"/>
        <v>46202</v>
      </c>
      <c r="C60" s="158" t="s">
        <v>87</v>
      </c>
      <c r="D60" s="185"/>
      <c r="E60" s="170"/>
      <c r="F60" s="170"/>
      <c r="G60" s="170">
        <f t="shared" si="16"/>
        <v>0</v>
      </c>
      <c r="H60" s="171">
        <f t="shared" si="17"/>
        <v>0</v>
      </c>
      <c r="I60" s="161"/>
      <c r="J60" s="162"/>
      <c r="K60" s="163"/>
      <c r="L60" s="164"/>
      <c r="M60" s="58"/>
      <c r="N60" s="58"/>
      <c r="O60" s="59"/>
      <c r="P60" s="56"/>
      <c r="Q60" s="60"/>
      <c r="R60" s="169">
        <f t="shared" si="18"/>
        <v>0</v>
      </c>
      <c r="S60" s="170">
        <f t="shared" si="19"/>
        <v>0</v>
      </c>
      <c r="T60" s="171">
        <f t="shared" si="20"/>
        <v>0</v>
      </c>
      <c r="U60" s="172"/>
      <c r="V60" s="173"/>
      <c r="W60" s="160"/>
      <c r="X60" s="67"/>
      <c r="Y60" s="68"/>
      <c r="Z60" s="68"/>
      <c r="AA60" s="62">
        <f t="shared" si="38"/>
        <v>0</v>
      </c>
      <c r="AB60" s="63">
        <f t="shared" si="37"/>
        <v>0</v>
      </c>
      <c r="AC60" s="176"/>
      <c r="AD60" s="177"/>
      <c r="AE60" s="177"/>
      <c r="AF60" s="170">
        <f t="shared" si="23"/>
        <v>0</v>
      </c>
      <c r="AG60" s="171">
        <f t="shared" si="24"/>
        <v>0</v>
      </c>
      <c r="AH60" s="159"/>
      <c r="AI60" s="160"/>
      <c r="AJ60" s="160"/>
      <c r="AK60" s="170">
        <f t="shared" si="30"/>
        <v>0</v>
      </c>
      <c r="AL60" s="179">
        <f t="shared" si="31"/>
        <v>0</v>
      </c>
      <c r="AM60" s="180">
        <f t="shared" si="32"/>
        <v>0</v>
      </c>
      <c r="AN60" s="181">
        <f t="shared" si="33"/>
        <v>0</v>
      </c>
      <c r="AO60" s="181">
        <f t="shared" si="34"/>
        <v>0</v>
      </c>
      <c r="AP60" s="182" t="e">
        <f t="shared" si="28"/>
        <v>#DIV/0!</v>
      </c>
      <c r="AQ60" s="76">
        <f t="shared" si="13"/>
        <v>0</v>
      </c>
      <c r="AR60" s="183">
        <f t="shared" si="29"/>
        <v>0</v>
      </c>
    </row>
    <row r="61" spans="1:44" ht="15" x14ac:dyDescent="0.25">
      <c r="A61" s="149" t="str">
        <f t="shared" si="15"/>
        <v>46202E</v>
      </c>
      <c r="B61" s="51">
        <f t="shared" si="35"/>
        <v>46202</v>
      </c>
      <c r="C61" s="158" t="s">
        <v>88</v>
      </c>
      <c r="D61" s="185"/>
      <c r="E61" s="170"/>
      <c r="F61" s="170"/>
      <c r="G61" s="170">
        <f t="shared" si="16"/>
        <v>0</v>
      </c>
      <c r="H61" s="171">
        <f t="shared" si="17"/>
        <v>0</v>
      </c>
      <c r="I61" s="161"/>
      <c r="J61" s="162"/>
      <c r="K61" s="163"/>
      <c r="L61" s="164"/>
      <c r="M61" s="58"/>
      <c r="N61" s="58"/>
      <c r="O61" s="59"/>
      <c r="P61" s="56"/>
      <c r="Q61" s="60"/>
      <c r="R61" s="169">
        <f t="shared" si="18"/>
        <v>0</v>
      </c>
      <c r="S61" s="170">
        <f t="shared" si="19"/>
        <v>0</v>
      </c>
      <c r="T61" s="171">
        <f t="shared" si="20"/>
        <v>0</v>
      </c>
      <c r="U61" s="172"/>
      <c r="V61" s="173"/>
      <c r="W61" s="160"/>
      <c r="X61" s="67"/>
      <c r="Y61" s="68"/>
      <c r="Z61" s="68"/>
      <c r="AA61" s="62">
        <f t="shared" si="38"/>
        <v>0</v>
      </c>
      <c r="AB61" s="63">
        <f t="shared" si="37"/>
        <v>0</v>
      </c>
      <c r="AC61" s="176"/>
      <c r="AD61" s="177"/>
      <c r="AE61" s="177"/>
      <c r="AF61" s="170">
        <f t="shared" si="23"/>
        <v>0</v>
      </c>
      <c r="AG61" s="171">
        <f t="shared" si="24"/>
        <v>0</v>
      </c>
      <c r="AH61" s="159"/>
      <c r="AI61" s="160"/>
      <c r="AJ61" s="160"/>
      <c r="AK61" s="170">
        <f t="shared" si="30"/>
        <v>0</v>
      </c>
      <c r="AL61" s="179">
        <f t="shared" si="31"/>
        <v>0</v>
      </c>
      <c r="AM61" s="180">
        <f t="shared" si="32"/>
        <v>0</v>
      </c>
      <c r="AN61" s="181">
        <f t="shared" si="33"/>
        <v>0</v>
      </c>
      <c r="AO61" s="181">
        <f t="shared" si="34"/>
        <v>0</v>
      </c>
      <c r="AP61" s="182" t="e">
        <f t="shared" si="28"/>
        <v>#DIV/0!</v>
      </c>
      <c r="AQ61" s="76">
        <f t="shared" si="13"/>
        <v>0</v>
      </c>
      <c r="AR61" s="183">
        <f t="shared" si="29"/>
        <v>0</v>
      </c>
    </row>
    <row r="62" spans="1:44" ht="15" x14ac:dyDescent="0.25">
      <c r="A62" s="149" t="str">
        <f t="shared" si="15"/>
        <v>46203M</v>
      </c>
      <c r="B62" s="51">
        <f t="shared" si="35"/>
        <v>46203</v>
      </c>
      <c r="C62" s="158" t="s">
        <v>87</v>
      </c>
      <c r="D62" s="185"/>
      <c r="E62" s="170"/>
      <c r="F62" s="170"/>
      <c r="G62" s="170">
        <f t="shared" si="16"/>
        <v>0</v>
      </c>
      <c r="H62" s="171">
        <f t="shared" si="17"/>
        <v>0</v>
      </c>
      <c r="I62" s="161"/>
      <c r="J62" s="162"/>
      <c r="K62" s="163"/>
      <c r="L62" s="164"/>
      <c r="M62" s="58"/>
      <c r="N62" s="58"/>
      <c r="O62" s="59"/>
      <c r="P62" s="56"/>
      <c r="Q62" s="60"/>
      <c r="R62" s="169">
        <f t="shared" si="18"/>
        <v>0</v>
      </c>
      <c r="S62" s="170">
        <f t="shared" si="19"/>
        <v>0</v>
      </c>
      <c r="T62" s="171">
        <f t="shared" si="20"/>
        <v>0</v>
      </c>
      <c r="U62" s="172"/>
      <c r="V62" s="173"/>
      <c r="W62" s="160"/>
      <c r="X62" s="67"/>
      <c r="Y62" s="68"/>
      <c r="Z62" s="68"/>
      <c r="AA62" s="62">
        <f t="shared" ref="AA62:AA65" si="39">X62*Y62%</f>
        <v>0</v>
      </c>
      <c r="AB62" s="63">
        <f t="shared" si="37"/>
        <v>0</v>
      </c>
      <c r="AC62" s="176"/>
      <c r="AD62" s="177"/>
      <c r="AE62" s="177"/>
      <c r="AF62" s="170">
        <f t="shared" si="23"/>
        <v>0</v>
      </c>
      <c r="AG62" s="171">
        <f t="shared" si="24"/>
        <v>0</v>
      </c>
      <c r="AH62" s="159"/>
      <c r="AI62" s="160"/>
      <c r="AJ62" s="160"/>
      <c r="AK62" s="170">
        <f t="shared" si="30"/>
        <v>0</v>
      </c>
      <c r="AL62" s="179">
        <f t="shared" si="31"/>
        <v>0</v>
      </c>
      <c r="AM62" s="180">
        <f t="shared" si="32"/>
        <v>0</v>
      </c>
      <c r="AN62" s="181">
        <f t="shared" si="33"/>
        <v>0</v>
      </c>
      <c r="AO62" s="181">
        <f t="shared" si="34"/>
        <v>0</v>
      </c>
      <c r="AP62" s="182" t="e">
        <f t="shared" ref="AP62:AP65" si="40">(AN62+AO62)/(S62+T62)</f>
        <v>#DIV/0!</v>
      </c>
      <c r="AQ62" s="76">
        <f t="shared" si="13"/>
        <v>0</v>
      </c>
      <c r="AR62" s="183">
        <f t="shared" si="29"/>
        <v>0</v>
      </c>
    </row>
    <row r="63" spans="1:44" ht="15" x14ac:dyDescent="0.25">
      <c r="A63" s="149" t="str">
        <f t="shared" si="15"/>
        <v>46203E</v>
      </c>
      <c r="B63" s="51">
        <f t="shared" si="35"/>
        <v>46203</v>
      </c>
      <c r="C63" s="158" t="s">
        <v>88</v>
      </c>
      <c r="D63" s="185"/>
      <c r="E63" s="170"/>
      <c r="F63" s="170"/>
      <c r="G63" s="170">
        <f t="shared" si="16"/>
        <v>0</v>
      </c>
      <c r="H63" s="171">
        <f t="shared" si="17"/>
        <v>0</v>
      </c>
      <c r="I63" s="161"/>
      <c r="J63" s="162"/>
      <c r="K63" s="163"/>
      <c r="L63" s="164"/>
      <c r="M63" s="58"/>
      <c r="N63" s="58"/>
      <c r="O63" s="59"/>
      <c r="P63" s="56"/>
      <c r="Q63" s="60"/>
      <c r="R63" s="169">
        <f t="shared" si="18"/>
        <v>0</v>
      </c>
      <c r="S63" s="170">
        <f t="shared" si="19"/>
        <v>0</v>
      </c>
      <c r="T63" s="171">
        <f t="shared" si="20"/>
        <v>0</v>
      </c>
      <c r="U63" s="172"/>
      <c r="V63" s="173"/>
      <c r="W63" s="160"/>
      <c r="X63" s="67"/>
      <c r="Y63" s="68"/>
      <c r="Z63" s="68"/>
      <c r="AA63" s="62">
        <f t="shared" si="39"/>
        <v>0</v>
      </c>
      <c r="AB63" s="63">
        <f t="shared" si="37"/>
        <v>0</v>
      </c>
      <c r="AC63" s="176"/>
      <c r="AD63" s="177"/>
      <c r="AE63" s="177"/>
      <c r="AF63" s="170">
        <f t="shared" si="23"/>
        <v>0</v>
      </c>
      <c r="AG63" s="171">
        <f t="shared" si="24"/>
        <v>0</v>
      </c>
      <c r="AH63" s="159"/>
      <c r="AI63" s="160"/>
      <c r="AJ63" s="160"/>
      <c r="AK63" s="170">
        <f t="shared" si="30"/>
        <v>0</v>
      </c>
      <c r="AL63" s="179">
        <f t="shared" si="31"/>
        <v>0</v>
      </c>
      <c r="AM63" s="180">
        <f t="shared" si="32"/>
        <v>0</v>
      </c>
      <c r="AN63" s="181">
        <f t="shared" si="33"/>
        <v>0</v>
      </c>
      <c r="AO63" s="181">
        <f t="shared" si="34"/>
        <v>0</v>
      </c>
      <c r="AP63" s="182" t="e">
        <f t="shared" si="40"/>
        <v>#DIV/0!</v>
      </c>
      <c r="AQ63" s="76">
        <f t="shared" si="13"/>
        <v>0</v>
      </c>
      <c r="AR63" s="183">
        <f t="shared" si="29"/>
        <v>0</v>
      </c>
    </row>
    <row r="64" spans="1:44" ht="15" x14ac:dyDescent="0.25">
      <c r="A64" s="149" t="str">
        <f t="shared" si="15"/>
        <v>46204M</v>
      </c>
      <c r="B64" s="51">
        <f t="shared" si="35"/>
        <v>46204</v>
      </c>
      <c r="C64" s="158" t="s">
        <v>87</v>
      </c>
      <c r="D64" s="185"/>
      <c r="E64" s="170"/>
      <c r="F64" s="170"/>
      <c r="G64" s="170">
        <f t="shared" si="16"/>
        <v>0</v>
      </c>
      <c r="H64" s="171">
        <f t="shared" si="17"/>
        <v>0</v>
      </c>
      <c r="I64" s="161"/>
      <c r="J64" s="162"/>
      <c r="K64" s="163"/>
      <c r="L64" s="164"/>
      <c r="M64" s="58"/>
      <c r="N64" s="58"/>
      <c r="O64" s="59"/>
      <c r="P64" s="56"/>
      <c r="Q64" s="60"/>
      <c r="R64" s="169">
        <f t="shared" si="18"/>
        <v>0</v>
      </c>
      <c r="S64" s="170">
        <f t="shared" si="19"/>
        <v>0</v>
      </c>
      <c r="T64" s="171">
        <f t="shared" si="20"/>
        <v>0</v>
      </c>
      <c r="U64" s="172"/>
      <c r="V64" s="173"/>
      <c r="W64" s="160"/>
      <c r="X64" s="67"/>
      <c r="Y64" s="68"/>
      <c r="Z64" s="68"/>
      <c r="AA64" s="62">
        <f t="shared" si="39"/>
        <v>0</v>
      </c>
      <c r="AB64" s="63">
        <f t="shared" si="37"/>
        <v>0</v>
      </c>
      <c r="AC64" s="176"/>
      <c r="AD64" s="177"/>
      <c r="AE64" s="177"/>
      <c r="AF64" s="170">
        <f t="shared" si="23"/>
        <v>0</v>
      </c>
      <c r="AG64" s="171">
        <f t="shared" si="24"/>
        <v>0</v>
      </c>
      <c r="AH64" s="159"/>
      <c r="AI64" s="160"/>
      <c r="AJ64" s="160"/>
      <c r="AK64" s="170">
        <f t="shared" si="30"/>
        <v>0</v>
      </c>
      <c r="AL64" s="179">
        <f t="shared" si="31"/>
        <v>0</v>
      </c>
      <c r="AM64" s="180">
        <f t="shared" si="32"/>
        <v>0</v>
      </c>
      <c r="AN64" s="181">
        <f t="shared" si="33"/>
        <v>0</v>
      </c>
      <c r="AO64" s="181">
        <f t="shared" si="34"/>
        <v>0</v>
      </c>
      <c r="AP64" s="182" t="e">
        <f t="shared" si="40"/>
        <v>#DIV/0!</v>
      </c>
      <c r="AQ64" s="76">
        <f t="shared" si="13"/>
        <v>0</v>
      </c>
      <c r="AR64" s="183">
        <f t="shared" si="29"/>
        <v>0</v>
      </c>
    </row>
    <row r="65" spans="1:44" ht="15" x14ac:dyDescent="0.25">
      <c r="A65" s="149" t="str">
        <f t="shared" si="15"/>
        <v>46204E</v>
      </c>
      <c r="B65" s="51">
        <f t="shared" si="35"/>
        <v>46204</v>
      </c>
      <c r="C65" s="158" t="s">
        <v>88</v>
      </c>
      <c r="D65" s="185"/>
      <c r="E65" s="170"/>
      <c r="F65" s="170"/>
      <c r="G65" s="170">
        <f t="shared" si="16"/>
        <v>0</v>
      </c>
      <c r="H65" s="171">
        <f t="shared" si="17"/>
        <v>0</v>
      </c>
      <c r="I65" s="161"/>
      <c r="J65" s="162"/>
      <c r="K65" s="163"/>
      <c r="L65" s="164"/>
      <c r="M65" s="58"/>
      <c r="N65" s="58"/>
      <c r="O65" s="59"/>
      <c r="P65" s="56"/>
      <c r="Q65" s="60"/>
      <c r="R65" s="169">
        <f t="shared" si="18"/>
        <v>0</v>
      </c>
      <c r="S65" s="170">
        <f t="shared" si="19"/>
        <v>0</v>
      </c>
      <c r="T65" s="171">
        <f t="shared" si="20"/>
        <v>0</v>
      </c>
      <c r="U65" s="172"/>
      <c r="V65" s="173"/>
      <c r="W65" s="160"/>
      <c r="X65" s="67"/>
      <c r="Y65" s="68"/>
      <c r="Z65" s="68"/>
      <c r="AA65" s="62">
        <f t="shared" si="39"/>
        <v>0</v>
      </c>
      <c r="AB65" s="63">
        <f t="shared" ref="AB65" si="41">X65*Z65%</f>
        <v>0</v>
      </c>
      <c r="AC65" s="176"/>
      <c r="AD65" s="177"/>
      <c r="AE65" s="177"/>
      <c r="AF65" s="170">
        <f t="shared" si="23"/>
        <v>0</v>
      </c>
      <c r="AG65" s="171">
        <f t="shared" si="24"/>
        <v>0</v>
      </c>
      <c r="AH65" s="159"/>
      <c r="AI65" s="160"/>
      <c r="AJ65" s="160"/>
      <c r="AK65" s="170">
        <f t="shared" si="30"/>
        <v>0</v>
      </c>
      <c r="AL65" s="179">
        <f t="shared" si="31"/>
        <v>0</v>
      </c>
      <c r="AM65" s="180">
        <f t="shared" si="32"/>
        <v>0</v>
      </c>
      <c r="AN65" s="181">
        <f t="shared" si="33"/>
        <v>0</v>
      </c>
      <c r="AO65" s="181">
        <f t="shared" si="34"/>
        <v>0</v>
      </c>
      <c r="AP65" s="182" t="e">
        <f t="shared" si="40"/>
        <v>#DIV/0!</v>
      </c>
      <c r="AQ65" s="76">
        <f t="shared" si="13"/>
        <v>0</v>
      </c>
      <c r="AR65" s="183">
        <f t="shared" si="29"/>
        <v>0</v>
      </c>
    </row>
    <row r="66" spans="1:44" x14ac:dyDescent="0.2">
      <c r="J66" s="191">
        <f>SUM(J4:J65)</f>
        <v>130300.56199999999</v>
      </c>
      <c r="AM66" s="191">
        <f>-SUM(AM4:AM65)</f>
        <v>460.63799999999384</v>
      </c>
      <c r="AN66" s="191">
        <f t="shared" ref="AN66:AO66" si="42">-SUM(AN4:AN65)</f>
        <v>92.233649899999477</v>
      </c>
      <c r="AO66" s="191">
        <f t="shared" si="42"/>
        <v>79.162847299997395</v>
      </c>
      <c r="AQ66" s="191">
        <f>-SUM(AQ4:AQ65)</f>
        <v>65095.936964236651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64" priority="6" operator="lessThan">
      <formula>0.1</formula>
    </cfRule>
    <cfRule type="cellIs" dxfId="63" priority="7" operator="greaterThan">
      <formula>0.1</formula>
    </cfRule>
  </conditionalFormatting>
  <conditionalFormatting sqref="AP1:AQ1">
    <cfRule type="cellIs" dxfId="62" priority="5" operator="lessThan">
      <formula>1</formula>
    </cfRule>
  </conditionalFormatting>
  <conditionalFormatting sqref="AQ4:AQ65">
    <cfRule type="cellIs" dxfId="61" priority="1" operator="lessThan">
      <formula>0</formula>
    </cfRule>
    <cfRule type="cellIs" dxfId="60" priority="2" operator="greaterThan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V66"/>
  <sheetViews>
    <sheetView zoomScale="80" zoomScaleNormal="80" workbookViewId="0">
      <selection activeCell="AC24" sqref="AC24:AE24"/>
    </sheetView>
  </sheetViews>
  <sheetFormatPr defaultRowHeight="15" x14ac:dyDescent="0.25"/>
  <cols>
    <col min="1" max="1" width="5" customWidth="1"/>
    <col min="2" max="2" width="9.85546875" bestFit="1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7.140625" bestFit="1" customWidth="1"/>
    <col min="10" max="10" width="9.28515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8.42578125" bestFit="1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9.28515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8.140625" bestFit="1" customWidth="1"/>
    <col min="35" max="36" width="5.85546875" bestFit="1" customWidth="1"/>
    <col min="37" max="37" width="7.28515625" bestFit="1" customWidth="1"/>
    <col min="38" max="39" width="7.42578125" bestFit="1" customWidth="1"/>
    <col min="40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6.7109375" bestFit="1" customWidth="1"/>
    <col min="45" max="49" width="8.7109375" bestFit="1" customWidth="1"/>
  </cols>
  <sheetData>
    <row r="1" spans="1:44" ht="15.75" thickBot="1" x14ac:dyDescent="0.3">
      <c r="B1" s="43" t="s">
        <v>176</v>
      </c>
      <c r="C1" s="44"/>
      <c r="X1" t="s">
        <v>94</v>
      </c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59" t="s">
        <v>64</v>
      </c>
      <c r="C2" s="261" t="s">
        <v>65</v>
      </c>
      <c r="D2" s="263" t="s">
        <v>66</v>
      </c>
      <c r="E2" s="263"/>
      <c r="F2" s="263"/>
      <c r="G2" s="263"/>
      <c r="H2" s="264"/>
      <c r="I2" s="255" t="s">
        <v>67</v>
      </c>
      <c r="J2" s="256"/>
      <c r="K2" s="256"/>
      <c r="L2" s="257"/>
      <c r="M2" s="255" t="s">
        <v>68</v>
      </c>
      <c r="N2" s="265"/>
      <c r="O2" s="256"/>
      <c r="P2" s="256"/>
      <c r="Q2" s="257"/>
      <c r="R2" s="265" t="s">
        <v>69</v>
      </c>
      <c r="S2" s="256"/>
      <c r="T2" s="257"/>
      <c r="U2" s="252" t="s">
        <v>70</v>
      </c>
      <c r="V2" s="253"/>
      <c r="W2" s="253"/>
      <c r="X2" s="253"/>
      <c r="Y2" s="253"/>
      <c r="Z2" s="253"/>
      <c r="AA2" s="253"/>
      <c r="AB2" s="254"/>
      <c r="AC2" s="255" t="s">
        <v>71</v>
      </c>
      <c r="AD2" s="256"/>
      <c r="AE2" s="256"/>
      <c r="AF2" s="256"/>
      <c r="AG2" s="257"/>
      <c r="AH2" s="255" t="s">
        <v>72</v>
      </c>
      <c r="AI2" s="256"/>
      <c r="AJ2" s="256"/>
      <c r="AK2" s="256"/>
      <c r="AL2" s="258"/>
      <c r="AM2" s="252" t="s">
        <v>73</v>
      </c>
      <c r="AN2" s="253"/>
      <c r="AO2" s="253"/>
      <c r="AP2" s="253"/>
      <c r="AQ2" s="254"/>
    </row>
    <row r="3" spans="1:44" x14ac:dyDescent="0.25">
      <c r="B3" s="260"/>
      <c r="C3" s="26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5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53">
        <v>0</v>
      </c>
      <c r="E4" s="55">
        <v>0</v>
      </c>
      <c r="F4" s="55">
        <v>0</v>
      </c>
      <c r="G4" s="170">
        <f t="shared" ref="G4:G65" si="0">+D4*E4%</f>
        <v>0</v>
      </c>
      <c r="H4" s="171">
        <f t="shared" ref="H4:H65" si="1">+D4*F4%</f>
        <v>0</v>
      </c>
      <c r="I4" s="119">
        <v>1036.9000000000001</v>
      </c>
      <c r="J4" s="120">
        <v>1068.0070000000001</v>
      </c>
      <c r="K4" s="121">
        <v>5.0297135692930848</v>
      </c>
      <c r="L4" s="122">
        <v>8.5262031054103566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1068.0070000000001</v>
      </c>
      <c r="S4" s="62">
        <f t="shared" ref="S4:S65" si="2">+J4*K4%+O4*P4%</f>
        <v>53.717692999999997</v>
      </c>
      <c r="T4" s="63">
        <f t="shared" ref="T4:T65" si="3">+J4*L4%+O4*Q4%</f>
        <v>91.060445999999999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:AA56" si="4">X4*Y4%</f>
        <v>0</v>
      </c>
      <c r="AB4" s="63">
        <f t="shared" ref="AB4:AB56" si="5">X4*Z4%</f>
        <v>0</v>
      </c>
      <c r="AC4" s="69"/>
      <c r="AD4" s="70"/>
      <c r="AE4" s="70"/>
      <c r="AF4" s="62">
        <f t="shared" ref="AF4:AF65" si="6">AC4*AD4%</f>
        <v>0</v>
      </c>
      <c r="AG4" s="63">
        <f>AC4*AE4%</f>
        <v>0</v>
      </c>
      <c r="AH4" s="89">
        <v>1068</v>
      </c>
      <c r="AI4" s="66">
        <v>5.03</v>
      </c>
      <c r="AJ4" s="66">
        <v>8.5299999999999994</v>
      </c>
      <c r="AK4" s="62">
        <f t="shared" ref="AK4:AK65" si="7">AH4*AI4%</f>
        <v>53.720400000000005</v>
      </c>
      <c r="AL4" s="72">
        <f t="shared" ref="AL4:AL65" si="8">AH4*AJ4%</f>
        <v>91.100399999999979</v>
      </c>
      <c r="AM4" s="73">
        <f>+D4+R4-AC4-AH4</f>
        <v>7.0000000000618456E-3</v>
      </c>
      <c r="AN4" s="74">
        <f t="shared" ref="AN4:AO19" si="9">+G4+S4-AF4-AK4</f>
        <v>-2.7070000000080086E-3</v>
      </c>
      <c r="AO4" s="74">
        <f t="shared" si="9"/>
        <v>-3.9953999999980283E-2</v>
      </c>
      <c r="AP4" s="75">
        <f>(AN4+AO4)/(S4+T4)</f>
        <v>-2.9466465237537202E-4</v>
      </c>
      <c r="AQ4" s="76">
        <f t="shared" ref="AQ4:AQ65" si="10">($AP$1*AN4+$AQ$1*AO4)</f>
        <v>-13.172366129997696</v>
      </c>
      <c r="AR4" s="83">
        <f>(D4+J4+O4)-(X4+AH4)</f>
        <v>7.0000000000618456E-3</v>
      </c>
    </row>
    <row r="5" spans="1:44" x14ac:dyDescent="0.25">
      <c r="A5" t="str">
        <f t="shared" ref="A5:A65" si="11">CONCATENATE(B5,C5)</f>
        <v>46174E</v>
      </c>
      <c r="B5" s="51">
        <f>+B4</f>
        <v>46174</v>
      </c>
      <c r="C5" s="52" t="s">
        <v>88</v>
      </c>
      <c r="D5" s="91">
        <v>1068</v>
      </c>
      <c r="E5" s="62">
        <v>5.03</v>
      </c>
      <c r="F5" s="62">
        <v>8.5299999999999994</v>
      </c>
      <c r="G5" s="170">
        <f t="shared" si="0"/>
        <v>53.720400000000005</v>
      </c>
      <c r="H5" s="171">
        <f t="shared" si="1"/>
        <v>91.100399999999979</v>
      </c>
      <c r="I5" s="119">
        <v>895.2</v>
      </c>
      <c r="J5" s="120">
        <v>922.05600000000004</v>
      </c>
      <c r="K5" s="121">
        <v>4.7319146559428065</v>
      </c>
      <c r="L5" s="122">
        <v>8.4335232350312772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2">+J5+O5</f>
        <v>922.05600000000004</v>
      </c>
      <c r="S5" s="62">
        <f t="shared" si="2"/>
        <v>43.630903000000004</v>
      </c>
      <c r="T5" s="63">
        <f t="shared" si="3"/>
        <v>77.761807000000005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si="4"/>
        <v>0</v>
      </c>
      <c r="AB5" s="63">
        <f t="shared" si="5"/>
        <v>0</v>
      </c>
      <c r="AC5" s="69"/>
      <c r="AD5" s="70"/>
      <c r="AE5" s="70"/>
      <c r="AF5" s="62">
        <f t="shared" si="6"/>
        <v>0</v>
      </c>
      <c r="AG5" s="63">
        <f t="shared" ref="AG5:AG65" si="13">AC5*AE5%</f>
        <v>0</v>
      </c>
      <c r="AH5" s="97">
        <v>1990</v>
      </c>
      <c r="AI5" s="66">
        <v>4.8899999999999997</v>
      </c>
      <c r="AJ5" s="66">
        <v>8.48</v>
      </c>
      <c r="AK5" s="62">
        <f t="shared" si="7"/>
        <v>97.310999999999993</v>
      </c>
      <c r="AL5" s="72">
        <f t="shared" si="8"/>
        <v>168.75200000000001</v>
      </c>
      <c r="AM5" s="73">
        <f t="shared" ref="AM5:AM65" si="14">+D5+R5-AC5-AH5</f>
        <v>5.6000000000040018E-2</v>
      </c>
      <c r="AN5" s="74">
        <f t="shared" si="9"/>
        <v>4.0303000000008637E-2</v>
      </c>
      <c r="AO5" s="74">
        <f t="shared" si="9"/>
        <v>0.11020699999997419</v>
      </c>
      <c r="AP5" s="75">
        <f t="shared" ref="AP5:AP65" si="15">(AN5+AO5)/(S5+T5)</f>
        <v>1.2398602848555141E-3</v>
      </c>
      <c r="AQ5" s="76">
        <f t="shared" si="10"/>
        <v>51.074435976662826</v>
      </c>
      <c r="AR5" s="83">
        <f t="shared" ref="AR5:AR65" si="16">(D5+J5+O5)-(X5+AH5)</f>
        <v>5.6000000000040018E-2</v>
      </c>
    </row>
    <row r="6" spans="1:44" x14ac:dyDescent="0.25">
      <c r="A6" t="str">
        <f t="shared" si="11"/>
        <v>46175M</v>
      </c>
      <c r="B6" s="51">
        <f>+B4+1</f>
        <v>46175</v>
      </c>
      <c r="C6" s="52" t="s">
        <v>87</v>
      </c>
      <c r="D6" s="79">
        <v>1990</v>
      </c>
      <c r="E6" s="62">
        <v>4.8899999999999997</v>
      </c>
      <c r="F6" s="62">
        <v>8.48</v>
      </c>
      <c r="G6" s="170">
        <f t="shared" si="0"/>
        <v>97.310999999999993</v>
      </c>
      <c r="H6" s="171">
        <f t="shared" si="1"/>
        <v>168.75200000000001</v>
      </c>
      <c r="I6" s="119">
        <v>1223.3999999999999</v>
      </c>
      <c r="J6" s="120">
        <v>1260.1019999999999</v>
      </c>
      <c r="K6" s="121">
        <v>5.060724211214648</v>
      </c>
      <c r="L6" s="122">
        <v>8.520107896027465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2"/>
        <v>1260.1019999999999</v>
      </c>
      <c r="S6" s="62">
        <f t="shared" si="2"/>
        <v>63.770287000000003</v>
      </c>
      <c r="T6" s="63">
        <f t="shared" si="3"/>
        <v>107.36205</v>
      </c>
      <c r="U6" s="64" t="s">
        <v>167</v>
      </c>
      <c r="V6" s="65" t="s">
        <v>167</v>
      </c>
      <c r="W6" s="66" t="s">
        <v>167</v>
      </c>
      <c r="X6" s="67">
        <v>0</v>
      </c>
      <c r="Y6" s="68">
        <v>0</v>
      </c>
      <c r="Z6" s="68">
        <v>0</v>
      </c>
      <c r="AA6" s="62">
        <f t="shared" si="4"/>
        <v>0</v>
      </c>
      <c r="AB6" s="63">
        <f t="shared" si="5"/>
        <v>0</v>
      </c>
      <c r="AC6" s="69"/>
      <c r="AD6" s="70"/>
      <c r="AE6" s="70"/>
      <c r="AF6" s="62">
        <f t="shared" si="6"/>
        <v>0</v>
      </c>
      <c r="AG6" s="63">
        <f t="shared" si="13"/>
        <v>0</v>
      </c>
      <c r="AH6" s="97">
        <v>3250.1</v>
      </c>
      <c r="AI6" s="66">
        <v>4.96</v>
      </c>
      <c r="AJ6" s="66">
        <v>8.5</v>
      </c>
      <c r="AK6" s="62">
        <f t="shared" si="7"/>
        <v>161.20496</v>
      </c>
      <c r="AL6" s="72">
        <f t="shared" si="8"/>
        <v>276.25850000000003</v>
      </c>
      <c r="AM6" s="73">
        <f t="shared" si="14"/>
        <v>1.9999999999527063E-3</v>
      </c>
      <c r="AN6" s="74">
        <f t="shared" si="9"/>
        <v>-0.12367299999999659</v>
      </c>
      <c r="AO6" s="74">
        <f t="shared" si="9"/>
        <v>-0.14445000000000618</v>
      </c>
      <c r="AP6" s="75">
        <f t="shared" si="15"/>
        <v>-1.5667582451118094E-3</v>
      </c>
      <c r="AQ6" s="76">
        <f t="shared" si="10"/>
        <v>-98.748079430000331</v>
      </c>
      <c r="AR6" s="83">
        <f t="shared" si="16"/>
        <v>1.9999999999527063E-3</v>
      </c>
    </row>
    <row r="7" spans="1:44" x14ac:dyDescent="0.25">
      <c r="A7" t="str">
        <f t="shared" si="11"/>
        <v>46175E</v>
      </c>
      <c r="B7" s="51">
        <f>+B5+1</f>
        <v>46175</v>
      </c>
      <c r="C7" s="52" t="s">
        <v>88</v>
      </c>
      <c r="D7" s="79">
        <v>3250.1</v>
      </c>
      <c r="E7" s="62">
        <v>4.96</v>
      </c>
      <c r="F7" s="62">
        <v>8.5</v>
      </c>
      <c r="G7" s="170">
        <f t="shared" si="0"/>
        <v>161.20496</v>
      </c>
      <c r="H7" s="171">
        <f t="shared" si="1"/>
        <v>276.25850000000003</v>
      </c>
      <c r="I7" s="119">
        <v>1000.8000000000002</v>
      </c>
      <c r="J7" s="120">
        <v>1030.8240000000003</v>
      </c>
      <c r="K7" s="121">
        <v>4.2329836131095115</v>
      </c>
      <c r="L7" s="122">
        <v>8.3093525179856069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2"/>
        <v>1030.8240000000003</v>
      </c>
      <c r="S7" s="62">
        <f t="shared" si="2"/>
        <v>43.634611000000007</v>
      </c>
      <c r="T7" s="63">
        <f t="shared" si="3"/>
        <v>85.65479999999998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4"/>
        <v>0</v>
      </c>
      <c r="AB7" s="63">
        <f t="shared" si="5"/>
        <v>0</v>
      </c>
      <c r="AC7" s="69"/>
      <c r="AD7" s="70"/>
      <c r="AE7" s="70"/>
      <c r="AF7" s="62">
        <f t="shared" si="6"/>
        <v>0</v>
      </c>
      <c r="AG7" s="63">
        <f t="shared" si="13"/>
        <v>0</v>
      </c>
      <c r="AH7" s="97">
        <v>4280.8</v>
      </c>
      <c r="AI7" s="66">
        <v>4.78</v>
      </c>
      <c r="AJ7" s="66">
        <v>8.4499999999999993</v>
      </c>
      <c r="AK7" s="62">
        <f t="shared" si="7"/>
        <v>204.62224000000001</v>
      </c>
      <c r="AL7" s="72">
        <f t="shared" si="8"/>
        <v>361.7276</v>
      </c>
      <c r="AM7" s="73">
        <f t="shared" si="14"/>
        <v>0.12399999999979627</v>
      </c>
      <c r="AN7" s="74">
        <f t="shared" si="9"/>
        <v>0.2173310000000015</v>
      </c>
      <c r="AO7" s="74">
        <f t="shared" si="9"/>
        <v>0.18569999999999709</v>
      </c>
      <c r="AP7" s="75">
        <f t="shared" si="15"/>
        <v>3.1172777173530371E-3</v>
      </c>
      <c r="AQ7" s="76">
        <f t="shared" si="10"/>
        <v>153.13711720999981</v>
      </c>
      <c r="AR7" s="83">
        <f t="shared" si="16"/>
        <v>0.12399999999979627</v>
      </c>
    </row>
    <row r="8" spans="1:44" x14ac:dyDescent="0.25">
      <c r="A8" t="str">
        <f t="shared" si="11"/>
        <v>46176M</v>
      </c>
      <c r="B8" s="51">
        <f>+B6+1</f>
        <v>46176</v>
      </c>
      <c r="C8" s="52" t="s">
        <v>87</v>
      </c>
      <c r="D8" s="79">
        <v>4280.8</v>
      </c>
      <c r="E8" s="62">
        <v>4.78</v>
      </c>
      <c r="F8" s="62">
        <v>8.4499999999999993</v>
      </c>
      <c r="G8" s="170">
        <f t="shared" si="0"/>
        <v>204.62224000000001</v>
      </c>
      <c r="H8" s="171">
        <f t="shared" si="1"/>
        <v>361.7276</v>
      </c>
      <c r="I8" s="119">
        <v>1349.2</v>
      </c>
      <c r="J8" s="120">
        <v>1389.6760000000002</v>
      </c>
      <c r="K8" s="121">
        <v>5.2771864808775568</v>
      </c>
      <c r="L8" s="122">
        <v>8.5548473169285515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2"/>
        <v>1389.6760000000002</v>
      </c>
      <c r="S8" s="62">
        <f t="shared" si="2"/>
        <v>73.335794000000007</v>
      </c>
      <c r="T8" s="63">
        <f t="shared" si="3"/>
        <v>118.88466000000004</v>
      </c>
      <c r="U8" s="64" t="s">
        <v>266</v>
      </c>
      <c r="V8" s="65" t="s">
        <v>270</v>
      </c>
      <c r="W8" s="66" t="s">
        <v>239</v>
      </c>
      <c r="X8" s="67">
        <v>5820</v>
      </c>
      <c r="Y8" s="68">
        <v>4.8</v>
      </c>
      <c r="Z8" s="68">
        <v>8.3000000000000007</v>
      </c>
      <c r="AA8" s="62">
        <f t="shared" si="4"/>
        <v>279.36</v>
      </c>
      <c r="AB8" s="63">
        <f t="shared" si="5"/>
        <v>483.06</v>
      </c>
      <c r="AC8" s="69">
        <v>5820</v>
      </c>
      <c r="AD8" s="70">
        <v>4.8</v>
      </c>
      <c r="AE8" s="70">
        <v>8.24</v>
      </c>
      <c r="AF8" s="62">
        <f t="shared" si="6"/>
        <v>279.36</v>
      </c>
      <c r="AG8" s="63">
        <f t="shared" si="13"/>
        <v>479.56799999999998</v>
      </c>
      <c r="AH8" s="97">
        <v>0</v>
      </c>
      <c r="AI8" s="66">
        <v>0</v>
      </c>
      <c r="AJ8" s="66">
        <v>0</v>
      </c>
      <c r="AK8" s="62">
        <f t="shared" si="7"/>
        <v>0</v>
      </c>
      <c r="AL8" s="72">
        <f t="shared" si="8"/>
        <v>0</v>
      </c>
      <c r="AM8" s="73">
        <f t="shared" si="14"/>
        <v>-149.52399999999943</v>
      </c>
      <c r="AN8" s="74">
        <f t="shared" si="9"/>
        <v>-1.4019660000000158</v>
      </c>
      <c r="AO8" s="74">
        <f t="shared" si="9"/>
        <v>1.0442600000000652</v>
      </c>
      <c r="AP8" s="75">
        <f t="shared" si="15"/>
        <v>-1.8609153841658832E-3</v>
      </c>
      <c r="AQ8" s="76">
        <f t="shared" si="10"/>
        <v>-316.83738599332094</v>
      </c>
      <c r="AR8" s="83">
        <f t="shared" si="16"/>
        <v>-149.52399999999943</v>
      </c>
    </row>
    <row r="9" spans="1:44" x14ac:dyDescent="0.25">
      <c r="A9" t="str">
        <f t="shared" si="11"/>
        <v>46176E</v>
      </c>
      <c r="B9" s="51">
        <f t="shared" ref="B9:B65" si="17">+B7+1</f>
        <v>46176</v>
      </c>
      <c r="C9" s="52" t="s">
        <v>88</v>
      </c>
      <c r="D9" s="79">
        <v>0</v>
      </c>
      <c r="E9" s="62">
        <v>0</v>
      </c>
      <c r="F9" s="62">
        <v>0</v>
      </c>
      <c r="G9" s="170">
        <f t="shared" si="0"/>
        <v>0</v>
      </c>
      <c r="H9" s="171">
        <f t="shared" si="1"/>
        <v>0</v>
      </c>
      <c r="I9" s="119">
        <v>1329.8</v>
      </c>
      <c r="J9" s="120">
        <v>1369.694</v>
      </c>
      <c r="K9" s="121">
        <v>4.0800872311625813</v>
      </c>
      <c r="L9" s="122">
        <v>8.2407504887953085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2"/>
        <v>1369.694</v>
      </c>
      <c r="S9" s="62">
        <f t="shared" si="2"/>
        <v>55.884709999999998</v>
      </c>
      <c r="T9" s="63">
        <f t="shared" si="3"/>
        <v>112.873065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4"/>
        <v>0</v>
      </c>
      <c r="AB9" s="63">
        <f t="shared" si="5"/>
        <v>0</v>
      </c>
      <c r="AC9" s="69"/>
      <c r="AD9" s="70"/>
      <c r="AE9" s="70"/>
      <c r="AF9" s="62">
        <f t="shared" si="6"/>
        <v>0</v>
      </c>
      <c r="AG9" s="63">
        <f t="shared" si="13"/>
        <v>0</v>
      </c>
      <c r="AH9" s="110">
        <v>1369.6</v>
      </c>
      <c r="AI9" s="66">
        <v>4.08</v>
      </c>
      <c r="AJ9" s="66">
        <v>8.24</v>
      </c>
      <c r="AK9" s="62">
        <f t="shared" si="7"/>
        <v>55.87968</v>
      </c>
      <c r="AL9" s="72">
        <f t="shared" si="8"/>
        <v>112.85503999999999</v>
      </c>
      <c r="AM9" s="73">
        <f t="shared" si="14"/>
        <v>9.4000000000050932E-2</v>
      </c>
      <c r="AN9" s="74">
        <f t="shared" si="9"/>
        <v>5.0299999999978695E-3</v>
      </c>
      <c r="AO9" s="74">
        <f t="shared" si="9"/>
        <v>1.8025000000008617E-2</v>
      </c>
      <c r="AP9" s="75">
        <f t="shared" si="15"/>
        <v>1.366159277698849E-4</v>
      </c>
      <c r="AQ9" s="76">
        <f t="shared" si="10"/>
        <v>7.6524191333349574</v>
      </c>
      <c r="AR9" s="83">
        <f t="shared" si="16"/>
        <v>9.4000000000050932E-2</v>
      </c>
    </row>
    <row r="10" spans="1:44" x14ac:dyDescent="0.25">
      <c r="A10" t="str">
        <f t="shared" si="11"/>
        <v>46177M</v>
      </c>
      <c r="B10" s="51">
        <f t="shared" si="17"/>
        <v>46177</v>
      </c>
      <c r="C10" s="52" t="s">
        <v>87</v>
      </c>
      <c r="D10" s="79">
        <v>1369.6</v>
      </c>
      <c r="E10" s="62">
        <v>4.08</v>
      </c>
      <c r="F10" s="62">
        <v>8.24</v>
      </c>
      <c r="G10" s="170">
        <f t="shared" si="0"/>
        <v>55.87968</v>
      </c>
      <c r="H10" s="171">
        <f t="shared" si="1"/>
        <v>112.85503999999999</v>
      </c>
      <c r="I10" s="119">
        <v>1085.9000000000001</v>
      </c>
      <c r="J10" s="120">
        <v>1118.4770000000001</v>
      </c>
      <c r="K10" s="121">
        <v>5.0243760935629451</v>
      </c>
      <c r="L10" s="122">
        <v>8.3929551524081436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2"/>
        <v>1118.4770000000001</v>
      </c>
      <c r="S10" s="62">
        <f t="shared" si="2"/>
        <v>56.19649100000003</v>
      </c>
      <c r="T10" s="63">
        <f t="shared" si="3"/>
        <v>93.87327300000004</v>
      </c>
      <c r="U10" s="64" t="s">
        <v>167</v>
      </c>
      <c r="V10" s="65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f t="shared" si="4"/>
        <v>0</v>
      </c>
      <c r="AB10" s="63">
        <f t="shared" si="5"/>
        <v>0</v>
      </c>
      <c r="AC10" s="69"/>
      <c r="AD10" s="70"/>
      <c r="AE10" s="70"/>
      <c r="AF10" s="62">
        <f t="shared" si="6"/>
        <v>0</v>
      </c>
      <c r="AG10" s="63">
        <f t="shared" si="13"/>
        <v>0</v>
      </c>
      <c r="AH10" s="97">
        <v>2488</v>
      </c>
      <c r="AI10" s="66">
        <v>4.51</v>
      </c>
      <c r="AJ10" s="66">
        <v>8.31</v>
      </c>
      <c r="AK10" s="62">
        <f t="shared" si="7"/>
        <v>112.2088</v>
      </c>
      <c r="AL10" s="72">
        <f t="shared" si="8"/>
        <v>206.75280000000001</v>
      </c>
      <c r="AM10" s="73">
        <f t="shared" si="14"/>
        <v>7.7000000000225555E-2</v>
      </c>
      <c r="AN10" s="74">
        <f t="shared" si="9"/>
        <v>-0.13262899999996591</v>
      </c>
      <c r="AO10" s="74">
        <f t="shared" si="9"/>
        <v>-2.4486999999993486E-2</v>
      </c>
      <c r="AP10" s="75">
        <f t="shared" si="15"/>
        <v>-1.0469530691069743E-3</v>
      </c>
      <c r="AQ10" s="76">
        <f t="shared" si="10"/>
        <v>-66.866790503316082</v>
      </c>
      <c r="AR10" s="83">
        <f t="shared" si="16"/>
        <v>7.7000000000225555E-2</v>
      </c>
    </row>
    <row r="11" spans="1:44" x14ac:dyDescent="0.25">
      <c r="A11" t="str">
        <f t="shared" si="11"/>
        <v>46177E</v>
      </c>
      <c r="B11" s="51">
        <f t="shared" si="17"/>
        <v>46177</v>
      </c>
      <c r="C11" s="52" t="s">
        <v>88</v>
      </c>
      <c r="D11" s="79">
        <v>2488</v>
      </c>
      <c r="E11" s="62">
        <v>4.51</v>
      </c>
      <c r="F11" s="62">
        <v>8.31</v>
      </c>
      <c r="G11" s="170">
        <f t="shared" si="0"/>
        <v>112.2088</v>
      </c>
      <c r="H11" s="171">
        <f t="shared" si="1"/>
        <v>206.75280000000001</v>
      </c>
      <c r="I11" s="119">
        <v>905.3</v>
      </c>
      <c r="J11" s="120">
        <v>932.45899999999995</v>
      </c>
      <c r="K11" s="121">
        <v>4.3719650944438309</v>
      </c>
      <c r="L11" s="122">
        <v>8.1993482823373487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2"/>
        <v>932.45899999999995</v>
      </c>
      <c r="S11" s="62">
        <f t="shared" si="2"/>
        <v>40.766781999999999</v>
      </c>
      <c r="T11" s="63">
        <f t="shared" si="3"/>
        <v>76.455561000000017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4"/>
        <v>0</v>
      </c>
      <c r="AB11" s="63">
        <f t="shared" si="5"/>
        <v>0</v>
      </c>
      <c r="AC11" s="69"/>
      <c r="AD11" s="70"/>
      <c r="AE11" s="70"/>
      <c r="AF11" s="62">
        <f t="shared" si="6"/>
        <v>0</v>
      </c>
      <c r="AG11" s="63">
        <f t="shared" si="13"/>
        <v>0</v>
      </c>
      <c r="AH11" s="97">
        <v>3420.4</v>
      </c>
      <c r="AI11" s="66">
        <v>4.47</v>
      </c>
      <c r="AJ11" s="66">
        <v>8.2799999999999994</v>
      </c>
      <c r="AK11" s="62">
        <f t="shared" si="7"/>
        <v>152.89187999999999</v>
      </c>
      <c r="AL11" s="72">
        <f t="shared" si="8"/>
        <v>283.20911999999998</v>
      </c>
      <c r="AM11" s="73">
        <f t="shared" si="14"/>
        <v>5.8999999999741704E-2</v>
      </c>
      <c r="AN11" s="74">
        <f t="shared" si="9"/>
        <v>8.3702000000016596E-2</v>
      </c>
      <c r="AO11" s="74">
        <f t="shared" si="9"/>
        <v>-7.5899999995954204E-4</v>
      </c>
      <c r="AP11" s="75">
        <f t="shared" si="15"/>
        <v>7.0756988708250816E-4</v>
      </c>
      <c r="AQ11" s="76">
        <f t="shared" si="10"/>
        <v>37.347516360019554</v>
      </c>
      <c r="AR11" s="83">
        <f t="shared" si="16"/>
        <v>5.8999999999741704E-2</v>
      </c>
    </row>
    <row r="12" spans="1:44" x14ac:dyDescent="0.25">
      <c r="A12" t="str">
        <f t="shared" si="11"/>
        <v>46178M</v>
      </c>
      <c r="B12" s="51">
        <f t="shared" si="17"/>
        <v>46178</v>
      </c>
      <c r="C12" s="52" t="s">
        <v>87</v>
      </c>
      <c r="D12" s="79">
        <v>3420.4</v>
      </c>
      <c r="E12" s="62">
        <v>4.47</v>
      </c>
      <c r="F12" s="62">
        <v>8.2799999999999994</v>
      </c>
      <c r="G12" s="170">
        <f t="shared" si="0"/>
        <v>152.89187999999999</v>
      </c>
      <c r="H12" s="171">
        <f t="shared" si="1"/>
        <v>283.20911999999998</v>
      </c>
      <c r="I12" s="119">
        <v>1039.8</v>
      </c>
      <c r="J12" s="120">
        <v>1070.9939999999999</v>
      </c>
      <c r="K12" s="121">
        <v>5.31</v>
      </c>
      <c r="L12" s="122">
        <v>8.6199999999999992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2"/>
        <v>1070.9939999999999</v>
      </c>
      <c r="S12" s="62">
        <f t="shared" si="2"/>
        <v>56.869781399999987</v>
      </c>
      <c r="T12" s="63">
        <f t="shared" si="3"/>
        <v>92.319682799999995</v>
      </c>
      <c r="U12" s="64" t="s">
        <v>266</v>
      </c>
      <c r="V12" s="65" t="s">
        <v>371</v>
      </c>
      <c r="W12" s="66" t="s">
        <v>239</v>
      </c>
      <c r="X12" s="67">
        <v>4520</v>
      </c>
      <c r="Y12" s="68">
        <v>4.75</v>
      </c>
      <c r="Z12" s="68">
        <v>8.36</v>
      </c>
      <c r="AA12" s="62">
        <f t="shared" si="4"/>
        <v>214.7</v>
      </c>
      <c r="AB12" s="63">
        <f t="shared" si="5"/>
        <v>377.87199999999996</v>
      </c>
      <c r="AC12" s="69">
        <v>4520</v>
      </c>
      <c r="AD12" s="70">
        <v>4.75</v>
      </c>
      <c r="AE12" s="70">
        <v>8.36</v>
      </c>
      <c r="AF12" s="62">
        <f t="shared" si="6"/>
        <v>214.7</v>
      </c>
      <c r="AG12" s="63">
        <f t="shared" si="13"/>
        <v>377.87199999999996</v>
      </c>
      <c r="AH12" s="97">
        <v>0</v>
      </c>
      <c r="AI12" s="66">
        <v>0</v>
      </c>
      <c r="AJ12" s="66">
        <v>0</v>
      </c>
      <c r="AK12" s="62">
        <f t="shared" si="7"/>
        <v>0</v>
      </c>
      <c r="AL12" s="72">
        <f t="shared" si="8"/>
        <v>0</v>
      </c>
      <c r="AM12" s="73">
        <f t="shared" si="14"/>
        <v>-28.605999999999767</v>
      </c>
      <c r="AN12" s="74">
        <f t="shared" si="9"/>
        <v>-4.9383386000000087</v>
      </c>
      <c r="AO12" s="74">
        <f t="shared" si="9"/>
        <v>-2.3431971999999632</v>
      </c>
      <c r="AP12" s="75">
        <f t="shared" si="15"/>
        <v>-4.8807305790967329E-2</v>
      </c>
      <c r="AQ12" s="76">
        <f t="shared" si="10"/>
        <v>-2918.1260176273263</v>
      </c>
      <c r="AR12" s="83">
        <f t="shared" si="16"/>
        <v>-28.605999999999767</v>
      </c>
    </row>
    <row r="13" spans="1:44" x14ac:dyDescent="0.25">
      <c r="A13" t="str">
        <f t="shared" si="11"/>
        <v>46178E</v>
      </c>
      <c r="B13" s="51">
        <f t="shared" si="17"/>
        <v>46178</v>
      </c>
      <c r="C13" s="52" t="s">
        <v>88</v>
      </c>
      <c r="D13" s="79">
        <v>0</v>
      </c>
      <c r="E13" s="62">
        <v>0</v>
      </c>
      <c r="F13" s="62">
        <v>0</v>
      </c>
      <c r="G13" s="170">
        <f t="shared" si="0"/>
        <v>0</v>
      </c>
      <c r="H13" s="171">
        <f t="shared" si="1"/>
        <v>0</v>
      </c>
      <c r="I13" s="119">
        <v>1177.2</v>
      </c>
      <c r="J13" s="120">
        <v>1212.5160000000001</v>
      </c>
      <c r="K13" s="121">
        <v>4.42</v>
      </c>
      <c r="L13" s="122">
        <v>8.2200000000000006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2"/>
        <v>1212.5160000000001</v>
      </c>
      <c r="S13" s="62">
        <f t="shared" si="2"/>
        <v>53.593207200000002</v>
      </c>
      <c r="T13" s="63">
        <f t="shared" si="3"/>
        <v>99.668815200000012</v>
      </c>
      <c r="U13" s="64" t="s">
        <v>187</v>
      </c>
      <c r="V13" s="65" t="s">
        <v>187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4"/>
        <v>0</v>
      </c>
      <c r="AB13" s="63">
        <f t="shared" si="5"/>
        <v>0</v>
      </c>
      <c r="AC13" s="69"/>
      <c r="AD13" s="70"/>
      <c r="AE13" s="70"/>
      <c r="AF13" s="62">
        <f t="shared" si="6"/>
        <v>0</v>
      </c>
      <c r="AG13" s="63">
        <f t="shared" si="13"/>
        <v>0</v>
      </c>
      <c r="AH13" s="97">
        <v>1212.5</v>
      </c>
      <c r="AI13" s="66">
        <v>4.42</v>
      </c>
      <c r="AJ13" s="66">
        <v>8.2200000000000006</v>
      </c>
      <c r="AK13" s="62">
        <f t="shared" si="7"/>
        <v>53.592499999999994</v>
      </c>
      <c r="AL13" s="72">
        <f t="shared" si="8"/>
        <v>99.667500000000018</v>
      </c>
      <c r="AM13" s="73">
        <f t="shared" si="14"/>
        <v>1.6000000000076398E-2</v>
      </c>
      <c r="AN13" s="74">
        <f t="shared" si="9"/>
        <v>7.0720000000790151E-4</v>
      </c>
      <c r="AO13" s="74">
        <f t="shared" si="9"/>
        <v>1.3151999999934105E-3</v>
      </c>
      <c r="AP13" s="75">
        <f t="shared" si="15"/>
        <v>1.319570215981511E-5</v>
      </c>
      <c r="AQ13" s="76">
        <f t="shared" si="10"/>
        <v>0.71107344000157502</v>
      </c>
      <c r="AR13" s="83">
        <f t="shared" si="16"/>
        <v>1.6000000000076398E-2</v>
      </c>
    </row>
    <row r="14" spans="1:44" x14ac:dyDescent="0.25">
      <c r="A14" t="str">
        <f t="shared" si="11"/>
        <v>46179M</v>
      </c>
      <c r="B14" s="51">
        <f t="shared" si="17"/>
        <v>46179</v>
      </c>
      <c r="C14" s="52" t="s">
        <v>87</v>
      </c>
      <c r="D14" s="79">
        <v>1212.5</v>
      </c>
      <c r="E14" s="62">
        <v>4.42</v>
      </c>
      <c r="F14" s="62">
        <v>8.2200000000000006</v>
      </c>
      <c r="G14" s="170">
        <f t="shared" si="0"/>
        <v>53.592499999999994</v>
      </c>
      <c r="H14" s="171">
        <f t="shared" si="1"/>
        <v>99.667500000000018</v>
      </c>
      <c r="I14" s="119">
        <v>1318.9</v>
      </c>
      <c r="J14" s="120">
        <v>1358.4670000000001</v>
      </c>
      <c r="K14" s="121">
        <v>5.24</v>
      </c>
      <c r="L14" s="122">
        <v>8.57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2"/>
        <v>1358.4670000000001</v>
      </c>
      <c r="S14" s="62">
        <f t="shared" si="2"/>
        <v>71.183670800000002</v>
      </c>
      <c r="T14" s="63">
        <f t="shared" si="3"/>
        <v>116.4206219</v>
      </c>
      <c r="U14" s="64" t="s">
        <v>266</v>
      </c>
      <c r="V14" s="65" t="s">
        <v>372</v>
      </c>
      <c r="W14" s="66" t="s">
        <v>239</v>
      </c>
      <c r="X14" s="67">
        <v>2635</v>
      </c>
      <c r="Y14" s="68">
        <v>4.8</v>
      </c>
      <c r="Z14" s="68">
        <v>8.3000000000000007</v>
      </c>
      <c r="AA14" s="62">
        <f t="shared" si="4"/>
        <v>126.48</v>
      </c>
      <c r="AB14" s="63">
        <f t="shared" si="5"/>
        <v>218.70500000000001</v>
      </c>
      <c r="AC14" s="69">
        <v>2635</v>
      </c>
      <c r="AD14" s="70">
        <v>4.8</v>
      </c>
      <c r="AE14" s="70">
        <v>8.24</v>
      </c>
      <c r="AF14" s="62">
        <f t="shared" si="6"/>
        <v>126.48</v>
      </c>
      <c r="AG14" s="63">
        <f t="shared" si="13"/>
        <v>217.124</v>
      </c>
      <c r="AH14" s="89">
        <v>0</v>
      </c>
      <c r="AI14" s="66">
        <v>0</v>
      </c>
      <c r="AJ14" s="66">
        <v>0</v>
      </c>
      <c r="AK14" s="62">
        <f t="shared" si="7"/>
        <v>0</v>
      </c>
      <c r="AL14" s="72">
        <f t="shared" si="8"/>
        <v>0</v>
      </c>
      <c r="AM14" s="73">
        <f t="shared" si="14"/>
        <v>-64.032999999999902</v>
      </c>
      <c r="AN14" s="74">
        <f t="shared" si="9"/>
        <v>-1.7038292000000155</v>
      </c>
      <c r="AO14" s="74">
        <f t="shared" si="9"/>
        <v>-1.0358780999999624</v>
      </c>
      <c r="AP14" s="75">
        <f t="shared" si="15"/>
        <v>-1.4603649311911389E-2</v>
      </c>
      <c r="AQ14" s="76">
        <f t="shared" si="10"/>
        <v>-1074.8766580859958</v>
      </c>
      <c r="AR14" s="90">
        <f t="shared" si="16"/>
        <v>-64.032999999999902</v>
      </c>
    </row>
    <row r="15" spans="1:44" x14ac:dyDescent="0.25">
      <c r="A15" t="str">
        <f t="shared" si="11"/>
        <v>46179E</v>
      </c>
      <c r="B15" s="51">
        <f t="shared" si="17"/>
        <v>46179</v>
      </c>
      <c r="C15" s="52" t="s">
        <v>88</v>
      </c>
      <c r="D15" s="79">
        <v>0</v>
      </c>
      <c r="E15" s="62">
        <v>0</v>
      </c>
      <c r="F15" s="62">
        <v>0</v>
      </c>
      <c r="G15" s="170">
        <f t="shared" si="0"/>
        <v>0</v>
      </c>
      <c r="H15" s="171">
        <f t="shared" si="1"/>
        <v>0</v>
      </c>
      <c r="I15" s="119">
        <v>1030.2</v>
      </c>
      <c r="J15" s="120">
        <v>1061.106</v>
      </c>
      <c r="K15" s="121">
        <v>4.51</v>
      </c>
      <c r="L15" s="122">
        <v>8.35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2"/>
        <v>1061.106</v>
      </c>
      <c r="S15" s="62">
        <f t="shared" si="2"/>
        <v>47.855880599999999</v>
      </c>
      <c r="T15" s="63">
        <f t="shared" si="3"/>
        <v>88.602350999999985</v>
      </c>
      <c r="U15" s="64" t="s">
        <v>187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4"/>
        <v>0</v>
      </c>
      <c r="AB15" s="63">
        <f t="shared" si="5"/>
        <v>0</v>
      </c>
      <c r="AC15" s="69"/>
      <c r="AD15" s="70"/>
      <c r="AE15" s="70"/>
      <c r="AF15" s="62">
        <f t="shared" si="6"/>
        <v>0</v>
      </c>
      <c r="AG15" s="63">
        <f t="shared" si="13"/>
        <v>0</v>
      </c>
      <c r="AH15" s="89">
        <v>1061.0999999999999</v>
      </c>
      <c r="AI15" s="66">
        <v>4.51</v>
      </c>
      <c r="AJ15" s="66">
        <v>8.35</v>
      </c>
      <c r="AK15" s="62">
        <f t="shared" si="7"/>
        <v>47.855609999999999</v>
      </c>
      <c r="AL15" s="72">
        <f t="shared" si="8"/>
        <v>88.601849999999985</v>
      </c>
      <c r="AM15" s="73">
        <f t="shared" si="14"/>
        <v>6.0000000000854925E-3</v>
      </c>
      <c r="AN15" s="74">
        <f t="shared" si="9"/>
        <v>2.7060000000034279E-4</v>
      </c>
      <c r="AO15" s="74">
        <f t="shared" si="9"/>
        <v>5.0099999999986267E-4</v>
      </c>
      <c r="AP15" s="75">
        <f t="shared" si="15"/>
        <v>5.6544774980083036E-6</v>
      </c>
      <c r="AQ15" s="76">
        <f t="shared" si="10"/>
        <v>0.27141098600011282</v>
      </c>
      <c r="AR15" s="90">
        <f t="shared" si="16"/>
        <v>6.0000000000854925E-3</v>
      </c>
    </row>
    <row r="16" spans="1:44" x14ac:dyDescent="0.25">
      <c r="A16" t="str">
        <f t="shared" si="11"/>
        <v>46180M</v>
      </c>
      <c r="B16" s="51">
        <f t="shared" si="17"/>
        <v>46180</v>
      </c>
      <c r="C16" s="52" t="s">
        <v>87</v>
      </c>
      <c r="D16" s="79">
        <v>1061.0999999999999</v>
      </c>
      <c r="E16" s="62">
        <v>4.51</v>
      </c>
      <c r="F16" s="62">
        <v>8.35</v>
      </c>
      <c r="G16" s="170">
        <f t="shared" si="0"/>
        <v>47.855609999999999</v>
      </c>
      <c r="H16" s="171">
        <f t="shared" si="1"/>
        <v>88.601849999999985</v>
      </c>
      <c r="I16" s="119">
        <v>989.8</v>
      </c>
      <c r="J16" s="120">
        <v>1019.494</v>
      </c>
      <c r="K16" s="121">
        <v>4.4400000000000004</v>
      </c>
      <c r="L16" s="122">
        <v>8.3000000000000007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2"/>
        <v>1019.494</v>
      </c>
      <c r="S16" s="62">
        <f t="shared" si="2"/>
        <v>45.265533600000005</v>
      </c>
      <c r="T16" s="63">
        <f t="shared" si="3"/>
        <v>84.618002000000004</v>
      </c>
      <c r="U16" s="64" t="s">
        <v>167</v>
      </c>
      <c r="V16" s="65" t="s">
        <v>187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4"/>
        <v>0</v>
      </c>
      <c r="AB16" s="63">
        <f t="shared" si="5"/>
        <v>0</v>
      </c>
      <c r="AC16" s="69"/>
      <c r="AD16" s="70"/>
      <c r="AE16" s="70"/>
      <c r="AF16" s="62">
        <f t="shared" si="6"/>
        <v>0</v>
      </c>
      <c r="AG16" s="63">
        <f t="shared" si="13"/>
        <v>0</v>
      </c>
      <c r="AH16" s="97">
        <v>2080.5</v>
      </c>
      <c r="AI16" s="118">
        <v>4.4800000000000004</v>
      </c>
      <c r="AJ16" s="118">
        <v>8.33</v>
      </c>
      <c r="AK16" s="62">
        <f t="shared" si="7"/>
        <v>93.206400000000016</v>
      </c>
      <c r="AL16" s="72">
        <f t="shared" si="8"/>
        <v>173.30564999999999</v>
      </c>
      <c r="AM16" s="73">
        <f t="shared" si="14"/>
        <v>9.4000000000050932E-2</v>
      </c>
      <c r="AN16" s="74">
        <f t="shared" si="9"/>
        <v>-8.5256400000005783E-2</v>
      </c>
      <c r="AO16" s="74">
        <f t="shared" si="9"/>
        <v>-8.5797999999982721E-2</v>
      </c>
      <c r="AP16" s="75">
        <f t="shared" si="15"/>
        <v>-1.3169829355953295E-3</v>
      </c>
      <c r="AQ16" s="76">
        <f t="shared" si="10"/>
        <v>-63.949503977330764</v>
      </c>
      <c r="AR16" s="90">
        <f t="shared" si="16"/>
        <v>9.4000000000050932E-2</v>
      </c>
    </row>
    <row r="17" spans="1:48" x14ac:dyDescent="0.25">
      <c r="A17" t="str">
        <f t="shared" si="11"/>
        <v>46180E</v>
      </c>
      <c r="B17" s="51">
        <f t="shared" si="17"/>
        <v>46180</v>
      </c>
      <c r="C17" s="52" t="s">
        <v>88</v>
      </c>
      <c r="D17" s="79">
        <v>2080.5</v>
      </c>
      <c r="E17" s="62">
        <v>4.4800000000000004</v>
      </c>
      <c r="F17" s="62">
        <v>8.33</v>
      </c>
      <c r="G17" s="170">
        <f t="shared" si="0"/>
        <v>93.206400000000016</v>
      </c>
      <c r="H17" s="171">
        <f t="shared" si="1"/>
        <v>173.30564999999999</v>
      </c>
      <c r="I17" s="119">
        <v>1440.6</v>
      </c>
      <c r="J17" s="120">
        <v>1483.818</v>
      </c>
      <c r="K17" s="121">
        <v>4.21</v>
      </c>
      <c r="L17" s="122">
        <v>8.61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2"/>
        <v>1483.818</v>
      </c>
      <c r="S17" s="62">
        <f t="shared" si="2"/>
        <v>62.4687378</v>
      </c>
      <c r="T17" s="63">
        <f t="shared" si="3"/>
        <v>127.75672979999999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4"/>
        <v>0</v>
      </c>
      <c r="AB17" s="63">
        <f t="shared" si="5"/>
        <v>0</v>
      </c>
      <c r="AC17" s="69"/>
      <c r="AD17" s="70"/>
      <c r="AE17" s="70"/>
      <c r="AF17" s="62">
        <f t="shared" si="6"/>
        <v>0</v>
      </c>
      <c r="AG17" s="63">
        <f t="shared" si="13"/>
        <v>0</v>
      </c>
      <c r="AH17" s="97">
        <v>3564.4</v>
      </c>
      <c r="AI17" s="66">
        <v>4.3600000000000003</v>
      </c>
      <c r="AJ17" s="66">
        <v>8.36</v>
      </c>
      <c r="AK17" s="62">
        <f t="shared" si="7"/>
        <v>155.40783999999999</v>
      </c>
      <c r="AL17" s="72">
        <f t="shared" si="8"/>
        <v>297.98383999999999</v>
      </c>
      <c r="AM17" s="73">
        <f t="shared" si="14"/>
        <v>-8.1999999999879947E-2</v>
      </c>
      <c r="AN17" s="74">
        <f t="shared" si="9"/>
        <v>0.26729780000002279</v>
      </c>
      <c r="AO17" s="74">
        <f t="shared" si="9"/>
        <v>3.0785397999999873</v>
      </c>
      <c r="AP17" s="75">
        <f t="shared" si="15"/>
        <v>1.758879945053167E-2</v>
      </c>
      <c r="AQ17" s="76">
        <f t="shared" si="10"/>
        <v>1041.3175231433397</v>
      </c>
      <c r="AR17" s="90">
        <f t="shared" si="16"/>
        <v>-8.1999999999879947E-2</v>
      </c>
    </row>
    <row r="18" spans="1:48" x14ac:dyDescent="0.25">
      <c r="A18" t="str">
        <f t="shared" si="11"/>
        <v>46181M</v>
      </c>
      <c r="B18" s="51">
        <f t="shared" si="17"/>
        <v>46181</v>
      </c>
      <c r="C18" s="52" t="s">
        <v>87</v>
      </c>
      <c r="D18" s="79">
        <v>3564.4</v>
      </c>
      <c r="E18" s="62">
        <v>4.3600000000000003</v>
      </c>
      <c r="F18" s="62">
        <v>8.36</v>
      </c>
      <c r="G18" s="170">
        <f t="shared" si="0"/>
        <v>155.40783999999999</v>
      </c>
      <c r="H18" s="171">
        <f t="shared" si="1"/>
        <v>297.98383999999999</v>
      </c>
      <c r="I18" s="119">
        <v>599.20000000000005</v>
      </c>
      <c r="J18" s="120">
        <v>617.17600000000004</v>
      </c>
      <c r="K18" s="121">
        <v>5.07</v>
      </c>
      <c r="L18" s="122">
        <v>8.48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2"/>
        <v>617.17600000000004</v>
      </c>
      <c r="S18" s="62">
        <f t="shared" si="2"/>
        <v>31.290823200000002</v>
      </c>
      <c r="T18" s="63">
        <f t="shared" si="3"/>
        <v>52.336524800000007</v>
      </c>
      <c r="U18" s="64" t="s">
        <v>167</v>
      </c>
      <c r="V18" s="65" t="s">
        <v>187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4"/>
        <v>0</v>
      </c>
      <c r="AB18" s="63">
        <f t="shared" si="5"/>
        <v>0</v>
      </c>
      <c r="AC18" s="69"/>
      <c r="AD18" s="70"/>
      <c r="AE18" s="70"/>
      <c r="AF18" s="62">
        <f t="shared" si="6"/>
        <v>0</v>
      </c>
      <c r="AG18" s="63">
        <f t="shared" si="13"/>
        <v>0</v>
      </c>
      <c r="AH18" s="97">
        <v>4181.5</v>
      </c>
      <c r="AI18" s="66">
        <v>4.47</v>
      </c>
      <c r="AJ18" s="66">
        <v>8.3800000000000008</v>
      </c>
      <c r="AK18" s="62">
        <f t="shared" si="7"/>
        <v>186.91305</v>
      </c>
      <c r="AL18" s="72">
        <f t="shared" si="8"/>
        <v>350.40970000000004</v>
      </c>
      <c r="AM18" s="73">
        <f t="shared" si="14"/>
        <v>7.6000000000021828E-2</v>
      </c>
      <c r="AN18" s="74">
        <f t="shared" si="9"/>
        <v>-0.21438679999999977</v>
      </c>
      <c r="AO18" s="74">
        <f t="shared" si="9"/>
        <v>-8.9335200000050463E-2</v>
      </c>
      <c r="AP18" s="75">
        <f t="shared" si="15"/>
        <v>-3.6318501933129601E-3</v>
      </c>
      <c r="AQ18" s="76">
        <f t="shared" si="10"/>
        <v>-122.97602147601501</v>
      </c>
      <c r="AR18" s="90">
        <f t="shared" si="16"/>
        <v>7.6000000000021828E-2</v>
      </c>
    </row>
    <row r="19" spans="1:48" x14ac:dyDescent="0.25">
      <c r="A19" t="str">
        <f t="shared" si="11"/>
        <v>46181E</v>
      </c>
      <c r="B19" s="51">
        <f t="shared" si="17"/>
        <v>46181</v>
      </c>
      <c r="C19" s="52" t="s">
        <v>88</v>
      </c>
      <c r="D19" s="79">
        <v>4181.5</v>
      </c>
      <c r="E19" s="62">
        <v>4.47</v>
      </c>
      <c r="F19" s="62">
        <v>8.3800000000000008</v>
      </c>
      <c r="G19" s="170">
        <f t="shared" si="0"/>
        <v>186.91305</v>
      </c>
      <c r="H19" s="171">
        <f t="shared" si="1"/>
        <v>350.40970000000004</v>
      </c>
      <c r="I19" s="119">
        <v>1063.4000000000001</v>
      </c>
      <c r="J19" s="120">
        <v>1095.3020000000001</v>
      </c>
      <c r="K19" s="121">
        <v>4.29</v>
      </c>
      <c r="L19" s="122">
        <v>8.4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2"/>
        <v>1095.3020000000001</v>
      </c>
      <c r="S19" s="62">
        <f t="shared" si="2"/>
        <v>46.988455800000004</v>
      </c>
      <c r="T19" s="63">
        <f t="shared" si="3"/>
        <v>92.005368000000018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4"/>
        <v>0</v>
      </c>
      <c r="AB19" s="63">
        <f t="shared" si="5"/>
        <v>0</v>
      </c>
      <c r="AC19" s="69"/>
      <c r="AD19" s="70"/>
      <c r="AE19" s="70"/>
      <c r="AF19" s="62">
        <f t="shared" si="6"/>
        <v>0</v>
      </c>
      <c r="AG19" s="63">
        <f t="shared" si="13"/>
        <v>0</v>
      </c>
      <c r="AH19" s="97">
        <v>5276.8</v>
      </c>
      <c r="AI19" s="66">
        <v>4.43</v>
      </c>
      <c r="AJ19" s="66">
        <v>8.3800000000000008</v>
      </c>
      <c r="AK19" s="62">
        <f t="shared" si="7"/>
        <v>233.76223999999999</v>
      </c>
      <c r="AL19" s="72">
        <f t="shared" si="8"/>
        <v>442.19584000000009</v>
      </c>
      <c r="AM19" s="73">
        <f t="shared" si="14"/>
        <v>1.9999999994979589E-3</v>
      </c>
      <c r="AN19" s="74">
        <f t="shared" si="9"/>
        <v>0.13926580000000399</v>
      </c>
      <c r="AO19" s="74">
        <f t="shared" si="9"/>
        <v>0.21922799999998688</v>
      </c>
      <c r="AP19" s="75">
        <f t="shared" si="15"/>
        <v>2.5792066884628784E-3</v>
      </c>
      <c r="AQ19" s="76">
        <f t="shared" si="10"/>
        <v>128.12690459799788</v>
      </c>
      <c r="AR19" s="90">
        <f t="shared" si="16"/>
        <v>1.9999999994979589E-3</v>
      </c>
    </row>
    <row r="20" spans="1:48" x14ac:dyDescent="0.25">
      <c r="A20" t="str">
        <f t="shared" si="11"/>
        <v>46182M</v>
      </c>
      <c r="B20" s="51">
        <f t="shared" si="17"/>
        <v>46182</v>
      </c>
      <c r="C20" s="52" t="s">
        <v>87</v>
      </c>
      <c r="D20" s="79">
        <v>5276.8</v>
      </c>
      <c r="E20" s="62">
        <v>4.43</v>
      </c>
      <c r="F20" s="62">
        <v>8.3800000000000008</v>
      </c>
      <c r="G20" s="170">
        <f t="shared" si="0"/>
        <v>233.76223999999999</v>
      </c>
      <c r="H20" s="171">
        <f t="shared" si="1"/>
        <v>442.19584000000009</v>
      </c>
      <c r="I20" s="119">
        <v>683.9</v>
      </c>
      <c r="J20" s="120">
        <v>704.41700000000003</v>
      </c>
      <c r="K20" s="121">
        <v>4.79</v>
      </c>
      <c r="L20" s="122">
        <v>8.51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2"/>
        <v>704.41700000000003</v>
      </c>
      <c r="S20" s="62">
        <f t="shared" si="2"/>
        <v>33.741574300000003</v>
      </c>
      <c r="T20" s="63">
        <f t="shared" si="3"/>
        <v>59.945886700000003</v>
      </c>
      <c r="U20" s="64" t="s">
        <v>266</v>
      </c>
      <c r="V20" s="65" t="s">
        <v>373</v>
      </c>
      <c r="W20" s="66" t="s">
        <v>239</v>
      </c>
      <c r="X20" s="67">
        <v>6100</v>
      </c>
      <c r="Y20" s="68">
        <v>4.4000000000000004</v>
      </c>
      <c r="Z20" s="68">
        <v>8.2200000000000006</v>
      </c>
      <c r="AA20" s="62">
        <f t="shared" si="4"/>
        <v>268.40000000000003</v>
      </c>
      <c r="AB20" s="63">
        <f t="shared" si="5"/>
        <v>501.42000000000007</v>
      </c>
      <c r="AC20" s="69">
        <v>6100</v>
      </c>
      <c r="AD20" s="70">
        <v>4.4000000000000004</v>
      </c>
      <c r="AE20" s="70">
        <v>8.2200000000000006</v>
      </c>
      <c r="AF20" s="62">
        <f t="shared" si="6"/>
        <v>268.40000000000003</v>
      </c>
      <c r="AG20" s="63">
        <f t="shared" si="13"/>
        <v>501.42000000000007</v>
      </c>
      <c r="AH20" s="97">
        <v>0</v>
      </c>
      <c r="AI20" s="66">
        <v>0</v>
      </c>
      <c r="AJ20" s="66">
        <v>0</v>
      </c>
      <c r="AK20" s="62">
        <f t="shared" si="7"/>
        <v>0</v>
      </c>
      <c r="AL20" s="72">
        <f t="shared" si="8"/>
        <v>0</v>
      </c>
      <c r="AM20" s="73">
        <f t="shared" si="14"/>
        <v>-118.78299999999945</v>
      </c>
      <c r="AN20" s="74">
        <f t="shared" ref="AN20:AO65" si="18">+G20+S20-AF20-AK20</f>
        <v>-0.89618570000004638</v>
      </c>
      <c r="AO20" s="74">
        <f t="shared" si="18"/>
        <v>0.72172670000003336</v>
      </c>
      <c r="AP20" s="75">
        <f t="shared" si="15"/>
        <v>-1.8621382001163742E-3</v>
      </c>
      <c r="AQ20" s="76">
        <f t="shared" si="10"/>
        <v>-186.31316732234416</v>
      </c>
      <c r="AR20" s="90">
        <f t="shared" si="16"/>
        <v>-118.78299999999945</v>
      </c>
    </row>
    <row r="21" spans="1:48" x14ac:dyDescent="0.25">
      <c r="A21" t="str">
        <f t="shared" si="11"/>
        <v>46182E</v>
      </c>
      <c r="B21" s="51">
        <f t="shared" si="17"/>
        <v>46182</v>
      </c>
      <c r="C21" s="52" t="s">
        <v>88</v>
      </c>
      <c r="D21" s="79">
        <v>0</v>
      </c>
      <c r="E21" s="62">
        <v>0</v>
      </c>
      <c r="F21" s="62">
        <v>0</v>
      </c>
      <c r="G21" s="170">
        <f t="shared" si="0"/>
        <v>0</v>
      </c>
      <c r="H21" s="171">
        <f t="shared" si="1"/>
        <v>0</v>
      </c>
      <c r="I21" s="119">
        <v>1005</v>
      </c>
      <c r="J21" s="120">
        <v>1035.1500000000001</v>
      </c>
      <c r="K21" s="121">
        <v>4.62</v>
      </c>
      <c r="L21" s="122">
        <v>8.3800000000000008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2"/>
        <v>1035.1500000000001</v>
      </c>
      <c r="S21" s="62">
        <f t="shared" si="2"/>
        <v>47.823930000000004</v>
      </c>
      <c r="T21" s="63">
        <f t="shared" si="3"/>
        <v>86.745570000000015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4"/>
        <v>0</v>
      </c>
      <c r="AB21" s="63">
        <f t="shared" si="5"/>
        <v>0</v>
      </c>
      <c r="AC21" s="69"/>
      <c r="AD21" s="70"/>
      <c r="AE21" s="70"/>
      <c r="AF21" s="62">
        <f t="shared" si="6"/>
        <v>0</v>
      </c>
      <c r="AG21" s="63">
        <f t="shared" si="13"/>
        <v>0</v>
      </c>
      <c r="AH21" s="97">
        <v>1030.5</v>
      </c>
      <c r="AI21" s="66">
        <v>4.62</v>
      </c>
      <c r="AJ21" s="66">
        <v>8.3800000000000008</v>
      </c>
      <c r="AK21" s="62">
        <f t="shared" si="7"/>
        <v>47.609099999999998</v>
      </c>
      <c r="AL21" s="72">
        <f t="shared" si="8"/>
        <v>86.35590000000002</v>
      </c>
      <c r="AM21" s="73">
        <f t="shared" si="14"/>
        <v>4.6500000000000909</v>
      </c>
      <c r="AN21" s="74">
        <f t="shared" si="18"/>
        <v>0.21483000000000629</v>
      </c>
      <c r="AO21" s="74">
        <f t="shared" si="18"/>
        <v>0.3896699999999953</v>
      </c>
      <c r="AP21" s="75">
        <f t="shared" si="15"/>
        <v>4.4921025938269932E-3</v>
      </c>
      <c r="AQ21" s="76">
        <f t="shared" si="10"/>
        <v>213.05717510000142</v>
      </c>
      <c r="AR21" s="90">
        <f t="shared" si="16"/>
        <v>4.6500000000000909</v>
      </c>
    </row>
    <row r="22" spans="1:48" x14ac:dyDescent="0.25">
      <c r="A22" t="str">
        <f t="shared" si="11"/>
        <v>46183M</v>
      </c>
      <c r="B22" s="51">
        <f t="shared" si="17"/>
        <v>46183</v>
      </c>
      <c r="C22" s="52" t="s">
        <v>87</v>
      </c>
      <c r="D22" s="79">
        <v>1030.5</v>
      </c>
      <c r="E22" s="62">
        <v>4.62</v>
      </c>
      <c r="F22" s="62">
        <v>8.3800000000000008</v>
      </c>
      <c r="G22" s="170">
        <f t="shared" si="0"/>
        <v>47.609099999999998</v>
      </c>
      <c r="H22" s="171">
        <f t="shared" si="1"/>
        <v>86.35590000000002</v>
      </c>
      <c r="I22" s="119">
        <v>1070.7</v>
      </c>
      <c r="J22" s="120">
        <v>1102.8210000000001</v>
      </c>
      <c r="K22" s="121">
        <v>4.8</v>
      </c>
      <c r="L22" s="122">
        <v>8.4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2"/>
        <v>1102.8210000000001</v>
      </c>
      <c r="S22" s="62">
        <f t="shared" si="2"/>
        <v>52.93540800000001</v>
      </c>
      <c r="T22" s="63">
        <f t="shared" si="3"/>
        <v>92.63696400000002</v>
      </c>
      <c r="U22" s="64" t="s">
        <v>167</v>
      </c>
      <c r="V22" s="65" t="s">
        <v>167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4"/>
        <v>0</v>
      </c>
      <c r="AB22" s="63">
        <f t="shared" si="5"/>
        <v>0</v>
      </c>
      <c r="AC22" s="69"/>
      <c r="AD22" s="70"/>
      <c r="AE22" s="70"/>
      <c r="AF22" s="62">
        <f t="shared" si="6"/>
        <v>0</v>
      </c>
      <c r="AG22" s="63">
        <f t="shared" si="13"/>
        <v>0</v>
      </c>
      <c r="AH22" s="97">
        <v>2137.8000000000002</v>
      </c>
      <c r="AI22" s="66">
        <v>4.71</v>
      </c>
      <c r="AJ22" s="66">
        <v>8.4</v>
      </c>
      <c r="AK22" s="62">
        <f t="shared" si="7"/>
        <v>100.69038000000002</v>
      </c>
      <c r="AL22" s="72">
        <f t="shared" si="8"/>
        <v>179.57520000000002</v>
      </c>
      <c r="AM22" s="73">
        <f t="shared" si="14"/>
        <v>-4.4790000000002692</v>
      </c>
      <c r="AN22" s="74">
        <f t="shared" si="18"/>
        <v>-0.14587200000001133</v>
      </c>
      <c r="AO22" s="74">
        <f t="shared" si="18"/>
        <v>-0.58233599999996954</v>
      </c>
      <c r="AP22" s="75">
        <f t="shared" si="15"/>
        <v>-5.002377786356196E-3</v>
      </c>
      <c r="AQ22" s="76">
        <f t="shared" si="10"/>
        <v>-239.76103535999599</v>
      </c>
      <c r="AR22" s="83">
        <f>(D22+J22+O22)-(X22+AH22)</f>
        <v>-4.4790000000002692</v>
      </c>
      <c r="AT22" s="83"/>
      <c r="AU22" s="83"/>
    </row>
    <row r="23" spans="1:48" x14ac:dyDescent="0.25">
      <c r="A23" t="str">
        <f t="shared" si="11"/>
        <v>46183E</v>
      </c>
      <c r="B23" s="51">
        <f t="shared" si="17"/>
        <v>46183</v>
      </c>
      <c r="C23" s="52" t="s">
        <v>88</v>
      </c>
      <c r="D23" s="79">
        <v>2137.8000000000002</v>
      </c>
      <c r="E23" s="62">
        <v>4.71</v>
      </c>
      <c r="F23" s="62">
        <v>8.4</v>
      </c>
      <c r="G23" s="170">
        <f t="shared" si="0"/>
        <v>100.69038000000002</v>
      </c>
      <c r="H23" s="171">
        <f t="shared" si="1"/>
        <v>179.57520000000002</v>
      </c>
      <c r="I23" s="119">
        <v>1354.7</v>
      </c>
      <c r="J23" s="120">
        <v>1395.3410000000001</v>
      </c>
      <c r="K23" s="121">
        <v>4.34</v>
      </c>
      <c r="L23" s="122">
        <v>8.48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2"/>
        <v>1395.3410000000001</v>
      </c>
      <c r="S23" s="62">
        <f t="shared" si="2"/>
        <v>60.557799400000007</v>
      </c>
      <c r="T23" s="63">
        <f t="shared" si="3"/>
        <v>118.32491680000001</v>
      </c>
      <c r="U23" s="64" t="s">
        <v>167</v>
      </c>
      <c r="V23" s="65" t="s">
        <v>167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4"/>
        <v>0</v>
      </c>
      <c r="AB23" s="63">
        <f t="shared" si="5"/>
        <v>0</v>
      </c>
      <c r="AC23" s="69"/>
      <c r="AD23" s="70"/>
      <c r="AE23" s="70"/>
      <c r="AF23" s="62">
        <f t="shared" si="6"/>
        <v>0</v>
      </c>
      <c r="AG23" s="63">
        <f t="shared" si="13"/>
        <v>0</v>
      </c>
      <c r="AH23" s="97">
        <v>3533.1</v>
      </c>
      <c r="AI23" s="66">
        <v>4.57</v>
      </c>
      <c r="AJ23" s="84">
        <v>8.43</v>
      </c>
      <c r="AK23" s="62">
        <f t="shared" si="7"/>
        <v>161.46267</v>
      </c>
      <c r="AL23" s="72">
        <f t="shared" si="8"/>
        <v>297.84032999999999</v>
      </c>
      <c r="AM23" s="73">
        <f t="shared" si="14"/>
        <v>4.1000000000622094E-2</v>
      </c>
      <c r="AN23" s="74">
        <f t="shared" si="18"/>
        <v>-0.21449059999997644</v>
      </c>
      <c r="AO23" s="74">
        <f t="shared" si="18"/>
        <v>5.978680000004033E-2</v>
      </c>
      <c r="AP23" s="75">
        <f t="shared" si="15"/>
        <v>-8.6483369263562254E-4</v>
      </c>
      <c r="AQ23" s="76">
        <f t="shared" si="10"/>
        <v>-78.394380320644018</v>
      </c>
      <c r="AR23" s="83">
        <f t="shared" si="16"/>
        <v>4.1000000000622094E-2</v>
      </c>
      <c r="AU23" s="83"/>
    </row>
    <row r="24" spans="1:48" x14ac:dyDescent="0.25">
      <c r="A24" t="str">
        <f t="shared" si="11"/>
        <v>46184M</v>
      </c>
      <c r="B24" s="51">
        <f t="shared" si="17"/>
        <v>46184</v>
      </c>
      <c r="C24" s="52" t="s">
        <v>87</v>
      </c>
      <c r="D24" s="79">
        <v>3533.1</v>
      </c>
      <c r="E24" s="62">
        <v>4.57</v>
      </c>
      <c r="F24" s="62">
        <v>8.43</v>
      </c>
      <c r="G24" s="170">
        <f t="shared" si="0"/>
        <v>161.46267</v>
      </c>
      <c r="H24" s="171">
        <f t="shared" si="1"/>
        <v>297.84032999999999</v>
      </c>
      <c r="I24" s="119">
        <v>1243.7</v>
      </c>
      <c r="J24" s="120">
        <v>1281.011</v>
      </c>
      <c r="K24" s="121">
        <v>4.9400000000000004</v>
      </c>
      <c r="L24" s="122">
        <v>8.4600000000000009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2"/>
        <v>1281.011</v>
      </c>
      <c r="S24" s="62">
        <f t="shared" si="2"/>
        <v>63.28194340000001</v>
      </c>
      <c r="T24" s="63">
        <f t="shared" si="3"/>
        <v>108.37353060000001</v>
      </c>
      <c r="U24" s="64" t="s">
        <v>168</v>
      </c>
      <c r="V24" s="65" t="s">
        <v>442</v>
      </c>
      <c r="W24" s="66" t="s">
        <v>239</v>
      </c>
      <c r="X24" s="67">
        <v>4815</v>
      </c>
      <c r="Y24" s="68">
        <v>4.6500000000000004</v>
      </c>
      <c r="Z24" s="68">
        <v>8.25</v>
      </c>
      <c r="AA24" s="62">
        <f t="shared" si="4"/>
        <v>223.89750000000004</v>
      </c>
      <c r="AB24" s="63">
        <f t="shared" si="5"/>
        <v>397.23750000000001</v>
      </c>
      <c r="AC24" s="226">
        <v>4815</v>
      </c>
      <c r="AD24" s="227">
        <v>4.6500000000000004</v>
      </c>
      <c r="AE24" s="227">
        <v>8.25</v>
      </c>
      <c r="AF24" s="62">
        <f t="shared" si="6"/>
        <v>223.89750000000004</v>
      </c>
      <c r="AG24" s="63">
        <f t="shared" si="13"/>
        <v>397.23750000000001</v>
      </c>
      <c r="AH24" s="97">
        <v>0</v>
      </c>
      <c r="AI24" s="66">
        <v>0</v>
      </c>
      <c r="AJ24" s="66">
        <v>0</v>
      </c>
      <c r="AK24" s="62">
        <f t="shared" si="7"/>
        <v>0</v>
      </c>
      <c r="AL24" s="72">
        <f t="shared" si="8"/>
        <v>0</v>
      </c>
      <c r="AM24" s="73">
        <f t="shared" si="14"/>
        <v>-0.88900000000012369</v>
      </c>
      <c r="AN24" s="74">
        <f t="shared" si="18"/>
        <v>0.84711339999998359</v>
      </c>
      <c r="AO24" s="74">
        <f t="shared" si="18"/>
        <v>8.9763605999999641</v>
      </c>
      <c r="AP24" s="75">
        <f t="shared" si="15"/>
        <v>5.7227851644276406E-2</v>
      </c>
      <c r="AQ24" s="76">
        <f t="shared" si="10"/>
        <v>3066.6630343579823</v>
      </c>
      <c r="AR24" s="83">
        <f t="shared" si="16"/>
        <v>-0.88900000000012369</v>
      </c>
      <c r="AT24" s="77"/>
      <c r="AU24" s="77"/>
      <c r="AV24" s="77"/>
    </row>
    <row r="25" spans="1:48" x14ac:dyDescent="0.25">
      <c r="A25" t="str">
        <f t="shared" si="11"/>
        <v>46184E</v>
      </c>
      <c r="B25" s="51">
        <f t="shared" si="17"/>
        <v>46184</v>
      </c>
      <c r="C25" s="52" t="s">
        <v>88</v>
      </c>
      <c r="D25" s="79">
        <v>0</v>
      </c>
      <c r="E25" s="62">
        <v>0</v>
      </c>
      <c r="F25" s="62">
        <v>0</v>
      </c>
      <c r="G25" s="170">
        <f t="shared" si="0"/>
        <v>0</v>
      </c>
      <c r="H25" s="171">
        <f t="shared" si="1"/>
        <v>0</v>
      </c>
      <c r="I25" s="119">
        <v>845.4</v>
      </c>
      <c r="J25" s="120">
        <v>870.76199999999994</v>
      </c>
      <c r="K25" s="121">
        <v>4.7</v>
      </c>
      <c r="L25" s="122">
        <v>8.4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2"/>
        <v>870.76199999999994</v>
      </c>
      <c r="S25" s="62">
        <f t="shared" si="2"/>
        <v>40.925813999999995</v>
      </c>
      <c r="T25" s="63">
        <f t="shared" si="3"/>
        <v>73.144007999999999</v>
      </c>
      <c r="U25" s="64" t="s">
        <v>167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4"/>
        <v>0</v>
      </c>
      <c r="AB25" s="63">
        <f t="shared" si="5"/>
        <v>0</v>
      </c>
      <c r="AC25" s="69"/>
      <c r="AD25" s="70"/>
      <c r="AE25" s="70"/>
      <c r="AF25" s="62">
        <f t="shared" si="6"/>
        <v>0</v>
      </c>
      <c r="AG25" s="63">
        <f t="shared" si="13"/>
        <v>0</v>
      </c>
      <c r="AH25" s="97">
        <v>870.7</v>
      </c>
      <c r="AI25" s="66">
        <v>4.7</v>
      </c>
      <c r="AJ25" s="66">
        <v>8.4</v>
      </c>
      <c r="AK25" s="62">
        <f t="shared" si="7"/>
        <v>40.922900000000006</v>
      </c>
      <c r="AL25" s="72">
        <f t="shared" si="8"/>
        <v>73.138800000000003</v>
      </c>
      <c r="AM25" s="73">
        <f t="shared" si="14"/>
        <v>6.1999999999898137E-2</v>
      </c>
      <c r="AN25" s="74">
        <f t="shared" si="18"/>
        <v>2.9139999999898691E-3</v>
      </c>
      <c r="AO25" s="74">
        <f t="shared" si="18"/>
        <v>5.2079999999961046E-3</v>
      </c>
      <c r="AP25" s="75">
        <f t="shared" si="15"/>
        <v>7.1202004680834645E-5</v>
      </c>
      <c r="AQ25" s="76">
        <f t="shared" si="10"/>
        <v>2.8667392599942865</v>
      </c>
      <c r="AR25" s="83">
        <f t="shared" si="16"/>
        <v>6.1999999999898137E-2</v>
      </c>
    </row>
    <row r="26" spans="1:48" x14ac:dyDescent="0.25">
      <c r="A26" t="str">
        <f t="shared" si="11"/>
        <v>46185M</v>
      </c>
      <c r="B26" s="51">
        <f t="shared" si="17"/>
        <v>46185</v>
      </c>
      <c r="C26" s="52" t="s">
        <v>87</v>
      </c>
      <c r="D26" s="79"/>
      <c r="E26" s="62"/>
      <c r="F26" s="62"/>
      <c r="G26" s="170">
        <f t="shared" si="0"/>
        <v>0</v>
      </c>
      <c r="H26" s="171">
        <f t="shared" si="1"/>
        <v>0</v>
      </c>
      <c r="I26" s="119"/>
      <c r="J26" s="120"/>
      <c r="K26" s="121"/>
      <c r="L26" s="122"/>
      <c r="M26" s="58"/>
      <c r="N26" s="58"/>
      <c r="O26" s="59"/>
      <c r="P26" s="56"/>
      <c r="Q26" s="60"/>
      <c r="R26" s="61">
        <f t="shared" si="12"/>
        <v>0</v>
      </c>
      <c r="S26" s="62">
        <f t="shared" si="2"/>
        <v>0</v>
      </c>
      <c r="T26" s="63">
        <f t="shared" si="3"/>
        <v>0</v>
      </c>
      <c r="U26" s="64"/>
      <c r="V26" s="65"/>
      <c r="W26" s="66"/>
      <c r="X26" s="67"/>
      <c r="Y26" s="68"/>
      <c r="Z26" s="68"/>
      <c r="AA26" s="62">
        <f t="shared" si="4"/>
        <v>0</v>
      </c>
      <c r="AB26" s="63">
        <f t="shared" si="5"/>
        <v>0</v>
      </c>
      <c r="AC26" s="69"/>
      <c r="AD26" s="70"/>
      <c r="AE26" s="70"/>
      <c r="AF26" s="62">
        <f t="shared" si="6"/>
        <v>0</v>
      </c>
      <c r="AG26" s="63">
        <f t="shared" si="13"/>
        <v>0</v>
      </c>
      <c r="AH26" s="97"/>
      <c r="AI26" s="66"/>
      <c r="AJ26" s="66"/>
      <c r="AK26" s="62">
        <f t="shared" si="7"/>
        <v>0</v>
      </c>
      <c r="AL26" s="72">
        <f t="shared" si="8"/>
        <v>0</v>
      </c>
      <c r="AM26" s="73">
        <f t="shared" si="14"/>
        <v>0</v>
      </c>
      <c r="AN26" s="74">
        <f t="shared" si="18"/>
        <v>0</v>
      </c>
      <c r="AO26" s="74">
        <f t="shared" si="18"/>
        <v>0</v>
      </c>
      <c r="AP26" s="75" t="e">
        <f t="shared" si="15"/>
        <v>#DIV/0!</v>
      </c>
      <c r="AQ26" s="76">
        <f t="shared" si="10"/>
        <v>0</v>
      </c>
      <c r="AR26" s="83">
        <f t="shared" si="16"/>
        <v>0</v>
      </c>
    </row>
    <row r="27" spans="1:48" x14ac:dyDescent="0.25">
      <c r="A27" t="str">
        <f t="shared" si="11"/>
        <v>46185E</v>
      </c>
      <c r="B27" s="51">
        <f t="shared" si="17"/>
        <v>46185</v>
      </c>
      <c r="C27" s="52" t="s">
        <v>88</v>
      </c>
      <c r="D27" s="79"/>
      <c r="E27" s="62"/>
      <c r="F27" s="62"/>
      <c r="G27" s="170">
        <f t="shared" si="0"/>
        <v>0</v>
      </c>
      <c r="H27" s="171">
        <f t="shared" si="1"/>
        <v>0</v>
      </c>
      <c r="I27" s="119"/>
      <c r="J27" s="120"/>
      <c r="K27" s="121"/>
      <c r="L27" s="122"/>
      <c r="M27" s="58"/>
      <c r="N27" s="58"/>
      <c r="O27" s="59"/>
      <c r="P27" s="56"/>
      <c r="Q27" s="60"/>
      <c r="R27" s="61">
        <f t="shared" si="12"/>
        <v>0</v>
      </c>
      <c r="S27" s="62">
        <f t="shared" si="2"/>
        <v>0</v>
      </c>
      <c r="T27" s="63">
        <f t="shared" si="3"/>
        <v>0</v>
      </c>
      <c r="U27" s="64"/>
      <c r="V27" s="65"/>
      <c r="W27" s="66"/>
      <c r="X27" s="67"/>
      <c r="Y27" s="68"/>
      <c r="Z27" s="68"/>
      <c r="AA27" s="62">
        <f t="shared" si="4"/>
        <v>0</v>
      </c>
      <c r="AB27" s="63">
        <f t="shared" si="5"/>
        <v>0</v>
      </c>
      <c r="AC27" s="69"/>
      <c r="AD27" s="70"/>
      <c r="AE27" s="70"/>
      <c r="AF27" s="62">
        <f t="shared" si="6"/>
        <v>0</v>
      </c>
      <c r="AG27" s="63">
        <f t="shared" si="13"/>
        <v>0</v>
      </c>
      <c r="AH27" s="97"/>
      <c r="AI27" s="66"/>
      <c r="AJ27" s="66"/>
      <c r="AK27" s="62">
        <f t="shared" si="7"/>
        <v>0</v>
      </c>
      <c r="AL27" s="72">
        <f t="shared" si="8"/>
        <v>0</v>
      </c>
      <c r="AM27" s="73">
        <f t="shared" si="14"/>
        <v>0</v>
      </c>
      <c r="AN27" s="74">
        <f t="shared" si="18"/>
        <v>0</v>
      </c>
      <c r="AO27" s="74">
        <f t="shared" si="18"/>
        <v>0</v>
      </c>
      <c r="AP27" s="75" t="e">
        <f t="shared" si="15"/>
        <v>#DIV/0!</v>
      </c>
      <c r="AQ27" s="76">
        <f t="shared" si="10"/>
        <v>0</v>
      </c>
      <c r="AR27" s="83">
        <f t="shared" si="16"/>
        <v>0</v>
      </c>
    </row>
    <row r="28" spans="1:48" x14ac:dyDescent="0.25">
      <c r="A28" t="str">
        <f t="shared" si="11"/>
        <v>46186M</v>
      </c>
      <c r="B28" s="51">
        <f t="shared" si="17"/>
        <v>46186</v>
      </c>
      <c r="C28" s="52" t="s">
        <v>87</v>
      </c>
      <c r="D28" s="79"/>
      <c r="E28" s="62"/>
      <c r="F28" s="62"/>
      <c r="G28" s="170">
        <f t="shared" si="0"/>
        <v>0</v>
      </c>
      <c r="H28" s="171">
        <f t="shared" si="1"/>
        <v>0</v>
      </c>
      <c r="I28" s="119"/>
      <c r="J28" s="120"/>
      <c r="K28" s="121"/>
      <c r="L28" s="122"/>
      <c r="M28" s="58"/>
      <c r="N28" s="58"/>
      <c r="O28" s="59"/>
      <c r="P28" s="56"/>
      <c r="Q28" s="60"/>
      <c r="R28" s="61">
        <f t="shared" si="12"/>
        <v>0</v>
      </c>
      <c r="S28" s="62">
        <f t="shared" si="2"/>
        <v>0</v>
      </c>
      <c r="T28" s="63">
        <f t="shared" si="3"/>
        <v>0</v>
      </c>
      <c r="U28" s="64"/>
      <c r="V28" s="65"/>
      <c r="W28" s="66"/>
      <c r="X28" s="67"/>
      <c r="Y28" s="68"/>
      <c r="Z28" s="68"/>
      <c r="AA28" s="62">
        <f t="shared" si="4"/>
        <v>0</v>
      </c>
      <c r="AB28" s="63">
        <f t="shared" si="5"/>
        <v>0</v>
      </c>
      <c r="AC28" s="69"/>
      <c r="AD28" s="70"/>
      <c r="AE28" s="70"/>
      <c r="AF28" s="62">
        <f t="shared" si="6"/>
        <v>0</v>
      </c>
      <c r="AG28" s="63">
        <f t="shared" si="13"/>
        <v>0</v>
      </c>
      <c r="AH28" s="71"/>
      <c r="AI28" s="66"/>
      <c r="AJ28" s="66"/>
      <c r="AK28" s="62">
        <f t="shared" si="7"/>
        <v>0</v>
      </c>
      <c r="AL28" s="72">
        <f t="shared" si="8"/>
        <v>0</v>
      </c>
      <c r="AM28" s="73">
        <f t="shared" si="14"/>
        <v>0</v>
      </c>
      <c r="AN28" s="74">
        <f t="shared" si="18"/>
        <v>0</v>
      </c>
      <c r="AO28" s="74">
        <f t="shared" si="18"/>
        <v>0</v>
      </c>
      <c r="AP28" s="75" t="e">
        <f t="shared" si="15"/>
        <v>#DIV/0!</v>
      </c>
      <c r="AQ28" s="76">
        <f t="shared" si="10"/>
        <v>0</v>
      </c>
      <c r="AR28" s="90">
        <f t="shared" si="16"/>
        <v>0</v>
      </c>
    </row>
    <row r="29" spans="1:48" x14ac:dyDescent="0.25">
      <c r="A29" t="str">
        <f t="shared" si="11"/>
        <v>46186E</v>
      </c>
      <c r="B29" s="51">
        <f t="shared" si="17"/>
        <v>46186</v>
      </c>
      <c r="C29" s="52" t="s">
        <v>88</v>
      </c>
      <c r="D29" s="79"/>
      <c r="E29" s="62"/>
      <c r="F29" s="62"/>
      <c r="G29" s="170">
        <f t="shared" si="0"/>
        <v>0</v>
      </c>
      <c r="H29" s="171">
        <f t="shared" si="1"/>
        <v>0</v>
      </c>
      <c r="I29" s="119"/>
      <c r="J29" s="120"/>
      <c r="K29" s="121"/>
      <c r="L29" s="122"/>
      <c r="M29" s="58"/>
      <c r="N29" s="58"/>
      <c r="O29" s="59"/>
      <c r="P29" s="56"/>
      <c r="Q29" s="60"/>
      <c r="R29" s="61">
        <f t="shared" si="12"/>
        <v>0</v>
      </c>
      <c r="S29" s="62">
        <f t="shared" si="2"/>
        <v>0</v>
      </c>
      <c r="T29" s="63">
        <f t="shared" si="3"/>
        <v>0</v>
      </c>
      <c r="U29" s="64"/>
      <c r="V29" s="65"/>
      <c r="W29" s="66"/>
      <c r="X29" s="67"/>
      <c r="Y29" s="68"/>
      <c r="Z29" s="68"/>
      <c r="AA29" s="62">
        <f t="shared" si="4"/>
        <v>0</v>
      </c>
      <c r="AB29" s="63">
        <f t="shared" si="5"/>
        <v>0</v>
      </c>
      <c r="AC29" s="69"/>
      <c r="AD29" s="70"/>
      <c r="AE29" s="70"/>
      <c r="AF29" s="62">
        <f t="shared" si="6"/>
        <v>0</v>
      </c>
      <c r="AG29" s="63">
        <f t="shared" si="13"/>
        <v>0</v>
      </c>
      <c r="AH29" s="71"/>
      <c r="AI29" s="66"/>
      <c r="AJ29" s="66"/>
      <c r="AK29" s="62">
        <f t="shared" si="7"/>
        <v>0</v>
      </c>
      <c r="AL29" s="72">
        <f t="shared" si="8"/>
        <v>0</v>
      </c>
      <c r="AM29" s="73">
        <f t="shared" si="14"/>
        <v>0</v>
      </c>
      <c r="AN29" s="74">
        <f t="shared" si="18"/>
        <v>0</v>
      </c>
      <c r="AO29" s="74">
        <f t="shared" si="18"/>
        <v>0</v>
      </c>
      <c r="AP29" s="75" t="e">
        <f t="shared" si="15"/>
        <v>#DIV/0!</v>
      </c>
      <c r="AQ29" s="76">
        <f t="shared" si="10"/>
        <v>0</v>
      </c>
      <c r="AR29" s="90">
        <f t="shared" si="16"/>
        <v>0</v>
      </c>
    </row>
    <row r="30" spans="1:48" x14ac:dyDescent="0.25">
      <c r="A30" t="str">
        <f t="shared" si="11"/>
        <v>46187M</v>
      </c>
      <c r="B30" s="51">
        <f t="shared" si="17"/>
        <v>46187</v>
      </c>
      <c r="C30" s="52" t="s">
        <v>87</v>
      </c>
      <c r="D30" s="79"/>
      <c r="E30" s="62"/>
      <c r="F30" s="62"/>
      <c r="G30" s="170">
        <f t="shared" si="0"/>
        <v>0</v>
      </c>
      <c r="H30" s="171">
        <f t="shared" si="1"/>
        <v>0</v>
      </c>
      <c r="I30" s="119"/>
      <c r="J30" s="120"/>
      <c r="K30" s="121"/>
      <c r="L30" s="122"/>
      <c r="M30" s="58"/>
      <c r="N30" s="58"/>
      <c r="O30" s="59"/>
      <c r="P30" s="56"/>
      <c r="Q30" s="60"/>
      <c r="R30" s="61">
        <f t="shared" si="12"/>
        <v>0</v>
      </c>
      <c r="S30" s="62">
        <f t="shared" si="2"/>
        <v>0</v>
      </c>
      <c r="T30" s="63">
        <f t="shared" si="3"/>
        <v>0</v>
      </c>
      <c r="U30" s="64"/>
      <c r="V30" s="65"/>
      <c r="W30" s="66"/>
      <c r="X30" s="67"/>
      <c r="Y30" s="68"/>
      <c r="Z30" s="68"/>
      <c r="AA30" s="62">
        <f t="shared" si="4"/>
        <v>0</v>
      </c>
      <c r="AB30" s="63">
        <f t="shared" si="5"/>
        <v>0</v>
      </c>
      <c r="AC30" s="69"/>
      <c r="AD30" s="70"/>
      <c r="AE30" s="70"/>
      <c r="AF30" s="62">
        <f t="shared" si="6"/>
        <v>0</v>
      </c>
      <c r="AG30" s="63">
        <f t="shared" si="13"/>
        <v>0</v>
      </c>
      <c r="AH30" s="71"/>
      <c r="AI30" s="66"/>
      <c r="AJ30" s="66"/>
      <c r="AK30" s="62">
        <f t="shared" si="7"/>
        <v>0</v>
      </c>
      <c r="AL30" s="72">
        <f t="shared" si="8"/>
        <v>0</v>
      </c>
      <c r="AM30" s="73">
        <f t="shared" si="14"/>
        <v>0</v>
      </c>
      <c r="AN30" s="74">
        <f t="shared" si="18"/>
        <v>0</v>
      </c>
      <c r="AO30" s="74">
        <f t="shared" si="18"/>
        <v>0</v>
      </c>
      <c r="AP30" s="75" t="e">
        <f t="shared" si="15"/>
        <v>#DIV/0!</v>
      </c>
      <c r="AQ30" s="76">
        <f t="shared" si="10"/>
        <v>0</v>
      </c>
      <c r="AR30" s="90">
        <f t="shared" si="16"/>
        <v>0</v>
      </c>
    </row>
    <row r="31" spans="1:48" x14ac:dyDescent="0.25">
      <c r="A31" t="str">
        <f t="shared" si="11"/>
        <v>46187E</v>
      </c>
      <c r="B31" s="51">
        <f t="shared" si="17"/>
        <v>46187</v>
      </c>
      <c r="C31" s="52" t="s">
        <v>88</v>
      </c>
      <c r="D31" s="79"/>
      <c r="E31" s="62"/>
      <c r="F31" s="62"/>
      <c r="G31" s="170">
        <f t="shared" si="0"/>
        <v>0</v>
      </c>
      <c r="H31" s="171">
        <f t="shared" si="1"/>
        <v>0</v>
      </c>
      <c r="I31" s="119"/>
      <c r="J31" s="120"/>
      <c r="K31" s="121"/>
      <c r="L31" s="122"/>
      <c r="M31" s="58"/>
      <c r="N31" s="58"/>
      <c r="O31" s="59"/>
      <c r="P31" s="56"/>
      <c r="Q31" s="60"/>
      <c r="R31" s="61">
        <f t="shared" si="12"/>
        <v>0</v>
      </c>
      <c r="S31" s="62">
        <f t="shared" si="2"/>
        <v>0</v>
      </c>
      <c r="T31" s="63">
        <f t="shared" si="3"/>
        <v>0</v>
      </c>
      <c r="U31" s="64"/>
      <c r="V31" s="65"/>
      <c r="W31" s="66"/>
      <c r="X31" s="67"/>
      <c r="Y31" s="68"/>
      <c r="Z31" s="68"/>
      <c r="AA31" s="62">
        <f t="shared" si="4"/>
        <v>0</v>
      </c>
      <c r="AB31" s="63">
        <f t="shared" si="5"/>
        <v>0</v>
      </c>
      <c r="AC31" s="69"/>
      <c r="AD31" s="70"/>
      <c r="AE31" s="70"/>
      <c r="AF31" s="62">
        <f t="shared" si="6"/>
        <v>0</v>
      </c>
      <c r="AG31" s="63">
        <f t="shared" si="13"/>
        <v>0</v>
      </c>
      <c r="AH31" s="71"/>
      <c r="AI31" s="66"/>
      <c r="AJ31" s="66"/>
      <c r="AK31" s="62">
        <f t="shared" si="7"/>
        <v>0</v>
      </c>
      <c r="AL31" s="72">
        <f t="shared" si="8"/>
        <v>0</v>
      </c>
      <c r="AM31" s="73">
        <f t="shared" si="14"/>
        <v>0</v>
      </c>
      <c r="AN31" s="74">
        <f t="shared" si="18"/>
        <v>0</v>
      </c>
      <c r="AO31" s="74">
        <f t="shared" si="18"/>
        <v>0</v>
      </c>
      <c r="AP31" s="75" t="e">
        <f t="shared" si="15"/>
        <v>#DIV/0!</v>
      </c>
      <c r="AQ31" s="76">
        <f t="shared" si="10"/>
        <v>0</v>
      </c>
      <c r="AR31" s="90">
        <f t="shared" si="16"/>
        <v>0</v>
      </c>
    </row>
    <row r="32" spans="1:48" x14ac:dyDescent="0.25">
      <c r="A32" t="str">
        <f t="shared" si="11"/>
        <v>46188M</v>
      </c>
      <c r="B32" s="51">
        <f t="shared" si="17"/>
        <v>46188</v>
      </c>
      <c r="C32" s="52" t="s">
        <v>87</v>
      </c>
      <c r="D32" s="79"/>
      <c r="E32" s="62"/>
      <c r="F32" s="62"/>
      <c r="G32" s="170">
        <f t="shared" si="0"/>
        <v>0</v>
      </c>
      <c r="H32" s="171">
        <f t="shared" si="1"/>
        <v>0</v>
      </c>
      <c r="I32" s="119"/>
      <c r="J32" s="120"/>
      <c r="K32" s="121"/>
      <c r="L32" s="122"/>
      <c r="M32" s="58"/>
      <c r="N32" s="58"/>
      <c r="O32" s="59"/>
      <c r="P32" s="56"/>
      <c r="Q32" s="60"/>
      <c r="R32" s="61">
        <f t="shared" si="12"/>
        <v>0</v>
      </c>
      <c r="S32" s="62">
        <f t="shared" si="2"/>
        <v>0</v>
      </c>
      <c r="T32" s="63">
        <f t="shared" si="3"/>
        <v>0</v>
      </c>
      <c r="U32" s="64"/>
      <c r="V32" s="65"/>
      <c r="W32" s="66"/>
      <c r="X32" s="67"/>
      <c r="Y32" s="68"/>
      <c r="Z32" s="68"/>
      <c r="AA32" s="62">
        <f t="shared" si="4"/>
        <v>0</v>
      </c>
      <c r="AB32" s="63">
        <f t="shared" si="5"/>
        <v>0</v>
      </c>
      <c r="AC32" s="69"/>
      <c r="AD32" s="70"/>
      <c r="AE32" s="70"/>
      <c r="AF32" s="62">
        <f t="shared" si="6"/>
        <v>0</v>
      </c>
      <c r="AG32" s="63">
        <f t="shared" si="13"/>
        <v>0</v>
      </c>
      <c r="AH32" s="71"/>
      <c r="AI32" s="66"/>
      <c r="AJ32" s="66"/>
      <c r="AK32" s="62">
        <f t="shared" si="7"/>
        <v>0</v>
      </c>
      <c r="AL32" s="72">
        <f t="shared" si="8"/>
        <v>0</v>
      </c>
      <c r="AM32" s="73">
        <f t="shared" si="14"/>
        <v>0</v>
      </c>
      <c r="AN32" s="74">
        <f t="shared" si="18"/>
        <v>0</v>
      </c>
      <c r="AO32" s="74">
        <f t="shared" si="18"/>
        <v>0</v>
      </c>
      <c r="AP32" s="75" t="e">
        <f t="shared" si="15"/>
        <v>#DIV/0!</v>
      </c>
      <c r="AQ32" s="76">
        <f t="shared" si="10"/>
        <v>0</v>
      </c>
      <c r="AR32" s="90">
        <f t="shared" si="16"/>
        <v>0</v>
      </c>
    </row>
    <row r="33" spans="1:44" x14ac:dyDescent="0.25">
      <c r="A33" t="str">
        <f t="shared" si="11"/>
        <v>46188E</v>
      </c>
      <c r="B33" s="51">
        <f t="shared" si="17"/>
        <v>46188</v>
      </c>
      <c r="C33" s="52" t="s">
        <v>88</v>
      </c>
      <c r="D33" s="79"/>
      <c r="E33" s="62"/>
      <c r="F33" s="62"/>
      <c r="G33" s="170">
        <f t="shared" si="0"/>
        <v>0</v>
      </c>
      <c r="H33" s="171">
        <f t="shared" si="1"/>
        <v>0</v>
      </c>
      <c r="I33" s="119"/>
      <c r="J33" s="120"/>
      <c r="K33" s="121"/>
      <c r="L33" s="122"/>
      <c r="M33" s="58"/>
      <c r="N33" s="58"/>
      <c r="O33" s="59"/>
      <c r="P33" s="56"/>
      <c r="Q33" s="60"/>
      <c r="R33" s="61">
        <f t="shared" si="12"/>
        <v>0</v>
      </c>
      <c r="S33" s="62">
        <f t="shared" si="2"/>
        <v>0</v>
      </c>
      <c r="T33" s="63">
        <f t="shared" si="3"/>
        <v>0</v>
      </c>
      <c r="U33" s="64"/>
      <c r="V33" s="65"/>
      <c r="W33" s="66"/>
      <c r="X33" s="67"/>
      <c r="Y33" s="68"/>
      <c r="Z33" s="68"/>
      <c r="AA33" s="62">
        <f t="shared" si="4"/>
        <v>0</v>
      </c>
      <c r="AB33" s="63">
        <f t="shared" si="5"/>
        <v>0</v>
      </c>
      <c r="AC33" s="69"/>
      <c r="AD33" s="70"/>
      <c r="AE33" s="70"/>
      <c r="AF33" s="62">
        <f t="shared" si="6"/>
        <v>0</v>
      </c>
      <c r="AG33" s="63">
        <f t="shared" si="13"/>
        <v>0</v>
      </c>
      <c r="AH33" s="71"/>
      <c r="AI33" s="66"/>
      <c r="AJ33" s="66"/>
      <c r="AK33" s="62">
        <f t="shared" si="7"/>
        <v>0</v>
      </c>
      <c r="AL33" s="72">
        <f t="shared" si="8"/>
        <v>0</v>
      </c>
      <c r="AM33" s="73">
        <f t="shared" si="14"/>
        <v>0</v>
      </c>
      <c r="AN33" s="74">
        <f t="shared" si="18"/>
        <v>0</v>
      </c>
      <c r="AO33" s="74">
        <f t="shared" si="18"/>
        <v>0</v>
      </c>
      <c r="AP33" s="75" t="e">
        <f t="shared" si="15"/>
        <v>#DIV/0!</v>
      </c>
      <c r="AQ33" s="76">
        <f t="shared" si="10"/>
        <v>0</v>
      </c>
      <c r="AR33" s="90">
        <f t="shared" si="16"/>
        <v>0</v>
      </c>
    </row>
    <row r="34" spans="1:44" x14ac:dyDescent="0.25">
      <c r="A34" t="str">
        <f t="shared" si="11"/>
        <v>46189M</v>
      </c>
      <c r="B34" s="51">
        <f t="shared" si="17"/>
        <v>46189</v>
      </c>
      <c r="C34" s="52" t="s">
        <v>87</v>
      </c>
      <c r="D34" s="79"/>
      <c r="E34" s="62"/>
      <c r="F34" s="62"/>
      <c r="G34" s="170">
        <f t="shared" si="0"/>
        <v>0</v>
      </c>
      <c r="H34" s="171">
        <f t="shared" si="1"/>
        <v>0</v>
      </c>
      <c r="I34" s="119"/>
      <c r="J34" s="120"/>
      <c r="K34" s="121"/>
      <c r="L34" s="122"/>
      <c r="M34" s="58"/>
      <c r="N34" s="58"/>
      <c r="O34" s="59"/>
      <c r="P34" s="56"/>
      <c r="Q34" s="60"/>
      <c r="R34" s="61">
        <f t="shared" si="12"/>
        <v>0</v>
      </c>
      <c r="S34" s="62">
        <f t="shared" si="2"/>
        <v>0</v>
      </c>
      <c r="T34" s="63">
        <f t="shared" si="3"/>
        <v>0</v>
      </c>
      <c r="U34" s="64"/>
      <c r="V34" s="65"/>
      <c r="W34" s="66"/>
      <c r="X34" s="67"/>
      <c r="Y34" s="68"/>
      <c r="Z34" s="68"/>
      <c r="AA34" s="62">
        <f t="shared" si="4"/>
        <v>0</v>
      </c>
      <c r="AB34" s="63">
        <f t="shared" si="5"/>
        <v>0</v>
      </c>
      <c r="AC34" s="69"/>
      <c r="AD34" s="70"/>
      <c r="AE34" s="70"/>
      <c r="AF34" s="62">
        <f t="shared" si="6"/>
        <v>0</v>
      </c>
      <c r="AG34" s="63">
        <f t="shared" si="13"/>
        <v>0</v>
      </c>
      <c r="AH34" s="71"/>
      <c r="AI34" s="66"/>
      <c r="AJ34" s="66"/>
      <c r="AK34" s="62">
        <f t="shared" si="7"/>
        <v>0</v>
      </c>
      <c r="AL34" s="72">
        <f t="shared" si="8"/>
        <v>0</v>
      </c>
      <c r="AM34" s="73">
        <f t="shared" si="14"/>
        <v>0</v>
      </c>
      <c r="AN34" s="74">
        <f t="shared" si="18"/>
        <v>0</v>
      </c>
      <c r="AO34" s="74">
        <f t="shared" si="18"/>
        <v>0</v>
      </c>
      <c r="AP34" s="75" t="e">
        <f t="shared" si="15"/>
        <v>#DIV/0!</v>
      </c>
      <c r="AQ34" s="76">
        <f t="shared" si="10"/>
        <v>0</v>
      </c>
      <c r="AR34" s="90">
        <f t="shared" si="16"/>
        <v>0</v>
      </c>
    </row>
    <row r="35" spans="1:44" x14ac:dyDescent="0.25">
      <c r="A35" t="str">
        <f t="shared" si="11"/>
        <v>46189E</v>
      </c>
      <c r="B35" s="51">
        <f t="shared" si="17"/>
        <v>46189</v>
      </c>
      <c r="C35" s="52" t="s">
        <v>88</v>
      </c>
      <c r="D35" s="79"/>
      <c r="E35" s="62"/>
      <c r="F35" s="62"/>
      <c r="G35" s="170">
        <f t="shared" si="0"/>
        <v>0</v>
      </c>
      <c r="H35" s="171">
        <f t="shared" si="1"/>
        <v>0</v>
      </c>
      <c r="I35" s="119"/>
      <c r="J35" s="120"/>
      <c r="K35" s="121"/>
      <c r="L35" s="122"/>
      <c r="M35" s="58"/>
      <c r="N35" s="58"/>
      <c r="O35" s="59"/>
      <c r="P35" s="56"/>
      <c r="Q35" s="60"/>
      <c r="R35" s="61">
        <f t="shared" si="12"/>
        <v>0</v>
      </c>
      <c r="S35" s="62">
        <f t="shared" si="2"/>
        <v>0</v>
      </c>
      <c r="T35" s="63">
        <f t="shared" si="3"/>
        <v>0</v>
      </c>
      <c r="U35" s="64"/>
      <c r="V35" s="65"/>
      <c r="W35" s="66"/>
      <c r="X35" s="67"/>
      <c r="Y35" s="68"/>
      <c r="Z35" s="68"/>
      <c r="AA35" s="62">
        <f t="shared" si="4"/>
        <v>0</v>
      </c>
      <c r="AB35" s="63">
        <f t="shared" si="5"/>
        <v>0</v>
      </c>
      <c r="AC35" s="69"/>
      <c r="AD35" s="70"/>
      <c r="AE35" s="70"/>
      <c r="AF35" s="62">
        <f t="shared" si="6"/>
        <v>0</v>
      </c>
      <c r="AG35" s="63">
        <f t="shared" si="13"/>
        <v>0</v>
      </c>
      <c r="AH35" s="71"/>
      <c r="AI35" s="66"/>
      <c r="AJ35" s="66"/>
      <c r="AK35" s="62">
        <f t="shared" si="7"/>
        <v>0</v>
      </c>
      <c r="AL35" s="72">
        <f t="shared" si="8"/>
        <v>0</v>
      </c>
      <c r="AM35" s="73">
        <f t="shared" si="14"/>
        <v>0</v>
      </c>
      <c r="AN35" s="74">
        <f t="shared" si="18"/>
        <v>0</v>
      </c>
      <c r="AO35" s="74">
        <f t="shared" si="18"/>
        <v>0</v>
      </c>
      <c r="AP35" s="75" t="e">
        <f t="shared" si="15"/>
        <v>#DIV/0!</v>
      </c>
      <c r="AQ35" s="76">
        <f t="shared" si="10"/>
        <v>0</v>
      </c>
      <c r="AR35" s="90">
        <f t="shared" si="16"/>
        <v>0</v>
      </c>
    </row>
    <row r="36" spans="1:44" x14ac:dyDescent="0.25">
      <c r="A36" t="str">
        <f t="shared" si="11"/>
        <v>46190M</v>
      </c>
      <c r="B36" s="51">
        <f t="shared" si="17"/>
        <v>46190</v>
      </c>
      <c r="C36" s="52" t="s">
        <v>87</v>
      </c>
      <c r="D36" s="79"/>
      <c r="E36" s="62"/>
      <c r="F36" s="62"/>
      <c r="G36" s="170">
        <f t="shared" si="0"/>
        <v>0</v>
      </c>
      <c r="H36" s="171">
        <f t="shared" si="1"/>
        <v>0</v>
      </c>
      <c r="I36" s="119"/>
      <c r="J36" s="120"/>
      <c r="K36" s="121"/>
      <c r="L36" s="122"/>
      <c r="M36" s="58"/>
      <c r="N36" s="58"/>
      <c r="O36" s="59"/>
      <c r="P36" s="56"/>
      <c r="Q36" s="60"/>
      <c r="R36" s="61">
        <f t="shared" si="12"/>
        <v>0</v>
      </c>
      <c r="S36" s="62">
        <f t="shared" si="2"/>
        <v>0</v>
      </c>
      <c r="T36" s="63">
        <f t="shared" si="3"/>
        <v>0</v>
      </c>
      <c r="U36" s="64"/>
      <c r="V36" s="65"/>
      <c r="W36" s="66"/>
      <c r="X36" s="67"/>
      <c r="Y36" s="68"/>
      <c r="Z36" s="68"/>
      <c r="AA36" s="62">
        <f t="shared" si="4"/>
        <v>0</v>
      </c>
      <c r="AB36" s="63">
        <f t="shared" si="5"/>
        <v>0</v>
      </c>
      <c r="AC36" s="69"/>
      <c r="AD36" s="70"/>
      <c r="AE36" s="70"/>
      <c r="AF36" s="62">
        <f t="shared" si="6"/>
        <v>0</v>
      </c>
      <c r="AG36" s="63">
        <f t="shared" si="13"/>
        <v>0</v>
      </c>
      <c r="AH36" s="71"/>
      <c r="AI36" s="66"/>
      <c r="AJ36" s="66"/>
      <c r="AK36" s="62">
        <f t="shared" si="7"/>
        <v>0</v>
      </c>
      <c r="AL36" s="72">
        <f t="shared" si="8"/>
        <v>0</v>
      </c>
      <c r="AM36" s="73">
        <f t="shared" si="14"/>
        <v>0</v>
      </c>
      <c r="AN36" s="74">
        <f t="shared" si="18"/>
        <v>0</v>
      </c>
      <c r="AO36" s="74">
        <f t="shared" si="18"/>
        <v>0</v>
      </c>
      <c r="AP36" s="75" t="e">
        <f t="shared" si="15"/>
        <v>#DIV/0!</v>
      </c>
      <c r="AQ36" s="76">
        <f t="shared" si="10"/>
        <v>0</v>
      </c>
      <c r="AR36" s="90">
        <f t="shared" si="16"/>
        <v>0</v>
      </c>
    </row>
    <row r="37" spans="1:44" x14ac:dyDescent="0.25">
      <c r="A37" t="str">
        <f t="shared" si="11"/>
        <v>46190E</v>
      </c>
      <c r="B37" s="51">
        <f t="shared" si="17"/>
        <v>46190</v>
      </c>
      <c r="C37" s="52" t="s">
        <v>88</v>
      </c>
      <c r="D37" s="79"/>
      <c r="E37" s="62"/>
      <c r="F37" s="62"/>
      <c r="G37" s="170">
        <f t="shared" si="0"/>
        <v>0</v>
      </c>
      <c r="H37" s="171">
        <f t="shared" si="1"/>
        <v>0</v>
      </c>
      <c r="I37" s="119"/>
      <c r="J37" s="120"/>
      <c r="K37" s="121"/>
      <c r="L37" s="122"/>
      <c r="M37" s="58"/>
      <c r="N37" s="58"/>
      <c r="O37" s="59"/>
      <c r="P37" s="56"/>
      <c r="Q37" s="60"/>
      <c r="R37" s="61">
        <f t="shared" si="12"/>
        <v>0</v>
      </c>
      <c r="S37" s="62">
        <f t="shared" si="2"/>
        <v>0</v>
      </c>
      <c r="T37" s="63">
        <f t="shared" si="3"/>
        <v>0</v>
      </c>
      <c r="U37" s="64"/>
      <c r="V37" s="65"/>
      <c r="W37" s="66"/>
      <c r="X37" s="67"/>
      <c r="Y37" s="68"/>
      <c r="Z37" s="68"/>
      <c r="AA37" s="62">
        <f t="shared" si="4"/>
        <v>0</v>
      </c>
      <c r="AB37" s="63">
        <f t="shared" si="5"/>
        <v>0</v>
      </c>
      <c r="AC37" s="69"/>
      <c r="AD37" s="70"/>
      <c r="AE37" s="70"/>
      <c r="AF37" s="62">
        <f t="shared" si="6"/>
        <v>0</v>
      </c>
      <c r="AG37" s="63">
        <f t="shared" si="13"/>
        <v>0</v>
      </c>
      <c r="AH37" s="71"/>
      <c r="AI37" s="66"/>
      <c r="AJ37" s="66"/>
      <c r="AK37" s="62">
        <f t="shared" si="7"/>
        <v>0</v>
      </c>
      <c r="AL37" s="72">
        <f t="shared" si="8"/>
        <v>0</v>
      </c>
      <c r="AM37" s="73">
        <f t="shared" si="14"/>
        <v>0</v>
      </c>
      <c r="AN37" s="74">
        <f t="shared" si="18"/>
        <v>0</v>
      </c>
      <c r="AO37" s="74">
        <f t="shared" si="18"/>
        <v>0</v>
      </c>
      <c r="AP37" s="75" t="e">
        <f t="shared" si="15"/>
        <v>#DIV/0!</v>
      </c>
      <c r="AQ37" s="76">
        <f t="shared" si="10"/>
        <v>0</v>
      </c>
      <c r="AR37" s="90">
        <f t="shared" si="16"/>
        <v>0</v>
      </c>
    </row>
    <row r="38" spans="1:44" x14ac:dyDescent="0.25">
      <c r="A38" t="str">
        <f t="shared" si="11"/>
        <v>46191M</v>
      </c>
      <c r="B38" s="51">
        <f t="shared" si="17"/>
        <v>46191</v>
      </c>
      <c r="C38" s="52" t="s">
        <v>87</v>
      </c>
      <c r="D38" s="79"/>
      <c r="E38" s="62"/>
      <c r="F38" s="62"/>
      <c r="G38" s="170">
        <f t="shared" si="0"/>
        <v>0</v>
      </c>
      <c r="H38" s="171">
        <f t="shared" si="1"/>
        <v>0</v>
      </c>
      <c r="I38" s="119"/>
      <c r="J38" s="120"/>
      <c r="K38" s="121"/>
      <c r="L38" s="122"/>
      <c r="M38" s="58"/>
      <c r="N38" s="58"/>
      <c r="O38" s="59"/>
      <c r="P38" s="56"/>
      <c r="Q38" s="60"/>
      <c r="R38" s="61">
        <f t="shared" si="12"/>
        <v>0</v>
      </c>
      <c r="S38" s="62">
        <f t="shared" si="2"/>
        <v>0</v>
      </c>
      <c r="T38" s="63">
        <f t="shared" si="3"/>
        <v>0</v>
      </c>
      <c r="U38" s="64"/>
      <c r="V38" s="65"/>
      <c r="W38" s="66"/>
      <c r="X38" s="67"/>
      <c r="Y38" s="68"/>
      <c r="Z38" s="68"/>
      <c r="AA38" s="62">
        <f t="shared" si="4"/>
        <v>0</v>
      </c>
      <c r="AB38" s="63">
        <f t="shared" si="5"/>
        <v>0</v>
      </c>
      <c r="AC38" s="69"/>
      <c r="AD38" s="70"/>
      <c r="AE38" s="70"/>
      <c r="AF38" s="62">
        <f t="shared" si="6"/>
        <v>0</v>
      </c>
      <c r="AG38" s="63">
        <f t="shared" si="13"/>
        <v>0</v>
      </c>
      <c r="AH38" s="71"/>
      <c r="AI38" s="66"/>
      <c r="AJ38" s="66"/>
      <c r="AK38" s="62">
        <f t="shared" si="7"/>
        <v>0</v>
      </c>
      <c r="AL38" s="72">
        <f t="shared" si="8"/>
        <v>0</v>
      </c>
      <c r="AM38" s="73">
        <f t="shared" si="14"/>
        <v>0</v>
      </c>
      <c r="AN38" s="74">
        <f t="shared" si="18"/>
        <v>0</v>
      </c>
      <c r="AO38" s="74">
        <f t="shared" si="18"/>
        <v>0</v>
      </c>
      <c r="AP38" s="75" t="e">
        <f t="shared" si="15"/>
        <v>#DIV/0!</v>
      </c>
      <c r="AQ38" s="76">
        <f t="shared" si="10"/>
        <v>0</v>
      </c>
      <c r="AR38" s="90">
        <f t="shared" si="16"/>
        <v>0</v>
      </c>
    </row>
    <row r="39" spans="1:44" x14ac:dyDescent="0.25">
      <c r="A39" t="str">
        <f t="shared" si="11"/>
        <v>46191E</v>
      </c>
      <c r="B39" s="51">
        <f t="shared" si="17"/>
        <v>46191</v>
      </c>
      <c r="C39" s="52" t="s">
        <v>88</v>
      </c>
      <c r="D39" s="79"/>
      <c r="E39" s="62"/>
      <c r="F39" s="62"/>
      <c r="G39" s="170">
        <f t="shared" si="0"/>
        <v>0</v>
      </c>
      <c r="H39" s="171">
        <f t="shared" si="1"/>
        <v>0</v>
      </c>
      <c r="I39" s="119"/>
      <c r="J39" s="120"/>
      <c r="K39" s="121"/>
      <c r="L39" s="122"/>
      <c r="M39" s="58"/>
      <c r="N39" s="58"/>
      <c r="O39" s="59"/>
      <c r="P39" s="56"/>
      <c r="Q39" s="60"/>
      <c r="R39" s="61">
        <f t="shared" si="12"/>
        <v>0</v>
      </c>
      <c r="S39" s="62">
        <f t="shared" si="2"/>
        <v>0</v>
      </c>
      <c r="T39" s="63">
        <f t="shared" si="3"/>
        <v>0</v>
      </c>
      <c r="U39" s="64"/>
      <c r="V39" s="65"/>
      <c r="W39" s="66"/>
      <c r="X39" s="67"/>
      <c r="Y39" s="68"/>
      <c r="Z39" s="68"/>
      <c r="AA39" s="62">
        <f t="shared" si="4"/>
        <v>0</v>
      </c>
      <c r="AB39" s="63">
        <f t="shared" si="5"/>
        <v>0</v>
      </c>
      <c r="AC39" s="69"/>
      <c r="AD39" s="70"/>
      <c r="AE39" s="70"/>
      <c r="AF39" s="62">
        <f t="shared" si="6"/>
        <v>0</v>
      </c>
      <c r="AG39" s="63">
        <f t="shared" si="13"/>
        <v>0</v>
      </c>
      <c r="AH39" s="71"/>
      <c r="AI39" s="66"/>
      <c r="AJ39" s="66"/>
      <c r="AK39" s="62">
        <f t="shared" si="7"/>
        <v>0</v>
      </c>
      <c r="AL39" s="72">
        <f t="shared" si="8"/>
        <v>0</v>
      </c>
      <c r="AM39" s="73">
        <f t="shared" si="14"/>
        <v>0</v>
      </c>
      <c r="AN39" s="74">
        <f t="shared" si="18"/>
        <v>0</v>
      </c>
      <c r="AO39" s="74">
        <f t="shared" si="18"/>
        <v>0</v>
      </c>
      <c r="AP39" s="75" t="e">
        <f t="shared" si="15"/>
        <v>#DIV/0!</v>
      </c>
      <c r="AQ39" s="76">
        <f t="shared" si="10"/>
        <v>0</v>
      </c>
      <c r="AR39" s="90">
        <f t="shared" si="16"/>
        <v>0</v>
      </c>
    </row>
    <row r="40" spans="1:44" x14ac:dyDescent="0.25">
      <c r="A40" t="str">
        <f t="shared" si="11"/>
        <v>46192M</v>
      </c>
      <c r="B40" s="51">
        <f t="shared" si="17"/>
        <v>46192</v>
      </c>
      <c r="C40" s="52" t="s">
        <v>87</v>
      </c>
      <c r="D40" s="79"/>
      <c r="E40" s="62"/>
      <c r="F40" s="62"/>
      <c r="G40" s="170">
        <f t="shared" si="0"/>
        <v>0</v>
      </c>
      <c r="H40" s="171">
        <f t="shared" si="1"/>
        <v>0</v>
      </c>
      <c r="I40" s="119"/>
      <c r="J40" s="120"/>
      <c r="K40" s="121"/>
      <c r="L40" s="122"/>
      <c r="M40" s="58"/>
      <c r="N40" s="58"/>
      <c r="O40" s="59"/>
      <c r="P40" s="56"/>
      <c r="Q40" s="60"/>
      <c r="R40" s="61">
        <f t="shared" si="12"/>
        <v>0</v>
      </c>
      <c r="S40" s="62">
        <f t="shared" si="2"/>
        <v>0</v>
      </c>
      <c r="T40" s="63">
        <f t="shared" si="3"/>
        <v>0</v>
      </c>
      <c r="U40" s="64"/>
      <c r="V40" s="65"/>
      <c r="W40" s="66"/>
      <c r="X40" s="67"/>
      <c r="Y40" s="68"/>
      <c r="Z40" s="68"/>
      <c r="AA40" s="62">
        <f t="shared" si="4"/>
        <v>0</v>
      </c>
      <c r="AB40" s="63">
        <f t="shared" si="5"/>
        <v>0</v>
      </c>
      <c r="AC40" s="69"/>
      <c r="AD40" s="70"/>
      <c r="AE40" s="70"/>
      <c r="AF40" s="62">
        <f t="shared" si="6"/>
        <v>0</v>
      </c>
      <c r="AG40" s="63">
        <f t="shared" si="13"/>
        <v>0</v>
      </c>
      <c r="AH40" s="71"/>
      <c r="AI40" s="66"/>
      <c r="AJ40" s="66"/>
      <c r="AK40" s="62">
        <f t="shared" si="7"/>
        <v>0</v>
      </c>
      <c r="AL40" s="72">
        <f t="shared" si="8"/>
        <v>0</v>
      </c>
      <c r="AM40" s="73">
        <f t="shared" si="14"/>
        <v>0</v>
      </c>
      <c r="AN40" s="74">
        <f t="shared" si="18"/>
        <v>0</v>
      </c>
      <c r="AO40" s="74">
        <f t="shared" si="18"/>
        <v>0</v>
      </c>
      <c r="AP40" s="75" t="e">
        <f t="shared" si="15"/>
        <v>#DIV/0!</v>
      </c>
      <c r="AQ40" s="76">
        <f t="shared" si="10"/>
        <v>0</v>
      </c>
      <c r="AR40" s="90">
        <f t="shared" si="16"/>
        <v>0</v>
      </c>
    </row>
    <row r="41" spans="1:44" x14ac:dyDescent="0.25">
      <c r="A41" t="str">
        <f t="shared" si="11"/>
        <v>46192E</v>
      </c>
      <c r="B41" s="51">
        <f t="shared" si="17"/>
        <v>46192</v>
      </c>
      <c r="C41" s="52" t="s">
        <v>88</v>
      </c>
      <c r="D41" s="79"/>
      <c r="E41" s="62"/>
      <c r="F41" s="62"/>
      <c r="G41" s="170">
        <f t="shared" si="0"/>
        <v>0</v>
      </c>
      <c r="H41" s="171">
        <f t="shared" si="1"/>
        <v>0</v>
      </c>
      <c r="I41" s="119"/>
      <c r="J41" s="120"/>
      <c r="K41" s="121"/>
      <c r="L41" s="122"/>
      <c r="M41" s="58"/>
      <c r="N41" s="58"/>
      <c r="O41" s="59"/>
      <c r="P41" s="56"/>
      <c r="Q41" s="60"/>
      <c r="R41" s="61">
        <f t="shared" si="12"/>
        <v>0</v>
      </c>
      <c r="S41" s="62">
        <f t="shared" si="2"/>
        <v>0</v>
      </c>
      <c r="T41" s="63">
        <f t="shared" si="3"/>
        <v>0</v>
      </c>
      <c r="U41" s="64"/>
      <c r="V41" s="65"/>
      <c r="W41" s="66"/>
      <c r="X41" s="67"/>
      <c r="Y41" s="68"/>
      <c r="Z41" s="68"/>
      <c r="AA41" s="62">
        <f t="shared" si="4"/>
        <v>0</v>
      </c>
      <c r="AB41" s="63">
        <f t="shared" si="5"/>
        <v>0</v>
      </c>
      <c r="AC41" s="69"/>
      <c r="AD41" s="70"/>
      <c r="AE41" s="70"/>
      <c r="AF41" s="62">
        <f t="shared" si="6"/>
        <v>0</v>
      </c>
      <c r="AG41" s="63">
        <f t="shared" si="13"/>
        <v>0</v>
      </c>
      <c r="AH41" s="71"/>
      <c r="AI41" s="66"/>
      <c r="AJ41" s="66"/>
      <c r="AK41" s="62">
        <f t="shared" si="7"/>
        <v>0</v>
      </c>
      <c r="AL41" s="72">
        <f t="shared" si="8"/>
        <v>0</v>
      </c>
      <c r="AM41" s="73">
        <f t="shared" si="14"/>
        <v>0</v>
      </c>
      <c r="AN41" s="74">
        <f t="shared" si="18"/>
        <v>0</v>
      </c>
      <c r="AO41" s="74">
        <f t="shared" si="18"/>
        <v>0</v>
      </c>
      <c r="AP41" s="75" t="e">
        <f t="shared" si="15"/>
        <v>#DIV/0!</v>
      </c>
      <c r="AQ41" s="76">
        <f t="shared" si="10"/>
        <v>0</v>
      </c>
      <c r="AR41" s="90">
        <f t="shared" si="16"/>
        <v>0</v>
      </c>
    </row>
    <row r="42" spans="1:44" x14ac:dyDescent="0.25">
      <c r="A42" t="str">
        <f t="shared" si="11"/>
        <v>46193M</v>
      </c>
      <c r="B42" s="51">
        <f t="shared" si="17"/>
        <v>46193</v>
      </c>
      <c r="C42" s="52" t="s">
        <v>87</v>
      </c>
      <c r="D42" s="79"/>
      <c r="E42" s="62"/>
      <c r="F42" s="62"/>
      <c r="G42" s="170">
        <f t="shared" si="0"/>
        <v>0</v>
      </c>
      <c r="H42" s="171">
        <f t="shared" si="1"/>
        <v>0</v>
      </c>
      <c r="I42" s="119"/>
      <c r="J42" s="120"/>
      <c r="K42" s="121"/>
      <c r="L42" s="122"/>
      <c r="M42" s="58"/>
      <c r="N42" s="58"/>
      <c r="O42" s="59"/>
      <c r="P42" s="56"/>
      <c r="Q42" s="60"/>
      <c r="R42" s="61">
        <f t="shared" si="12"/>
        <v>0</v>
      </c>
      <c r="S42" s="62">
        <f t="shared" si="2"/>
        <v>0</v>
      </c>
      <c r="T42" s="63">
        <f t="shared" si="3"/>
        <v>0</v>
      </c>
      <c r="U42" s="64"/>
      <c r="V42" s="65"/>
      <c r="W42" s="66"/>
      <c r="X42" s="67"/>
      <c r="Y42" s="68"/>
      <c r="Z42" s="68"/>
      <c r="AA42" s="62">
        <f t="shared" si="4"/>
        <v>0</v>
      </c>
      <c r="AB42" s="63">
        <f t="shared" si="5"/>
        <v>0</v>
      </c>
      <c r="AC42" s="69"/>
      <c r="AD42" s="70"/>
      <c r="AE42" s="70"/>
      <c r="AF42" s="62">
        <f t="shared" si="6"/>
        <v>0</v>
      </c>
      <c r="AG42" s="63">
        <f t="shared" si="13"/>
        <v>0</v>
      </c>
      <c r="AH42" s="71"/>
      <c r="AI42" s="66"/>
      <c r="AJ42" s="66"/>
      <c r="AK42" s="62">
        <f t="shared" si="7"/>
        <v>0</v>
      </c>
      <c r="AL42" s="72">
        <f t="shared" si="8"/>
        <v>0</v>
      </c>
      <c r="AM42" s="73">
        <f t="shared" si="14"/>
        <v>0</v>
      </c>
      <c r="AN42" s="74">
        <f t="shared" si="18"/>
        <v>0</v>
      </c>
      <c r="AO42" s="74">
        <f t="shared" si="18"/>
        <v>0</v>
      </c>
      <c r="AP42" s="75" t="e">
        <f t="shared" si="15"/>
        <v>#DIV/0!</v>
      </c>
      <c r="AQ42" s="76">
        <f t="shared" si="10"/>
        <v>0</v>
      </c>
      <c r="AR42" s="90">
        <f t="shared" si="16"/>
        <v>0</v>
      </c>
    </row>
    <row r="43" spans="1:44" x14ac:dyDescent="0.25">
      <c r="A43" t="str">
        <f t="shared" si="11"/>
        <v>46193E</v>
      </c>
      <c r="B43" s="51">
        <f t="shared" si="17"/>
        <v>46193</v>
      </c>
      <c r="C43" s="52" t="s">
        <v>88</v>
      </c>
      <c r="D43" s="79"/>
      <c r="E43" s="62"/>
      <c r="F43" s="62"/>
      <c r="G43" s="170">
        <f t="shared" si="0"/>
        <v>0</v>
      </c>
      <c r="H43" s="171">
        <f t="shared" si="1"/>
        <v>0</v>
      </c>
      <c r="I43" s="119"/>
      <c r="J43" s="120"/>
      <c r="K43" s="121"/>
      <c r="L43" s="122"/>
      <c r="M43" s="58"/>
      <c r="N43" s="58"/>
      <c r="O43" s="59"/>
      <c r="P43" s="56"/>
      <c r="Q43" s="60"/>
      <c r="R43" s="61">
        <f t="shared" si="12"/>
        <v>0</v>
      </c>
      <c r="S43" s="62">
        <f t="shared" si="2"/>
        <v>0</v>
      </c>
      <c r="T43" s="63">
        <f t="shared" si="3"/>
        <v>0</v>
      </c>
      <c r="U43" s="64"/>
      <c r="V43" s="65"/>
      <c r="W43" s="66"/>
      <c r="X43" s="67"/>
      <c r="Y43" s="68"/>
      <c r="Z43" s="68"/>
      <c r="AA43" s="62">
        <f t="shared" si="4"/>
        <v>0</v>
      </c>
      <c r="AB43" s="63">
        <f t="shared" si="5"/>
        <v>0</v>
      </c>
      <c r="AC43" s="69"/>
      <c r="AD43" s="70"/>
      <c r="AE43" s="70"/>
      <c r="AF43" s="62">
        <f t="shared" si="6"/>
        <v>0</v>
      </c>
      <c r="AG43" s="63">
        <f t="shared" si="13"/>
        <v>0</v>
      </c>
      <c r="AH43" s="71"/>
      <c r="AI43" s="66"/>
      <c r="AJ43" s="66"/>
      <c r="AK43" s="62">
        <f t="shared" si="7"/>
        <v>0</v>
      </c>
      <c r="AL43" s="72">
        <f t="shared" si="8"/>
        <v>0</v>
      </c>
      <c r="AM43" s="73">
        <f t="shared" si="14"/>
        <v>0</v>
      </c>
      <c r="AN43" s="74">
        <f t="shared" si="18"/>
        <v>0</v>
      </c>
      <c r="AO43" s="74">
        <f t="shared" si="18"/>
        <v>0</v>
      </c>
      <c r="AP43" s="75" t="e">
        <f t="shared" si="15"/>
        <v>#DIV/0!</v>
      </c>
      <c r="AQ43" s="76">
        <f t="shared" si="10"/>
        <v>0</v>
      </c>
      <c r="AR43" s="90">
        <f t="shared" si="16"/>
        <v>0</v>
      </c>
    </row>
    <row r="44" spans="1:44" x14ac:dyDescent="0.25">
      <c r="A44" t="str">
        <f t="shared" si="11"/>
        <v>46194M</v>
      </c>
      <c r="B44" s="51">
        <f t="shared" si="17"/>
        <v>46194</v>
      </c>
      <c r="C44" s="52" t="s">
        <v>87</v>
      </c>
      <c r="D44" s="79"/>
      <c r="E44" s="62"/>
      <c r="F44" s="62"/>
      <c r="G44" s="170">
        <f t="shared" si="0"/>
        <v>0</v>
      </c>
      <c r="H44" s="171">
        <f t="shared" si="1"/>
        <v>0</v>
      </c>
      <c r="I44" s="119"/>
      <c r="J44" s="120"/>
      <c r="K44" s="121"/>
      <c r="L44" s="122"/>
      <c r="M44" s="58"/>
      <c r="N44" s="58"/>
      <c r="O44" s="59"/>
      <c r="P44" s="56"/>
      <c r="Q44" s="60"/>
      <c r="R44" s="61">
        <f t="shared" si="12"/>
        <v>0</v>
      </c>
      <c r="S44" s="62">
        <f t="shared" si="2"/>
        <v>0</v>
      </c>
      <c r="T44" s="63">
        <f t="shared" si="3"/>
        <v>0</v>
      </c>
      <c r="U44" s="64"/>
      <c r="V44" s="65"/>
      <c r="W44" s="66"/>
      <c r="X44" s="67"/>
      <c r="Y44" s="68"/>
      <c r="Z44" s="68"/>
      <c r="AA44" s="62">
        <f t="shared" si="4"/>
        <v>0</v>
      </c>
      <c r="AB44" s="63">
        <f t="shared" si="5"/>
        <v>0</v>
      </c>
      <c r="AC44" s="69"/>
      <c r="AD44" s="70"/>
      <c r="AE44" s="70"/>
      <c r="AF44" s="62">
        <f t="shared" si="6"/>
        <v>0</v>
      </c>
      <c r="AG44" s="63">
        <f t="shared" si="13"/>
        <v>0</v>
      </c>
      <c r="AH44" s="71"/>
      <c r="AI44" s="66"/>
      <c r="AJ44" s="66"/>
      <c r="AK44" s="62">
        <f t="shared" si="7"/>
        <v>0</v>
      </c>
      <c r="AL44" s="72">
        <f t="shared" si="8"/>
        <v>0</v>
      </c>
      <c r="AM44" s="73">
        <f t="shared" si="14"/>
        <v>0</v>
      </c>
      <c r="AN44" s="74">
        <f t="shared" si="18"/>
        <v>0</v>
      </c>
      <c r="AO44" s="74">
        <f t="shared" si="18"/>
        <v>0</v>
      </c>
      <c r="AP44" s="75" t="e">
        <f t="shared" si="15"/>
        <v>#DIV/0!</v>
      </c>
      <c r="AQ44" s="76">
        <f t="shared" si="10"/>
        <v>0</v>
      </c>
      <c r="AR44" s="90">
        <f>(D44+J44+O44)-(X44+AH44)</f>
        <v>0</v>
      </c>
    </row>
    <row r="45" spans="1:44" x14ac:dyDescent="0.25">
      <c r="A45" t="str">
        <f t="shared" si="11"/>
        <v>46194E</v>
      </c>
      <c r="B45" s="51">
        <f t="shared" si="17"/>
        <v>46194</v>
      </c>
      <c r="C45" s="52" t="s">
        <v>88</v>
      </c>
      <c r="D45" s="79"/>
      <c r="E45" s="62"/>
      <c r="F45" s="62"/>
      <c r="G45" s="170">
        <f t="shared" si="0"/>
        <v>0</v>
      </c>
      <c r="H45" s="171">
        <f t="shared" si="1"/>
        <v>0</v>
      </c>
      <c r="I45" s="119"/>
      <c r="J45" s="120"/>
      <c r="K45" s="121"/>
      <c r="L45" s="122"/>
      <c r="M45" s="58"/>
      <c r="N45" s="58"/>
      <c r="O45" s="59"/>
      <c r="P45" s="56"/>
      <c r="Q45" s="60"/>
      <c r="R45" s="61">
        <f t="shared" si="12"/>
        <v>0</v>
      </c>
      <c r="S45" s="62">
        <f t="shared" si="2"/>
        <v>0</v>
      </c>
      <c r="T45" s="63">
        <f t="shared" si="3"/>
        <v>0</v>
      </c>
      <c r="U45" s="64"/>
      <c r="V45" s="65"/>
      <c r="W45" s="66"/>
      <c r="X45" s="67"/>
      <c r="Y45" s="68"/>
      <c r="Z45" s="68"/>
      <c r="AA45" s="62">
        <f t="shared" si="4"/>
        <v>0</v>
      </c>
      <c r="AB45" s="63">
        <f t="shared" si="5"/>
        <v>0</v>
      </c>
      <c r="AC45" s="69"/>
      <c r="AD45" s="70"/>
      <c r="AE45" s="70"/>
      <c r="AF45" s="62">
        <f t="shared" si="6"/>
        <v>0</v>
      </c>
      <c r="AG45" s="63">
        <f t="shared" si="13"/>
        <v>0</v>
      </c>
      <c r="AH45" s="71"/>
      <c r="AI45" s="66"/>
      <c r="AJ45" s="66"/>
      <c r="AK45" s="62">
        <f t="shared" si="7"/>
        <v>0</v>
      </c>
      <c r="AL45" s="72">
        <f t="shared" si="8"/>
        <v>0</v>
      </c>
      <c r="AM45" s="73">
        <f t="shared" si="14"/>
        <v>0</v>
      </c>
      <c r="AN45" s="74">
        <f t="shared" si="18"/>
        <v>0</v>
      </c>
      <c r="AO45" s="74">
        <f t="shared" si="18"/>
        <v>0</v>
      </c>
      <c r="AP45" s="75" t="e">
        <f t="shared" si="15"/>
        <v>#DIV/0!</v>
      </c>
      <c r="AQ45" s="76">
        <f t="shared" si="10"/>
        <v>0</v>
      </c>
      <c r="AR45" s="90">
        <f>(D45+J45+O45)-(X45+AH45)</f>
        <v>0</v>
      </c>
    </row>
    <row r="46" spans="1:44" x14ac:dyDescent="0.25">
      <c r="A46" t="str">
        <f t="shared" si="11"/>
        <v>46195M</v>
      </c>
      <c r="B46" s="51">
        <f t="shared" si="17"/>
        <v>46195</v>
      </c>
      <c r="C46" s="52" t="s">
        <v>87</v>
      </c>
      <c r="D46" s="79"/>
      <c r="E46" s="62"/>
      <c r="F46" s="62"/>
      <c r="G46" s="170">
        <f t="shared" si="0"/>
        <v>0</v>
      </c>
      <c r="H46" s="171">
        <f t="shared" si="1"/>
        <v>0</v>
      </c>
      <c r="I46" s="119"/>
      <c r="J46" s="120"/>
      <c r="K46" s="121"/>
      <c r="L46" s="122"/>
      <c r="M46" s="58"/>
      <c r="N46" s="58"/>
      <c r="O46" s="59"/>
      <c r="P46" s="56"/>
      <c r="Q46" s="60"/>
      <c r="R46" s="61">
        <f t="shared" si="12"/>
        <v>0</v>
      </c>
      <c r="S46" s="62">
        <f t="shared" si="2"/>
        <v>0</v>
      </c>
      <c r="T46" s="63">
        <f t="shared" si="3"/>
        <v>0</v>
      </c>
      <c r="U46" s="64"/>
      <c r="V46" s="65"/>
      <c r="W46" s="66"/>
      <c r="X46" s="67"/>
      <c r="Y46" s="68"/>
      <c r="Z46" s="68"/>
      <c r="AA46" s="62">
        <f t="shared" si="4"/>
        <v>0</v>
      </c>
      <c r="AB46" s="63">
        <f t="shared" si="5"/>
        <v>0</v>
      </c>
      <c r="AC46" s="69"/>
      <c r="AD46" s="70"/>
      <c r="AE46" s="70"/>
      <c r="AF46" s="62">
        <f t="shared" si="6"/>
        <v>0</v>
      </c>
      <c r="AG46" s="63">
        <f t="shared" si="13"/>
        <v>0</v>
      </c>
      <c r="AH46" s="71"/>
      <c r="AI46" s="66"/>
      <c r="AJ46" s="66"/>
      <c r="AK46" s="62">
        <f t="shared" si="7"/>
        <v>0</v>
      </c>
      <c r="AL46" s="72">
        <f t="shared" si="8"/>
        <v>0</v>
      </c>
      <c r="AM46" s="73">
        <f t="shared" si="14"/>
        <v>0</v>
      </c>
      <c r="AN46" s="74">
        <f t="shared" si="18"/>
        <v>0</v>
      </c>
      <c r="AO46" s="74">
        <f t="shared" si="18"/>
        <v>0</v>
      </c>
      <c r="AP46" s="75" t="e">
        <f t="shared" si="15"/>
        <v>#DIV/0!</v>
      </c>
      <c r="AQ46" s="76">
        <f t="shared" si="10"/>
        <v>0</v>
      </c>
      <c r="AR46" s="90">
        <f>(D46+J46+O46)-(X46+AH46)</f>
        <v>0</v>
      </c>
    </row>
    <row r="47" spans="1:44" x14ac:dyDescent="0.25">
      <c r="A47" t="str">
        <f t="shared" si="11"/>
        <v>46195E</v>
      </c>
      <c r="B47" s="51">
        <f t="shared" si="17"/>
        <v>46195</v>
      </c>
      <c r="C47" s="52" t="s">
        <v>88</v>
      </c>
      <c r="D47" s="79"/>
      <c r="E47" s="62"/>
      <c r="F47" s="62"/>
      <c r="G47" s="170">
        <f t="shared" si="0"/>
        <v>0</v>
      </c>
      <c r="H47" s="171">
        <f t="shared" si="1"/>
        <v>0</v>
      </c>
      <c r="I47" s="119"/>
      <c r="J47" s="120"/>
      <c r="K47" s="121"/>
      <c r="L47" s="122"/>
      <c r="M47" s="58"/>
      <c r="N47" s="58"/>
      <c r="O47" s="59"/>
      <c r="P47" s="56"/>
      <c r="Q47" s="60"/>
      <c r="R47" s="61">
        <f t="shared" si="12"/>
        <v>0</v>
      </c>
      <c r="S47" s="62">
        <f t="shared" si="2"/>
        <v>0</v>
      </c>
      <c r="T47" s="63">
        <f t="shared" si="3"/>
        <v>0</v>
      </c>
      <c r="U47" s="64"/>
      <c r="V47" s="65"/>
      <c r="W47" s="66"/>
      <c r="X47" s="67"/>
      <c r="Y47" s="68"/>
      <c r="Z47" s="68"/>
      <c r="AA47" s="62">
        <f t="shared" si="4"/>
        <v>0</v>
      </c>
      <c r="AB47" s="63">
        <f t="shared" si="5"/>
        <v>0</v>
      </c>
      <c r="AC47" s="69"/>
      <c r="AD47" s="70"/>
      <c r="AE47" s="70"/>
      <c r="AF47" s="62">
        <f t="shared" si="6"/>
        <v>0</v>
      </c>
      <c r="AG47" s="63">
        <f t="shared" si="13"/>
        <v>0</v>
      </c>
      <c r="AH47" s="71"/>
      <c r="AI47" s="66"/>
      <c r="AJ47" s="66"/>
      <c r="AK47" s="62">
        <f t="shared" si="7"/>
        <v>0</v>
      </c>
      <c r="AL47" s="72">
        <f t="shared" si="8"/>
        <v>0</v>
      </c>
      <c r="AM47" s="73">
        <f t="shared" si="14"/>
        <v>0</v>
      </c>
      <c r="AN47" s="74">
        <f t="shared" si="18"/>
        <v>0</v>
      </c>
      <c r="AO47" s="74">
        <f t="shared" si="18"/>
        <v>0</v>
      </c>
      <c r="AP47" s="75" t="e">
        <f t="shared" si="15"/>
        <v>#DIV/0!</v>
      </c>
      <c r="AQ47" s="76">
        <f t="shared" si="10"/>
        <v>0</v>
      </c>
      <c r="AR47" s="90">
        <f>(D47+J47+O47)-(X47+AH47)</f>
        <v>0</v>
      </c>
    </row>
    <row r="48" spans="1:44" x14ac:dyDescent="0.25">
      <c r="A48" t="str">
        <f t="shared" si="11"/>
        <v>46196M</v>
      </c>
      <c r="B48" s="51">
        <f t="shared" si="17"/>
        <v>46196</v>
      </c>
      <c r="C48" s="52" t="s">
        <v>87</v>
      </c>
      <c r="D48" s="79"/>
      <c r="E48" s="62"/>
      <c r="F48" s="62"/>
      <c r="G48" s="170">
        <f t="shared" si="0"/>
        <v>0</v>
      </c>
      <c r="H48" s="171">
        <f t="shared" si="1"/>
        <v>0</v>
      </c>
      <c r="I48" s="119"/>
      <c r="J48" s="120"/>
      <c r="K48" s="121"/>
      <c r="L48" s="122"/>
      <c r="M48" s="58"/>
      <c r="N48" s="58"/>
      <c r="O48" s="59"/>
      <c r="P48" s="56"/>
      <c r="Q48" s="60"/>
      <c r="R48" s="61">
        <f t="shared" si="12"/>
        <v>0</v>
      </c>
      <c r="S48" s="62">
        <f t="shared" si="2"/>
        <v>0</v>
      </c>
      <c r="T48" s="63">
        <f t="shared" si="3"/>
        <v>0</v>
      </c>
      <c r="U48" s="64"/>
      <c r="V48" s="65"/>
      <c r="W48" s="66"/>
      <c r="X48" s="67"/>
      <c r="Y48" s="68"/>
      <c r="Z48" s="68"/>
      <c r="AA48" s="62">
        <f t="shared" si="4"/>
        <v>0</v>
      </c>
      <c r="AB48" s="63">
        <f t="shared" si="5"/>
        <v>0</v>
      </c>
      <c r="AC48" s="69"/>
      <c r="AD48" s="70"/>
      <c r="AE48" s="70"/>
      <c r="AF48" s="62">
        <f t="shared" si="6"/>
        <v>0</v>
      </c>
      <c r="AG48" s="63">
        <f t="shared" si="13"/>
        <v>0</v>
      </c>
      <c r="AH48" s="71"/>
      <c r="AI48" s="66"/>
      <c r="AJ48" s="66"/>
      <c r="AK48" s="62">
        <f t="shared" si="7"/>
        <v>0</v>
      </c>
      <c r="AL48" s="72">
        <f t="shared" si="8"/>
        <v>0</v>
      </c>
      <c r="AM48" s="73">
        <f t="shared" si="14"/>
        <v>0</v>
      </c>
      <c r="AN48" s="74">
        <f t="shared" si="18"/>
        <v>0</v>
      </c>
      <c r="AO48" s="74">
        <f t="shared" si="18"/>
        <v>0</v>
      </c>
      <c r="AP48" s="75" t="e">
        <f t="shared" si="15"/>
        <v>#DIV/0!</v>
      </c>
      <c r="AQ48" s="76">
        <f t="shared" si="10"/>
        <v>0</v>
      </c>
      <c r="AR48" s="83">
        <f t="shared" si="16"/>
        <v>0</v>
      </c>
    </row>
    <row r="49" spans="1:44" x14ac:dyDescent="0.25">
      <c r="A49" t="str">
        <f t="shared" si="11"/>
        <v>46196E</v>
      </c>
      <c r="B49" s="51">
        <f t="shared" si="17"/>
        <v>46196</v>
      </c>
      <c r="C49" s="52" t="s">
        <v>88</v>
      </c>
      <c r="D49" s="79"/>
      <c r="E49" s="62"/>
      <c r="F49" s="62"/>
      <c r="G49" s="170">
        <f t="shared" si="0"/>
        <v>0</v>
      </c>
      <c r="H49" s="171">
        <f t="shared" si="1"/>
        <v>0</v>
      </c>
      <c r="I49" s="119"/>
      <c r="J49" s="120"/>
      <c r="K49" s="121"/>
      <c r="L49" s="122"/>
      <c r="M49" s="58"/>
      <c r="N49" s="58"/>
      <c r="O49" s="59"/>
      <c r="P49" s="56"/>
      <c r="Q49" s="60"/>
      <c r="R49" s="61">
        <f t="shared" si="12"/>
        <v>0</v>
      </c>
      <c r="S49" s="62">
        <f t="shared" si="2"/>
        <v>0</v>
      </c>
      <c r="T49" s="63">
        <f t="shared" si="3"/>
        <v>0</v>
      </c>
      <c r="U49" s="64"/>
      <c r="V49" s="65"/>
      <c r="W49" s="66"/>
      <c r="X49" s="67"/>
      <c r="Y49" s="68"/>
      <c r="Z49" s="68"/>
      <c r="AA49" s="62">
        <f t="shared" si="4"/>
        <v>0</v>
      </c>
      <c r="AB49" s="63">
        <f t="shared" si="5"/>
        <v>0</v>
      </c>
      <c r="AC49" s="69"/>
      <c r="AD49" s="70"/>
      <c r="AE49" s="70"/>
      <c r="AF49" s="62">
        <f t="shared" si="6"/>
        <v>0</v>
      </c>
      <c r="AG49" s="63">
        <f t="shared" si="13"/>
        <v>0</v>
      </c>
      <c r="AH49" s="71"/>
      <c r="AI49" s="66"/>
      <c r="AJ49" s="66"/>
      <c r="AK49" s="62">
        <f t="shared" si="7"/>
        <v>0</v>
      </c>
      <c r="AL49" s="72">
        <f t="shared" si="8"/>
        <v>0</v>
      </c>
      <c r="AM49" s="73">
        <f t="shared" si="14"/>
        <v>0</v>
      </c>
      <c r="AN49" s="74">
        <f t="shared" si="18"/>
        <v>0</v>
      </c>
      <c r="AO49" s="74">
        <f t="shared" si="18"/>
        <v>0</v>
      </c>
      <c r="AP49" s="75" t="e">
        <f t="shared" si="15"/>
        <v>#DIV/0!</v>
      </c>
      <c r="AQ49" s="76">
        <f t="shared" si="10"/>
        <v>0</v>
      </c>
      <c r="AR49" s="83">
        <f t="shared" si="16"/>
        <v>0</v>
      </c>
    </row>
    <row r="50" spans="1:44" x14ac:dyDescent="0.25">
      <c r="A50" t="str">
        <f t="shared" si="11"/>
        <v>46197M</v>
      </c>
      <c r="B50" s="51">
        <f t="shared" si="17"/>
        <v>46197</v>
      </c>
      <c r="C50" s="52" t="s">
        <v>87</v>
      </c>
      <c r="D50" s="79"/>
      <c r="E50" s="62"/>
      <c r="F50" s="62"/>
      <c r="G50" s="170">
        <f t="shared" si="0"/>
        <v>0</v>
      </c>
      <c r="H50" s="171">
        <f t="shared" si="1"/>
        <v>0</v>
      </c>
      <c r="I50" s="119"/>
      <c r="J50" s="120"/>
      <c r="K50" s="121"/>
      <c r="L50" s="122"/>
      <c r="M50" s="58"/>
      <c r="N50" s="58"/>
      <c r="O50" s="59"/>
      <c r="P50" s="56"/>
      <c r="Q50" s="60"/>
      <c r="R50" s="61">
        <f t="shared" si="12"/>
        <v>0</v>
      </c>
      <c r="S50" s="62">
        <f t="shared" si="2"/>
        <v>0</v>
      </c>
      <c r="T50" s="63">
        <f t="shared" si="3"/>
        <v>0</v>
      </c>
      <c r="U50" s="64"/>
      <c r="V50" s="65"/>
      <c r="W50" s="66"/>
      <c r="X50" s="67"/>
      <c r="Y50" s="68"/>
      <c r="Z50" s="68"/>
      <c r="AA50" s="62">
        <f t="shared" si="4"/>
        <v>0</v>
      </c>
      <c r="AB50" s="63">
        <f t="shared" si="5"/>
        <v>0</v>
      </c>
      <c r="AC50" s="69"/>
      <c r="AD50" s="70"/>
      <c r="AE50" s="70"/>
      <c r="AF50" s="62">
        <f t="shared" si="6"/>
        <v>0</v>
      </c>
      <c r="AG50" s="63">
        <f t="shared" si="13"/>
        <v>0</v>
      </c>
      <c r="AH50" s="71"/>
      <c r="AI50" s="66"/>
      <c r="AJ50" s="66"/>
      <c r="AK50" s="62">
        <f t="shared" si="7"/>
        <v>0</v>
      </c>
      <c r="AL50" s="72">
        <f t="shared" si="8"/>
        <v>0</v>
      </c>
      <c r="AM50" s="73">
        <f t="shared" si="14"/>
        <v>0</v>
      </c>
      <c r="AN50" s="74">
        <f t="shared" si="18"/>
        <v>0</v>
      </c>
      <c r="AO50" s="74">
        <f t="shared" si="18"/>
        <v>0</v>
      </c>
      <c r="AP50" s="75" t="e">
        <f t="shared" si="15"/>
        <v>#DIV/0!</v>
      </c>
      <c r="AQ50" s="76">
        <f t="shared" si="10"/>
        <v>0</v>
      </c>
      <c r="AR50" s="83">
        <f t="shared" si="16"/>
        <v>0</v>
      </c>
    </row>
    <row r="51" spans="1:44" x14ac:dyDescent="0.25">
      <c r="A51" t="str">
        <f t="shared" si="11"/>
        <v>46197E</v>
      </c>
      <c r="B51" s="51">
        <f t="shared" si="17"/>
        <v>46197</v>
      </c>
      <c r="C51" s="52" t="s">
        <v>88</v>
      </c>
      <c r="D51" s="79"/>
      <c r="E51" s="62"/>
      <c r="F51" s="62"/>
      <c r="G51" s="170">
        <f t="shared" si="0"/>
        <v>0</v>
      </c>
      <c r="H51" s="171">
        <f t="shared" si="1"/>
        <v>0</v>
      </c>
      <c r="I51" s="119"/>
      <c r="J51" s="120"/>
      <c r="K51" s="121"/>
      <c r="L51" s="122"/>
      <c r="M51" s="58"/>
      <c r="N51" s="58"/>
      <c r="O51" s="59"/>
      <c r="P51" s="56"/>
      <c r="Q51" s="60"/>
      <c r="R51" s="61">
        <f t="shared" si="12"/>
        <v>0</v>
      </c>
      <c r="S51" s="62">
        <f t="shared" si="2"/>
        <v>0</v>
      </c>
      <c r="T51" s="63">
        <f t="shared" si="3"/>
        <v>0</v>
      </c>
      <c r="U51" s="64"/>
      <c r="V51" s="65"/>
      <c r="W51" s="66"/>
      <c r="X51" s="67"/>
      <c r="Y51" s="68"/>
      <c r="Z51" s="68"/>
      <c r="AA51" s="62">
        <f t="shared" si="4"/>
        <v>0</v>
      </c>
      <c r="AB51" s="63">
        <f t="shared" si="5"/>
        <v>0</v>
      </c>
      <c r="AC51" s="69"/>
      <c r="AD51" s="70"/>
      <c r="AE51" s="70"/>
      <c r="AF51" s="62">
        <f t="shared" si="6"/>
        <v>0</v>
      </c>
      <c r="AG51" s="63">
        <f t="shared" si="13"/>
        <v>0</v>
      </c>
      <c r="AH51" s="71"/>
      <c r="AI51" s="66"/>
      <c r="AJ51" s="66"/>
      <c r="AK51" s="62">
        <f t="shared" si="7"/>
        <v>0</v>
      </c>
      <c r="AL51" s="72">
        <f t="shared" si="8"/>
        <v>0</v>
      </c>
      <c r="AM51" s="73">
        <f t="shared" si="14"/>
        <v>0</v>
      </c>
      <c r="AN51" s="74">
        <f t="shared" si="18"/>
        <v>0</v>
      </c>
      <c r="AO51" s="74">
        <f t="shared" si="18"/>
        <v>0</v>
      </c>
      <c r="AP51" s="75" t="e">
        <f t="shared" si="15"/>
        <v>#DIV/0!</v>
      </c>
      <c r="AQ51" s="76">
        <f t="shared" si="10"/>
        <v>0</v>
      </c>
      <c r="AR51" s="83">
        <f t="shared" si="16"/>
        <v>0</v>
      </c>
    </row>
    <row r="52" spans="1:44" x14ac:dyDescent="0.25">
      <c r="A52" t="str">
        <f t="shared" si="11"/>
        <v>46198M</v>
      </c>
      <c r="B52" s="51">
        <f t="shared" si="17"/>
        <v>46198</v>
      </c>
      <c r="C52" s="52" t="s">
        <v>87</v>
      </c>
      <c r="D52" s="79"/>
      <c r="E52" s="62"/>
      <c r="F52" s="62"/>
      <c r="G52" s="170">
        <f t="shared" si="0"/>
        <v>0</v>
      </c>
      <c r="H52" s="171">
        <f t="shared" si="1"/>
        <v>0</v>
      </c>
      <c r="I52" s="119"/>
      <c r="J52" s="120"/>
      <c r="K52" s="121"/>
      <c r="L52" s="122"/>
      <c r="M52" s="58"/>
      <c r="N52" s="58"/>
      <c r="O52" s="59"/>
      <c r="P52" s="56"/>
      <c r="Q52" s="60"/>
      <c r="R52" s="61">
        <f t="shared" si="12"/>
        <v>0</v>
      </c>
      <c r="S52" s="62">
        <f t="shared" si="2"/>
        <v>0</v>
      </c>
      <c r="T52" s="63">
        <f t="shared" si="3"/>
        <v>0</v>
      </c>
      <c r="U52" s="64"/>
      <c r="V52" s="65"/>
      <c r="W52" s="66"/>
      <c r="X52" s="67"/>
      <c r="Y52" s="68"/>
      <c r="Z52" s="68"/>
      <c r="AA52" s="62">
        <f t="shared" si="4"/>
        <v>0</v>
      </c>
      <c r="AB52" s="63">
        <f t="shared" si="5"/>
        <v>0</v>
      </c>
      <c r="AC52" s="69"/>
      <c r="AD52" s="70"/>
      <c r="AE52" s="70"/>
      <c r="AF52" s="62">
        <f t="shared" si="6"/>
        <v>0</v>
      </c>
      <c r="AG52" s="63">
        <f t="shared" si="13"/>
        <v>0</v>
      </c>
      <c r="AH52" s="71"/>
      <c r="AI52" s="66"/>
      <c r="AJ52" s="66"/>
      <c r="AK52" s="62">
        <f t="shared" si="7"/>
        <v>0</v>
      </c>
      <c r="AL52" s="72">
        <f t="shared" si="8"/>
        <v>0</v>
      </c>
      <c r="AM52" s="73">
        <f t="shared" si="14"/>
        <v>0</v>
      </c>
      <c r="AN52" s="74">
        <f t="shared" si="18"/>
        <v>0</v>
      </c>
      <c r="AO52" s="74">
        <f t="shared" si="18"/>
        <v>0</v>
      </c>
      <c r="AP52" s="75" t="e">
        <f t="shared" si="15"/>
        <v>#DIV/0!</v>
      </c>
      <c r="AQ52" s="76">
        <f t="shared" si="10"/>
        <v>0</v>
      </c>
      <c r="AR52" s="83">
        <f t="shared" si="16"/>
        <v>0</v>
      </c>
    </row>
    <row r="53" spans="1:44" x14ac:dyDescent="0.25">
      <c r="A53" t="str">
        <f t="shared" si="11"/>
        <v>46198E</v>
      </c>
      <c r="B53" s="51">
        <f t="shared" si="17"/>
        <v>46198</v>
      </c>
      <c r="C53" s="52" t="s">
        <v>88</v>
      </c>
      <c r="D53" s="79"/>
      <c r="E53" s="62"/>
      <c r="F53" s="62"/>
      <c r="G53" s="170">
        <f t="shared" si="0"/>
        <v>0</v>
      </c>
      <c r="H53" s="171">
        <f t="shared" si="1"/>
        <v>0</v>
      </c>
      <c r="I53" s="119"/>
      <c r="J53" s="120"/>
      <c r="K53" s="121"/>
      <c r="L53" s="122"/>
      <c r="M53" s="58"/>
      <c r="N53" s="58"/>
      <c r="O53" s="59"/>
      <c r="P53" s="56"/>
      <c r="Q53" s="60"/>
      <c r="R53" s="61">
        <f t="shared" si="12"/>
        <v>0</v>
      </c>
      <c r="S53" s="62">
        <f t="shared" si="2"/>
        <v>0</v>
      </c>
      <c r="T53" s="63">
        <f t="shared" si="3"/>
        <v>0</v>
      </c>
      <c r="U53" s="64"/>
      <c r="V53" s="65"/>
      <c r="W53" s="66"/>
      <c r="X53" s="67"/>
      <c r="Y53" s="68"/>
      <c r="Z53" s="68"/>
      <c r="AA53" s="62">
        <f t="shared" si="4"/>
        <v>0</v>
      </c>
      <c r="AB53" s="63">
        <f t="shared" si="5"/>
        <v>0</v>
      </c>
      <c r="AC53" s="69"/>
      <c r="AD53" s="70"/>
      <c r="AE53" s="70"/>
      <c r="AF53" s="62">
        <f t="shared" si="6"/>
        <v>0</v>
      </c>
      <c r="AG53" s="63">
        <f t="shared" si="13"/>
        <v>0</v>
      </c>
      <c r="AH53" s="71"/>
      <c r="AI53" s="66"/>
      <c r="AJ53" s="66"/>
      <c r="AK53" s="62">
        <f t="shared" si="7"/>
        <v>0</v>
      </c>
      <c r="AL53" s="72">
        <f t="shared" si="8"/>
        <v>0</v>
      </c>
      <c r="AM53" s="73">
        <f t="shared" si="14"/>
        <v>0</v>
      </c>
      <c r="AN53" s="74">
        <f t="shared" si="18"/>
        <v>0</v>
      </c>
      <c r="AO53" s="74">
        <f t="shared" si="18"/>
        <v>0</v>
      </c>
      <c r="AP53" s="75" t="e">
        <f t="shared" si="15"/>
        <v>#DIV/0!</v>
      </c>
      <c r="AQ53" s="76">
        <f t="shared" si="10"/>
        <v>0</v>
      </c>
      <c r="AR53" s="83">
        <f t="shared" si="16"/>
        <v>0</v>
      </c>
    </row>
    <row r="54" spans="1:44" x14ac:dyDescent="0.25">
      <c r="A54" t="str">
        <f t="shared" si="11"/>
        <v>46199M</v>
      </c>
      <c r="B54" s="51">
        <f t="shared" si="17"/>
        <v>46199</v>
      </c>
      <c r="C54" s="52" t="s">
        <v>87</v>
      </c>
      <c r="D54" s="79"/>
      <c r="E54" s="62"/>
      <c r="F54" s="62"/>
      <c r="G54" s="170">
        <f t="shared" si="0"/>
        <v>0</v>
      </c>
      <c r="H54" s="171">
        <f t="shared" si="1"/>
        <v>0</v>
      </c>
      <c r="I54" s="119"/>
      <c r="J54" s="120"/>
      <c r="K54" s="121"/>
      <c r="L54" s="122"/>
      <c r="M54" s="58"/>
      <c r="N54" s="58"/>
      <c r="O54" s="59"/>
      <c r="P54" s="56"/>
      <c r="Q54" s="60"/>
      <c r="R54" s="61">
        <f t="shared" si="12"/>
        <v>0</v>
      </c>
      <c r="S54" s="62">
        <f t="shared" si="2"/>
        <v>0</v>
      </c>
      <c r="T54" s="63">
        <f t="shared" si="3"/>
        <v>0</v>
      </c>
      <c r="U54" s="64"/>
      <c r="V54" s="65"/>
      <c r="W54" s="66"/>
      <c r="X54" s="67"/>
      <c r="Y54" s="68"/>
      <c r="Z54" s="68"/>
      <c r="AA54" s="62">
        <f t="shared" si="4"/>
        <v>0</v>
      </c>
      <c r="AB54" s="63">
        <f t="shared" si="5"/>
        <v>0</v>
      </c>
      <c r="AC54" s="69"/>
      <c r="AD54" s="70"/>
      <c r="AE54" s="70"/>
      <c r="AF54" s="62">
        <f t="shared" si="6"/>
        <v>0</v>
      </c>
      <c r="AG54" s="63">
        <f t="shared" si="13"/>
        <v>0</v>
      </c>
      <c r="AH54" s="71"/>
      <c r="AI54" s="66"/>
      <c r="AJ54" s="66"/>
      <c r="AK54" s="62">
        <f t="shared" si="7"/>
        <v>0</v>
      </c>
      <c r="AL54" s="72">
        <f t="shared" si="8"/>
        <v>0</v>
      </c>
      <c r="AM54" s="73">
        <f t="shared" si="14"/>
        <v>0</v>
      </c>
      <c r="AN54" s="74">
        <f t="shared" si="18"/>
        <v>0</v>
      </c>
      <c r="AO54" s="74">
        <f t="shared" si="18"/>
        <v>0</v>
      </c>
      <c r="AP54" s="75" t="e">
        <f t="shared" si="15"/>
        <v>#DIV/0!</v>
      </c>
      <c r="AQ54" s="76">
        <f t="shared" si="10"/>
        <v>0</v>
      </c>
      <c r="AR54" s="90">
        <f t="shared" si="16"/>
        <v>0</v>
      </c>
    </row>
    <row r="55" spans="1:44" x14ac:dyDescent="0.25">
      <c r="A55" t="str">
        <f t="shared" si="11"/>
        <v>46199E</v>
      </c>
      <c r="B55" s="51">
        <f t="shared" si="17"/>
        <v>46199</v>
      </c>
      <c r="C55" s="52" t="s">
        <v>88</v>
      </c>
      <c r="D55" s="79"/>
      <c r="E55" s="62"/>
      <c r="F55" s="62"/>
      <c r="G55" s="170">
        <f t="shared" si="0"/>
        <v>0</v>
      </c>
      <c r="H55" s="171">
        <f t="shared" si="1"/>
        <v>0</v>
      </c>
      <c r="I55" s="119"/>
      <c r="J55" s="120"/>
      <c r="K55" s="121"/>
      <c r="L55" s="122"/>
      <c r="M55" s="58"/>
      <c r="N55" s="58"/>
      <c r="O55" s="59"/>
      <c r="P55" s="56"/>
      <c r="Q55" s="60"/>
      <c r="R55" s="61">
        <f t="shared" si="12"/>
        <v>0</v>
      </c>
      <c r="S55" s="62">
        <f t="shared" si="2"/>
        <v>0</v>
      </c>
      <c r="T55" s="63">
        <f t="shared" si="3"/>
        <v>0</v>
      </c>
      <c r="U55" s="64"/>
      <c r="V55" s="65"/>
      <c r="W55" s="66"/>
      <c r="X55" s="67"/>
      <c r="Y55" s="68"/>
      <c r="Z55" s="68"/>
      <c r="AA55" s="62">
        <f t="shared" si="4"/>
        <v>0</v>
      </c>
      <c r="AB55" s="63">
        <f t="shared" si="5"/>
        <v>0</v>
      </c>
      <c r="AC55" s="69"/>
      <c r="AD55" s="70"/>
      <c r="AE55" s="70"/>
      <c r="AF55" s="62">
        <f t="shared" si="6"/>
        <v>0</v>
      </c>
      <c r="AG55" s="63">
        <f t="shared" si="13"/>
        <v>0</v>
      </c>
      <c r="AH55" s="71"/>
      <c r="AI55" s="66"/>
      <c r="AJ55" s="66"/>
      <c r="AK55" s="62">
        <f t="shared" si="7"/>
        <v>0</v>
      </c>
      <c r="AL55" s="72">
        <f t="shared" si="8"/>
        <v>0</v>
      </c>
      <c r="AM55" s="73">
        <f t="shared" si="14"/>
        <v>0</v>
      </c>
      <c r="AN55" s="74">
        <f t="shared" si="18"/>
        <v>0</v>
      </c>
      <c r="AO55" s="74">
        <f t="shared" si="18"/>
        <v>0</v>
      </c>
      <c r="AP55" s="75" t="e">
        <f t="shared" si="15"/>
        <v>#DIV/0!</v>
      </c>
      <c r="AQ55" s="76">
        <f t="shared" si="10"/>
        <v>0</v>
      </c>
      <c r="AR55" s="90">
        <f t="shared" si="16"/>
        <v>0</v>
      </c>
    </row>
    <row r="56" spans="1:44" x14ac:dyDescent="0.25">
      <c r="A56" t="str">
        <f t="shared" si="11"/>
        <v>46200M</v>
      </c>
      <c r="B56" s="51">
        <f t="shared" si="17"/>
        <v>46200</v>
      </c>
      <c r="C56" s="52" t="s">
        <v>87</v>
      </c>
      <c r="D56" s="79"/>
      <c r="E56" s="62"/>
      <c r="F56" s="62"/>
      <c r="G56" s="170">
        <f t="shared" si="0"/>
        <v>0</v>
      </c>
      <c r="H56" s="171">
        <f t="shared" si="1"/>
        <v>0</v>
      </c>
      <c r="I56" s="119"/>
      <c r="J56" s="120"/>
      <c r="K56" s="121"/>
      <c r="L56" s="122"/>
      <c r="M56" s="58"/>
      <c r="N56" s="58"/>
      <c r="O56" s="59"/>
      <c r="P56" s="56"/>
      <c r="Q56" s="60"/>
      <c r="R56" s="61">
        <f t="shared" si="12"/>
        <v>0</v>
      </c>
      <c r="S56" s="62">
        <f t="shared" si="2"/>
        <v>0</v>
      </c>
      <c r="T56" s="63">
        <f t="shared" si="3"/>
        <v>0</v>
      </c>
      <c r="U56" s="64"/>
      <c r="V56" s="65"/>
      <c r="W56" s="66"/>
      <c r="X56" s="67"/>
      <c r="Y56" s="68"/>
      <c r="Z56" s="68"/>
      <c r="AA56" s="62">
        <f t="shared" si="4"/>
        <v>0</v>
      </c>
      <c r="AB56" s="63">
        <f t="shared" si="5"/>
        <v>0</v>
      </c>
      <c r="AC56" s="69"/>
      <c r="AD56" s="70"/>
      <c r="AE56" s="70"/>
      <c r="AF56" s="62">
        <f t="shared" si="6"/>
        <v>0</v>
      </c>
      <c r="AG56" s="63">
        <f t="shared" si="13"/>
        <v>0</v>
      </c>
      <c r="AH56" s="71"/>
      <c r="AI56" s="66"/>
      <c r="AJ56" s="66"/>
      <c r="AK56" s="62">
        <f t="shared" si="7"/>
        <v>0</v>
      </c>
      <c r="AL56" s="72">
        <f t="shared" si="8"/>
        <v>0</v>
      </c>
      <c r="AM56" s="73">
        <f t="shared" si="14"/>
        <v>0</v>
      </c>
      <c r="AN56" s="74">
        <f t="shared" si="18"/>
        <v>0</v>
      </c>
      <c r="AO56" s="74">
        <f t="shared" si="18"/>
        <v>0</v>
      </c>
      <c r="AP56" s="75" t="e">
        <f t="shared" si="15"/>
        <v>#DIV/0!</v>
      </c>
      <c r="AQ56" s="76">
        <f t="shared" si="10"/>
        <v>0</v>
      </c>
      <c r="AR56" s="90">
        <f t="shared" si="16"/>
        <v>0</v>
      </c>
    </row>
    <row r="57" spans="1:44" x14ac:dyDescent="0.25">
      <c r="A57" t="str">
        <f t="shared" si="11"/>
        <v>46200E</v>
      </c>
      <c r="B57" s="51">
        <f t="shared" si="17"/>
        <v>46200</v>
      </c>
      <c r="C57" s="52" t="s">
        <v>88</v>
      </c>
      <c r="D57" s="79"/>
      <c r="E57" s="62"/>
      <c r="F57" s="62"/>
      <c r="G57" s="170">
        <f t="shared" si="0"/>
        <v>0</v>
      </c>
      <c r="H57" s="171">
        <f t="shared" si="1"/>
        <v>0</v>
      </c>
      <c r="I57" s="119"/>
      <c r="J57" s="120"/>
      <c r="K57" s="121"/>
      <c r="L57" s="122"/>
      <c r="M57" s="58"/>
      <c r="N57" s="58"/>
      <c r="O57" s="59"/>
      <c r="P57" s="56"/>
      <c r="Q57" s="60"/>
      <c r="R57" s="61">
        <f t="shared" si="12"/>
        <v>0</v>
      </c>
      <c r="S57" s="62">
        <f t="shared" si="2"/>
        <v>0</v>
      </c>
      <c r="T57" s="63">
        <f t="shared" si="3"/>
        <v>0</v>
      </c>
      <c r="U57" s="64"/>
      <c r="V57" s="65"/>
      <c r="W57" s="66"/>
      <c r="X57" s="67"/>
      <c r="Y57" s="68"/>
      <c r="Z57" s="68"/>
      <c r="AA57" s="62">
        <v>0</v>
      </c>
      <c r="AB57" s="63">
        <v>0</v>
      </c>
      <c r="AC57" s="69"/>
      <c r="AD57" s="70"/>
      <c r="AE57" s="70"/>
      <c r="AF57" s="62">
        <f t="shared" si="6"/>
        <v>0</v>
      </c>
      <c r="AG57" s="63">
        <f t="shared" si="13"/>
        <v>0</v>
      </c>
      <c r="AH57" s="71"/>
      <c r="AI57" s="66"/>
      <c r="AJ57" s="66"/>
      <c r="AK57" s="62">
        <f t="shared" si="7"/>
        <v>0</v>
      </c>
      <c r="AL57" s="72">
        <f t="shared" si="8"/>
        <v>0</v>
      </c>
      <c r="AM57" s="73">
        <f t="shared" si="14"/>
        <v>0</v>
      </c>
      <c r="AN57" s="74">
        <f t="shared" si="18"/>
        <v>0</v>
      </c>
      <c r="AO57" s="74">
        <f t="shared" si="18"/>
        <v>0</v>
      </c>
      <c r="AP57" s="75" t="e">
        <f t="shared" si="15"/>
        <v>#DIV/0!</v>
      </c>
      <c r="AQ57" s="76">
        <f t="shared" si="10"/>
        <v>0</v>
      </c>
      <c r="AR57" s="90">
        <f t="shared" si="16"/>
        <v>0</v>
      </c>
    </row>
    <row r="58" spans="1:44" x14ac:dyDescent="0.25">
      <c r="A58" t="str">
        <f t="shared" si="11"/>
        <v>46201M</v>
      </c>
      <c r="B58" s="51">
        <f t="shared" si="17"/>
        <v>46201</v>
      </c>
      <c r="C58" s="52" t="s">
        <v>87</v>
      </c>
      <c r="D58" s="79"/>
      <c r="E58" s="62"/>
      <c r="F58" s="62"/>
      <c r="G58" s="170">
        <f t="shared" si="0"/>
        <v>0</v>
      </c>
      <c r="H58" s="171">
        <f t="shared" si="1"/>
        <v>0</v>
      </c>
      <c r="I58" s="119"/>
      <c r="J58" s="120"/>
      <c r="K58" s="121"/>
      <c r="L58" s="122"/>
      <c r="M58" s="58"/>
      <c r="N58" s="58"/>
      <c r="O58" s="59"/>
      <c r="P58" s="56"/>
      <c r="Q58" s="60"/>
      <c r="R58" s="61">
        <f t="shared" si="12"/>
        <v>0</v>
      </c>
      <c r="S58" s="62">
        <f t="shared" si="2"/>
        <v>0</v>
      </c>
      <c r="T58" s="63">
        <f t="shared" si="3"/>
        <v>0</v>
      </c>
      <c r="U58" s="64"/>
      <c r="V58" s="65"/>
      <c r="W58" s="66"/>
      <c r="X58" s="67"/>
      <c r="Y58" s="68"/>
      <c r="Z58" s="68"/>
      <c r="AA58" s="62">
        <f t="shared" ref="AA58:AA65" si="19">X58*Y58%</f>
        <v>0</v>
      </c>
      <c r="AB58" s="63">
        <f t="shared" ref="AB58:AB65" si="20">X58*Z58%</f>
        <v>0</v>
      </c>
      <c r="AC58" s="69"/>
      <c r="AD58" s="70"/>
      <c r="AE58" s="70"/>
      <c r="AF58" s="62">
        <f t="shared" si="6"/>
        <v>0</v>
      </c>
      <c r="AG58" s="63">
        <f t="shared" si="13"/>
        <v>0</v>
      </c>
      <c r="AH58" s="71"/>
      <c r="AI58" s="66"/>
      <c r="AJ58" s="66"/>
      <c r="AK58" s="62">
        <f t="shared" si="7"/>
        <v>0</v>
      </c>
      <c r="AL58" s="72">
        <f>AH58*AJ58%</f>
        <v>0</v>
      </c>
      <c r="AM58" s="73">
        <f t="shared" si="14"/>
        <v>0</v>
      </c>
      <c r="AN58" s="74">
        <f t="shared" si="18"/>
        <v>0</v>
      </c>
      <c r="AO58" s="74">
        <f t="shared" si="18"/>
        <v>0</v>
      </c>
      <c r="AP58" s="75" t="e">
        <f t="shared" si="15"/>
        <v>#DIV/0!</v>
      </c>
      <c r="AQ58" s="76">
        <f t="shared" si="10"/>
        <v>0</v>
      </c>
      <c r="AR58" s="90">
        <f t="shared" si="16"/>
        <v>0</v>
      </c>
    </row>
    <row r="59" spans="1:44" x14ac:dyDescent="0.25">
      <c r="A59" t="str">
        <f t="shared" si="11"/>
        <v>46201E</v>
      </c>
      <c r="B59" s="51">
        <f t="shared" si="17"/>
        <v>46201</v>
      </c>
      <c r="C59" s="52" t="s">
        <v>88</v>
      </c>
      <c r="D59" s="79"/>
      <c r="E59" s="62"/>
      <c r="F59" s="62"/>
      <c r="G59" s="170">
        <f t="shared" si="0"/>
        <v>0</v>
      </c>
      <c r="H59" s="171">
        <f t="shared" si="1"/>
        <v>0</v>
      </c>
      <c r="I59" s="119"/>
      <c r="J59" s="120"/>
      <c r="K59" s="121"/>
      <c r="L59" s="122"/>
      <c r="M59" s="58"/>
      <c r="N59" s="58"/>
      <c r="O59" s="59"/>
      <c r="P59" s="56"/>
      <c r="Q59" s="60"/>
      <c r="R59" s="61">
        <f t="shared" si="12"/>
        <v>0</v>
      </c>
      <c r="S59" s="62">
        <f t="shared" si="2"/>
        <v>0</v>
      </c>
      <c r="T59" s="63">
        <f t="shared" si="3"/>
        <v>0</v>
      </c>
      <c r="U59" s="64"/>
      <c r="V59" s="65"/>
      <c r="W59" s="66"/>
      <c r="X59" s="67"/>
      <c r="Y59" s="68"/>
      <c r="Z59" s="68"/>
      <c r="AA59" s="62">
        <f t="shared" si="19"/>
        <v>0</v>
      </c>
      <c r="AB59" s="63">
        <f t="shared" si="20"/>
        <v>0</v>
      </c>
      <c r="AC59" s="69"/>
      <c r="AD59" s="70"/>
      <c r="AE59" s="70"/>
      <c r="AF59" s="62">
        <f t="shared" si="6"/>
        <v>0</v>
      </c>
      <c r="AG59" s="63">
        <f t="shared" si="13"/>
        <v>0</v>
      </c>
      <c r="AH59" s="71"/>
      <c r="AI59" s="66"/>
      <c r="AJ59" s="66"/>
      <c r="AK59" s="62">
        <f t="shared" si="7"/>
        <v>0</v>
      </c>
      <c r="AL59" s="72">
        <f t="shared" si="8"/>
        <v>0</v>
      </c>
      <c r="AM59" s="73">
        <f t="shared" si="14"/>
        <v>0</v>
      </c>
      <c r="AN59" s="74">
        <f t="shared" si="18"/>
        <v>0</v>
      </c>
      <c r="AO59" s="74">
        <f t="shared" si="18"/>
        <v>0</v>
      </c>
      <c r="AP59" s="75" t="e">
        <f t="shared" si="15"/>
        <v>#DIV/0!</v>
      </c>
      <c r="AQ59" s="76">
        <f t="shared" si="10"/>
        <v>0</v>
      </c>
      <c r="AR59" s="90">
        <f t="shared" si="16"/>
        <v>0</v>
      </c>
    </row>
    <row r="60" spans="1:44" x14ac:dyDescent="0.25">
      <c r="A60" t="str">
        <f t="shared" si="11"/>
        <v>46202M</v>
      </c>
      <c r="B60" s="51">
        <f t="shared" si="17"/>
        <v>46202</v>
      </c>
      <c r="C60" s="52" t="s">
        <v>87</v>
      </c>
      <c r="D60" s="79"/>
      <c r="E60" s="62"/>
      <c r="F60" s="62"/>
      <c r="G60" s="170">
        <f t="shared" si="0"/>
        <v>0</v>
      </c>
      <c r="H60" s="171">
        <f t="shared" si="1"/>
        <v>0</v>
      </c>
      <c r="I60" s="119"/>
      <c r="J60" s="120"/>
      <c r="K60" s="121"/>
      <c r="L60" s="122"/>
      <c r="M60" s="58"/>
      <c r="N60" s="58"/>
      <c r="O60" s="59"/>
      <c r="P60" s="56"/>
      <c r="Q60" s="60"/>
      <c r="R60" s="61">
        <f t="shared" si="12"/>
        <v>0</v>
      </c>
      <c r="S60" s="62">
        <f t="shared" si="2"/>
        <v>0</v>
      </c>
      <c r="T60" s="63">
        <f t="shared" si="3"/>
        <v>0</v>
      </c>
      <c r="U60" s="64"/>
      <c r="V60" s="65"/>
      <c r="W60" s="66"/>
      <c r="X60" s="67"/>
      <c r="Y60" s="68"/>
      <c r="Z60" s="68"/>
      <c r="AA60" s="62">
        <f t="shared" si="19"/>
        <v>0</v>
      </c>
      <c r="AB60" s="63">
        <f t="shared" si="20"/>
        <v>0</v>
      </c>
      <c r="AC60" s="69"/>
      <c r="AD60" s="70"/>
      <c r="AE60" s="70"/>
      <c r="AF60" s="62">
        <f t="shared" si="6"/>
        <v>0</v>
      </c>
      <c r="AG60" s="63">
        <f t="shared" si="13"/>
        <v>0</v>
      </c>
      <c r="AH60" s="71"/>
      <c r="AI60" s="66"/>
      <c r="AJ60" s="66"/>
      <c r="AK60" s="62">
        <f t="shared" si="7"/>
        <v>0</v>
      </c>
      <c r="AL60" s="72">
        <f t="shared" si="8"/>
        <v>0</v>
      </c>
      <c r="AM60" s="73">
        <f t="shared" si="14"/>
        <v>0</v>
      </c>
      <c r="AN60" s="74">
        <f t="shared" si="18"/>
        <v>0</v>
      </c>
      <c r="AO60" s="74">
        <f t="shared" si="18"/>
        <v>0</v>
      </c>
      <c r="AP60" s="75" t="e">
        <f t="shared" si="15"/>
        <v>#DIV/0!</v>
      </c>
      <c r="AQ60" s="76">
        <f t="shared" si="10"/>
        <v>0</v>
      </c>
      <c r="AR60" s="90">
        <f t="shared" si="16"/>
        <v>0</v>
      </c>
    </row>
    <row r="61" spans="1:44" x14ac:dyDescent="0.25">
      <c r="A61" t="str">
        <f t="shared" si="11"/>
        <v>46202E</v>
      </c>
      <c r="B61" s="51">
        <f t="shared" si="17"/>
        <v>46202</v>
      </c>
      <c r="C61" s="52" t="s">
        <v>88</v>
      </c>
      <c r="D61" s="79"/>
      <c r="E61" s="62"/>
      <c r="F61" s="62"/>
      <c r="G61" s="170">
        <f t="shared" si="0"/>
        <v>0</v>
      </c>
      <c r="H61" s="171">
        <f t="shared" si="1"/>
        <v>0</v>
      </c>
      <c r="I61" s="119"/>
      <c r="J61" s="120"/>
      <c r="K61" s="121"/>
      <c r="L61" s="122"/>
      <c r="M61" s="58"/>
      <c r="N61" s="58"/>
      <c r="O61" s="59"/>
      <c r="P61" s="56"/>
      <c r="Q61" s="60"/>
      <c r="R61" s="61">
        <f t="shared" si="12"/>
        <v>0</v>
      </c>
      <c r="S61" s="62">
        <f t="shared" si="2"/>
        <v>0</v>
      </c>
      <c r="T61" s="63">
        <f t="shared" si="3"/>
        <v>0</v>
      </c>
      <c r="U61" s="64"/>
      <c r="V61" s="65"/>
      <c r="W61" s="66"/>
      <c r="X61" s="67"/>
      <c r="Y61" s="68"/>
      <c r="Z61" s="68"/>
      <c r="AA61" s="62">
        <f t="shared" si="19"/>
        <v>0</v>
      </c>
      <c r="AB61" s="63">
        <f t="shared" si="20"/>
        <v>0</v>
      </c>
      <c r="AC61" s="69"/>
      <c r="AD61" s="70"/>
      <c r="AE61" s="70"/>
      <c r="AF61" s="62">
        <f t="shared" si="6"/>
        <v>0</v>
      </c>
      <c r="AG61" s="63">
        <f t="shared" si="13"/>
        <v>0</v>
      </c>
      <c r="AH61" s="71"/>
      <c r="AI61" s="66"/>
      <c r="AJ61" s="66"/>
      <c r="AK61" s="62">
        <f t="shared" si="7"/>
        <v>0</v>
      </c>
      <c r="AL61" s="72">
        <f t="shared" si="8"/>
        <v>0</v>
      </c>
      <c r="AM61" s="73">
        <f t="shared" si="14"/>
        <v>0</v>
      </c>
      <c r="AN61" s="74">
        <f t="shared" si="18"/>
        <v>0</v>
      </c>
      <c r="AO61" s="74">
        <f t="shared" si="18"/>
        <v>0</v>
      </c>
      <c r="AP61" s="75" t="e">
        <f t="shared" si="15"/>
        <v>#DIV/0!</v>
      </c>
      <c r="AQ61" s="76">
        <f t="shared" si="10"/>
        <v>0</v>
      </c>
      <c r="AR61" s="90">
        <f t="shared" si="16"/>
        <v>0</v>
      </c>
    </row>
    <row r="62" spans="1:44" x14ac:dyDescent="0.25">
      <c r="A62" t="str">
        <f t="shared" si="11"/>
        <v>46203M</v>
      </c>
      <c r="B62" s="51">
        <f t="shared" si="17"/>
        <v>46203</v>
      </c>
      <c r="C62" s="52" t="s">
        <v>87</v>
      </c>
      <c r="D62" s="79"/>
      <c r="E62" s="62"/>
      <c r="F62" s="62"/>
      <c r="G62" s="170">
        <f t="shared" si="0"/>
        <v>0</v>
      </c>
      <c r="H62" s="171">
        <f t="shared" si="1"/>
        <v>0</v>
      </c>
      <c r="I62" s="119"/>
      <c r="J62" s="120"/>
      <c r="K62" s="121"/>
      <c r="L62" s="122"/>
      <c r="M62" s="58"/>
      <c r="N62" s="58"/>
      <c r="O62" s="59"/>
      <c r="P62" s="56"/>
      <c r="Q62" s="60"/>
      <c r="R62" s="61">
        <f t="shared" si="12"/>
        <v>0</v>
      </c>
      <c r="S62" s="62">
        <f t="shared" si="2"/>
        <v>0</v>
      </c>
      <c r="T62" s="63">
        <f t="shared" si="3"/>
        <v>0</v>
      </c>
      <c r="U62" s="64"/>
      <c r="V62" s="65"/>
      <c r="W62" s="66"/>
      <c r="X62" s="67"/>
      <c r="Y62" s="68"/>
      <c r="Z62" s="68"/>
      <c r="AA62" s="62">
        <f t="shared" si="19"/>
        <v>0</v>
      </c>
      <c r="AB62" s="63">
        <f t="shared" si="20"/>
        <v>0</v>
      </c>
      <c r="AC62" s="69"/>
      <c r="AD62" s="70"/>
      <c r="AE62" s="70"/>
      <c r="AF62" s="62">
        <f t="shared" si="6"/>
        <v>0</v>
      </c>
      <c r="AG62" s="63">
        <f t="shared" si="13"/>
        <v>0</v>
      </c>
      <c r="AH62" s="71"/>
      <c r="AI62" s="66"/>
      <c r="AJ62" s="66"/>
      <c r="AK62" s="62">
        <f t="shared" si="7"/>
        <v>0</v>
      </c>
      <c r="AL62" s="72">
        <f t="shared" si="8"/>
        <v>0</v>
      </c>
      <c r="AM62" s="73">
        <f t="shared" si="14"/>
        <v>0</v>
      </c>
      <c r="AN62" s="74">
        <f t="shared" si="18"/>
        <v>0</v>
      </c>
      <c r="AO62" s="74">
        <f t="shared" si="18"/>
        <v>0</v>
      </c>
      <c r="AP62" s="75" t="e">
        <f t="shared" si="15"/>
        <v>#DIV/0!</v>
      </c>
      <c r="AQ62" s="76">
        <f t="shared" si="10"/>
        <v>0</v>
      </c>
      <c r="AR62" s="90">
        <f t="shared" si="16"/>
        <v>0</v>
      </c>
    </row>
    <row r="63" spans="1:44" x14ac:dyDescent="0.25">
      <c r="A63" t="str">
        <f t="shared" si="11"/>
        <v>46203E</v>
      </c>
      <c r="B63" s="51">
        <f t="shared" si="17"/>
        <v>46203</v>
      </c>
      <c r="C63" s="52" t="s">
        <v>88</v>
      </c>
      <c r="D63" s="79"/>
      <c r="E63" s="62"/>
      <c r="F63" s="62"/>
      <c r="G63" s="170">
        <f t="shared" si="0"/>
        <v>0</v>
      </c>
      <c r="H63" s="171">
        <f t="shared" si="1"/>
        <v>0</v>
      </c>
      <c r="I63" s="119"/>
      <c r="J63" s="120"/>
      <c r="K63" s="121"/>
      <c r="L63" s="122"/>
      <c r="M63" s="58"/>
      <c r="N63" s="58"/>
      <c r="O63" s="59"/>
      <c r="P63" s="56"/>
      <c r="Q63" s="60"/>
      <c r="R63" s="61">
        <f t="shared" si="12"/>
        <v>0</v>
      </c>
      <c r="S63" s="62">
        <f t="shared" si="2"/>
        <v>0</v>
      </c>
      <c r="T63" s="63">
        <f t="shared" si="3"/>
        <v>0</v>
      </c>
      <c r="U63" s="64"/>
      <c r="V63" s="65"/>
      <c r="W63" s="66"/>
      <c r="X63" s="67"/>
      <c r="Y63" s="68"/>
      <c r="Z63" s="68"/>
      <c r="AA63" s="62">
        <f t="shared" si="19"/>
        <v>0</v>
      </c>
      <c r="AB63" s="63">
        <f t="shared" si="20"/>
        <v>0</v>
      </c>
      <c r="AC63" s="69"/>
      <c r="AD63" s="70"/>
      <c r="AE63" s="70"/>
      <c r="AF63" s="62">
        <f t="shared" si="6"/>
        <v>0</v>
      </c>
      <c r="AG63" s="63">
        <f t="shared" si="13"/>
        <v>0</v>
      </c>
      <c r="AH63" s="71"/>
      <c r="AI63" s="66"/>
      <c r="AJ63" s="66"/>
      <c r="AK63" s="62">
        <f t="shared" si="7"/>
        <v>0</v>
      </c>
      <c r="AL63" s="72">
        <f t="shared" si="8"/>
        <v>0</v>
      </c>
      <c r="AM63" s="73">
        <f t="shared" si="14"/>
        <v>0</v>
      </c>
      <c r="AN63" s="74">
        <f t="shared" si="18"/>
        <v>0</v>
      </c>
      <c r="AO63" s="74">
        <f t="shared" si="18"/>
        <v>0</v>
      </c>
      <c r="AP63" s="75" t="e">
        <f t="shared" si="15"/>
        <v>#DIV/0!</v>
      </c>
      <c r="AQ63" s="76">
        <f t="shared" si="10"/>
        <v>0</v>
      </c>
      <c r="AR63" s="90">
        <f t="shared" si="16"/>
        <v>0</v>
      </c>
    </row>
    <row r="64" spans="1:44" x14ac:dyDescent="0.25">
      <c r="A64" t="str">
        <f t="shared" si="11"/>
        <v>46204M</v>
      </c>
      <c r="B64" s="51">
        <f t="shared" si="17"/>
        <v>46204</v>
      </c>
      <c r="C64" s="52" t="s">
        <v>87</v>
      </c>
      <c r="D64" s="79"/>
      <c r="E64" s="62"/>
      <c r="F64" s="62"/>
      <c r="G64" s="170">
        <f t="shared" si="0"/>
        <v>0</v>
      </c>
      <c r="H64" s="171">
        <f t="shared" si="1"/>
        <v>0</v>
      </c>
      <c r="I64" s="119"/>
      <c r="J64" s="120"/>
      <c r="K64" s="121"/>
      <c r="L64" s="122"/>
      <c r="M64" s="58"/>
      <c r="N64" s="58"/>
      <c r="O64" s="59"/>
      <c r="P64" s="56"/>
      <c r="Q64" s="60"/>
      <c r="R64" s="61">
        <f t="shared" si="12"/>
        <v>0</v>
      </c>
      <c r="S64" s="62">
        <f t="shared" si="2"/>
        <v>0</v>
      </c>
      <c r="T64" s="63">
        <f t="shared" si="3"/>
        <v>0</v>
      </c>
      <c r="U64" s="64"/>
      <c r="V64" s="65"/>
      <c r="W64" s="66"/>
      <c r="X64" s="67"/>
      <c r="Y64" s="68"/>
      <c r="Z64" s="68"/>
      <c r="AA64" s="62">
        <f t="shared" si="19"/>
        <v>0</v>
      </c>
      <c r="AB64" s="63">
        <f t="shared" si="20"/>
        <v>0</v>
      </c>
      <c r="AC64" s="69"/>
      <c r="AD64" s="70"/>
      <c r="AE64" s="70"/>
      <c r="AF64" s="62">
        <f t="shared" si="6"/>
        <v>0</v>
      </c>
      <c r="AG64" s="63">
        <f t="shared" si="13"/>
        <v>0</v>
      </c>
      <c r="AH64" s="89"/>
      <c r="AI64" s="66"/>
      <c r="AJ64" s="66"/>
      <c r="AK64" s="62">
        <f t="shared" si="7"/>
        <v>0</v>
      </c>
      <c r="AL64" s="72">
        <f t="shared" si="8"/>
        <v>0</v>
      </c>
      <c r="AM64" s="73">
        <f t="shared" si="14"/>
        <v>0</v>
      </c>
      <c r="AN64" s="74">
        <f t="shared" si="18"/>
        <v>0</v>
      </c>
      <c r="AO64" s="74">
        <f t="shared" si="18"/>
        <v>0</v>
      </c>
      <c r="AP64" s="75" t="e">
        <f t="shared" si="15"/>
        <v>#DIV/0!</v>
      </c>
      <c r="AQ64" s="76">
        <f t="shared" si="10"/>
        <v>0</v>
      </c>
      <c r="AR64" s="83">
        <f t="shared" si="16"/>
        <v>0</v>
      </c>
    </row>
    <row r="65" spans="1:44" x14ac:dyDescent="0.25">
      <c r="A65" t="str">
        <f t="shared" si="11"/>
        <v>46204E</v>
      </c>
      <c r="B65" s="51">
        <f t="shared" si="17"/>
        <v>46204</v>
      </c>
      <c r="C65" s="52" t="s">
        <v>88</v>
      </c>
      <c r="D65" s="79"/>
      <c r="E65" s="62"/>
      <c r="F65" s="62"/>
      <c r="G65" s="170">
        <f t="shared" si="0"/>
        <v>0</v>
      </c>
      <c r="H65" s="171">
        <f t="shared" si="1"/>
        <v>0</v>
      </c>
      <c r="I65" s="119"/>
      <c r="J65" s="120"/>
      <c r="K65" s="121"/>
      <c r="L65" s="122"/>
      <c r="M65" s="58"/>
      <c r="N65" s="58"/>
      <c r="O65" s="59"/>
      <c r="P65" s="56"/>
      <c r="Q65" s="60"/>
      <c r="R65" s="61">
        <f t="shared" si="12"/>
        <v>0</v>
      </c>
      <c r="S65" s="62">
        <f t="shared" si="2"/>
        <v>0</v>
      </c>
      <c r="T65" s="63">
        <f t="shared" si="3"/>
        <v>0</v>
      </c>
      <c r="U65" s="64"/>
      <c r="V65" s="65"/>
      <c r="W65" s="66"/>
      <c r="X65" s="67"/>
      <c r="Y65" s="68"/>
      <c r="Z65" s="68"/>
      <c r="AA65" s="62">
        <f t="shared" si="19"/>
        <v>0</v>
      </c>
      <c r="AB65" s="63">
        <f t="shared" si="20"/>
        <v>0</v>
      </c>
      <c r="AC65" s="69"/>
      <c r="AD65" s="70"/>
      <c r="AE65" s="70"/>
      <c r="AF65" s="62">
        <f t="shared" si="6"/>
        <v>0</v>
      </c>
      <c r="AG65" s="63">
        <f t="shared" si="13"/>
        <v>0</v>
      </c>
      <c r="AH65" s="89"/>
      <c r="AI65" s="66"/>
      <c r="AJ65" s="66"/>
      <c r="AK65" s="62">
        <f t="shared" si="7"/>
        <v>0</v>
      </c>
      <c r="AL65" s="72">
        <f t="shared" si="8"/>
        <v>0</v>
      </c>
      <c r="AM65" s="73">
        <f t="shared" si="14"/>
        <v>0</v>
      </c>
      <c r="AN65" s="74">
        <f t="shared" si="18"/>
        <v>0</v>
      </c>
      <c r="AO65" s="74">
        <f t="shared" si="18"/>
        <v>0</v>
      </c>
      <c r="AP65" s="75" t="e">
        <f t="shared" si="15"/>
        <v>#DIV/0!</v>
      </c>
      <c r="AQ65" s="76">
        <f t="shared" si="10"/>
        <v>0</v>
      </c>
      <c r="AR65" s="83">
        <f t="shared" si="16"/>
        <v>0</v>
      </c>
    </row>
    <row r="66" spans="1:44" x14ac:dyDescent="0.25">
      <c r="J66" s="83">
        <f>SUM(J4:J65)</f>
        <v>24399.670000000002</v>
      </c>
      <c r="AM66" s="98">
        <f t="shared" ref="AM66:AO66" si="21">-SUM(AM4:AM65)</f>
        <v>361.02999999999861</v>
      </c>
      <c r="AN66" s="98">
        <f t="shared" si="21"/>
        <v>8.0405695000000108</v>
      </c>
      <c r="AO66" s="98">
        <f t="shared" si="21"/>
        <v>-10.464333600000174</v>
      </c>
      <c r="AQ66" s="129">
        <f>-SUM(AQ4:AQ65)</f>
        <v>477.79605666095341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59" priority="2" operator="lessThan">
      <formula>0.1</formula>
    </cfRule>
    <cfRule type="cellIs" dxfId="58" priority="3" operator="greaterThan">
      <formula>0.1</formula>
    </cfRule>
  </conditionalFormatting>
  <conditionalFormatting sqref="AP1:AQ1">
    <cfRule type="cellIs" dxfId="57" priority="1" operator="lessThan">
      <formula>1</formula>
    </cfRule>
  </conditionalFormatting>
  <conditionalFormatting sqref="AQ4:AQ65">
    <cfRule type="cellIs" dxfId="56" priority="4" operator="lessThan">
      <formula>0</formula>
    </cfRule>
    <cfRule type="cellIs" dxfId="55" priority="5" operator="greaterThan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7"/>
  <dimension ref="A1:AV66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25" sqref="A25"/>
    </sheetView>
  </sheetViews>
  <sheetFormatPr defaultRowHeight="15" x14ac:dyDescent="0.25"/>
  <cols>
    <col min="1" max="1" width="5" customWidth="1"/>
    <col min="2" max="2" width="10.710937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7.140625" bestFit="1" customWidth="1"/>
    <col min="10" max="10" width="9.28515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8.42578125" bestFit="1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9.28515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8.140625" bestFit="1" customWidth="1"/>
    <col min="35" max="36" width="5.85546875" bestFit="1" customWidth="1"/>
    <col min="37" max="37" width="7.28515625" bestFit="1" customWidth="1"/>
    <col min="38" max="39" width="7.42578125" bestFit="1" customWidth="1"/>
    <col min="40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6.7109375" bestFit="1" customWidth="1"/>
    <col min="45" max="49" width="8.7109375" bestFit="1" customWidth="1"/>
  </cols>
  <sheetData>
    <row r="1" spans="1:44" ht="15.75" thickBot="1" x14ac:dyDescent="0.3">
      <c r="B1" s="43" t="s">
        <v>95</v>
      </c>
      <c r="C1" s="44"/>
      <c r="X1" t="s">
        <v>94</v>
      </c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59" t="s">
        <v>64</v>
      </c>
      <c r="C2" s="261" t="s">
        <v>65</v>
      </c>
      <c r="D2" s="263" t="s">
        <v>66</v>
      </c>
      <c r="E2" s="263"/>
      <c r="F2" s="263"/>
      <c r="G2" s="263"/>
      <c r="H2" s="264"/>
      <c r="I2" s="255" t="s">
        <v>67</v>
      </c>
      <c r="J2" s="256"/>
      <c r="K2" s="256"/>
      <c r="L2" s="257"/>
      <c r="M2" s="255" t="s">
        <v>68</v>
      </c>
      <c r="N2" s="265"/>
      <c r="O2" s="256"/>
      <c r="P2" s="256"/>
      <c r="Q2" s="257"/>
      <c r="R2" s="265" t="s">
        <v>69</v>
      </c>
      <c r="S2" s="256"/>
      <c r="T2" s="257"/>
      <c r="U2" s="252" t="s">
        <v>70</v>
      </c>
      <c r="V2" s="253"/>
      <c r="W2" s="253"/>
      <c r="X2" s="253"/>
      <c r="Y2" s="253"/>
      <c r="Z2" s="253"/>
      <c r="AA2" s="253"/>
      <c r="AB2" s="254"/>
      <c r="AC2" s="255" t="s">
        <v>71</v>
      </c>
      <c r="AD2" s="256"/>
      <c r="AE2" s="256"/>
      <c r="AF2" s="256"/>
      <c r="AG2" s="257"/>
      <c r="AH2" s="255" t="s">
        <v>72</v>
      </c>
      <c r="AI2" s="256"/>
      <c r="AJ2" s="256"/>
      <c r="AK2" s="256"/>
      <c r="AL2" s="258"/>
      <c r="AM2" s="252" t="s">
        <v>73</v>
      </c>
      <c r="AN2" s="253"/>
      <c r="AO2" s="253"/>
      <c r="AP2" s="253"/>
      <c r="AQ2" s="254"/>
    </row>
    <row r="3" spans="1:44" x14ac:dyDescent="0.25">
      <c r="B3" s="260"/>
      <c r="C3" s="26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5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53">
        <v>3468.8</v>
      </c>
      <c r="E4" s="55">
        <v>4.0999999999999996</v>
      </c>
      <c r="F4" s="55">
        <v>8.1999999999999993</v>
      </c>
      <c r="G4" s="170">
        <f t="shared" ref="G4:G29" si="0">+D4*E4%</f>
        <v>142.2208</v>
      </c>
      <c r="H4" s="171">
        <f t="shared" ref="H4:H29" si="1">+D4*F4%</f>
        <v>284.44159999999999</v>
      </c>
      <c r="I4" s="119">
        <v>3416.4999999999986</v>
      </c>
      <c r="J4" s="120">
        <v>3518.9949999999985</v>
      </c>
      <c r="K4" s="121">
        <v>4.1456871066881282</v>
      </c>
      <c r="L4" s="122">
        <v>8.2211210302941566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3518.9949999999985</v>
      </c>
      <c r="S4" s="62">
        <f t="shared" ref="S4" si="2">+J4*K4%+O4*P4%</f>
        <v>145.88652199999984</v>
      </c>
      <c r="T4" s="63">
        <f t="shared" ref="T4" si="3">+J4*L4%+O4*Q4%</f>
        <v>289.30083799999971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" si="4">X4*Y4%</f>
        <v>0</v>
      </c>
      <c r="AB4" s="63">
        <f t="shared" ref="AB4" si="5">X4*Z4%</f>
        <v>0</v>
      </c>
      <c r="AC4" s="69"/>
      <c r="AD4" s="70"/>
      <c r="AE4" s="70"/>
      <c r="AF4" s="62">
        <f t="shared" ref="AF4" si="6">AC4*AD4%</f>
        <v>0</v>
      </c>
      <c r="AG4" s="63">
        <f>AC4*AE4%</f>
        <v>0</v>
      </c>
      <c r="AH4" s="89">
        <v>6987.7</v>
      </c>
      <c r="AI4" s="66">
        <v>4.13</v>
      </c>
      <c r="AJ4" s="66">
        <v>8.2100000000000009</v>
      </c>
      <c r="AK4" s="62">
        <f t="shared" ref="AK4" si="7">AH4*AI4%</f>
        <v>288.59200999999996</v>
      </c>
      <c r="AL4" s="72">
        <f t="shared" ref="AL4" si="8">AH4*AJ4%</f>
        <v>573.69017000000008</v>
      </c>
      <c r="AM4" s="73">
        <f>+D4+R4-AC4-AH4</f>
        <v>9.4999999998435669E-2</v>
      </c>
      <c r="AN4" s="74">
        <f t="shared" ref="AN4:AO4" si="9">+G4+S4-AF4-AK4</f>
        <v>-0.48468800000011925</v>
      </c>
      <c r="AO4" s="74">
        <f t="shared" si="9"/>
        <v>5.2267999999685344E-2</v>
      </c>
      <c r="AP4" s="75">
        <f>(AN4+AO4)/(S4+T4)</f>
        <v>-9.9364099177980331E-4</v>
      </c>
      <c r="AQ4" s="76">
        <f t="shared" ref="AQ4" si="10">($AP$1*AN4+$AQ$1*AO4)</f>
        <v>-201.93887149348106</v>
      </c>
      <c r="AR4" s="83">
        <f>(D4+J4+O4)-(X4+AH4)</f>
        <v>9.4999999998435669E-2</v>
      </c>
    </row>
    <row r="5" spans="1:44" x14ac:dyDescent="0.25">
      <c r="A5" t="str">
        <f t="shared" ref="A5:A65" si="11">CONCATENATE(B5,C5)</f>
        <v>46174E</v>
      </c>
      <c r="B5" s="51">
        <f>+B4</f>
        <v>46174</v>
      </c>
      <c r="C5" s="52" t="s">
        <v>88</v>
      </c>
      <c r="D5" s="91">
        <v>6987.7</v>
      </c>
      <c r="E5" s="62">
        <v>4.13</v>
      </c>
      <c r="F5" s="62">
        <v>8.2100000000000009</v>
      </c>
      <c r="G5" s="170">
        <f t="shared" si="0"/>
        <v>288.59200999999996</v>
      </c>
      <c r="H5" s="171">
        <f t="shared" si="1"/>
        <v>573.69017000000008</v>
      </c>
      <c r="I5" s="119">
        <v>3423.9999999999995</v>
      </c>
      <c r="J5" s="120">
        <v>3526.72</v>
      </c>
      <c r="K5" s="121">
        <v>4.0815186915887844</v>
      </c>
      <c r="L5" s="122">
        <v>8.1947809579439284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49" si="12">+J5+O5</f>
        <v>3526.72</v>
      </c>
      <c r="S5" s="62">
        <f t="shared" ref="S5:S49" si="13">+J5*K5%+O5*P5%</f>
        <v>143.94373599999997</v>
      </c>
      <c r="T5" s="63">
        <f t="shared" ref="T5:T49" si="14">+J5*L5%+O5*Q5%</f>
        <v>289.00697900000011</v>
      </c>
      <c r="U5" s="64" t="s">
        <v>271</v>
      </c>
      <c r="V5" s="65" t="s">
        <v>272</v>
      </c>
      <c r="W5" s="66" t="s">
        <v>189</v>
      </c>
      <c r="X5" s="67">
        <v>9435</v>
      </c>
      <c r="Y5" s="68">
        <v>4.1500000000000004</v>
      </c>
      <c r="Z5" s="68">
        <v>8.0500000000000007</v>
      </c>
      <c r="AA5" s="62">
        <f t="shared" ref="AA5:AA49" si="15">X5*Y5%</f>
        <v>391.55250000000001</v>
      </c>
      <c r="AB5" s="63">
        <f t="shared" ref="AB5:AB49" si="16">X5*Z5%</f>
        <v>759.51750000000004</v>
      </c>
      <c r="AC5" s="69">
        <v>9430</v>
      </c>
      <c r="AD5" s="70">
        <v>4.0999999999999996</v>
      </c>
      <c r="AE5" s="70">
        <v>7.91</v>
      </c>
      <c r="AF5" s="62">
        <f t="shared" ref="AF5:AF49" si="17">AC5*AD5%</f>
        <v>386.62999999999994</v>
      </c>
      <c r="AG5" s="63">
        <f t="shared" ref="AG5:AG49" si="18">AC5*AE5%</f>
        <v>745.91300000000001</v>
      </c>
      <c r="AH5" s="97">
        <v>1079.4000000000001</v>
      </c>
      <c r="AI5" s="66">
        <v>4.0999999999999996</v>
      </c>
      <c r="AJ5" s="66">
        <v>8.1999999999999993</v>
      </c>
      <c r="AK5" s="62">
        <f t="shared" ref="AK5:AK49" si="19">AH5*AI5%</f>
        <v>44.255400000000002</v>
      </c>
      <c r="AL5" s="72">
        <f t="shared" ref="AL5:AL49" si="20">AH5*AJ5%</f>
        <v>88.510800000000003</v>
      </c>
      <c r="AM5" s="73">
        <f t="shared" ref="AM5:AM65" si="21">+D5+R5-AC5-AH5</f>
        <v>5.0199999999999818</v>
      </c>
      <c r="AN5" s="74">
        <f t="shared" ref="AN5:AN65" si="22">+G5+S5-AF5-AK5</f>
        <v>1.6503459999999635</v>
      </c>
      <c r="AO5" s="74">
        <f t="shared" ref="AO5:AO65" si="23">+H5+T5-AG5-AL5</f>
        <v>28.273349000000181</v>
      </c>
      <c r="AP5" s="75">
        <f t="shared" ref="AP5:AP65" si="24">(AN5+AO5)/(S5+T5)</f>
        <v>6.9115707546527877E-2</v>
      </c>
      <c r="AQ5" s="76">
        <f t="shared" ref="AQ5:AQ65" si="25">($AP$1*AN5+$AQ$1*AO5)</f>
        <v>9202.3162225867054</v>
      </c>
      <c r="AR5" s="83">
        <f t="shared" ref="AR5:AR65" si="26">(D5+J5+O5)-(X5+AH5)</f>
        <v>2.0000000000436557E-2</v>
      </c>
    </row>
    <row r="6" spans="1:44" x14ac:dyDescent="0.25">
      <c r="A6" t="str">
        <f t="shared" si="11"/>
        <v>46175M</v>
      </c>
      <c r="B6" s="51">
        <f>+B4+1</f>
        <v>46175</v>
      </c>
      <c r="C6" s="52" t="s">
        <v>87</v>
      </c>
      <c r="D6" s="79">
        <v>1079.4000000000001</v>
      </c>
      <c r="E6" s="62">
        <v>4.0999999999999996</v>
      </c>
      <c r="F6" s="62">
        <v>8.1999999999999993</v>
      </c>
      <c r="G6" s="170">
        <f t="shared" si="0"/>
        <v>44.255400000000002</v>
      </c>
      <c r="H6" s="171">
        <f t="shared" si="1"/>
        <v>88.510800000000003</v>
      </c>
      <c r="I6" s="119">
        <v>3935.6</v>
      </c>
      <c r="J6" s="120">
        <v>4053.6680000000001</v>
      </c>
      <c r="K6" s="121">
        <v>4.0563065352169954</v>
      </c>
      <c r="L6" s="122">
        <v>8.2107709116780203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2"/>
        <v>4053.6680000000001</v>
      </c>
      <c r="S6" s="62">
        <f t="shared" si="13"/>
        <v>164.42920000000009</v>
      </c>
      <c r="T6" s="63">
        <f t="shared" si="14"/>
        <v>332.83739300000013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f t="shared" si="15"/>
        <v>0</v>
      </c>
      <c r="AB6" s="63">
        <f t="shared" si="16"/>
        <v>0</v>
      </c>
      <c r="AC6" s="69"/>
      <c r="AD6" s="70"/>
      <c r="AE6" s="70"/>
      <c r="AF6" s="62">
        <f t="shared" si="17"/>
        <v>0</v>
      </c>
      <c r="AG6" s="63">
        <f t="shared" si="18"/>
        <v>0</v>
      </c>
      <c r="AH6" s="97">
        <v>5133</v>
      </c>
      <c r="AI6" s="66">
        <v>4.08</v>
      </c>
      <c r="AJ6" s="66">
        <v>8.1999999999999993</v>
      </c>
      <c r="AK6" s="62">
        <f t="shared" si="19"/>
        <v>209.4264</v>
      </c>
      <c r="AL6" s="72">
        <f t="shared" si="20"/>
        <v>420.90599999999995</v>
      </c>
      <c r="AM6" s="73">
        <f t="shared" si="21"/>
        <v>6.8000000000211003E-2</v>
      </c>
      <c r="AN6" s="74">
        <f t="shared" si="22"/>
        <v>-0.74179999999989832</v>
      </c>
      <c r="AO6" s="74">
        <f t="shared" si="23"/>
        <v>0.44219300000020212</v>
      </c>
      <c r="AP6" s="75">
        <f t="shared" si="24"/>
        <v>-6.0250779806496281E-4</v>
      </c>
      <c r="AQ6" s="76">
        <f t="shared" si="25"/>
        <v>-200.66486491322718</v>
      </c>
      <c r="AR6" s="83">
        <f t="shared" si="26"/>
        <v>6.8000000000211003E-2</v>
      </c>
    </row>
    <row r="7" spans="1:44" x14ac:dyDescent="0.25">
      <c r="A7" t="str">
        <f t="shared" si="11"/>
        <v>46175E</v>
      </c>
      <c r="B7" s="51">
        <f>+B5+1</f>
        <v>46175</v>
      </c>
      <c r="C7" s="52" t="s">
        <v>88</v>
      </c>
      <c r="D7" s="79">
        <v>5133</v>
      </c>
      <c r="E7" s="62">
        <v>4.08</v>
      </c>
      <c r="F7" s="62">
        <v>8.1999999999999993</v>
      </c>
      <c r="G7" s="170">
        <f t="shared" si="0"/>
        <v>209.4264</v>
      </c>
      <c r="H7" s="171">
        <f t="shared" si="1"/>
        <v>420.90599999999995</v>
      </c>
      <c r="I7" s="119">
        <v>3438.5999999999985</v>
      </c>
      <c r="J7" s="120">
        <v>3541.7579999999984</v>
      </c>
      <c r="K7" s="121">
        <v>3.8437998022450999</v>
      </c>
      <c r="L7" s="122">
        <v>8.162380038387715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2"/>
        <v>3541.7579999999984</v>
      </c>
      <c r="S7" s="62">
        <f t="shared" si="13"/>
        <v>136.13808699999996</v>
      </c>
      <c r="T7" s="63">
        <f t="shared" si="14"/>
        <v>289.09174799999982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15"/>
        <v>0</v>
      </c>
      <c r="AB7" s="63">
        <f t="shared" si="16"/>
        <v>0</v>
      </c>
      <c r="AC7" s="69"/>
      <c r="AD7" s="70"/>
      <c r="AE7" s="70"/>
      <c r="AF7" s="62">
        <f t="shared" si="17"/>
        <v>0</v>
      </c>
      <c r="AG7" s="63">
        <f t="shared" si="18"/>
        <v>0</v>
      </c>
      <c r="AH7" s="97">
        <v>8674.7000000000007</v>
      </c>
      <c r="AI7" s="66">
        <v>3.98</v>
      </c>
      <c r="AJ7" s="66">
        <v>8.18</v>
      </c>
      <c r="AK7" s="62">
        <f t="shared" si="19"/>
        <v>345.25306000000006</v>
      </c>
      <c r="AL7" s="72">
        <f t="shared" si="20"/>
        <v>709.59046000000001</v>
      </c>
      <c r="AM7" s="73">
        <f t="shared" si="21"/>
        <v>5.799999999726424E-2</v>
      </c>
      <c r="AN7" s="74">
        <f t="shared" si="22"/>
        <v>0.31142699999992374</v>
      </c>
      <c r="AO7" s="74">
        <f t="shared" si="23"/>
        <v>0.40728799999976673</v>
      </c>
      <c r="AP7" s="75">
        <f t="shared" si="24"/>
        <v>1.6901800881391374E-3</v>
      </c>
      <c r="AQ7" s="76">
        <f t="shared" si="25"/>
        <v>261.69313195656264</v>
      </c>
      <c r="AR7" s="83">
        <f t="shared" si="26"/>
        <v>5.799999999726424E-2</v>
      </c>
    </row>
    <row r="8" spans="1:44" x14ac:dyDescent="0.25">
      <c r="A8" t="str">
        <f t="shared" si="11"/>
        <v>46176M</v>
      </c>
      <c r="B8" s="51">
        <f>+B6+1</f>
        <v>46176</v>
      </c>
      <c r="C8" s="52" t="s">
        <v>87</v>
      </c>
      <c r="D8" s="79">
        <v>8674.7000000000007</v>
      </c>
      <c r="E8" s="62">
        <v>3.98</v>
      </c>
      <c r="F8" s="62">
        <v>8.18</v>
      </c>
      <c r="G8" s="170">
        <f t="shared" si="0"/>
        <v>345.25306000000006</v>
      </c>
      <c r="H8" s="171">
        <f t="shared" si="1"/>
        <v>709.59046000000001</v>
      </c>
      <c r="I8" s="119">
        <v>3066.2999999999993</v>
      </c>
      <c r="J8" s="120">
        <v>3158.2889999999993</v>
      </c>
      <c r="K8" s="121">
        <v>4.157072041222321</v>
      </c>
      <c r="L8" s="122">
        <v>8.1858624400743576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2"/>
        <v>3158.2889999999993</v>
      </c>
      <c r="S8" s="62">
        <f t="shared" si="13"/>
        <v>131.292349</v>
      </c>
      <c r="T8" s="63">
        <f t="shared" si="14"/>
        <v>258.53319299999998</v>
      </c>
      <c r="U8" s="64" t="s">
        <v>273</v>
      </c>
      <c r="V8" s="65" t="s">
        <v>274</v>
      </c>
      <c r="W8" s="66" t="s">
        <v>189</v>
      </c>
      <c r="X8" s="67">
        <v>10485</v>
      </c>
      <c r="Y8" s="68">
        <v>4.3499999999999996</v>
      </c>
      <c r="Z8" s="68">
        <v>8.08</v>
      </c>
      <c r="AA8" s="62">
        <f t="shared" si="15"/>
        <v>456.09749999999997</v>
      </c>
      <c r="AB8" s="63">
        <f t="shared" si="16"/>
        <v>847.18799999999999</v>
      </c>
      <c r="AC8" s="69">
        <v>10490</v>
      </c>
      <c r="AD8" s="70">
        <v>4.3</v>
      </c>
      <c r="AE8" s="70">
        <v>7.9499999999999993</v>
      </c>
      <c r="AF8" s="62">
        <f t="shared" si="17"/>
        <v>451.06999999999994</v>
      </c>
      <c r="AG8" s="63">
        <f t="shared" si="18"/>
        <v>833.95499999999981</v>
      </c>
      <c r="AH8" s="97">
        <v>1347.9</v>
      </c>
      <c r="AI8" s="66">
        <v>4.09</v>
      </c>
      <c r="AJ8" s="66">
        <v>8.18</v>
      </c>
      <c r="AK8" s="62">
        <f t="shared" si="19"/>
        <v>55.129110000000004</v>
      </c>
      <c r="AL8" s="72">
        <f t="shared" si="20"/>
        <v>110.25822000000001</v>
      </c>
      <c r="AM8" s="73">
        <f t="shared" si="21"/>
        <v>-4.911000000000513</v>
      </c>
      <c r="AN8" s="74">
        <f t="shared" si="22"/>
        <v>-29.653700999999877</v>
      </c>
      <c r="AO8" s="74">
        <f t="shared" si="23"/>
        <v>23.910433000000168</v>
      </c>
      <c r="AP8" s="75">
        <f t="shared" si="24"/>
        <v>-1.4732918655185783E-2</v>
      </c>
      <c r="AQ8" s="76">
        <f t="shared" si="25"/>
        <v>-6156.0879305565604</v>
      </c>
      <c r="AR8" s="83">
        <f t="shared" si="26"/>
        <v>8.8999999999941792E-2</v>
      </c>
    </row>
    <row r="9" spans="1:44" x14ac:dyDescent="0.25">
      <c r="A9" t="str">
        <f t="shared" si="11"/>
        <v>46176E</v>
      </c>
      <c r="B9" s="51">
        <f t="shared" ref="B9:B65" si="27">+B7+1</f>
        <v>46176</v>
      </c>
      <c r="C9" s="52" t="s">
        <v>88</v>
      </c>
      <c r="D9" s="79">
        <v>1347.9</v>
      </c>
      <c r="E9" s="62">
        <v>4.09</v>
      </c>
      <c r="F9" s="62">
        <v>8.18</v>
      </c>
      <c r="G9" s="170">
        <f t="shared" si="0"/>
        <v>55.129110000000004</v>
      </c>
      <c r="H9" s="171">
        <f t="shared" si="1"/>
        <v>110.25822000000001</v>
      </c>
      <c r="I9" s="119">
        <v>4315.8</v>
      </c>
      <c r="J9" s="120">
        <v>4445.2740000000003</v>
      </c>
      <c r="K9" s="121">
        <v>3.8400829510171928</v>
      </c>
      <c r="L9" s="122">
        <v>8.1840122341165049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2"/>
        <v>4445.2740000000003</v>
      </c>
      <c r="S9" s="62">
        <f t="shared" si="13"/>
        <v>170.70220900000004</v>
      </c>
      <c r="T9" s="63">
        <f t="shared" si="14"/>
        <v>363.80176800000015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15"/>
        <v>0</v>
      </c>
      <c r="AB9" s="63">
        <f t="shared" si="16"/>
        <v>0</v>
      </c>
      <c r="AC9" s="69"/>
      <c r="AD9" s="70"/>
      <c r="AE9" s="70"/>
      <c r="AF9" s="62">
        <f t="shared" si="17"/>
        <v>0</v>
      </c>
      <c r="AG9" s="63">
        <f t="shared" si="18"/>
        <v>0</v>
      </c>
      <c r="AH9" s="110">
        <v>5792.6</v>
      </c>
      <c r="AI9" s="66">
        <v>3.89</v>
      </c>
      <c r="AJ9" s="66">
        <v>8.18</v>
      </c>
      <c r="AK9" s="62">
        <f t="shared" si="19"/>
        <v>225.33214000000004</v>
      </c>
      <c r="AL9" s="72">
        <f t="shared" si="20"/>
        <v>473.83467999999999</v>
      </c>
      <c r="AM9" s="73">
        <f t="shared" si="21"/>
        <v>0.57400000000052387</v>
      </c>
      <c r="AN9" s="74">
        <f t="shared" si="22"/>
        <v>0.49917899999999804</v>
      </c>
      <c r="AO9" s="74">
        <f t="shared" si="23"/>
        <v>0.22530800000015461</v>
      </c>
      <c r="AP9" s="75">
        <f t="shared" si="24"/>
        <v>1.3554379970500245E-3</v>
      </c>
      <c r="AQ9" s="76">
        <f t="shared" si="25"/>
        <v>291.51512107671209</v>
      </c>
      <c r="AR9" s="83">
        <f t="shared" si="26"/>
        <v>0.57400000000052387</v>
      </c>
    </row>
    <row r="10" spans="1:44" x14ac:dyDescent="0.25">
      <c r="A10" t="str">
        <f t="shared" si="11"/>
        <v>46177M</v>
      </c>
      <c r="B10" s="51">
        <f t="shared" si="27"/>
        <v>46177</v>
      </c>
      <c r="C10" s="52" t="s">
        <v>87</v>
      </c>
      <c r="D10" s="79">
        <v>5792.6</v>
      </c>
      <c r="E10" s="62">
        <v>3.89</v>
      </c>
      <c r="F10" s="62">
        <v>8.18</v>
      </c>
      <c r="G10" s="170">
        <f t="shared" si="0"/>
        <v>225.33214000000004</v>
      </c>
      <c r="H10" s="171">
        <f t="shared" si="1"/>
        <v>473.83467999999999</v>
      </c>
      <c r="I10" s="119">
        <v>2948.9999999999991</v>
      </c>
      <c r="J10" s="120">
        <v>3037.4699999999993</v>
      </c>
      <c r="K10" s="121">
        <v>4.1056765005086477</v>
      </c>
      <c r="L10" s="122">
        <v>8.1772838250254338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2"/>
        <v>3037.4699999999993</v>
      </c>
      <c r="S10" s="62">
        <f t="shared" si="13"/>
        <v>124.70869199999999</v>
      </c>
      <c r="T10" s="63">
        <f t="shared" si="14"/>
        <v>248.38254299999997</v>
      </c>
      <c r="U10" s="64" t="s">
        <v>271</v>
      </c>
      <c r="V10" s="65" t="s">
        <v>275</v>
      </c>
      <c r="W10" s="66" t="s">
        <v>189</v>
      </c>
      <c r="X10" s="67">
        <v>9125</v>
      </c>
      <c r="Y10" s="68">
        <v>4.13</v>
      </c>
      <c r="Z10" s="68">
        <v>7.83</v>
      </c>
      <c r="AA10" s="62">
        <f t="shared" si="15"/>
        <v>376.86249999999995</v>
      </c>
      <c r="AB10" s="63">
        <f t="shared" si="16"/>
        <v>714.48749999999995</v>
      </c>
      <c r="AC10" s="69">
        <v>9130</v>
      </c>
      <c r="AD10" s="70">
        <v>4.0527929901423878</v>
      </c>
      <c r="AE10" s="70">
        <v>7.6875136911281494</v>
      </c>
      <c r="AF10" s="62">
        <f t="shared" si="17"/>
        <v>370.02</v>
      </c>
      <c r="AG10" s="63">
        <f t="shared" si="18"/>
        <v>701.87</v>
      </c>
      <c r="AH10" s="97">
        <v>0</v>
      </c>
      <c r="AI10" s="66">
        <v>0</v>
      </c>
      <c r="AJ10" s="66">
        <v>0</v>
      </c>
      <c r="AK10" s="62">
        <f t="shared" si="19"/>
        <v>0</v>
      </c>
      <c r="AL10" s="72">
        <f t="shared" si="20"/>
        <v>0</v>
      </c>
      <c r="AM10" s="73">
        <f t="shared" si="21"/>
        <v>-299.93000000000029</v>
      </c>
      <c r="AN10" s="74">
        <f t="shared" si="22"/>
        <v>-19.979167999999959</v>
      </c>
      <c r="AO10" s="74">
        <f t="shared" si="23"/>
        <v>20.347222999999985</v>
      </c>
      <c r="AP10" s="75">
        <f t="shared" si="24"/>
        <v>9.8650133123611631E-4</v>
      </c>
      <c r="AQ10" s="76">
        <f t="shared" si="25"/>
        <v>-2879.467055593318</v>
      </c>
      <c r="AR10" s="83">
        <f t="shared" si="26"/>
        <v>-294.93000000000029</v>
      </c>
    </row>
    <row r="11" spans="1:44" x14ac:dyDescent="0.25">
      <c r="A11" t="str">
        <f t="shared" si="11"/>
        <v>46177E</v>
      </c>
      <c r="B11" s="51">
        <f t="shared" si="27"/>
        <v>46177</v>
      </c>
      <c r="C11" s="52" t="s">
        <v>88</v>
      </c>
      <c r="D11" s="79">
        <v>0</v>
      </c>
      <c r="E11" s="62">
        <v>0</v>
      </c>
      <c r="F11" s="62">
        <v>0</v>
      </c>
      <c r="G11" s="170">
        <f t="shared" si="0"/>
        <v>0</v>
      </c>
      <c r="H11" s="171">
        <f t="shared" si="1"/>
        <v>0</v>
      </c>
      <c r="I11" s="119">
        <v>3685.4999999999995</v>
      </c>
      <c r="J11" s="120">
        <v>3796.0649999999996</v>
      </c>
      <c r="K11" s="121">
        <v>3.8080396147062809</v>
      </c>
      <c r="L11" s="122">
        <v>8.1507990774657415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2"/>
        <v>3796.0649999999996</v>
      </c>
      <c r="S11" s="62">
        <f t="shared" si="13"/>
        <v>144.55565899999996</v>
      </c>
      <c r="T11" s="63">
        <f t="shared" si="14"/>
        <v>309.40963099999988</v>
      </c>
      <c r="U11" s="64" t="s">
        <v>187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15"/>
        <v>0</v>
      </c>
      <c r="AB11" s="63">
        <f t="shared" si="16"/>
        <v>0</v>
      </c>
      <c r="AC11" s="69"/>
      <c r="AD11" s="70"/>
      <c r="AE11" s="70"/>
      <c r="AF11" s="62">
        <f t="shared" si="17"/>
        <v>0</v>
      </c>
      <c r="AG11" s="63">
        <f t="shared" si="18"/>
        <v>0</v>
      </c>
      <c r="AH11" s="97">
        <v>3796</v>
      </c>
      <c r="AI11" s="66">
        <v>3.81</v>
      </c>
      <c r="AJ11" s="66">
        <v>8.15</v>
      </c>
      <c r="AK11" s="62">
        <f t="shared" si="19"/>
        <v>144.6276</v>
      </c>
      <c r="AL11" s="72">
        <f t="shared" si="20"/>
        <v>309.37400000000002</v>
      </c>
      <c r="AM11" s="73">
        <f t="shared" si="21"/>
        <v>6.4999999999599822E-2</v>
      </c>
      <c r="AN11" s="74">
        <f t="shared" si="22"/>
        <v>-7.1941000000038002E-2</v>
      </c>
      <c r="AO11" s="74">
        <f t="shared" si="23"/>
        <v>3.5630999999852975E-2</v>
      </c>
      <c r="AP11" s="75">
        <f t="shared" si="24"/>
        <v>-7.9984088651766834E-5</v>
      </c>
      <c r="AQ11" s="76">
        <f t="shared" si="25"/>
        <v>-21.631626170061057</v>
      </c>
      <c r="AR11" s="83">
        <f t="shared" si="26"/>
        <v>6.4999999999599822E-2</v>
      </c>
    </row>
    <row r="12" spans="1:44" x14ac:dyDescent="0.25">
      <c r="A12" t="str">
        <f t="shared" si="11"/>
        <v>46178M</v>
      </c>
      <c r="B12" s="51">
        <f t="shared" si="27"/>
        <v>46178</v>
      </c>
      <c r="C12" s="52" t="s">
        <v>87</v>
      </c>
      <c r="D12" s="79">
        <v>3796</v>
      </c>
      <c r="E12" s="62">
        <v>3.81</v>
      </c>
      <c r="F12" s="62">
        <v>8.15</v>
      </c>
      <c r="G12" s="170">
        <f t="shared" si="0"/>
        <v>144.6276</v>
      </c>
      <c r="H12" s="171">
        <f t="shared" si="1"/>
        <v>309.37400000000002</v>
      </c>
      <c r="I12" s="119">
        <v>3010.4</v>
      </c>
      <c r="J12" s="120">
        <v>3100.712</v>
      </c>
      <c r="K12" s="121">
        <v>4.07</v>
      </c>
      <c r="L12" s="122">
        <v>8.18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2"/>
        <v>3100.712</v>
      </c>
      <c r="S12" s="62">
        <f t="shared" si="13"/>
        <v>126.1989784</v>
      </c>
      <c r="T12" s="63">
        <f t="shared" si="14"/>
        <v>253.63824159999999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15"/>
        <v>0</v>
      </c>
      <c r="AB12" s="63">
        <f t="shared" si="16"/>
        <v>0</v>
      </c>
      <c r="AC12" s="69"/>
      <c r="AD12" s="70"/>
      <c r="AE12" s="70"/>
      <c r="AF12" s="62">
        <f t="shared" si="17"/>
        <v>0</v>
      </c>
      <c r="AG12" s="63">
        <f t="shared" si="18"/>
        <v>0</v>
      </c>
      <c r="AH12" s="97">
        <v>6896.7</v>
      </c>
      <c r="AI12" s="66">
        <v>3.92</v>
      </c>
      <c r="AJ12" s="66">
        <v>8.17</v>
      </c>
      <c r="AK12" s="62">
        <f t="shared" si="19"/>
        <v>270.35064</v>
      </c>
      <c r="AL12" s="72">
        <f t="shared" si="20"/>
        <v>563.46038999999996</v>
      </c>
      <c r="AM12" s="73">
        <f t="shared" si="21"/>
        <v>1.1999999999716238E-2</v>
      </c>
      <c r="AN12" s="74">
        <f t="shared" si="22"/>
        <v>0.47593840000001819</v>
      </c>
      <c r="AO12" s="74">
        <f t="shared" si="23"/>
        <v>-0.44814839999992273</v>
      </c>
      <c r="AP12" s="75">
        <f t="shared" si="24"/>
        <v>7.3162919631981991E-5</v>
      </c>
      <c r="AQ12" s="76">
        <f t="shared" si="25"/>
        <v>79.534641648031283</v>
      </c>
      <c r="AR12" s="83">
        <f t="shared" si="26"/>
        <v>1.1999999999716238E-2</v>
      </c>
    </row>
    <row r="13" spans="1:44" x14ac:dyDescent="0.25">
      <c r="A13" t="str">
        <f t="shared" si="11"/>
        <v>46178E</v>
      </c>
      <c r="B13" s="51">
        <f t="shared" si="27"/>
        <v>46178</v>
      </c>
      <c r="C13" s="52" t="s">
        <v>88</v>
      </c>
      <c r="D13" s="79">
        <v>6896.7</v>
      </c>
      <c r="E13" s="62">
        <v>3.92</v>
      </c>
      <c r="F13" s="62">
        <v>8.17</v>
      </c>
      <c r="G13" s="170">
        <f t="shared" si="0"/>
        <v>270.35064</v>
      </c>
      <c r="H13" s="171">
        <f t="shared" si="1"/>
        <v>563.46038999999996</v>
      </c>
      <c r="I13" s="119">
        <v>4085.6</v>
      </c>
      <c r="J13" s="120">
        <v>4208.1679999999997</v>
      </c>
      <c r="K13" s="121">
        <v>3.75</v>
      </c>
      <c r="L13" s="122">
        <v>8.17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2"/>
        <v>4208.1679999999997</v>
      </c>
      <c r="S13" s="62">
        <f t="shared" si="13"/>
        <v>157.80629999999999</v>
      </c>
      <c r="T13" s="63">
        <f t="shared" si="14"/>
        <v>343.80732559999996</v>
      </c>
      <c r="U13" s="64" t="s">
        <v>273</v>
      </c>
      <c r="V13" s="65" t="s">
        <v>374</v>
      </c>
      <c r="W13" s="66" t="s">
        <v>189</v>
      </c>
      <c r="X13" s="67">
        <v>10510</v>
      </c>
      <c r="Y13" s="68">
        <v>4.05</v>
      </c>
      <c r="Z13" s="68">
        <v>8</v>
      </c>
      <c r="AA13" s="62">
        <f t="shared" si="15"/>
        <v>425.65500000000003</v>
      </c>
      <c r="AB13" s="63">
        <f t="shared" si="16"/>
        <v>840.80000000000007</v>
      </c>
      <c r="AC13" s="69">
        <v>10530</v>
      </c>
      <c r="AD13" s="70">
        <v>4.0000000000000009</v>
      </c>
      <c r="AE13" s="70">
        <v>7.8900000000000006</v>
      </c>
      <c r="AF13" s="62">
        <f t="shared" si="17"/>
        <v>421.2000000000001</v>
      </c>
      <c r="AG13" s="63">
        <f t="shared" si="18"/>
        <v>830.81700000000012</v>
      </c>
      <c r="AH13" s="97">
        <v>594.79999999999995</v>
      </c>
      <c r="AI13" s="66">
        <v>3.85</v>
      </c>
      <c r="AJ13" s="66">
        <v>8.17</v>
      </c>
      <c r="AK13" s="62">
        <f t="shared" si="19"/>
        <v>22.899799999999999</v>
      </c>
      <c r="AL13" s="72">
        <f t="shared" si="20"/>
        <v>48.595159999999993</v>
      </c>
      <c r="AM13" s="73">
        <f t="shared" si="21"/>
        <v>-19.932000000001381</v>
      </c>
      <c r="AN13" s="74">
        <f t="shared" si="22"/>
        <v>-15.942860000000138</v>
      </c>
      <c r="AO13" s="74">
        <f t="shared" si="23"/>
        <v>27.85555559999986</v>
      </c>
      <c r="AP13" s="75">
        <f t="shared" si="24"/>
        <v>2.3748748024439076E-2</v>
      </c>
      <c r="AQ13" s="76">
        <f t="shared" si="25"/>
        <v>1179.5156936638969</v>
      </c>
      <c r="AR13" s="83">
        <f t="shared" si="26"/>
        <v>6.7999999999301508E-2</v>
      </c>
    </row>
    <row r="14" spans="1:44" x14ac:dyDescent="0.25">
      <c r="A14" t="str">
        <f t="shared" si="11"/>
        <v>46179M</v>
      </c>
      <c r="B14" s="51">
        <f t="shared" si="27"/>
        <v>46179</v>
      </c>
      <c r="C14" s="52" t="s">
        <v>87</v>
      </c>
      <c r="D14" s="79">
        <v>594.79999999999995</v>
      </c>
      <c r="E14" s="62">
        <v>3.85</v>
      </c>
      <c r="F14" s="62">
        <v>8.17</v>
      </c>
      <c r="G14" s="170">
        <f t="shared" si="0"/>
        <v>22.899799999999999</v>
      </c>
      <c r="H14" s="171">
        <f t="shared" si="1"/>
        <v>48.595159999999993</v>
      </c>
      <c r="I14" s="119">
        <v>2769.8</v>
      </c>
      <c r="J14" s="120">
        <v>2852.8940000000002</v>
      </c>
      <c r="K14" s="121">
        <v>4.0599999999999996</v>
      </c>
      <c r="L14" s="122">
        <v>8.15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2"/>
        <v>2852.8940000000002</v>
      </c>
      <c r="S14" s="62">
        <f t="shared" si="13"/>
        <v>115.8274964</v>
      </c>
      <c r="T14" s="63">
        <f t="shared" si="14"/>
        <v>232.51086100000003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15"/>
        <v>0</v>
      </c>
      <c r="AB14" s="63">
        <f t="shared" si="16"/>
        <v>0</v>
      </c>
      <c r="AC14" s="69"/>
      <c r="AD14" s="70"/>
      <c r="AE14" s="70"/>
      <c r="AF14" s="62">
        <f t="shared" si="17"/>
        <v>0</v>
      </c>
      <c r="AG14" s="63">
        <f t="shared" si="18"/>
        <v>0</v>
      </c>
      <c r="AH14" s="89">
        <v>3447.6</v>
      </c>
      <c r="AI14" s="66">
        <v>4.0199999999999996</v>
      </c>
      <c r="AJ14" s="66">
        <v>8.15</v>
      </c>
      <c r="AK14" s="62">
        <f t="shared" si="19"/>
        <v>138.59351999999998</v>
      </c>
      <c r="AL14" s="72">
        <f t="shared" si="20"/>
        <v>280.9794</v>
      </c>
      <c r="AM14" s="73">
        <f t="shared" si="21"/>
        <v>9.4000000000505679E-2</v>
      </c>
      <c r="AN14" s="74">
        <f t="shared" si="22"/>
        <v>0.13377640000001634</v>
      </c>
      <c r="AO14" s="74">
        <f t="shared" si="23"/>
        <v>0.12662100000005694</v>
      </c>
      <c r="AP14" s="75">
        <f t="shared" si="24"/>
        <v>7.4754156258782778E-4</v>
      </c>
      <c r="AQ14" s="76">
        <f t="shared" si="25"/>
        <v>97.947852464024379</v>
      </c>
      <c r="AR14" s="90">
        <f t="shared" ref="AR14:AR21" si="28">(D14+J14+O14)-(X14+AH14)</f>
        <v>9.4000000000505679E-2</v>
      </c>
    </row>
    <row r="15" spans="1:44" x14ac:dyDescent="0.25">
      <c r="A15" t="str">
        <f t="shared" si="11"/>
        <v>46179E</v>
      </c>
      <c r="B15" s="51">
        <f t="shared" si="27"/>
        <v>46179</v>
      </c>
      <c r="C15" s="52" t="s">
        <v>88</v>
      </c>
      <c r="D15" s="79">
        <v>3447.6</v>
      </c>
      <c r="E15" s="62">
        <v>4.0199999999999996</v>
      </c>
      <c r="F15" s="62">
        <v>8.15</v>
      </c>
      <c r="G15" s="170">
        <f t="shared" si="0"/>
        <v>138.59351999999998</v>
      </c>
      <c r="H15" s="171">
        <f t="shared" si="1"/>
        <v>280.9794</v>
      </c>
      <c r="I15" s="119">
        <v>3097.4</v>
      </c>
      <c r="J15" s="120">
        <v>3190.3220000000001</v>
      </c>
      <c r="K15" s="121">
        <v>3.86</v>
      </c>
      <c r="L15" s="122">
        <v>8.18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2"/>
        <v>3190.3220000000001</v>
      </c>
      <c r="S15" s="62">
        <f t="shared" si="13"/>
        <v>123.14642919999999</v>
      </c>
      <c r="T15" s="63">
        <f t="shared" si="14"/>
        <v>260.96833959999998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15"/>
        <v>0</v>
      </c>
      <c r="AB15" s="63">
        <f t="shared" si="16"/>
        <v>0</v>
      </c>
      <c r="AC15" s="69"/>
      <c r="AD15" s="70"/>
      <c r="AE15" s="70"/>
      <c r="AF15" s="62">
        <f t="shared" si="17"/>
        <v>0</v>
      </c>
      <c r="AG15" s="63">
        <f t="shared" si="18"/>
        <v>0</v>
      </c>
      <c r="AH15" s="89">
        <v>6637.9</v>
      </c>
      <c r="AI15" s="66">
        <v>3.94</v>
      </c>
      <c r="AJ15" s="66">
        <v>8.17</v>
      </c>
      <c r="AK15" s="62">
        <f t="shared" si="19"/>
        <v>261.53325999999998</v>
      </c>
      <c r="AL15" s="72">
        <f t="shared" si="20"/>
        <v>542.31642999999997</v>
      </c>
      <c r="AM15" s="73">
        <f t="shared" si="21"/>
        <v>2.2000000000844011E-2</v>
      </c>
      <c r="AN15" s="74">
        <f t="shared" si="22"/>
        <v>0.20668919999997115</v>
      </c>
      <c r="AO15" s="74">
        <f t="shared" si="23"/>
        <v>-0.36869039999999131</v>
      </c>
      <c r="AP15" s="75">
        <f t="shared" si="24"/>
        <v>-4.2175207297059328E-4</v>
      </c>
      <c r="AQ15" s="76">
        <f t="shared" si="25"/>
        <v>-17.554356204010361</v>
      </c>
      <c r="AR15" s="90">
        <f t="shared" si="28"/>
        <v>2.2000000000844011E-2</v>
      </c>
    </row>
    <row r="16" spans="1:44" x14ac:dyDescent="0.25">
      <c r="A16" t="str">
        <f t="shared" si="11"/>
        <v>46180M</v>
      </c>
      <c r="B16" s="51">
        <f t="shared" si="27"/>
        <v>46180</v>
      </c>
      <c r="C16" s="52" t="s">
        <v>87</v>
      </c>
      <c r="D16" s="79">
        <v>6637.9</v>
      </c>
      <c r="E16" s="62">
        <v>3.94</v>
      </c>
      <c r="F16" s="62">
        <v>8.17</v>
      </c>
      <c r="G16" s="170">
        <f t="shared" si="0"/>
        <v>261.53325999999998</v>
      </c>
      <c r="H16" s="171">
        <f t="shared" si="1"/>
        <v>542.31642999999997</v>
      </c>
      <c r="I16" s="119">
        <v>2611.6</v>
      </c>
      <c r="J16" s="120">
        <v>2689.9479999999999</v>
      </c>
      <c r="K16" s="121">
        <v>4.01</v>
      </c>
      <c r="L16" s="122">
        <v>8.16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2"/>
        <v>2689.9479999999999</v>
      </c>
      <c r="S16" s="62">
        <f t="shared" si="13"/>
        <v>107.86691479999999</v>
      </c>
      <c r="T16" s="63">
        <f t="shared" si="14"/>
        <v>219.4997568</v>
      </c>
      <c r="U16" s="64" t="s">
        <v>271</v>
      </c>
      <c r="V16" s="65" t="s">
        <v>375</v>
      </c>
      <c r="W16" s="66" t="s">
        <v>189</v>
      </c>
      <c r="X16" s="67">
        <v>9375</v>
      </c>
      <c r="Y16" s="68">
        <v>4.25</v>
      </c>
      <c r="Z16" s="68">
        <v>7.85</v>
      </c>
      <c r="AA16" s="62">
        <f t="shared" si="15"/>
        <v>398.43750000000006</v>
      </c>
      <c r="AB16" s="63">
        <f t="shared" si="16"/>
        <v>735.9375</v>
      </c>
      <c r="AC16" s="69">
        <v>9360</v>
      </c>
      <c r="AD16" s="70">
        <v>4.2</v>
      </c>
      <c r="AE16" s="70">
        <v>7.75</v>
      </c>
      <c r="AF16" s="62">
        <f t="shared" si="17"/>
        <v>393.12</v>
      </c>
      <c r="AG16" s="63">
        <f t="shared" si="18"/>
        <v>725.4</v>
      </c>
      <c r="AH16" s="97">
        <v>0</v>
      </c>
      <c r="AI16" s="118">
        <v>0</v>
      </c>
      <c r="AJ16" s="118">
        <v>0</v>
      </c>
      <c r="AK16" s="62">
        <f t="shared" si="19"/>
        <v>0</v>
      </c>
      <c r="AL16" s="72">
        <f t="shared" si="20"/>
        <v>0</v>
      </c>
      <c r="AM16" s="73">
        <f t="shared" si="21"/>
        <v>-32.152000000000044</v>
      </c>
      <c r="AN16" s="74">
        <f t="shared" si="22"/>
        <v>-23.719825200000059</v>
      </c>
      <c r="AO16" s="74">
        <f t="shared" si="23"/>
        <v>36.416186799999991</v>
      </c>
      <c r="AP16" s="75">
        <f t="shared" si="24"/>
        <v>3.8783305392533218E-2</v>
      </c>
      <c r="AQ16" s="76">
        <f t="shared" si="25"/>
        <v>250.32688039330424</v>
      </c>
      <c r="AR16" s="90">
        <f t="shared" si="28"/>
        <v>-47.152000000000044</v>
      </c>
    </row>
    <row r="17" spans="1:48" x14ac:dyDescent="0.25">
      <c r="A17" t="str">
        <f t="shared" si="11"/>
        <v>46180E</v>
      </c>
      <c r="B17" s="51">
        <f t="shared" si="27"/>
        <v>46180</v>
      </c>
      <c r="C17" s="52" t="s">
        <v>88</v>
      </c>
      <c r="D17" s="79">
        <v>0</v>
      </c>
      <c r="E17" s="62">
        <v>0</v>
      </c>
      <c r="F17" s="62">
        <v>0</v>
      </c>
      <c r="G17" s="170">
        <f t="shared" si="0"/>
        <v>0</v>
      </c>
      <c r="H17" s="171">
        <f t="shared" si="1"/>
        <v>0</v>
      </c>
      <c r="I17" s="119">
        <v>3694.5</v>
      </c>
      <c r="J17" s="120">
        <v>3805.335</v>
      </c>
      <c r="K17" s="121">
        <v>3.79</v>
      </c>
      <c r="L17" s="122">
        <v>8.19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2"/>
        <v>3805.335</v>
      </c>
      <c r="S17" s="62">
        <f t="shared" si="13"/>
        <v>144.22219650000002</v>
      </c>
      <c r="T17" s="63">
        <f t="shared" si="14"/>
        <v>311.65693650000003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15"/>
        <v>0</v>
      </c>
      <c r="AB17" s="63">
        <f t="shared" si="16"/>
        <v>0</v>
      </c>
      <c r="AC17" s="69"/>
      <c r="AD17" s="70"/>
      <c r="AE17" s="70"/>
      <c r="AF17" s="62">
        <f t="shared" si="17"/>
        <v>0</v>
      </c>
      <c r="AG17" s="63">
        <f t="shared" si="18"/>
        <v>0</v>
      </c>
      <c r="AH17" s="97">
        <v>3805.3</v>
      </c>
      <c r="AI17" s="66">
        <v>3.79</v>
      </c>
      <c r="AJ17" s="66">
        <v>8.19</v>
      </c>
      <c r="AK17" s="62">
        <f t="shared" si="19"/>
        <v>144.22087000000002</v>
      </c>
      <c r="AL17" s="72">
        <f t="shared" si="20"/>
        <v>311.65406999999999</v>
      </c>
      <c r="AM17" s="73">
        <f t="shared" si="21"/>
        <v>3.4999999999854481E-2</v>
      </c>
      <c r="AN17" s="74">
        <f t="shared" si="22"/>
        <v>1.3265000000046712E-3</v>
      </c>
      <c r="AO17" s="74">
        <f t="shared" si="23"/>
        <v>2.8665000000387408E-3</v>
      </c>
      <c r="AP17" s="75">
        <f t="shared" si="24"/>
        <v>9.197613350825189E-6</v>
      </c>
      <c r="AQ17" s="76">
        <f t="shared" si="25"/>
        <v>1.4533461250136912</v>
      </c>
      <c r="AR17" s="90">
        <f t="shared" si="28"/>
        <v>3.4999999999854481E-2</v>
      </c>
    </row>
    <row r="18" spans="1:48" x14ac:dyDescent="0.25">
      <c r="A18" t="str">
        <f t="shared" si="11"/>
        <v>46181M</v>
      </c>
      <c r="B18" s="51">
        <f t="shared" si="27"/>
        <v>46181</v>
      </c>
      <c r="C18" s="52" t="s">
        <v>87</v>
      </c>
      <c r="D18" s="79">
        <v>3805.3</v>
      </c>
      <c r="E18" s="62">
        <v>3.79</v>
      </c>
      <c r="F18" s="62">
        <v>8.19</v>
      </c>
      <c r="G18" s="170">
        <f t="shared" si="0"/>
        <v>144.22087000000002</v>
      </c>
      <c r="H18" s="171">
        <f t="shared" si="1"/>
        <v>311.65406999999999</v>
      </c>
      <c r="I18" s="119">
        <v>2780.6</v>
      </c>
      <c r="J18" s="120">
        <v>2864.018</v>
      </c>
      <c r="K18" s="121">
        <v>4.09</v>
      </c>
      <c r="L18" s="122">
        <v>8.18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2"/>
        <v>2864.018</v>
      </c>
      <c r="S18" s="62">
        <f t="shared" si="13"/>
        <v>117.1383362</v>
      </c>
      <c r="T18" s="63">
        <f t="shared" si="14"/>
        <v>234.2766724</v>
      </c>
      <c r="U18" s="64" t="s">
        <v>167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15"/>
        <v>0</v>
      </c>
      <c r="AB18" s="63">
        <f t="shared" si="16"/>
        <v>0</v>
      </c>
      <c r="AC18" s="69"/>
      <c r="AD18" s="70"/>
      <c r="AE18" s="70"/>
      <c r="AF18" s="62">
        <f t="shared" si="17"/>
        <v>0</v>
      </c>
      <c r="AG18" s="63">
        <f t="shared" si="18"/>
        <v>0</v>
      </c>
      <c r="AH18" s="97">
        <v>6669.3</v>
      </c>
      <c r="AI18" s="66">
        <v>3.91</v>
      </c>
      <c r="AJ18" s="66">
        <v>8.18</v>
      </c>
      <c r="AK18" s="62">
        <f t="shared" si="19"/>
        <v>260.76963000000001</v>
      </c>
      <c r="AL18" s="72">
        <f t="shared" si="20"/>
        <v>545.54873999999995</v>
      </c>
      <c r="AM18" s="73">
        <f t="shared" si="21"/>
        <v>1.8000000000029104E-2</v>
      </c>
      <c r="AN18" s="74">
        <f t="shared" si="22"/>
        <v>0.58957620000001043</v>
      </c>
      <c r="AO18" s="74">
        <f t="shared" si="23"/>
        <v>0.38200240000003305</v>
      </c>
      <c r="AP18" s="75">
        <f t="shared" si="24"/>
        <v>2.764761254423109E-3</v>
      </c>
      <c r="AQ18" s="76">
        <f t="shared" si="25"/>
        <v>378.98978353134794</v>
      </c>
      <c r="AR18" s="90">
        <f t="shared" si="28"/>
        <v>1.8000000000029104E-2</v>
      </c>
    </row>
    <row r="19" spans="1:48" x14ac:dyDescent="0.25">
      <c r="A19" t="str">
        <f t="shared" si="11"/>
        <v>46181E</v>
      </c>
      <c r="B19" s="51">
        <f t="shared" si="27"/>
        <v>46181</v>
      </c>
      <c r="C19" s="52" t="s">
        <v>88</v>
      </c>
      <c r="D19" s="79">
        <v>6669.3</v>
      </c>
      <c r="E19" s="62">
        <v>3.91</v>
      </c>
      <c r="F19" s="62">
        <v>8.18</v>
      </c>
      <c r="G19" s="170">
        <f t="shared" si="0"/>
        <v>260.76963000000001</v>
      </c>
      <c r="H19" s="171">
        <f t="shared" si="1"/>
        <v>545.54873999999995</v>
      </c>
      <c r="I19" s="119">
        <v>2879.4</v>
      </c>
      <c r="J19" s="120">
        <v>2965.7820000000002</v>
      </c>
      <c r="K19" s="121">
        <v>3.82</v>
      </c>
      <c r="L19" s="122">
        <v>8.19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2"/>
        <v>2965.7820000000002</v>
      </c>
      <c r="S19" s="62">
        <f t="shared" si="13"/>
        <v>113.29287239999999</v>
      </c>
      <c r="T19" s="63">
        <f t="shared" si="14"/>
        <v>242.89754580000002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15"/>
        <v>0</v>
      </c>
      <c r="AB19" s="63">
        <f t="shared" si="16"/>
        <v>0</v>
      </c>
      <c r="AC19" s="69"/>
      <c r="AD19" s="70"/>
      <c r="AE19" s="70"/>
      <c r="AF19" s="62">
        <f t="shared" si="17"/>
        <v>0</v>
      </c>
      <c r="AG19" s="63">
        <f t="shared" si="18"/>
        <v>0</v>
      </c>
      <c r="AH19" s="97">
        <v>9634.7000000000007</v>
      </c>
      <c r="AI19" s="66">
        <v>3.89</v>
      </c>
      <c r="AJ19" s="66">
        <v>8.19</v>
      </c>
      <c r="AK19" s="62">
        <f t="shared" si="19"/>
        <v>374.78983000000005</v>
      </c>
      <c r="AL19" s="72">
        <f t="shared" si="20"/>
        <v>789.08193000000006</v>
      </c>
      <c r="AM19" s="73">
        <f t="shared" si="21"/>
        <v>0.3819999999996071</v>
      </c>
      <c r="AN19" s="74">
        <f t="shared" si="22"/>
        <v>-0.72732760000008057</v>
      </c>
      <c r="AO19" s="74">
        <f t="shared" si="23"/>
        <v>-0.63564420000011523</v>
      </c>
      <c r="AP19" s="75">
        <f t="shared" si="24"/>
        <v>-3.8265257299394577E-3</v>
      </c>
      <c r="AQ19" s="76">
        <f t="shared" si="25"/>
        <v>-516.73599146407071</v>
      </c>
      <c r="AR19" s="90">
        <f t="shared" si="28"/>
        <v>0.3819999999996071</v>
      </c>
    </row>
    <row r="20" spans="1:48" x14ac:dyDescent="0.25">
      <c r="A20" t="str">
        <f t="shared" si="11"/>
        <v>46182M</v>
      </c>
      <c r="B20" s="51">
        <f>+B18+1</f>
        <v>46182</v>
      </c>
      <c r="C20" s="52" t="s">
        <v>87</v>
      </c>
      <c r="D20" s="79">
        <v>9634.7000000000007</v>
      </c>
      <c r="E20" s="62">
        <v>3.89</v>
      </c>
      <c r="F20" s="62">
        <v>8.19</v>
      </c>
      <c r="G20" s="170">
        <f t="shared" si="0"/>
        <v>374.78983000000005</v>
      </c>
      <c r="H20" s="171">
        <f t="shared" si="1"/>
        <v>789.08193000000006</v>
      </c>
      <c r="I20" s="119">
        <v>2971.3</v>
      </c>
      <c r="J20" s="120">
        <v>3060.4390000000003</v>
      </c>
      <c r="K20" s="121">
        <v>4.12</v>
      </c>
      <c r="L20" s="122">
        <v>8.18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2"/>
        <v>3060.4390000000003</v>
      </c>
      <c r="S20" s="62">
        <f t="shared" si="13"/>
        <v>126.09008680000001</v>
      </c>
      <c r="T20" s="63">
        <f t="shared" si="14"/>
        <v>250.34391020000001</v>
      </c>
      <c r="U20" s="64" t="s">
        <v>273</v>
      </c>
      <c r="V20" s="65" t="s">
        <v>398</v>
      </c>
      <c r="W20" s="66" t="s">
        <v>189</v>
      </c>
      <c r="X20" s="67">
        <v>10070</v>
      </c>
      <c r="Y20" s="68">
        <v>4.05</v>
      </c>
      <c r="Z20" s="68">
        <v>8</v>
      </c>
      <c r="AA20" s="62">
        <f t="shared" si="15"/>
        <v>407.83500000000004</v>
      </c>
      <c r="AB20" s="63">
        <f t="shared" si="16"/>
        <v>805.6</v>
      </c>
      <c r="AC20" s="69">
        <v>10070</v>
      </c>
      <c r="AD20" s="70">
        <v>4</v>
      </c>
      <c r="AE20" s="70">
        <v>7.9600000000000009</v>
      </c>
      <c r="AF20" s="62">
        <f t="shared" si="17"/>
        <v>402.8</v>
      </c>
      <c r="AG20" s="63">
        <f t="shared" si="18"/>
        <v>801.572</v>
      </c>
      <c r="AH20" s="97">
        <v>2625.1</v>
      </c>
      <c r="AI20" s="66">
        <v>3.94</v>
      </c>
      <c r="AJ20" s="66">
        <v>8.19</v>
      </c>
      <c r="AK20" s="62">
        <f t="shared" si="19"/>
        <v>103.42893999999998</v>
      </c>
      <c r="AL20" s="72">
        <f t="shared" si="20"/>
        <v>214.99569</v>
      </c>
      <c r="AM20" s="73">
        <f t="shared" si="21"/>
        <v>3.9000000001124135E-2</v>
      </c>
      <c r="AN20" s="74">
        <f t="shared" si="22"/>
        <v>-5.349023199999948</v>
      </c>
      <c r="AO20" s="74">
        <f t="shared" si="23"/>
        <v>22.85815020000004</v>
      </c>
      <c r="AP20" s="75">
        <f t="shared" si="24"/>
        <v>4.6513139460143099E-2</v>
      </c>
      <c r="AQ20" s="76">
        <f t="shared" si="25"/>
        <v>4439.6047994760356</v>
      </c>
      <c r="AR20" s="90">
        <f t="shared" si="28"/>
        <v>3.9000000000669388E-2</v>
      </c>
    </row>
    <row r="21" spans="1:48" x14ac:dyDescent="0.25">
      <c r="A21" t="str">
        <f t="shared" si="11"/>
        <v>46182E</v>
      </c>
      <c r="B21" s="51">
        <f t="shared" si="27"/>
        <v>46182</v>
      </c>
      <c r="C21" s="52" t="s">
        <v>88</v>
      </c>
      <c r="D21" s="79">
        <v>2625.1</v>
      </c>
      <c r="E21" s="62">
        <v>3.94</v>
      </c>
      <c r="F21" s="62">
        <v>8.19</v>
      </c>
      <c r="G21" s="170">
        <f t="shared" si="0"/>
        <v>103.42893999999998</v>
      </c>
      <c r="H21" s="171">
        <f t="shared" si="1"/>
        <v>214.99569</v>
      </c>
      <c r="I21" s="119">
        <v>3912.6</v>
      </c>
      <c r="J21" s="120">
        <v>4029.9780000000001</v>
      </c>
      <c r="K21" s="121">
        <v>3.78</v>
      </c>
      <c r="L21" s="122">
        <v>8.1999999999999993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2"/>
        <v>4029.9780000000001</v>
      </c>
      <c r="S21" s="62">
        <f t="shared" si="13"/>
        <v>152.33316840000001</v>
      </c>
      <c r="T21" s="63">
        <f t="shared" si="14"/>
        <v>330.45819599999999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15"/>
        <v>0</v>
      </c>
      <c r="AB21" s="63">
        <f t="shared" si="16"/>
        <v>0</v>
      </c>
      <c r="AC21" s="69"/>
      <c r="AD21" s="70"/>
      <c r="AE21" s="70"/>
      <c r="AF21" s="62">
        <f t="shared" si="17"/>
        <v>0</v>
      </c>
      <c r="AG21" s="63">
        <f t="shared" si="18"/>
        <v>0</v>
      </c>
      <c r="AH21" s="97">
        <v>6655</v>
      </c>
      <c r="AI21" s="66">
        <v>3.84</v>
      </c>
      <c r="AJ21" s="66">
        <v>8.1999999999999993</v>
      </c>
      <c r="AK21" s="62">
        <f t="shared" si="19"/>
        <v>255.55199999999996</v>
      </c>
      <c r="AL21" s="72">
        <f t="shared" si="20"/>
        <v>545.70999999999992</v>
      </c>
      <c r="AM21" s="73">
        <f t="shared" si="21"/>
        <v>7.7999999999519787E-2</v>
      </c>
      <c r="AN21" s="74">
        <f t="shared" si="22"/>
        <v>0.21010840000002418</v>
      </c>
      <c r="AO21" s="74">
        <f t="shared" si="23"/>
        <v>-0.25611399999991136</v>
      </c>
      <c r="AP21" s="75">
        <f t="shared" si="24"/>
        <v>-9.529085106371297E-5</v>
      </c>
      <c r="AQ21" s="76">
        <f t="shared" si="25"/>
        <v>17.671671350704045</v>
      </c>
      <c r="AR21" s="90">
        <f t="shared" si="28"/>
        <v>7.7999999999519787E-2</v>
      </c>
    </row>
    <row r="22" spans="1:48" x14ac:dyDescent="0.25">
      <c r="A22" t="str">
        <f t="shared" si="11"/>
        <v>46183M</v>
      </c>
      <c r="B22" s="51">
        <f t="shared" si="27"/>
        <v>46183</v>
      </c>
      <c r="C22" s="52" t="s">
        <v>87</v>
      </c>
      <c r="D22" s="79">
        <v>6655</v>
      </c>
      <c r="E22" s="62">
        <v>3.84</v>
      </c>
      <c r="F22" s="62">
        <v>8.1999999999999993</v>
      </c>
      <c r="G22" s="170">
        <f t="shared" si="0"/>
        <v>255.55199999999996</v>
      </c>
      <c r="H22" s="171">
        <f t="shared" si="1"/>
        <v>545.70999999999992</v>
      </c>
      <c r="I22" s="119">
        <v>2890.5</v>
      </c>
      <c r="J22" s="120">
        <v>2977.2150000000001</v>
      </c>
      <c r="K22" s="121">
        <v>4.1100000000000003</v>
      </c>
      <c r="L22" s="122">
        <v>8.19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2"/>
        <v>2977.2150000000001</v>
      </c>
      <c r="S22" s="62">
        <f t="shared" si="13"/>
        <v>122.36353650000002</v>
      </c>
      <c r="T22" s="63">
        <f t="shared" si="14"/>
        <v>243.83390850000001</v>
      </c>
      <c r="U22" s="64" t="s">
        <v>271</v>
      </c>
      <c r="V22" s="65" t="s">
        <v>443</v>
      </c>
      <c r="W22" s="66" t="s">
        <v>189</v>
      </c>
      <c r="X22" s="67">
        <v>9385</v>
      </c>
      <c r="Y22" s="68">
        <v>4.1500000000000004</v>
      </c>
      <c r="Z22" s="68">
        <v>7.8</v>
      </c>
      <c r="AA22" s="62">
        <f t="shared" si="15"/>
        <v>389.47750000000002</v>
      </c>
      <c r="AB22" s="63">
        <f t="shared" si="16"/>
        <v>732.03</v>
      </c>
      <c r="AC22" s="226">
        <v>9385</v>
      </c>
      <c r="AD22" s="227">
        <v>4.1500000000000004</v>
      </c>
      <c r="AE22" s="227">
        <v>7.8</v>
      </c>
      <c r="AF22" s="62">
        <f t="shared" si="17"/>
        <v>389.47750000000002</v>
      </c>
      <c r="AG22" s="63">
        <f t="shared" si="18"/>
        <v>732.03</v>
      </c>
      <c r="AH22" s="97">
        <v>247.2</v>
      </c>
      <c r="AI22" s="66">
        <v>3.92</v>
      </c>
      <c r="AJ22" s="66">
        <v>8.1999999999999993</v>
      </c>
      <c r="AK22" s="62">
        <f t="shared" si="19"/>
        <v>9.6902399999999993</v>
      </c>
      <c r="AL22" s="72">
        <f t="shared" si="20"/>
        <v>20.270399999999995</v>
      </c>
      <c r="AM22" s="73">
        <f t="shared" si="21"/>
        <v>1.5000000000156888E-2</v>
      </c>
      <c r="AN22" s="74">
        <f t="shared" si="22"/>
        <v>-21.252203500000046</v>
      </c>
      <c r="AO22" s="74">
        <f t="shared" si="23"/>
        <v>37.243508499999962</v>
      </c>
      <c r="AP22" s="75">
        <f t="shared" si="24"/>
        <v>4.3668532422447441E-2</v>
      </c>
      <c r="AQ22" s="76">
        <f t="shared" si="25"/>
        <v>1605.6622606383007</v>
      </c>
      <c r="AR22" s="83">
        <f>(D22+J22+O22)-(X22+AH22)</f>
        <v>1.4999999999417923E-2</v>
      </c>
      <c r="AT22" s="83"/>
      <c r="AU22" s="83"/>
    </row>
    <row r="23" spans="1:48" x14ac:dyDescent="0.25">
      <c r="A23" t="str">
        <f t="shared" si="11"/>
        <v>46183E</v>
      </c>
      <c r="B23" s="51">
        <f t="shared" si="27"/>
        <v>46183</v>
      </c>
      <c r="C23" s="52" t="s">
        <v>88</v>
      </c>
      <c r="D23" s="79">
        <v>247.2</v>
      </c>
      <c r="E23" s="62">
        <v>3.92</v>
      </c>
      <c r="F23" s="62">
        <v>8.1999999999999993</v>
      </c>
      <c r="G23" s="170">
        <f t="shared" si="0"/>
        <v>9.6902399999999993</v>
      </c>
      <c r="H23" s="171">
        <f t="shared" si="1"/>
        <v>20.270399999999995</v>
      </c>
      <c r="I23" s="119">
        <v>3202.9</v>
      </c>
      <c r="J23" s="120">
        <v>3298.9870000000001</v>
      </c>
      <c r="K23" s="121">
        <v>3.81</v>
      </c>
      <c r="L23" s="122">
        <v>8.14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2"/>
        <v>3298.9870000000001</v>
      </c>
      <c r="S23" s="62">
        <f t="shared" si="13"/>
        <v>125.69140470000001</v>
      </c>
      <c r="T23" s="63">
        <f t="shared" si="14"/>
        <v>268.53754179999999</v>
      </c>
      <c r="U23" s="64" t="s">
        <v>167</v>
      </c>
      <c r="V23" s="65" t="s">
        <v>167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15"/>
        <v>0</v>
      </c>
      <c r="AB23" s="63">
        <f t="shared" si="16"/>
        <v>0</v>
      </c>
      <c r="AC23" s="69"/>
      <c r="AD23" s="70"/>
      <c r="AE23" s="70"/>
      <c r="AF23" s="62">
        <f t="shared" si="17"/>
        <v>0</v>
      </c>
      <c r="AG23" s="63">
        <f t="shared" si="18"/>
        <v>0</v>
      </c>
      <c r="AH23" s="97">
        <v>3545.4</v>
      </c>
      <c r="AI23" s="66">
        <v>3.83</v>
      </c>
      <c r="AJ23" s="84">
        <v>8.16</v>
      </c>
      <c r="AK23" s="62">
        <f t="shared" si="19"/>
        <v>135.78882000000002</v>
      </c>
      <c r="AL23" s="72">
        <f t="shared" si="20"/>
        <v>289.30464000000001</v>
      </c>
      <c r="AM23" s="73">
        <f t="shared" si="21"/>
        <v>0.78699999999980719</v>
      </c>
      <c r="AN23" s="74">
        <f t="shared" si="22"/>
        <v>-0.40717530000000579</v>
      </c>
      <c r="AO23" s="74">
        <f t="shared" si="23"/>
        <v>-0.49669820000002574</v>
      </c>
      <c r="AP23" s="75">
        <f t="shared" si="24"/>
        <v>-2.2927628933002045E-3</v>
      </c>
      <c r="AQ23" s="76">
        <f t="shared" si="25"/>
        <v>-331.433589897677</v>
      </c>
      <c r="AR23" s="83">
        <f t="shared" si="26"/>
        <v>0.78699999999980719</v>
      </c>
      <c r="AU23" s="83"/>
    </row>
    <row r="24" spans="1:48" x14ac:dyDescent="0.25">
      <c r="A24" t="str">
        <f t="shared" si="11"/>
        <v>46184M</v>
      </c>
      <c r="B24" s="51">
        <f t="shared" si="27"/>
        <v>46184</v>
      </c>
      <c r="C24" s="52" t="s">
        <v>87</v>
      </c>
      <c r="D24" s="79">
        <v>3545.4</v>
      </c>
      <c r="E24" s="62">
        <v>3.83</v>
      </c>
      <c r="F24" s="62">
        <v>8.16</v>
      </c>
      <c r="G24" s="170">
        <f t="shared" si="0"/>
        <v>135.78882000000002</v>
      </c>
      <c r="H24" s="171">
        <f t="shared" si="1"/>
        <v>289.30464000000001</v>
      </c>
      <c r="I24" s="119">
        <v>2947.3</v>
      </c>
      <c r="J24" s="120">
        <v>3035.7190000000001</v>
      </c>
      <c r="K24" s="121">
        <v>4.21</v>
      </c>
      <c r="L24" s="122">
        <v>8.2200000000000006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2"/>
        <v>3035.7190000000001</v>
      </c>
      <c r="S24" s="62">
        <f t="shared" si="13"/>
        <v>127.80376989999999</v>
      </c>
      <c r="T24" s="63">
        <f t="shared" si="14"/>
        <v>249.53610180000004</v>
      </c>
      <c r="U24" s="64" t="s">
        <v>167</v>
      </c>
      <c r="V24" s="65" t="s">
        <v>167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15"/>
        <v>0</v>
      </c>
      <c r="AB24" s="63">
        <f t="shared" si="16"/>
        <v>0</v>
      </c>
      <c r="AC24" s="69"/>
      <c r="AD24" s="70"/>
      <c r="AE24" s="70"/>
      <c r="AF24" s="62">
        <f t="shared" si="17"/>
        <v>0</v>
      </c>
      <c r="AG24" s="63">
        <f t="shared" si="18"/>
        <v>0</v>
      </c>
      <c r="AH24" s="97">
        <v>6581.1</v>
      </c>
      <c r="AI24" s="66">
        <v>4</v>
      </c>
      <c r="AJ24" s="66">
        <v>8.19</v>
      </c>
      <c r="AK24" s="62">
        <f t="shared" si="19"/>
        <v>263.24400000000003</v>
      </c>
      <c r="AL24" s="72">
        <f t="shared" si="20"/>
        <v>538.99209000000008</v>
      </c>
      <c r="AM24" s="73">
        <f t="shared" si="21"/>
        <v>1.9000000000232831E-2</v>
      </c>
      <c r="AN24" s="74">
        <f t="shared" si="22"/>
        <v>0.34858989999997902</v>
      </c>
      <c r="AO24" s="74">
        <f t="shared" si="23"/>
        <v>-0.15134820000002946</v>
      </c>
      <c r="AP24" s="75">
        <f t="shared" si="24"/>
        <v>5.2271629581928845E-4</v>
      </c>
      <c r="AQ24" s="76">
        <f t="shared" si="25"/>
        <v>111.19101170098179</v>
      </c>
      <c r="AR24" s="83">
        <f t="shared" si="26"/>
        <v>1.9000000000232831E-2</v>
      </c>
      <c r="AT24" s="77"/>
      <c r="AU24" s="77"/>
      <c r="AV24" s="77"/>
    </row>
    <row r="25" spans="1:48" x14ac:dyDescent="0.25">
      <c r="A25" t="str">
        <f t="shared" si="11"/>
        <v>46184E</v>
      </c>
      <c r="B25" s="51">
        <f t="shared" si="27"/>
        <v>46184</v>
      </c>
      <c r="C25" s="52" t="s">
        <v>88</v>
      </c>
      <c r="D25" s="79">
        <v>6581.1</v>
      </c>
      <c r="E25" s="62">
        <v>4</v>
      </c>
      <c r="F25" s="62">
        <v>8.19</v>
      </c>
      <c r="G25" s="170">
        <f t="shared" si="0"/>
        <v>263.24400000000003</v>
      </c>
      <c r="H25" s="171">
        <f t="shared" si="1"/>
        <v>538.99209000000008</v>
      </c>
      <c r="I25" s="119">
        <v>3274.8</v>
      </c>
      <c r="J25" s="120">
        <v>3373.0440000000003</v>
      </c>
      <c r="K25" s="121">
        <v>3.98</v>
      </c>
      <c r="L25" s="122">
        <v>8.07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2"/>
        <v>3373.0440000000003</v>
      </c>
      <c r="S25" s="62">
        <f t="shared" si="13"/>
        <v>134.24715120000002</v>
      </c>
      <c r="T25" s="63">
        <f t="shared" si="14"/>
        <v>272.20465080000002</v>
      </c>
      <c r="U25" s="64" t="s">
        <v>273</v>
      </c>
      <c r="V25" s="65" t="s">
        <v>444</v>
      </c>
      <c r="W25" s="66" t="s">
        <v>189</v>
      </c>
      <c r="X25" s="67">
        <v>10300</v>
      </c>
      <c r="Y25" s="68">
        <v>4.22</v>
      </c>
      <c r="Z25" s="68">
        <v>8.0299999999999994</v>
      </c>
      <c r="AA25" s="62">
        <f t="shared" si="15"/>
        <v>434.65999999999997</v>
      </c>
      <c r="AB25" s="63">
        <f t="shared" si="16"/>
        <v>827.08999999999992</v>
      </c>
      <c r="AC25" s="226">
        <v>10300</v>
      </c>
      <c r="AD25" s="227">
        <v>4.22</v>
      </c>
      <c r="AE25" s="227">
        <v>8.0299999999999994</v>
      </c>
      <c r="AF25" s="62">
        <f t="shared" si="17"/>
        <v>434.65999999999997</v>
      </c>
      <c r="AG25" s="63">
        <f t="shared" si="18"/>
        <v>827.08999999999992</v>
      </c>
      <c r="AH25" s="97">
        <v>0</v>
      </c>
      <c r="AI25" s="66">
        <v>0</v>
      </c>
      <c r="AJ25" s="66">
        <v>0</v>
      </c>
      <c r="AK25" s="62">
        <f t="shared" si="19"/>
        <v>0</v>
      </c>
      <c r="AL25" s="72">
        <f t="shared" si="20"/>
        <v>0</v>
      </c>
      <c r="AM25" s="73">
        <f t="shared" si="21"/>
        <v>-345.85599999999977</v>
      </c>
      <c r="AN25" s="74">
        <f t="shared" si="22"/>
        <v>-37.168848799999921</v>
      </c>
      <c r="AO25" s="74">
        <f t="shared" si="23"/>
        <v>-15.893259199999875</v>
      </c>
      <c r="AP25" s="75">
        <f t="shared" si="24"/>
        <v>-0.13054957005701698</v>
      </c>
      <c r="AQ25" s="76">
        <f t="shared" si="25"/>
        <v>-21441.896573122598</v>
      </c>
      <c r="AR25" s="83">
        <f t="shared" si="26"/>
        <v>-345.85599999999977</v>
      </c>
    </row>
    <row r="26" spans="1:48" x14ac:dyDescent="0.25">
      <c r="A26" t="str">
        <f t="shared" si="11"/>
        <v>46185M</v>
      </c>
      <c r="B26" s="51">
        <f t="shared" si="27"/>
        <v>46185</v>
      </c>
      <c r="C26" s="52" t="s">
        <v>87</v>
      </c>
      <c r="D26" s="79"/>
      <c r="E26" s="62"/>
      <c r="F26" s="62"/>
      <c r="G26" s="170">
        <f t="shared" si="0"/>
        <v>0</v>
      </c>
      <c r="H26" s="171">
        <f t="shared" si="1"/>
        <v>0</v>
      </c>
      <c r="I26" s="119"/>
      <c r="J26" s="120"/>
      <c r="K26" s="121"/>
      <c r="L26" s="122"/>
      <c r="M26" s="58"/>
      <c r="N26" s="58"/>
      <c r="O26" s="59"/>
      <c r="P26" s="56"/>
      <c r="Q26" s="60"/>
      <c r="R26" s="61">
        <f t="shared" si="12"/>
        <v>0</v>
      </c>
      <c r="S26" s="62">
        <f t="shared" si="13"/>
        <v>0</v>
      </c>
      <c r="T26" s="63">
        <f t="shared" si="14"/>
        <v>0</v>
      </c>
      <c r="U26" s="64"/>
      <c r="V26" s="65"/>
      <c r="W26" s="66"/>
      <c r="X26" s="67"/>
      <c r="Y26" s="68"/>
      <c r="Z26" s="68"/>
      <c r="AA26" s="62">
        <f t="shared" si="15"/>
        <v>0</v>
      </c>
      <c r="AB26" s="63">
        <f t="shared" si="16"/>
        <v>0</v>
      </c>
      <c r="AC26" s="69"/>
      <c r="AD26" s="70"/>
      <c r="AE26" s="70"/>
      <c r="AF26" s="62">
        <f t="shared" si="17"/>
        <v>0</v>
      </c>
      <c r="AG26" s="63">
        <f t="shared" si="18"/>
        <v>0</v>
      </c>
      <c r="AH26" s="97"/>
      <c r="AI26" s="66"/>
      <c r="AJ26" s="66"/>
      <c r="AK26" s="62">
        <f t="shared" si="19"/>
        <v>0</v>
      </c>
      <c r="AL26" s="72">
        <f t="shared" si="20"/>
        <v>0</v>
      </c>
      <c r="AM26" s="73">
        <f t="shared" si="21"/>
        <v>0</v>
      </c>
      <c r="AN26" s="74">
        <f t="shared" si="22"/>
        <v>0</v>
      </c>
      <c r="AO26" s="74">
        <f t="shared" si="23"/>
        <v>0</v>
      </c>
      <c r="AP26" s="75" t="e">
        <f t="shared" si="24"/>
        <v>#DIV/0!</v>
      </c>
      <c r="AQ26" s="76">
        <f t="shared" si="25"/>
        <v>0</v>
      </c>
      <c r="AR26" s="83">
        <f t="shared" si="26"/>
        <v>0</v>
      </c>
    </row>
    <row r="27" spans="1:48" x14ac:dyDescent="0.25">
      <c r="A27" t="str">
        <f t="shared" si="11"/>
        <v>46185E</v>
      </c>
      <c r="B27" s="51">
        <f t="shared" si="27"/>
        <v>46185</v>
      </c>
      <c r="C27" s="52" t="s">
        <v>88</v>
      </c>
      <c r="D27" s="79"/>
      <c r="E27" s="62"/>
      <c r="F27" s="62"/>
      <c r="G27" s="170">
        <f t="shared" si="0"/>
        <v>0</v>
      </c>
      <c r="H27" s="171">
        <f t="shared" si="1"/>
        <v>0</v>
      </c>
      <c r="I27" s="119"/>
      <c r="J27" s="120"/>
      <c r="K27" s="121"/>
      <c r="L27" s="122"/>
      <c r="M27" s="58"/>
      <c r="N27" s="58"/>
      <c r="O27" s="59"/>
      <c r="P27" s="56"/>
      <c r="Q27" s="60"/>
      <c r="R27" s="61">
        <f t="shared" si="12"/>
        <v>0</v>
      </c>
      <c r="S27" s="62">
        <f t="shared" si="13"/>
        <v>0</v>
      </c>
      <c r="T27" s="63">
        <f t="shared" si="14"/>
        <v>0</v>
      </c>
      <c r="U27" s="64"/>
      <c r="V27" s="65"/>
      <c r="W27" s="66"/>
      <c r="X27" s="67"/>
      <c r="Y27" s="68"/>
      <c r="Z27" s="68"/>
      <c r="AA27" s="62">
        <f t="shared" si="15"/>
        <v>0</v>
      </c>
      <c r="AB27" s="63">
        <f t="shared" si="16"/>
        <v>0</v>
      </c>
      <c r="AC27" s="69"/>
      <c r="AD27" s="70"/>
      <c r="AE27" s="70"/>
      <c r="AF27" s="62">
        <f t="shared" si="17"/>
        <v>0</v>
      </c>
      <c r="AG27" s="63">
        <f t="shared" si="18"/>
        <v>0</v>
      </c>
      <c r="AH27" s="97"/>
      <c r="AI27" s="66"/>
      <c r="AJ27" s="66"/>
      <c r="AK27" s="62">
        <f t="shared" si="19"/>
        <v>0</v>
      </c>
      <c r="AL27" s="72">
        <f t="shared" si="20"/>
        <v>0</v>
      </c>
      <c r="AM27" s="73">
        <f t="shared" si="21"/>
        <v>0</v>
      </c>
      <c r="AN27" s="74">
        <f t="shared" si="22"/>
        <v>0</v>
      </c>
      <c r="AO27" s="74">
        <f t="shared" si="23"/>
        <v>0</v>
      </c>
      <c r="AP27" s="75" t="e">
        <f t="shared" si="24"/>
        <v>#DIV/0!</v>
      </c>
      <c r="AQ27" s="76">
        <f t="shared" si="25"/>
        <v>0</v>
      </c>
      <c r="AR27" s="83">
        <f t="shared" si="26"/>
        <v>0</v>
      </c>
    </row>
    <row r="28" spans="1:48" x14ac:dyDescent="0.25">
      <c r="A28" t="str">
        <f t="shared" si="11"/>
        <v>46186M</v>
      </c>
      <c r="B28" s="51">
        <f t="shared" si="27"/>
        <v>46186</v>
      </c>
      <c r="C28" s="52" t="s">
        <v>87</v>
      </c>
      <c r="D28" s="79"/>
      <c r="E28" s="62"/>
      <c r="F28" s="62"/>
      <c r="G28" s="170">
        <f t="shared" si="0"/>
        <v>0</v>
      </c>
      <c r="H28" s="171">
        <f t="shared" si="1"/>
        <v>0</v>
      </c>
      <c r="I28" s="119"/>
      <c r="J28" s="120"/>
      <c r="K28" s="121"/>
      <c r="L28" s="122"/>
      <c r="M28" s="58"/>
      <c r="N28" s="58"/>
      <c r="O28" s="59"/>
      <c r="P28" s="56"/>
      <c r="Q28" s="60"/>
      <c r="R28" s="61">
        <f t="shared" si="12"/>
        <v>0</v>
      </c>
      <c r="S28" s="62">
        <f t="shared" si="13"/>
        <v>0</v>
      </c>
      <c r="T28" s="63">
        <f t="shared" si="14"/>
        <v>0</v>
      </c>
      <c r="U28" s="64"/>
      <c r="V28" s="65"/>
      <c r="W28" s="66"/>
      <c r="X28" s="67"/>
      <c r="Y28" s="68"/>
      <c r="Z28" s="68"/>
      <c r="AA28" s="62">
        <f t="shared" si="15"/>
        <v>0</v>
      </c>
      <c r="AB28" s="63">
        <f t="shared" si="16"/>
        <v>0</v>
      </c>
      <c r="AC28" s="69"/>
      <c r="AD28" s="70"/>
      <c r="AE28" s="70"/>
      <c r="AF28" s="62">
        <f t="shared" si="17"/>
        <v>0</v>
      </c>
      <c r="AG28" s="63">
        <f t="shared" si="18"/>
        <v>0</v>
      </c>
      <c r="AH28" s="71"/>
      <c r="AI28" s="66"/>
      <c r="AJ28" s="66"/>
      <c r="AK28" s="62">
        <f t="shared" si="19"/>
        <v>0</v>
      </c>
      <c r="AL28" s="72">
        <f t="shared" si="20"/>
        <v>0</v>
      </c>
      <c r="AM28" s="73">
        <f t="shared" si="21"/>
        <v>0</v>
      </c>
      <c r="AN28" s="74">
        <f t="shared" si="22"/>
        <v>0</v>
      </c>
      <c r="AO28" s="74">
        <f t="shared" si="23"/>
        <v>0</v>
      </c>
      <c r="AP28" s="75" t="e">
        <f t="shared" si="24"/>
        <v>#DIV/0!</v>
      </c>
      <c r="AQ28" s="76">
        <f t="shared" si="25"/>
        <v>0</v>
      </c>
      <c r="AR28" s="90">
        <f t="shared" ref="AR28:AR33" si="29">(D28+J28+O28)-(X28+AH28)</f>
        <v>0</v>
      </c>
    </row>
    <row r="29" spans="1:48" x14ac:dyDescent="0.25">
      <c r="A29" t="str">
        <f t="shared" si="11"/>
        <v>46186E</v>
      </c>
      <c r="B29" s="51">
        <f t="shared" si="27"/>
        <v>46186</v>
      </c>
      <c r="C29" s="52" t="s">
        <v>88</v>
      </c>
      <c r="D29" s="79"/>
      <c r="E29" s="62"/>
      <c r="F29" s="62"/>
      <c r="G29" s="170">
        <f t="shared" si="0"/>
        <v>0</v>
      </c>
      <c r="H29" s="171">
        <f t="shared" si="1"/>
        <v>0</v>
      </c>
      <c r="I29" s="119"/>
      <c r="J29" s="120"/>
      <c r="K29" s="121"/>
      <c r="L29" s="122"/>
      <c r="M29" s="58"/>
      <c r="N29" s="58"/>
      <c r="O29" s="59"/>
      <c r="P29" s="56"/>
      <c r="Q29" s="60"/>
      <c r="R29" s="61">
        <f t="shared" si="12"/>
        <v>0</v>
      </c>
      <c r="S29" s="62">
        <f t="shared" si="13"/>
        <v>0</v>
      </c>
      <c r="T29" s="63">
        <f t="shared" si="14"/>
        <v>0</v>
      </c>
      <c r="U29" s="64"/>
      <c r="V29" s="65"/>
      <c r="W29" s="66"/>
      <c r="X29" s="67"/>
      <c r="Y29" s="68"/>
      <c r="Z29" s="68"/>
      <c r="AA29" s="62">
        <f t="shared" si="15"/>
        <v>0</v>
      </c>
      <c r="AB29" s="63">
        <f t="shared" si="16"/>
        <v>0</v>
      </c>
      <c r="AC29" s="69"/>
      <c r="AD29" s="70"/>
      <c r="AE29" s="70"/>
      <c r="AF29" s="62">
        <f t="shared" si="17"/>
        <v>0</v>
      </c>
      <c r="AG29" s="63">
        <f t="shared" si="18"/>
        <v>0</v>
      </c>
      <c r="AH29" s="71"/>
      <c r="AI29" s="66"/>
      <c r="AJ29" s="66"/>
      <c r="AK29" s="62">
        <f t="shared" si="19"/>
        <v>0</v>
      </c>
      <c r="AL29" s="72">
        <f t="shared" si="20"/>
        <v>0</v>
      </c>
      <c r="AM29" s="73">
        <f t="shared" si="21"/>
        <v>0</v>
      </c>
      <c r="AN29" s="74">
        <f t="shared" si="22"/>
        <v>0</v>
      </c>
      <c r="AO29" s="74">
        <f t="shared" si="23"/>
        <v>0</v>
      </c>
      <c r="AP29" s="75" t="e">
        <f t="shared" si="24"/>
        <v>#DIV/0!</v>
      </c>
      <c r="AQ29" s="76">
        <f t="shared" si="25"/>
        <v>0</v>
      </c>
      <c r="AR29" s="90">
        <f t="shared" si="29"/>
        <v>0</v>
      </c>
    </row>
    <row r="30" spans="1:48" x14ac:dyDescent="0.25">
      <c r="A30" t="str">
        <f t="shared" si="11"/>
        <v>46187M</v>
      </c>
      <c r="B30" s="51">
        <f t="shared" si="27"/>
        <v>46187</v>
      </c>
      <c r="C30" s="52" t="s">
        <v>87</v>
      </c>
      <c r="D30" s="79"/>
      <c r="E30" s="62"/>
      <c r="F30" s="62"/>
      <c r="G30" s="170">
        <f t="shared" ref="G30:G65" si="30">+D30*E30%</f>
        <v>0</v>
      </c>
      <c r="H30" s="171">
        <f t="shared" ref="H30:H65" si="31">+D30*F30%</f>
        <v>0</v>
      </c>
      <c r="I30" s="119"/>
      <c r="J30" s="120"/>
      <c r="K30" s="121"/>
      <c r="L30" s="122"/>
      <c r="M30" s="58"/>
      <c r="N30" s="58"/>
      <c r="O30" s="59"/>
      <c r="P30" s="56"/>
      <c r="Q30" s="60"/>
      <c r="R30" s="61">
        <f t="shared" si="12"/>
        <v>0</v>
      </c>
      <c r="S30" s="62">
        <f t="shared" si="13"/>
        <v>0</v>
      </c>
      <c r="T30" s="63">
        <f t="shared" si="14"/>
        <v>0</v>
      </c>
      <c r="U30" s="64"/>
      <c r="V30" s="65"/>
      <c r="W30" s="66"/>
      <c r="X30" s="67"/>
      <c r="Y30" s="68"/>
      <c r="Z30" s="68"/>
      <c r="AA30" s="62">
        <f t="shared" si="15"/>
        <v>0</v>
      </c>
      <c r="AB30" s="63">
        <f t="shared" si="16"/>
        <v>0</v>
      </c>
      <c r="AC30" s="69"/>
      <c r="AD30" s="70"/>
      <c r="AE30" s="70"/>
      <c r="AF30" s="62">
        <f t="shared" si="17"/>
        <v>0</v>
      </c>
      <c r="AG30" s="63">
        <f t="shared" si="18"/>
        <v>0</v>
      </c>
      <c r="AH30" s="71"/>
      <c r="AI30" s="66"/>
      <c r="AJ30" s="66"/>
      <c r="AK30" s="62">
        <f t="shared" si="19"/>
        <v>0</v>
      </c>
      <c r="AL30" s="72">
        <f t="shared" si="20"/>
        <v>0</v>
      </c>
      <c r="AM30" s="73">
        <f t="shared" si="21"/>
        <v>0</v>
      </c>
      <c r="AN30" s="74">
        <f t="shared" si="22"/>
        <v>0</v>
      </c>
      <c r="AO30" s="74">
        <f t="shared" si="23"/>
        <v>0</v>
      </c>
      <c r="AP30" s="75" t="e">
        <f t="shared" si="24"/>
        <v>#DIV/0!</v>
      </c>
      <c r="AQ30" s="76">
        <f t="shared" si="25"/>
        <v>0</v>
      </c>
      <c r="AR30" s="90">
        <f t="shared" si="29"/>
        <v>0</v>
      </c>
    </row>
    <row r="31" spans="1:48" x14ac:dyDescent="0.25">
      <c r="A31" t="str">
        <f t="shared" si="11"/>
        <v>46187E</v>
      </c>
      <c r="B31" s="51">
        <f t="shared" si="27"/>
        <v>46187</v>
      </c>
      <c r="C31" s="52" t="s">
        <v>88</v>
      </c>
      <c r="D31" s="79"/>
      <c r="E31" s="62"/>
      <c r="F31" s="62"/>
      <c r="G31" s="170">
        <f t="shared" si="30"/>
        <v>0</v>
      </c>
      <c r="H31" s="171">
        <f t="shared" si="31"/>
        <v>0</v>
      </c>
      <c r="I31" s="119"/>
      <c r="J31" s="120"/>
      <c r="K31" s="121"/>
      <c r="L31" s="122"/>
      <c r="M31" s="58"/>
      <c r="N31" s="58"/>
      <c r="O31" s="59"/>
      <c r="P31" s="56"/>
      <c r="Q31" s="60"/>
      <c r="R31" s="61">
        <f t="shared" si="12"/>
        <v>0</v>
      </c>
      <c r="S31" s="62">
        <f t="shared" si="13"/>
        <v>0</v>
      </c>
      <c r="T31" s="63">
        <f t="shared" si="14"/>
        <v>0</v>
      </c>
      <c r="U31" s="64"/>
      <c r="V31" s="85"/>
      <c r="W31" s="66"/>
      <c r="X31" s="67"/>
      <c r="Y31" s="68"/>
      <c r="Z31" s="68"/>
      <c r="AA31" s="62">
        <f t="shared" si="15"/>
        <v>0</v>
      </c>
      <c r="AB31" s="63">
        <f t="shared" si="16"/>
        <v>0</v>
      </c>
      <c r="AC31" s="69"/>
      <c r="AD31" s="70"/>
      <c r="AE31" s="70"/>
      <c r="AF31" s="62">
        <f t="shared" si="17"/>
        <v>0</v>
      </c>
      <c r="AG31" s="63">
        <f t="shared" si="18"/>
        <v>0</v>
      </c>
      <c r="AH31" s="71"/>
      <c r="AI31" s="66"/>
      <c r="AJ31" s="66"/>
      <c r="AK31" s="62">
        <f t="shared" si="19"/>
        <v>0</v>
      </c>
      <c r="AL31" s="72">
        <f t="shared" si="20"/>
        <v>0</v>
      </c>
      <c r="AM31" s="73">
        <f t="shared" si="21"/>
        <v>0</v>
      </c>
      <c r="AN31" s="74">
        <f t="shared" si="22"/>
        <v>0</v>
      </c>
      <c r="AO31" s="74">
        <f t="shared" si="23"/>
        <v>0</v>
      </c>
      <c r="AP31" s="75" t="e">
        <f t="shared" si="24"/>
        <v>#DIV/0!</v>
      </c>
      <c r="AQ31" s="76">
        <f t="shared" si="25"/>
        <v>0</v>
      </c>
      <c r="AR31" s="90">
        <f t="shared" si="29"/>
        <v>0</v>
      </c>
    </row>
    <row r="32" spans="1:48" x14ac:dyDescent="0.25">
      <c r="A32" t="str">
        <f t="shared" si="11"/>
        <v>46188M</v>
      </c>
      <c r="B32" s="51">
        <f t="shared" si="27"/>
        <v>46188</v>
      </c>
      <c r="C32" s="52" t="s">
        <v>87</v>
      </c>
      <c r="D32" s="79"/>
      <c r="E32" s="62"/>
      <c r="F32" s="62"/>
      <c r="G32" s="170">
        <f t="shared" si="30"/>
        <v>0</v>
      </c>
      <c r="H32" s="171">
        <f t="shared" si="31"/>
        <v>0</v>
      </c>
      <c r="I32" s="119"/>
      <c r="J32" s="120"/>
      <c r="K32" s="121"/>
      <c r="L32" s="122"/>
      <c r="M32" s="58"/>
      <c r="N32" s="58"/>
      <c r="O32" s="59"/>
      <c r="P32" s="56"/>
      <c r="Q32" s="60"/>
      <c r="R32" s="61">
        <f t="shared" si="12"/>
        <v>0</v>
      </c>
      <c r="S32" s="62">
        <f t="shared" si="13"/>
        <v>0</v>
      </c>
      <c r="T32" s="63">
        <f t="shared" si="14"/>
        <v>0</v>
      </c>
      <c r="U32" s="64"/>
      <c r="V32" s="65"/>
      <c r="W32" s="66"/>
      <c r="X32" s="67"/>
      <c r="Y32" s="68"/>
      <c r="Z32" s="68"/>
      <c r="AA32" s="62">
        <f t="shared" si="15"/>
        <v>0</v>
      </c>
      <c r="AB32" s="63">
        <f t="shared" si="16"/>
        <v>0</v>
      </c>
      <c r="AC32" s="69"/>
      <c r="AD32" s="70"/>
      <c r="AE32" s="70"/>
      <c r="AF32" s="62">
        <f t="shared" si="17"/>
        <v>0</v>
      </c>
      <c r="AG32" s="63">
        <f t="shared" si="18"/>
        <v>0</v>
      </c>
      <c r="AH32" s="71"/>
      <c r="AI32" s="66"/>
      <c r="AJ32" s="66"/>
      <c r="AK32" s="62">
        <f t="shared" si="19"/>
        <v>0</v>
      </c>
      <c r="AL32" s="72">
        <f t="shared" si="20"/>
        <v>0</v>
      </c>
      <c r="AM32" s="73">
        <f t="shared" si="21"/>
        <v>0</v>
      </c>
      <c r="AN32" s="74">
        <f t="shared" si="22"/>
        <v>0</v>
      </c>
      <c r="AO32" s="74">
        <f t="shared" si="23"/>
        <v>0</v>
      </c>
      <c r="AP32" s="75" t="e">
        <f t="shared" si="24"/>
        <v>#DIV/0!</v>
      </c>
      <c r="AQ32" s="76">
        <f t="shared" si="25"/>
        <v>0</v>
      </c>
      <c r="AR32" s="90">
        <f t="shared" si="29"/>
        <v>0</v>
      </c>
    </row>
    <row r="33" spans="1:44" x14ac:dyDescent="0.25">
      <c r="A33" t="str">
        <f t="shared" si="11"/>
        <v>46188E</v>
      </c>
      <c r="B33" s="51">
        <f t="shared" si="27"/>
        <v>46188</v>
      </c>
      <c r="C33" s="52" t="s">
        <v>88</v>
      </c>
      <c r="D33" s="79"/>
      <c r="E33" s="62"/>
      <c r="F33" s="62"/>
      <c r="G33" s="170">
        <f t="shared" si="30"/>
        <v>0</v>
      </c>
      <c r="H33" s="171">
        <f t="shared" si="31"/>
        <v>0</v>
      </c>
      <c r="I33" s="119"/>
      <c r="J33" s="120"/>
      <c r="K33" s="121"/>
      <c r="L33" s="122"/>
      <c r="M33" s="58"/>
      <c r="N33" s="58"/>
      <c r="O33" s="59"/>
      <c r="P33" s="56"/>
      <c r="Q33" s="60"/>
      <c r="R33" s="61">
        <f t="shared" si="12"/>
        <v>0</v>
      </c>
      <c r="S33" s="62">
        <f t="shared" si="13"/>
        <v>0</v>
      </c>
      <c r="T33" s="63">
        <f t="shared" si="14"/>
        <v>0</v>
      </c>
      <c r="U33" s="64"/>
      <c r="V33" s="65"/>
      <c r="W33" s="66"/>
      <c r="X33" s="67"/>
      <c r="Y33" s="68"/>
      <c r="Z33" s="68"/>
      <c r="AA33" s="62">
        <f t="shared" si="15"/>
        <v>0</v>
      </c>
      <c r="AB33" s="63">
        <f t="shared" si="16"/>
        <v>0</v>
      </c>
      <c r="AC33" s="69"/>
      <c r="AD33" s="70"/>
      <c r="AE33" s="70"/>
      <c r="AF33" s="62">
        <f t="shared" si="17"/>
        <v>0</v>
      </c>
      <c r="AG33" s="63">
        <f t="shared" si="18"/>
        <v>0</v>
      </c>
      <c r="AH33" s="71"/>
      <c r="AI33" s="66"/>
      <c r="AJ33" s="66"/>
      <c r="AK33" s="62">
        <f t="shared" si="19"/>
        <v>0</v>
      </c>
      <c r="AL33" s="72">
        <f t="shared" si="20"/>
        <v>0</v>
      </c>
      <c r="AM33" s="73">
        <f t="shared" si="21"/>
        <v>0</v>
      </c>
      <c r="AN33" s="74">
        <f t="shared" si="22"/>
        <v>0</v>
      </c>
      <c r="AO33" s="74">
        <f t="shared" si="23"/>
        <v>0</v>
      </c>
      <c r="AP33" s="75" t="e">
        <f t="shared" si="24"/>
        <v>#DIV/0!</v>
      </c>
      <c r="AQ33" s="76">
        <f t="shared" si="25"/>
        <v>0</v>
      </c>
      <c r="AR33" s="90">
        <f t="shared" si="29"/>
        <v>0</v>
      </c>
    </row>
    <row r="34" spans="1:44" x14ac:dyDescent="0.25">
      <c r="A34" t="str">
        <f t="shared" si="11"/>
        <v>46189M</v>
      </c>
      <c r="B34" s="51">
        <f t="shared" si="27"/>
        <v>46189</v>
      </c>
      <c r="C34" s="52" t="s">
        <v>87</v>
      </c>
      <c r="D34" s="79"/>
      <c r="E34" s="62"/>
      <c r="F34" s="62"/>
      <c r="G34" s="170">
        <f t="shared" si="30"/>
        <v>0</v>
      </c>
      <c r="H34" s="171">
        <f t="shared" si="31"/>
        <v>0</v>
      </c>
      <c r="I34" s="119"/>
      <c r="J34" s="120"/>
      <c r="K34" s="121"/>
      <c r="L34" s="122"/>
      <c r="M34" s="58"/>
      <c r="N34" s="58"/>
      <c r="O34" s="59"/>
      <c r="P34" s="56"/>
      <c r="Q34" s="60"/>
      <c r="R34" s="61">
        <f t="shared" si="12"/>
        <v>0</v>
      </c>
      <c r="S34" s="62">
        <f t="shared" si="13"/>
        <v>0</v>
      </c>
      <c r="T34" s="63">
        <f t="shared" si="14"/>
        <v>0</v>
      </c>
      <c r="U34" s="64"/>
      <c r="V34" s="65"/>
      <c r="W34" s="66"/>
      <c r="X34" s="67"/>
      <c r="Y34" s="68"/>
      <c r="Z34" s="68"/>
      <c r="AA34" s="62">
        <f t="shared" si="15"/>
        <v>0</v>
      </c>
      <c r="AB34" s="63">
        <f t="shared" si="16"/>
        <v>0</v>
      </c>
      <c r="AC34" s="69"/>
      <c r="AD34" s="70"/>
      <c r="AE34" s="70"/>
      <c r="AF34" s="62">
        <f t="shared" si="17"/>
        <v>0</v>
      </c>
      <c r="AG34" s="63">
        <f t="shared" si="18"/>
        <v>0</v>
      </c>
      <c r="AH34" s="71"/>
      <c r="AI34" s="66"/>
      <c r="AJ34" s="66"/>
      <c r="AK34" s="62">
        <f t="shared" si="19"/>
        <v>0</v>
      </c>
      <c r="AL34" s="72">
        <f t="shared" si="20"/>
        <v>0</v>
      </c>
      <c r="AM34" s="73">
        <f t="shared" si="21"/>
        <v>0</v>
      </c>
      <c r="AN34" s="74">
        <f t="shared" si="22"/>
        <v>0</v>
      </c>
      <c r="AO34" s="74">
        <f t="shared" si="23"/>
        <v>0</v>
      </c>
      <c r="AP34" s="75" t="e">
        <f t="shared" si="24"/>
        <v>#DIV/0!</v>
      </c>
      <c r="AQ34" s="76">
        <f t="shared" si="25"/>
        <v>0</v>
      </c>
      <c r="AR34" s="90">
        <f t="shared" ref="AR34:AR43" si="32">(D34+J34+O34)-(X34+AH34)</f>
        <v>0</v>
      </c>
    </row>
    <row r="35" spans="1:44" x14ac:dyDescent="0.25">
      <c r="A35" t="str">
        <f t="shared" si="11"/>
        <v>46189E</v>
      </c>
      <c r="B35" s="51">
        <f t="shared" si="27"/>
        <v>46189</v>
      </c>
      <c r="C35" s="52" t="s">
        <v>88</v>
      </c>
      <c r="D35" s="79"/>
      <c r="E35" s="62"/>
      <c r="F35" s="62"/>
      <c r="G35" s="170">
        <f t="shared" si="30"/>
        <v>0</v>
      </c>
      <c r="H35" s="171">
        <f t="shared" si="31"/>
        <v>0</v>
      </c>
      <c r="I35" s="119"/>
      <c r="J35" s="120"/>
      <c r="K35" s="121"/>
      <c r="L35" s="122"/>
      <c r="M35" s="58"/>
      <c r="N35" s="58"/>
      <c r="O35" s="59"/>
      <c r="P35" s="56"/>
      <c r="Q35" s="60"/>
      <c r="R35" s="61">
        <f t="shared" si="12"/>
        <v>0</v>
      </c>
      <c r="S35" s="62">
        <f t="shared" si="13"/>
        <v>0</v>
      </c>
      <c r="T35" s="63">
        <f t="shared" si="14"/>
        <v>0</v>
      </c>
      <c r="U35" s="64"/>
      <c r="V35" s="65"/>
      <c r="W35" s="66"/>
      <c r="X35" s="67"/>
      <c r="Y35" s="68"/>
      <c r="Z35" s="68"/>
      <c r="AA35" s="62">
        <f t="shared" si="15"/>
        <v>0</v>
      </c>
      <c r="AB35" s="63">
        <f t="shared" si="16"/>
        <v>0</v>
      </c>
      <c r="AC35" s="69"/>
      <c r="AD35" s="70"/>
      <c r="AE35" s="70"/>
      <c r="AF35" s="62">
        <f t="shared" si="17"/>
        <v>0</v>
      </c>
      <c r="AG35" s="63">
        <f t="shared" si="18"/>
        <v>0</v>
      </c>
      <c r="AH35" s="71"/>
      <c r="AI35" s="66"/>
      <c r="AJ35" s="66"/>
      <c r="AK35" s="62">
        <f t="shared" si="19"/>
        <v>0</v>
      </c>
      <c r="AL35" s="72">
        <f t="shared" si="20"/>
        <v>0</v>
      </c>
      <c r="AM35" s="73">
        <f t="shared" si="21"/>
        <v>0</v>
      </c>
      <c r="AN35" s="74">
        <f t="shared" si="22"/>
        <v>0</v>
      </c>
      <c r="AO35" s="74">
        <f t="shared" si="23"/>
        <v>0</v>
      </c>
      <c r="AP35" s="75" t="e">
        <f t="shared" si="24"/>
        <v>#DIV/0!</v>
      </c>
      <c r="AQ35" s="76">
        <f t="shared" si="25"/>
        <v>0</v>
      </c>
      <c r="AR35" s="90">
        <f t="shared" si="32"/>
        <v>0</v>
      </c>
    </row>
    <row r="36" spans="1:44" x14ac:dyDescent="0.25">
      <c r="A36" t="str">
        <f t="shared" si="11"/>
        <v>46190M</v>
      </c>
      <c r="B36" s="51">
        <f t="shared" si="27"/>
        <v>46190</v>
      </c>
      <c r="C36" s="52" t="s">
        <v>87</v>
      </c>
      <c r="D36" s="79"/>
      <c r="E36" s="62"/>
      <c r="F36" s="62"/>
      <c r="G36" s="170">
        <f t="shared" si="30"/>
        <v>0</v>
      </c>
      <c r="H36" s="171">
        <f t="shared" si="31"/>
        <v>0</v>
      </c>
      <c r="I36" s="119"/>
      <c r="J36" s="120"/>
      <c r="K36" s="121"/>
      <c r="L36" s="122"/>
      <c r="M36" s="58"/>
      <c r="N36" s="58"/>
      <c r="O36" s="59"/>
      <c r="P36" s="56"/>
      <c r="Q36" s="60"/>
      <c r="R36" s="61">
        <f t="shared" si="12"/>
        <v>0</v>
      </c>
      <c r="S36" s="62">
        <f t="shared" si="13"/>
        <v>0</v>
      </c>
      <c r="T36" s="63">
        <f t="shared" si="14"/>
        <v>0</v>
      </c>
      <c r="U36" s="64"/>
      <c r="V36" s="85"/>
      <c r="W36" s="66"/>
      <c r="X36" s="67"/>
      <c r="Y36" s="68"/>
      <c r="Z36" s="68"/>
      <c r="AA36" s="62">
        <f t="shared" si="15"/>
        <v>0</v>
      </c>
      <c r="AB36" s="63">
        <f t="shared" si="16"/>
        <v>0</v>
      </c>
      <c r="AC36" s="69"/>
      <c r="AD36" s="70"/>
      <c r="AE36" s="70"/>
      <c r="AF36" s="62">
        <f t="shared" si="17"/>
        <v>0</v>
      </c>
      <c r="AG36" s="63">
        <f t="shared" si="18"/>
        <v>0</v>
      </c>
      <c r="AH36" s="71"/>
      <c r="AI36" s="66"/>
      <c r="AJ36" s="66"/>
      <c r="AK36" s="62">
        <f t="shared" si="19"/>
        <v>0</v>
      </c>
      <c r="AL36" s="72">
        <f t="shared" si="20"/>
        <v>0</v>
      </c>
      <c r="AM36" s="73">
        <f t="shared" si="21"/>
        <v>0</v>
      </c>
      <c r="AN36" s="74">
        <f t="shared" si="22"/>
        <v>0</v>
      </c>
      <c r="AO36" s="74">
        <f t="shared" si="23"/>
        <v>0</v>
      </c>
      <c r="AP36" s="75" t="e">
        <f t="shared" si="24"/>
        <v>#DIV/0!</v>
      </c>
      <c r="AQ36" s="76">
        <f t="shared" si="25"/>
        <v>0</v>
      </c>
      <c r="AR36" s="90">
        <f t="shared" si="32"/>
        <v>0</v>
      </c>
    </row>
    <row r="37" spans="1:44" x14ac:dyDescent="0.25">
      <c r="A37" t="str">
        <f t="shared" si="11"/>
        <v>46190E</v>
      </c>
      <c r="B37" s="51">
        <f t="shared" si="27"/>
        <v>46190</v>
      </c>
      <c r="C37" s="52" t="s">
        <v>88</v>
      </c>
      <c r="D37" s="79"/>
      <c r="E37" s="62"/>
      <c r="F37" s="62"/>
      <c r="G37" s="170">
        <f t="shared" si="30"/>
        <v>0</v>
      </c>
      <c r="H37" s="171">
        <f t="shared" si="31"/>
        <v>0</v>
      </c>
      <c r="I37" s="119"/>
      <c r="J37" s="120"/>
      <c r="K37" s="121"/>
      <c r="L37" s="122"/>
      <c r="M37" s="58"/>
      <c r="N37" s="58"/>
      <c r="O37" s="59"/>
      <c r="P37" s="56"/>
      <c r="Q37" s="60"/>
      <c r="R37" s="61">
        <f t="shared" si="12"/>
        <v>0</v>
      </c>
      <c r="S37" s="62">
        <f t="shared" si="13"/>
        <v>0</v>
      </c>
      <c r="T37" s="63">
        <f t="shared" si="14"/>
        <v>0</v>
      </c>
      <c r="U37" s="64"/>
      <c r="V37" s="65"/>
      <c r="W37" s="66"/>
      <c r="X37" s="67"/>
      <c r="Y37" s="68"/>
      <c r="Z37" s="68"/>
      <c r="AA37" s="62">
        <f t="shared" si="15"/>
        <v>0</v>
      </c>
      <c r="AB37" s="63">
        <f t="shared" si="16"/>
        <v>0</v>
      </c>
      <c r="AC37" s="69"/>
      <c r="AD37" s="70"/>
      <c r="AE37" s="70"/>
      <c r="AF37" s="62">
        <f t="shared" si="17"/>
        <v>0</v>
      </c>
      <c r="AG37" s="63">
        <f t="shared" si="18"/>
        <v>0</v>
      </c>
      <c r="AH37" s="71"/>
      <c r="AI37" s="66"/>
      <c r="AJ37" s="66"/>
      <c r="AK37" s="62">
        <f t="shared" si="19"/>
        <v>0</v>
      </c>
      <c r="AL37" s="72">
        <f t="shared" si="20"/>
        <v>0</v>
      </c>
      <c r="AM37" s="73">
        <f t="shared" si="21"/>
        <v>0</v>
      </c>
      <c r="AN37" s="74">
        <f t="shared" si="22"/>
        <v>0</v>
      </c>
      <c r="AO37" s="74">
        <f t="shared" si="23"/>
        <v>0</v>
      </c>
      <c r="AP37" s="75" t="e">
        <f t="shared" si="24"/>
        <v>#DIV/0!</v>
      </c>
      <c r="AQ37" s="76">
        <f t="shared" si="25"/>
        <v>0</v>
      </c>
      <c r="AR37" s="90">
        <f t="shared" si="32"/>
        <v>0</v>
      </c>
    </row>
    <row r="38" spans="1:44" x14ac:dyDescent="0.25">
      <c r="A38" t="str">
        <f t="shared" si="11"/>
        <v>46191M</v>
      </c>
      <c r="B38" s="51">
        <f t="shared" si="27"/>
        <v>46191</v>
      </c>
      <c r="C38" s="52" t="s">
        <v>87</v>
      </c>
      <c r="D38" s="79"/>
      <c r="E38" s="62"/>
      <c r="F38" s="62"/>
      <c r="G38" s="170">
        <f t="shared" si="30"/>
        <v>0</v>
      </c>
      <c r="H38" s="171">
        <f t="shared" si="31"/>
        <v>0</v>
      </c>
      <c r="I38" s="119"/>
      <c r="J38" s="120"/>
      <c r="K38" s="121"/>
      <c r="L38" s="122"/>
      <c r="M38" s="58"/>
      <c r="N38" s="58"/>
      <c r="O38" s="59"/>
      <c r="P38" s="56"/>
      <c r="Q38" s="60"/>
      <c r="R38" s="61">
        <f t="shared" si="12"/>
        <v>0</v>
      </c>
      <c r="S38" s="62">
        <f t="shared" si="13"/>
        <v>0</v>
      </c>
      <c r="T38" s="63">
        <f t="shared" si="14"/>
        <v>0</v>
      </c>
      <c r="U38" s="64"/>
      <c r="V38" s="65"/>
      <c r="W38" s="66"/>
      <c r="X38" s="67"/>
      <c r="Y38" s="68"/>
      <c r="Z38" s="68"/>
      <c r="AA38" s="62">
        <f t="shared" si="15"/>
        <v>0</v>
      </c>
      <c r="AB38" s="63">
        <f t="shared" si="16"/>
        <v>0</v>
      </c>
      <c r="AC38" s="69"/>
      <c r="AD38" s="70"/>
      <c r="AE38" s="70"/>
      <c r="AF38" s="62">
        <f t="shared" si="17"/>
        <v>0</v>
      </c>
      <c r="AG38" s="63">
        <f t="shared" si="18"/>
        <v>0</v>
      </c>
      <c r="AH38" s="71"/>
      <c r="AI38" s="66"/>
      <c r="AJ38" s="66"/>
      <c r="AK38" s="62">
        <f t="shared" si="19"/>
        <v>0</v>
      </c>
      <c r="AL38" s="72">
        <f t="shared" si="20"/>
        <v>0</v>
      </c>
      <c r="AM38" s="73">
        <f t="shared" si="21"/>
        <v>0</v>
      </c>
      <c r="AN38" s="74">
        <f t="shared" si="22"/>
        <v>0</v>
      </c>
      <c r="AO38" s="74">
        <f t="shared" si="23"/>
        <v>0</v>
      </c>
      <c r="AP38" s="75" t="e">
        <f t="shared" si="24"/>
        <v>#DIV/0!</v>
      </c>
      <c r="AQ38" s="76">
        <f t="shared" si="25"/>
        <v>0</v>
      </c>
      <c r="AR38" s="90">
        <f t="shared" si="32"/>
        <v>0</v>
      </c>
    </row>
    <row r="39" spans="1:44" x14ac:dyDescent="0.25">
      <c r="A39" t="str">
        <f t="shared" si="11"/>
        <v>46191E</v>
      </c>
      <c r="B39" s="51">
        <f t="shared" si="27"/>
        <v>46191</v>
      </c>
      <c r="C39" s="52" t="s">
        <v>88</v>
      </c>
      <c r="D39" s="79"/>
      <c r="E39" s="62"/>
      <c r="F39" s="62"/>
      <c r="G39" s="170">
        <f t="shared" si="30"/>
        <v>0</v>
      </c>
      <c r="H39" s="171">
        <f t="shared" si="31"/>
        <v>0</v>
      </c>
      <c r="I39" s="119"/>
      <c r="J39" s="120"/>
      <c r="K39" s="121"/>
      <c r="L39" s="122"/>
      <c r="M39" s="58"/>
      <c r="N39" s="58"/>
      <c r="O39" s="59"/>
      <c r="P39" s="56"/>
      <c r="Q39" s="60"/>
      <c r="R39" s="61">
        <f t="shared" si="12"/>
        <v>0</v>
      </c>
      <c r="S39" s="62">
        <f t="shared" si="13"/>
        <v>0</v>
      </c>
      <c r="T39" s="63">
        <f t="shared" si="14"/>
        <v>0</v>
      </c>
      <c r="U39" s="64"/>
      <c r="V39" s="65"/>
      <c r="W39" s="66"/>
      <c r="X39" s="67"/>
      <c r="Y39" s="68"/>
      <c r="Z39" s="68"/>
      <c r="AA39" s="62">
        <f t="shared" si="15"/>
        <v>0</v>
      </c>
      <c r="AB39" s="63">
        <f t="shared" si="16"/>
        <v>0</v>
      </c>
      <c r="AC39" s="69"/>
      <c r="AD39" s="70"/>
      <c r="AE39" s="70"/>
      <c r="AF39" s="62">
        <f t="shared" si="17"/>
        <v>0</v>
      </c>
      <c r="AG39" s="63">
        <f t="shared" si="18"/>
        <v>0</v>
      </c>
      <c r="AH39" s="71"/>
      <c r="AI39" s="66"/>
      <c r="AJ39" s="66"/>
      <c r="AK39" s="62">
        <f t="shared" si="19"/>
        <v>0</v>
      </c>
      <c r="AL39" s="72">
        <f t="shared" si="20"/>
        <v>0</v>
      </c>
      <c r="AM39" s="73">
        <f t="shared" si="21"/>
        <v>0</v>
      </c>
      <c r="AN39" s="74">
        <f t="shared" si="22"/>
        <v>0</v>
      </c>
      <c r="AO39" s="74">
        <f t="shared" si="23"/>
        <v>0</v>
      </c>
      <c r="AP39" s="75" t="e">
        <f t="shared" si="24"/>
        <v>#DIV/0!</v>
      </c>
      <c r="AQ39" s="76">
        <f t="shared" si="25"/>
        <v>0</v>
      </c>
      <c r="AR39" s="90">
        <f t="shared" si="32"/>
        <v>0</v>
      </c>
    </row>
    <row r="40" spans="1:44" x14ac:dyDescent="0.25">
      <c r="A40" t="str">
        <f t="shared" si="11"/>
        <v>46192M</v>
      </c>
      <c r="B40" s="51">
        <f t="shared" si="27"/>
        <v>46192</v>
      </c>
      <c r="C40" s="52" t="s">
        <v>87</v>
      </c>
      <c r="D40" s="79"/>
      <c r="E40" s="62"/>
      <c r="F40" s="62"/>
      <c r="G40" s="170">
        <f t="shared" si="30"/>
        <v>0</v>
      </c>
      <c r="H40" s="171">
        <f t="shared" si="31"/>
        <v>0</v>
      </c>
      <c r="I40" s="119"/>
      <c r="J40" s="120"/>
      <c r="K40" s="121"/>
      <c r="L40" s="122"/>
      <c r="M40" s="58"/>
      <c r="N40" s="58"/>
      <c r="O40" s="59"/>
      <c r="P40" s="56"/>
      <c r="Q40" s="60"/>
      <c r="R40" s="61">
        <f t="shared" si="12"/>
        <v>0</v>
      </c>
      <c r="S40" s="62">
        <f t="shared" si="13"/>
        <v>0</v>
      </c>
      <c r="T40" s="63">
        <f t="shared" si="14"/>
        <v>0</v>
      </c>
      <c r="U40" s="64"/>
      <c r="V40" s="65"/>
      <c r="W40" s="66"/>
      <c r="X40" s="67"/>
      <c r="Y40" s="68"/>
      <c r="Z40" s="68"/>
      <c r="AA40" s="62">
        <f t="shared" si="15"/>
        <v>0</v>
      </c>
      <c r="AB40" s="63">
        <f t="shared" si="16"/>
        <v>0</v>
      </c>
      <c r="AC40" s="69"/>
      <c r="AD40" s="70"/>
      <c r="AE40" s="70"/>
      <c r="AF40" s="62">
        <f t="shared" si="17"/>
        <v>0</v>
      </c>
      <c r="AG40" s="63">
        <f t="shared" si="18"/>
        <v>0</v>
      </c>
      <c r="AH40" s="71"/>
      <c r="AI40" s="66"/>
      <c r="AJ40" s="66"/>
      <c r="AK40" s="62">
        <f t="shared" si="19"/>
        <v>0</v>
      </c>
      <c r="AL40" s="72">
        <f t="shared" si="20"/>
        <v>0</v>
      </c>
      <c r="AM40" s="73">
        <f t="shared" si="21"/>
        <v>0</v>
      </c>
      <c r="AN40" s="74">
        <f t="shared" si="22"/>
        <v>0</v>
      </c>
      <c r="AO40" s="74">
        <f t="shared" si="23"/>
        <v>0</v>
      </c>
      <c r="AP40" s="75" t="e">
        <f t="shared" si="24"/>
        <v>#DIV/0!</v>
      </c>
      <c r="AQ40" s="76">
        <f t="shared" si="25"/>
        <v>0</v>
      </c>
      <c r="AR40" s="90">
        <f t="shared" si="32"/>
        <v>0</v>
      </c>
    </row>
    <row r="41" spans="1:44" x14ac:dyDescent="0.25">
      <c r="A41" t="str">
        <f t="shared" si="11"/>
        <v>46192E</v>
      </c>
      <c r="B41" s="51">
        <f t="shared" si="27"/>
        <v>46192</v>
      </c>
      <c r="C41" s="52" t="s">
        <v>88</v>
      </c>
      <c r="D41" s="79"/>
      <c r="E41" s="62"/>
      <c r="F41" s="62"/>
      <c r="G41" s="170">
        <f t="shared" si="30"/>
        <v>0</v>
      </c>
      <c r="H41" s="171">
        <f t="shared" si="31"/>
        <v>0</v>
      </c>
      <c r="I41" s="119"/>
      <c r="J41" s="120"/>
      <c r="K41" s="121"/>
      <c r="L41" s="122"/>
      <c r="M41" s="58"/>
      <c r="N41" s="58"/>
      <c r="O41" s="59"/>
      <c r="P41" s="56"/>
      <c r="Q41" s="60"/>
      <c r="R41" s="61">
        <f t="shared" si="12"/>
        <v>0</v>
      </c>
      <c r="S41" s="62">
        <f t="shared" si="13"/>
        <v>0</v>
      </c>
      <c r="T41" s="63">
        <f t="shared" si="14"/>
        <v>0</v>
      </c>
      <c r="U41" s="64"/>
      <c r="V41" s="65"/>
      <c r="W41" s="66"/>
      <c r="X41" s="67"/>
      <c r="Y41" s="68"/>
      <c r="Z41" s="68"/>
      <c r="AA41" s="62">
        <f t="shared" si="15"/>
        <v>0</v>
      </c>
      <c r="AB41" s="63">
        <f t="shared" si="16"/>
        <v>0</v>
      </c>
      <c r="AC41" s="69"/>
      <c r="AD41" s="70"/>
      <c r="AE41" s="70"/>
      <c r="AF41" s="62">
        <f t="shared" si="17"/>
        <v>0</v>
      </c>
      <c r="AG41" s="63">
        <f t="shared" si="18"/>
        <v>0</v>
      </c>
      <c r="AH41" s="71"/>
      <c r="AI41" s="66"/>
      <c r="AJ41" s="66"/>
      <c r="AK41" s="62">
        <f t="shared" si="19"/>
        <v>0</v>
      </c>
      <c r="AL41" s="72">
        <f t="shared" si="20"/>
        <v>0</v>
      </c>
      <c r="AM41" s="73">
        <f t="shared" si="21"/>
        <v>0</v>
      </c>
      <c r="AN41" s="74">
        <f t="shared" si="22"/>
        <v>0</v>
      </c>
      <c r="AO41" s="74">
        <f t="shared" si="23"/>
        <v>0</v>
      </c>
      <c r="AP41" s="75" t="e">
        <f t="shared" si="24"/>
        <v>#DIV/0!</v>
      </c>
      <c r="AQ41" s="76">
        <f t="shared" si="25"/>
        <v>0</v>
      </c>
      <c r="AR41" s="90">
        <f t="shared" si="32"/>
        <v>0</v>
      </c>
    </row>
    <row r="42" spans="1:44" x14ac:dyDescent="0.25">
      <c r="A42" t="str">
        <f t="shared" si="11"/>
        <v>46193M</v>
      </c>
      <c r="B42" s="51">
        <f t="shared" si="27"/>
        <v>46193</v>
      </c>
      <c r="C42" s="52" t="s">
        <v>87</v>
      </c>
      <c r="D42" s="79"/>
      <c r="E42" s="62"/>
      <c r="F42" s="62"/>
      <c r="G42" s="170">
        <f t="shared" si="30"/>
        <v>0</v>
      </c>
      <c r="H42" s="171">
        <f t="shared" si="31"/>
        <v>0</v>
      </c>
      <c r="I42" s="119"/>
      <c r="J42" s="120"/>
      <c r="K42" s="121"/>
      <c r="L42" s="122"/>
      <c r="M42" s="58"/>
      <c r="N42" s="58"/>
      <c r="O42" s="59"/>
      <c r="P42" s="56"/>
      <c r="Q42" s="60"/>
      <c r="R42" s="61">
        <f t="shared" si="12"/>
        <v>0</v>
      </c>
      <c r="S42" s="62">
        <f t="shared" si="13"/>
        <v>0</v>
      </c>
      <c r="T42" s="63">
        <f t="shared" si="14"/>
        <v>0</v>
      </c>
      <c r="U42" s="64"/>
      <c r="V42" s="65"/>
      <c r="W42" s="66"/>
      <c r="X42" s="67"/>
      <c r="Y42" s="68"/>
      <c r="Z42" s="68"/>
      <c r="AA42" s="62">
        <f t="shared" si="15"/>
        <v>0</v>
      </c>
      <c r="AB42" s="63">
        <f t="shared" si="16"/>
        <v>0</v>
      </c>
      <c r="AC42" s="69"/>
      <c r="AD42" s="70"/>
      <c r="AE42" s="70"/>
      <c r="AF42" s="62">
        <f t="shared" si="17"/>
        <v>0</v>
      </c>
      <c r="AG42" s="63">
        <f t="shared" si="18"/>
        <v>0</v>
      </c>
      <c r="AH42" s="71"/>
      <c r="AI42" s="66"/>
      <c r="AJ42" s="66"/>
      <c r="AK42" s="62">
        <f t="shared" si="19"/>
        <v>0</v>
      </c>
      <c r="AL42" s="72">
        <f t="shared" si="20"/>
        <v>0</v>
      </c>
      <c r="AM42" s="73">
        <f t="shared" si="21"/>
        <v>0</v>
      </c>
      <c r="AN42" s="74">
        <f t="shared" si="22"/>
        <v>0</v>
      </c>
      <c r="AO42" s="74">
        <f t="shared" si="23"/>
        <v>0</v>
      </c>
      <c r="AP42" s="75" t="e">
        <f t="shared" si="24"/>
        <v>#DIV/0!</v>
      </c>
      <c r="AQ42" s="76">
        <f t="shared" si="25"/>
        <v>0</v>
      </c>
      <c r="AR42" s="90">
        <f t="shared" si="32"/>
        <v>0</v>
      </c>
    </row>
    <row r="43" spans="1:44" x14ac:dyDescent="0.25">
      <c r="A43" t="str">
        <f t="shared" si="11"/>
        <v>46193E</v>
      </c>
      <c r="B43" s="51">
        <f t="shared" si="27"/>
        <v>46193</v>
      </c>
      <c r="C43" s="52" t="s">
        <v>88</v>
      </c>
      <c r="D43" s="79"/>
      <c r="E43" s="62"/>
      <c r="F43" s="62"/>
      <c r="G43" s="170">
        <f t="shared" si="30"/>
        <v>0</v>
      </c>
      <c r="H43" s="171">
        <f t="shared" si="31"/>
        <v>0</v>
      </c>
      <c r="I43" s="119"/>
      <c r="J43" s="120"/>
      <c r="K43" s="121"/>
      <c r="L43" s="122"/>
      <c r="M43" s="58"/>
      <c r="N43" s="58"/>
      <c r="O43" s="59"/>
      <c r="P43" s="56"/>
      <c r="Q43" s="60"/>
      <c r="R43" s="61">
        <f t="shared" si="12"/>
        <v>0</v>
      </c>
      <c r="S43" s="62">
        <f t="shared" si="13"/>
        <v>0</v>
      </c>
      <c r="T43" s="63">
        <f t="shared" si="14"/>
        <v>0</v>
      </c>
      <c r="U43" s="64"/>
      <c r="V43" s="65"/>
      <c r="W43" s="66"/>
      <c r="X43" s="67"/>
      <c r="Y43" s="68"/>
      <c r="Z43" s="68"/>
      <c r="AA43" s="62">
        <f t="shared" si="15"/>
        <v>0</v>
      </c>
      <c r="AB43" s="63">
        <f t="shared" si="16"/>
        <v>0</v>
      </c>
      <c r="AC43" s="69"/>
      <c r="AD43" s="70"/>
      <c r="AE43" s="70"/>
      <c r="AF43" s="62">
        <f t="shared" si="17"/>
        <v>0</v>
      </c>
      <c r="AG43" s="63">
        <f t="shared" si="18"/>
        <v>0</v>
      </c>
      <c r="AH43" s="71"/>
      <c r="AI43" s="66"/>
      <c r="AJ43" s="66"/>
      <c r="AK43" s="62">
        <f t="shared" si="19"/>
        <v>0</v>
      </c>
      <c r="AL43" s="72">
        <f t="shared" si="20"/>
        <v>0</v>
      </c>
      <c r="AM43" s="73">
        <f t="shared" si="21"/>
        <v>0</v>
      </c>
      <c r="AN43" s="74">
        <f t="shared" si="22"/>
        <v>0</v>
      </c>
      <c r="AO43" s="74">
        <f t="shared" si="23"/>
        <v>0</v>
      </c>
      <c r="AP43" s="75" t="e">
        <f t="shared" si="24"/>
        <v>#DIV/0!</v>
      </c>
      <c r="AQ43" s="76">
        <f t="shared" si="25"/>
        <v>0</v>
      </c>
      <c r="AR43" s="90">
        <f t="shared" si="32"/>
        <v>0</v>
      </c>
    </row>
    <row r="44" spans="1:44" x14ac:dyDescent="0.25">
      <c r="A44" t="str">
        <f t="shared" si="11"/>
        <v>46194M</v>
      </c>
      <c r="B44" s="51">
        <f t="shared" si="27"/>
        <v>46194</v>
      </c>
      <c r="C44" s="52" t="s">
        <v>87</v>
      </c>
      <c r="D44" s="79"/>
      <c r="E44" s="62"/>
      <c r="F44" s="62"/>
      <c r="G44" s="170">
        <f t="shared" si="30"/>
        <v>0</v>
      </c>
      <c r="H44" s="171">
        <f t="shared" si="31"/>
        <v>0</v>
      </c>
      <c r="I44" s="119"/>
      <c r="J44" s="120"/>
      <c r="K44" s="121"/>
      <c r="L44" s="122"/>
      <c r="M44" s="58"/>
      <c r="N44" s="58"/>
      <c r="O44" s="59"/>
      <c r="P44" s="56"/>
      <c r="Q44" s="60"/>
      <c r="R44" s="61">
        <f t="shared" si="12"/>
        <v>0</v>
      </c>
      <c r="S44" s="62">
        <f t="shared" si="13"/>
        <v>0</v>
      </c>
      <c r="T44" s="63">
        <f t="shared" si="14"/>
        <v>0</v>
      </c>
      <c r="U44" s="64"/>
      <c r="V44" s="65"/>
      <c r="W44" s="66"/>
      <c r="X44" s="67"/>
      <c r="Y44" s="68"/>
      <c r="Z44" s="68"/>
      <c r="AA44" s="62">
        <f t="shared" si="15"/>
        <v>0</v>
      </c>
      <c r="AB44" s="63">
        <f t="shared" si="16"/>
        <v>0</v>
      </c>
      <c r="AC44" s="69"/>
      <c r="AD44" s="70"/>
      <c r="AE44" s="70"/>
      <c r="AF44" s="62">
        <f t="shared" si="17"/>
        <v>0</v>
      </c>
      <c r="AG44" s="63">
        <f t="shared" si="18"/>
        <v>0</v>
      </c>
      <c r="AH44" s="71"/>
      <c r="AI44" s="66"/>
      <c r="AJ44" s="66"/>
      <c r="AK44" s="62">
        <f t="shared" si="19"/>
        <v>0</v>
      </c>
      <c r="AL44" s="72">
        <f t="shared" si="20"/>
        <v>0</v>
      </c>
      <c r="AM44" s="73">
        <f t="shared" si="21"/>
        <v>0</v>
      </c>
      <c r="AN44" s="74">
        <f t="shared" si="22"/>
        <v>0</v>
      </c>
      <c r="AO44" s="74">
        <f t="shared" si="23"/>
        <v>0</v>
      </c>
      <c r="AP44" s="75" t="e">
        <f t="shared" si="24"/>
        <v>#DIV/0!</v>
      </c>
      <c r="AQ44" s="76">
        <f t="shared" si="25"/>
        <v>0</v>
      </c>
      <c r="AR44" s="90">
        <f>(D44+J44+O44)-(X44+AH44)</f>
        <v>0</v>
      </c>
    </row>
    <row r="45" spans="1:44" x14ac:dyDescent="0.25">
      <c r="A45" t="str">
        <f t="shared" si="11"/>
        <v>46194E</v>
      </c>
      <c r="B45" s="51">
        <f t="shared" si="27"/>
        <v>46194</v>
      </c>
      <c r="C45" s="52" t="s">
        <v>88</v>
      </c>
      <c r="D45" s="79"/>
      <c r="E45" s="62"/>
      <c r="F45" s="62"/>
      <c r="G45" s="170">
        <f t="shared" si="30"/>
        <v>0</v>
      </c>
      <c r="H45" s="171">
        <f t="shared" si="31"/>
        <v>0</v>
      </c>
      <c r="I45" s="119"/>
      <c r="J45" s="120"/>
      <c r="K45" s="121"/>
      <c r="L45" s="122"/>
      <c r="M45" s="58"/>
      <c r="N45" s="58"/>
      <c r="O45" s="59"/>
      <c r="P45" s="56"/>
      <c r="Q45" s="60"/>
      <c r="R45" s="61">
        <f t="shared" si="12"/>
        <v>0</v>
      </c>
      <c r="S45" s="62">
        <f t="shared" si="13"/>
        <v>0</v>
      </c>
      <c r="T45" s="63">
        <f t="shared" si="14"/>
        <v>0</v>
      </c>
      <c r="U45" s="64"/>
      <c r="V45" s="65"/>
      <c r="W45" s="66"/>
      <c r="X45" s="67"/>
      <c r="Y45" s="68"/>
      <c r="Z45" s="68"/>
      <c r="AA45" s="62">
        <f t="shared" si="15"/>
        <v>0</v>
      </c>
      <c r="AB45" s="63">
        <f t="shared" si="16"/>
        <v>0</v>
      </c>
      <c r="AC45" s="69"/>
      <c r="AD45" s="70"/>
      <c r="AE45" s="70"/>
      <c r="AF45" s="62">
        <f t="shared" si="17"/>
        <v>0</v>
      </c>
      <c r="AG45" s="63">
        <f t="shared" si="18"/>
        <v>0</v>
      </c>
      <c r="AH45" s="71"/>
      <c r="AI45" s="66"/>
      <c r="AJ45" s="66"/>
      <c r="AK45" s="62">
        <f t="shared" si="19"/>
        <v>0</v>
      </c>
      <c r="AL45" s="72">
        <f t="shared" si="20"/>
        <v>0</v>
      </c>
      <c r="AM45" s="73">
        <f t="shared" si="21"/>
        <v>0</v>
      </c>
      <c r="AN45" s="74">
        <f t="shared" si="22"/>
        <v>0</v>
      </c>
      <c r="AO45" s="74">
        <f t="shared" si="23"/>
        <v>0</v>
      </c>
      <c r="AP45" s="75" t="e">
        <f t="shared" si="24"/>
        <v>#DIV/0!</v>
      </c>
      <c r="AQ45" s="76">
        <f t="shared" si="25"/>
        <v>0</v>
      </c>
      <c r="AR45" s="90">
        <f>(D45+J45+O45)-(X45+AH45)</f>
        <v>0</v>
      </c>
    </row>
    <row r="46" spans="1:44" x14ac:dyDescent="0.25">
      <c r="A46" t="str">
        <f t="shared" si="11"/>
        <v>46195M</v>
      </c>
      <c r="B46" s="51">
        <f t="shared" si="27"/>
        <v>46195</v>
      </c>
      <c r="C46" s="52" t="s">
        <v>87</v>
      </c>
      <c r="D46" s="79"/>
      <c r="E46" s="62"/>
      <c r="F46" s="62"/>
      <c r="G46" s="170">
        <f t="shared" si="30"/>
        <v>0</v>
      </c>
      <c r="H46" s="171">
        <f t="shared" si="31"/>
        <v>0</v>
      </c>
      <c r="I46" s="119"/>
      <c r="J46" s="120"/>
      <c r="K46" s="121"/>
      <c r="L46" s="122"/>
      <c r="M46" s="58"/>
      <c r="N46" s="58"/>
      <c r="O46" s="59"/>
      <c r="P46" s="56"/>
      <c r="Q46" s="60"/>
      <c r="R46" s="61">
        <f t="shared" si="12"/>
        <v>0</v>
      </c>
      <c r="S46" s="62">
        <f t="shared" si="13"/>
        <v>0</v>
      </c>
      <c r="T46" s="63">
        <f t="shared" si="14"/>
        <v>0</v>
      </c>
      <c r="U46" s="64"/>
      <c r="V46" s="65"/>
      <c r="W46" s="66"/>
      <c r="X46" s="67"/>
      <c r="Y46" s="68"/>
      <c r="Z46" s="68"/>
      <c r="AA46" s="62">
        <f t="shared" si="15"/>
        <v>0</v>
      </c>
      <c r="AB46" s="63">
        <f t="shared" si="16"/>
        <v>0</v>
      </c>
      <c r="AC46" s="69"/>
      <c r="AD46" s="70"/>
      <c r="AE46" s="70"/>
      <c r="AF46" s="62">
        <f t="shared" si="17"/>
        <v>0</v>
      </c>
      <c r="AG46" s="63">
        <f t="shared" si="18"/>
        <v>0</v>
      </c>
      <c r="AH46" s="71"/>
      <c r="AI46" s="66"/>
      <c r="AJ46" s="66"/>
      <c r="AK46" s="62">
        <f t="shared" si="19"/>
        <v>0</v>
      </c>
      <c r="AL46" s="72">
        <f t="shared" si="20"/>
        <v>0</v>
      </c>
      <c r="AM46" s="73">
        <f t="shared" si="21"/>
        <v>0</v>
      </c>
      <c r="AN46" s="74">
        <f t="shared" si="22"/>
        <v>0</v>
      </c>
      <c r="AO46" s="74">
        <f t="shared" si="23"/>
        <v>0</v>
      </c>
      <c r="AP46" s="75" t="e">
        <f t="shared" si="24"/>
        <v>#DIV/0!</v>
      </c>
      <c r="AQ46" s="76">
        <f t="shared" si="25"/>
        <v>0</v>
      </c>
      <c r="AR46" s="90">
        <f>(D46+J46+O46)-(X46+AH46)</f>
        <v>0</v>
      </c>
    </row>
    <row r="47" spans="1:44" x14ac:dyDescent="0.25">
      <c r="A47" t="str">
        <f t="shared" si="11"/>
        <v>46195E</v>
      </c>
      <c r="B47" s="51">
        <f t="shared" si="27"/>
        <v>46195</v>
      </c>
      <c r="C47" s="52" t="s">
        <v>88</v>
      </c>
      <c r="D47" s="79"/>
      <c r="E47" s="62"/>
      <c r="F47" s="62"/>
      <c r="G47" s="170">
        <f t="shared" si="30"/>
        <v>0</v>
      </c>
      <c r="H47" s="171">
        <f t="shared" si="31"/>
        <v>0</v>
      </c>
      <c r="I47" s="119"/>
      <c r="J47" s="120"/>
      <c r="K47" s="121"/>
      <c r="L47" s="122"/>
      <c r="M47" s="58"/>
      <c r="N47" s="58"/>
      <c r="O47" s="59"/>
      <c r="P47" s="56"/>
      <c r="Q47" s="60"/>
      <c r="R47" s="61">
        <f t="shared" si="12"/>
        <v>0</v>
      </c>
      <c r="S47" s="62">
        <f t="shared" si="13"/>
        <v>0</v>
      </c>
      <c r="T47" s="63">
        <f t="shared" si="14"/>
        <v>0</v>
      </c>
      <c r="U47" s="64"/>
      <c r="V47" s="65"/>
      <c r="W47" s="66"/>
      <c r="X47" s="67"/>
      <c r="Y47" s="68"/>
      <c r="Z47" s="68"/>
      <c r="AA47" s="62">
        <f t="shared" si="15"/>
        <v>0</v>
      </c>
      <c r="AB47" s="63">
        <f t="shared" si="16"/>
        <v>0</v>
      </c>
      <c r="AC47" s="69"/>
      <c r="AD47" s="70"/>
      <c r="AE47" s="70"/>
      <c r="AF47" s="62">
        <f t="shared" si="17"/>
        <v>0</v>
      </c>
      <c r="AG47" s="63">
        <f t="shared" si="18"/>
        <v>0</v>
      </c>
      <c r="AH47" s="71"/>
      <c r="AI47" s="66"/>
      <c r="AJ47" s="66"/>
      <c r="AK47" s="62">
        <f t="shared" si="19"/>
        <v>0</v>
      </c>
      <c r="AL47" s="72">
        <f t="shared" si="20"/>
        <v>0</v>
      </c>
      <c r="AM47" s="73">
        <f t="shared" si="21"/>
        <v>0</v>
      </c>
      <c r="AN47" s="74">
        <f t="shared" si="22"/>
        <v>0</v>
      </c>
      <c r="AO47" s="74">
        <f t="shared" si="23"/>
        <v>0</v>
      </c>
      <c r="AP47" s="75" t="e">
        <f t="shared" si="24"/>
        <v>#DIV/0!</v>
      </c>
      <c r="AQ47" s="76">
        <f t="shared" si="25"/>
        <v>0</v>
      </c>
      <c r="AR47" s="90">
        <f>(D47+J47+O47)-(X47+AH47)</f>
        <v>0</v>
      </c>
    </row>
    <row r="48" spans="1:44" x14ac:dyDescent="0.25">
      <c r="A48" t="str">
        <f t="shared" si="11"/>
        <v>46196M</v>
      </c>
      <c r="B48" s="51">
        <f t="shared" si="27"/>
        <v>46196</v>
      </c>
      <c r="C48" s="52" t="s">
        <v>87</v>
      </c>
      <c r="D48" s="79"/>
      <c r="E48" s="62"/>
      <c r="F48" s="62"/>
      <c r="G48" s="170">
        <f t="shared" si="30"/>
        <v>0</v>
      </c>
      <c r="H48" s="171">
        <f t="shared" si="31"/>
        <v>0</v>
      </c>
      <c r="I48" s="119"/>
      <c r="J48" s="120"/>
      <c r="K48" s="121"/>
      <c r="L48" s="122"/>
      <c r="M48" s="58"/>
      <c r="N48" s="58"/>
      <c r="O48" s="59"/>
      <c r="P48" s="56"/>
      <c r="Q48" s="60"/>
      <c r="R48" s="61">
        <f t="shared" si="12"/>
        <v>0</v>
      </c>
      <c r="S48" s="62">
        <f t="shared" si="13"/>
        <v>0</v>
      </c>
      <c r="T48" s="63">
        <f t="shared" si="14"/>
        <v>0</v>
      </c>
      <c r="U48" s="64"/>
      <c r="V48" s="65"/>
      <c r="W48" s="66"/>
      <c r="X48" s="67"/>
      <c r="Y48" s="68"/>
      <c r="Z48" s="68"/>
      <c r="AA48" s="62">
        <f t="shared" si="15"/>
        <v>0</v>
      </c>
      <c r="AB48" s="63">
        <f t="shared" si="16"/>
        <v>0</v>
      </c>
      <c r="AC48" s="69"/>
      <c r="AD48" s="70"/>
      <c r="AE48" s="70"/>
      <c r="AF48" s="62">
        <f t="shared" si="17"/>
        <v>0</v>
      </c>
      <c r="AG48" s="63">
        <f t="shared" si="18"/>
        <v>0</v>
      </c>
      <c r="AH48" s="71"/>
      <c r="AI48" s="66"/>
      <c r="AJ48" s="66"/>
      <c r="AK48" s="62">
        <f t="shared" si="19"/>
        <v>0</v>
      </c>
      <c r="AL48" s="72">
        <f t="shared" si="20"/>
        <v>0</v>
      </c>
      <c r="AM48" s="73">
        <f t="shared" si="21"/>
        <v>0</v>
      </c>
      <c r="AN48" s="74">
        <f t="shared" si="22"/>
        <v>0</v>
      </c>
      <c r="AO48" s="74">
        <f t="shared" si="23"/>
        <v>0</v>
      </c>
      <c r="AP48" s="75" t="e">
        <f t="shared" si="24"/>
        <v>#DIV/0!</v>
      </c>
      <c r="AQ48" s="76">
        <f t="shared" si="25"/>
        <v>0</v>
      </c>
      <c r="AR48" s="83">
        <f t="shared" si="26"/>
        <v>0</v>
      </c>
    </row>
    <row r="49" spans="1:44" x14ac:dyDescent="0.25">
      <c r="A49" t="str">
        <f t="shared" si="11"/>
        <v>46196E</v>
      </c>
      <c r="B49" s="51">
        <f t="shared" si="27"/>
        <v>46196</v>
      </c>
      <c r="C49" s="52" t="s">
        <v>88</v>
      </c>
      <c r="D49" s="79"/>
      <c r="E49" s="62"/>
      <c r="F49" s="62"/>
      <c r="G49" s="170">
        <f t="shared" si="30"/>
        <v>0</v>
      </c>
      <c r="H49" s="171">
        <f t="shared" si="31"/>
        <v>0</v>
      </c>
      <c r="I49" s="119"/>
      <c r="J49" s="120"/>
      <c r="K49" s="121"/>
      <c r="L49" s="122"/>
      <c r="M49" s="58"/>
      <c r="N49" s="58"/>
      <c r="O49" s="59"/>
      <c r="P49" s="56"/>
      <c r="Q49" s="60"/>
      <c r="R49" s="61">
        <f t="shared" si="12"/>
        <v>0</v>
      </c>
      <c r="S49" s="62">
        <f t="shared" si="13"/>
        <v>0</v>
      </c>
      <c r="T49" s="63">
        <f t="shared" si="14"/>
        <v>0</v>
      </c>
      <c r="U49" s="64"/>
      <c r="V49" s="65"/>
      <c r="W49" s="66"/>
      <c r="X49" s="67"/>
      <c r="Y49" s="68"/>
      <c r="Z49" s="68"/>
      <c r="AA49" s="62">
        <f t="shared" si="15"/>
        <v>0</v>
      </c>
      <c r="AB49" s="63">
        <f t="shared" si="16"/>
        <v>0</v>
      </c>
      <c r="AC49" s="69"/>
      <c r="AD49" s="70"/>
      <c r="AE49" s="70"/>
      <c r="AF49" s="62">
        <f t="shared" si="17"/>
        <v>0</v>
      </c>
      <c r="AG49" s="63">
        <f t="shared" si="18"/>
        <v>0</v>
      </c>
      <c r="AH49" s="71"/>
      <c r="AI49" s="66"/>
      <c r="AJ49" s="66"/>
      <c r="AK49" s="62">
        <f t="shared" si="19"/>
        <v>0</v>
      </c>
      <c r="AL49" s="72">
        <f t="shared" si="20"/>
        <v>0</v>
      </c>
      <c r="AM49" s="73">
        <f t="shared" si="21"/>
        <v>0</v>
      </c>
      <c r="AN49" s="74">
        <f t="shared" si="22"/>
        <v>0</v>
      </c>
      <c r="AO49" s="74">
        <f t="shared" si="23"/>
        <v>0</v>
      </c>
      <c r="AP49" s="75" t="e">
        <f t="shared" si="24"/>
        <v>#DIV/0!</v>
      </c>
      <c r="AQ49" s="76">
        <f t="shared" si="25"/>
        <v>0</v>
      </c>
      <c r="AR49" s="83">
        <f t="shared" si="26"/>
        <v>0</v>
      </c>
    </row>
    <row r="50" spans="1:44" x14ac:dyDescent="0.25">
      <c r="A50" t="str">
        <f t="shared" si="11"/>
        <v>46197M</v>
      </c>
      <c r="B50" s="51">
        <f t="shared" si="27"/>
        <v>46197</v>
      </c>
      <c r="C50" s="52" t="s">
        <v>87</v>
      </c>
      <c r="D50" s="79"/>
      <c r="E50" s="62"/>
      <c r="F50" s="62"/>
      <c r="G50" s="170">
        <f t="shared" si="30"/>
        <v>0</v>
      </c>
      <c r="H50" s="171">
        <f t="shared" si="31"/>
        <v>0</v>
      </c>
      <c r="I50" s="119"/>
      <c r="J50" s="120"/>
      <c r="K50" s="121"/>
      <c r="L50" s="122"/>
      <c r="M50" s="58"/>
      <c r="N50" s="58"/>
      <c r="O50" s="59"/>
      <c r="P50" s="56"/>
      <c r="Q50" s="60"/>
      <c r="R50" s="61">
        <f t="shared" ref="R50:R65" si="33">+J50+O50</f>
        <v>0</v>
      </c>
      <c r="S50" s="62">
        <f t="shared" ref="S50:S65" si="34">+J50*K50%+O50*P50%</f>
        <v>0</v>
      </c>
      <c r="T50" s="63">
        <f t="shared" ref="T50:T65" si="35">+J50*L50%+O50*Q50%</f>
        <v>0</v>
      </c>
      <c r="U50" s="64"/>
      <c r="V50" s="65"/>
      <c r="W50" s="66"/>
      <c r="X50" s="67"/>
      <c r="Y50" s="68"/>
      <c r="Z50" s="68"/>
      <c r="AA50" s="62">
        <f t="shared" ref="AA50" si="36">X50*Y50%</f>
        <v>0</v>
      </c>
      <c r="AB50" s="63">
        <f t="shared" ref="AB50" si="37">X50*Z50%</f>
        <v>0</v>
      </c>
      <c r="AC50" s="69"/>
      <c r="AD50" s="70"/>
      <c r="AE50" s="70"/>
      <c r="AF50" s="62">
        <f t="shared" ref="AF50" si="38">AC50*AD50%</f>
        <v>0</v>
      </c>
      <c r="AG50" s="63">
        <f t="shared" ref="AG50" si="39">AC50*AE50%</f>
        <v>0</v>
      </c>
      <c r="AH50" s="71"/>
      <c r="AI50" s="66"/>
      <c r="AJ50" s="66"/>
      <c r="AK50" s="62">
        <f t="shared" ref="AK50:AK63" si="40">AH50*AI50%</f>
        <v>0</v>
      </c>
      <c r="AL50" s="72">
        <f t="shared" ref="AL50:AL63" si="41">AH50*AJ50%</f>
        <v>0</v>
      </c>
      <c r="AM50" s="73">
        <f t="shared" si="21"/>
        <v>0</v>
      </c>
      <c r="AN50" s="74">
        <f t="shared" si="22"/>
        <v>0</v>
      </c>
      <c r="AO50" s="74">
        <f t="shared" si="23"/>
        <v>0</v>
      </c>
      <c r="AP50" s="75" t="e">
        <f t="shared" si="24"/>
        <v>#DIV/0!</v>
      </c>
      <c r="AQ50" s="76">
        <f t="shared" si="25"/>
        <v>0</v>
      </c>
      <c r="AR50" s="83">
        <f t="shared" si="26"/>
        <v>0</v>
      </c>
    </row>
    <row r="51" spans="1:44" x14ac:dyDescent="0.25">
      <c r="A51" t="str">
        <f t="shared" si="11"/>
        <v>46197E</v>
      </c>
      <c r="B51" s="51">
        <f t="shared" si="27"/>
        <v>46197</v>
      </c>
      <c r="C51" s="52" t="s">
        <v>88</v>
      </c>
      <c r="D51" s="79"/>
      <c r="E51" s="62"/>
      <c r="F51" s="62"/>
      <c r="G51" s="170">
        <f t="shared" si="30"/>
        <v>0</v>
      </c>
      <c r="H51" s="171">
        <f t="shared" si="31"/>
        <v>0</v>
      </c>
      <c r="I51" s="119"/>
      <c r="J51" s="120"/>
      <c r="K51" s="121"/>
      <c r="L51" s="122"/>
      <c r="M51" s="58"/>
      <c r="N51" s="58"/>
      <c r="O51" s="59"/>
      <c r="P51" s="56"/>
      <c r="Q51" s="60"/>
      <c r="R51" s="61">
        <f t="shared" si="33"/>
        <v>0</v>
      </c>
      <c r="S51" s="62">
        <f t="shared" si="34"/>
        <v>0</v>
      </c>
      <c r="T51" s="63">
        <f t="shared" si="35"/>
        <v>0</v>
      </c>
      <c r="U51" s="64"/>
      <c r="V51" s="85"/>
      <c r="W51" s="66"/>
      <c r="X51" s="67"/>
      <c r="Y51" s="68"/>
      <c r="Z51" s="68"/>
      <c r="AA51" s="62">
        <f t="shared" ref="AA51:AA53" si="42">X51*Y51%</f>
        <v>0</v>
      </c>
      <c r="AB51" s="63">
        <f t="shared" ref="AB51:AB53" si="43">X51*Z51%</f>
        <v>0</v>
      </c>
      <c r="AC51" s="69"/>
      <c r="AD51" s="70"/>
      <c r="AE51" s="70"/>
      <c r="AF51" s="62">
        <f t="shared" ref="AF51:AF53" si="44">AC51*AD51%</f>
        <v>0</v>
      </c>
      <c r="AG51" s="63">
        <f t="shared" ref="AG51:AG53" si="45">AC51*AE51%</f>
        <v>0</v>
      </c>
      <c r="AH51" s="71"/>
      <c r="AI51" s="66"/>
      <c r="AJ51" s="66"/>
      <c r="AK51" s="62">
        <f t="shared" si="40"/>
        <v>0</v>
      </c>
      <c r="AL51" s="72">
        <f t="shared" si="41"/>
        <v>0</v>
      </c>
      <c r="AM51" s="73">
        <f t="shared" si="21"/>
        <v>0</v>
      </c>
      <c r="AN51" s="74">
        <f t="shared" si="22"/>
        <v>0</v>
      </c>
      <c r="AO51" s="74">
        <f t="shared" si="23"/>
        <v>0</v>
      </c>
      <c r="AP51" s="75" t="e">
        <f t="shared" si="24"/>
        <v>#DIV/0!</v>
      </c>
      <c r="AQ51" s="76">
        <f t="shared" si="25"/>
        <v>0</v>
      </c>
      <c r="AR51" s="83">
        <f t="shared" si="26"/>
        <v>0</v>
      </c>
    </row>
    <row r="52" spans="1:44" x14ac:dyDescent="0.25">
      <c r="A52" t="str">
        <f t="shared" si="11"/>
        <v>46198M</v>
      </c>
      <c r="B52" s="51">
        <f t="shared" si="27"/>
        <v>46198</v>
      </c>
      <c r="C52" s="52" t="s">
        <v>87</v>
      </c>
      <c r="D52" s="79"/>
      <c r="E52" s="62"/>
      <c r="F52" s="62"/>
      <c r="G52" s="170">
        <f t="shared" si="30"/>
        <v>0</v>
      </c>
      <c r="H52" s="171">
        <f t="shared" si="31"/>
        <v>0</v>
      </c>
      <c r="I52" s="119"/>
      <c r="J52" s="120"/>
      <c r="K52" s="121"/>
      <c r="L52" s="122"/>
      <c r="M52" s="58"/>
      <c r="N52" s="58"/>
      <c r="O52" s="59"/>
      <c r="P52" s="56"/>
      <c r="Q52" s="60"/>
      <c r="R52" s="61">
        <f t="shared" si="33"/>
        <v>0</v>
      </c>
      <c r="S52" s="62">
        <f t="shared" si="34"/>
        <v>0</v>
      </c>
      <c r="T52" s="63">
        <f t="shared" si="35"/>
        <v>0</v>
      </c>
      <c r="U52" s="64"/>
      <c r="V52" s="65"/>
      <c r="W52" s="66"/>
      <c r="X52" s="67"/>
      <c r="Y52" s="68"/>
      <c r="Z52" s="68"/>
      <c r="AA52" s="62">
        <f t="shared" si="42"/>
        <v>0</v>
      </c>
      <c r="AB52" s="63">
        <f t="shared" si="43"/>
        <v>0</v>
      </c>
      <c r="AC52" s="69"/>
      <c r="AD52" s="70"/>
      <c r="AE52" s="70"/>
      <c r="AF52" s="62">
        <f t="shared" si="44"/>
        <v>0</v>
      </c>
      <c r="AG52" s="63">
        <f t="shared" si="45"/>
        <v>0</v>
      </c>
      <c r="AH52" s="71"/>
      <c r="AI52" s="66"/>
      <c r="AJ52" s="66"/>
      <c r="AK52" s="62">
        <f t="shared" si="40"/>
        <v>0</v>
      </c>
      <c r="AL52" s="72">
        <f t="shared" si="41"/>
        <v>0</v>
      </c>
      <c r="AM52" s="73">
        <f t="shared" si="21"/>
        <v>0</v>
      </c>
      <c r="AN52" s="74">
        <f t="shared" si="22"/>
        <v>0</v>
      </c>
      <c r="AO52" s="74">
        <f t="shared" si="23"/>
        <v>0</v>
      </c>
      <c r="AP52" s="75" t="e">
        <f t="shared" si="24"/>
        <v>#DIV/0!</v>
      </c>
      <c r="AQ52" s="76">
        <f t="shared" si="25"/>
        <v>0</v>
      </c>
      <c r="AR52" s="83">
        <f t="shared" si="26"/>
        <v>0</v>
      </c>
    </row>
    <row r="53" spans="1:44" x14ac:dyDescent="0.25">
      <c r="A53" t="str">
        <f t="shared" si="11"/>
        <v>46198E</v>
      </c>
      <c r="B53" s="51">
        <f t="shared" si="27"/>
        <v>46198</v>
      </c>
      <c r="C53" s="52" t="s">
        <v>88</v>
      </c>
      <c r="D53" s="79"/>
      <c r="E53" s="62"/>
      <c r="F53" s="62"/>
      <c r="G53" s="170">
        <f t="shared" si="30"/>
        <v>0</v>
      </c>
      <c r="H53" s="171">
        <f t="shared" si="31"/>
        <v>0</v>
      </c>
      <c r="I53" s="119"/>
      <c r="J53" s="120"/>
      <c r="K53" s="121"/>
      <c r="L53" s="122"/>
      <c r="M53" s="58"/>
      <c r="N53" s="58"/>
      <c r="O53" s="59"/>
      <c r="P53" s="56"/>
      <c r="Q53" s="60"/>
      <c r="R53" s="61">
        <f t="shared" si="33"/>
        <v>0</v>
      </c>
      <c r="S53" s="62">
        <f t="shared" si="34"/>
        <v>0</v>
      </c>
      <c r="T53" s="63">
        <f t="shared" si="35"/>
        <v>0</v>
      </c>
      <c r="U53" s="64"/>
      <c r="V53" s="65"/>
      <c r="W53" s="66"/>
      <c r="X53" s="67"/>
      <c r="Y53" s="68"/>
      <c r="Z53" s="68"/>
      <c r="AA53" s="62">
        <f t="shared" si="42"/>
        <v>0</v>
      </c>
      <c r="AB53" s="63">
        <f t="shared" si="43"/>
        <v>0</v>
      </c>
      <c r="AC53" s="69"/>
      <c r="AD53" s="70"/>
      <c r="AE53" s="70"/>
      <c r="AF53" s="62">
        <f t="shared" si="44"/>
        <v>0</v>
      </c>
      <c r="AG53" s="63">
        <f t="shared" si="45"/>
        <v>0</v>
      </c>
      <c r="AH53" s="71"/>
      <c r="AI53" s="66"/>
      <c r="AJ53" s="66"/>
      <c r="AK53" s="62">
        <f t="shared" si="40"/>
        <v>0</v>
      </c>
      <c r="AL53" s="72">
        <f t="shared" si="41"/>
        <v>0</v>
      </c>
      <c r="AM53" s="73">
        <f t="shared" si="21"/>
        <v>0</v>
      </c>
      <c r="AN53" s="74">
        <f t="shared" si="22"/>
        <v>0</v>
      </c>
      <c r="AO53" s="74">
        <f t="shared" si="23"/>
        <v>0</v>
      </c>
      <c r="AP53" s="75" t="e">
        <f t="shared" si="24"/>
        <v>#DIV/0!</v>
      </c>
      <c r="AQ53" s="76">
        <f t="shared" si="25"/>
        <v>0</v>
      </c>
      <c r="AR53" s="83">
        <f t="shared" si="26"/>
        <v>0</v>
      </c>
    </row>
    <row r="54" spans="1:44" x14ac:dyDescent="0.25">
      <c r="A54" t="str">
        <f t="shared" si="11"/>
        <v>46199M</v>
      </c>
      <c r="B54" s="51">
        <f t="shared" si="27"/>
        <v>46199</v>
      </c>
      <c r="C54" s="52" t="s">
        <v>87</v>
      </c>
      <c r="D54" s="79"/>
      <c r="E54" s="62"/>
      <c r="F54" s="62"/>
      <c r="G54" s="170">
        <f t="shared" si="30"/>
        <v>0</v>
      </c>
      <c r="H54" s="171">
        <f t="shared" si="31"/>
        <v>0</v>
      </c>
      <c r="I54" s="119"/>
      <c r="J54" s="120"/>
      <c r="K54" s="121"/>
      <c r="L54" s="122"/>
      <c r="M54" s="58"/>
      <c r="N54" s="58"/>
      <c r="O54" s="59"/>
      <c r="P54" s="56"/>
      <c r="Q54" s="60"/>
      <c r="R54" s="61">
        <f t="shared" si="33"/>
        <v>0</v>
      </c>
      <c r="S54" s="62">
        <f t="shared" si="34"/>
        <v>0</v>
      </c>
      <c r="T54" s="63">
        <f t="shared" si="35"/>
        <v>0</v>
      </c>
      <c r="U54" s="64"/>
      <c r="V54" s="65"/>
      <c r="W54" s="66"/>
      <c r="X54" s="67"/>
      <c r="Y54" s="68"/>
      <c r="Z54" s="68"/>
      <c r="AA54" s="62">
        <f t="shared" ref="AA54:AA56" si="46">X54*Y54%</f>
        <v>0</v>
      </c>
      <c r="AB54" s="63">
        <f t="shared" ref="AB54:AB56" si="47">X54*Z54%</f>
        <v>0</v>
      </c>
      <c r="AC54" s="69"/>
      <c r="AD54" s="70"/>
      <c r="AE54" s="70"/>
      <c r="AF54" s="62">
        <f t="shared" ref="AF54:AF63" si="48">AC54*AD54%</f>
        <v>0</v>
      </c>
      <c r="AG54" s="63">
        <f t="shared" ref="AG54:AG63" si="49">AC54*AE54%</f>
        <v>0</v>
      </c>
      <c r="AH54" s="71"/>
      <c r="AI54" s="66"/>
      <c r="AJ54" s="66"/>
      <c r="AK54" s="62">
        <f t="shared" si="40"/>
        <v>0</v>
      </c>
      <c r="AL54" s="72">
        <f t="shared" si="41"/>
        <v>0</v>
      </c>
      <c r="AM54" s="73">
        <f t="shared" si="21"/>
        <v>0</v>
      </c>
      <c r="AN54" s="74">
        <f t="shared" si="22"/>
        <v>0</v>
      </c>
      <c r="AO54" s="74">
        <f t="shared" si="23"/>
        <v>0</v>
      </c>
      <c r="AP54" s="75" t="e">
        <f t="shared" si="24"/>
        <v>#DIV/0!</v>
      </c>
      <c r="AQ54" s="76">
        <f t="shared" si="25"/>
        <v>0</v>
      </c>
      <c r="AR54" s="90">
        <f t="shared" ref="AR54:AR63" si="50">(D54+J54+O54)-(X54+AH54)</f>
        <v>0</v>
      </c>
    </row>
    <row r="55" spans="1:44" x14ac:dyDescent="0.25">
      <c r="A55" t="str">
        <f t="shared" si="11"/>
        <v>46199E</v>
      </c>
      <c r="B55" s="51">
        <f t="shared" si="27"/>
        <v>46199</v>
      </c>
      <c r="C55" s="52" t="s">
        <v>88</v>
      </c>
      <c r="D55" s="79"/>
      <c r="E55" s="62"/>
      <c r="F55" s="62"/>
      <c r="G55" s="170">
        <f t="shared" si="30"/>
        <v>0</v>
      </c>
      <c r="H55" s="171">
        <f t="shared" si="31"/>
        <v>0</v>
      </c>
      <c r="I55" s="119"/>
      <c r="J55" s="120"/>
      <c r="K55" s="121"/>
      <c r="L55" s="122"/>
      <c r="M55" s="58"/>
      <c r="N55" s="58"/>
      <c r="O55" s="59"/>
      <c r="P55" s="56"/>
      <c r="Q55" s="60"/>
      <c r="R55" s="61">
        <f t="shared" si="33"/>
        <v>0</v>
      </c>
      <c r="S55" s="62">
        <f t="shared" si="34"/>
        <v>0</v>
      </c>
      <c r="T55" s="63">
        <f t="shared" si="35"/>
        <v>0</v>
      </c>
      <c r="U55" s="64"/>
      <c r="V55" s="65"/>
      <c r="W55" s="66"/>
      <c r="X55" s="67"/>
      <c r="Y55" s="68"/>
      <c r="Z55" s="68"/>
      <c r="AA55" s="62">
        <f t="shared" si="46"/>
        <v>0</v>
      </c>
      <c r="AB55" s="63">
        <f t="shared" si="47"/>
        <v>0</v>
      </c>
      <c r="AC55" s="69"/>
      <c r="AD55" s="70"/>
      <c r="AE55" s="70"/>
      <c r="AF55" s="62">
        <f t="shared" si="48"/>
        <v>0</v>
      </c>
      <c r="AG55" s="63">
        <f t="shared" si="49"/>
        <v>0</v>
      </c>
      <c r="AH55" s="71"/>
      <c r="AI55" s="66"/>
      <c r="AJ55" s="66"/>
      <c r="AK55" s="62">
        <f t="shared" si="40"/>
        <v>0</v>
      </c>
      <c r="AL55" s="72">
        <f t="shared" si="41"/>
        <v>0</v>
      </c>
      <c r="AM55" s="73">
        <f t="shared" si="21"/>
        <v>0</v>
      </c>
      <c r="AN55" s="74">
        <f t="shared" si="22"/>
        <v>0</v>
      </c>
      <c r="AO55" s="74">
        <f t="shared" si="23"/>
        <v>0</v>
      </c>
      <c r="AP55" s="75" t="e">
        <f t="shared" si="24"/>
        <v>#DIV/0!</v>
      </c>
      <c r="AQ55" s="76">
        <f t="shared" si="25"/>
        <v>0</v>
      </c>
      <c r="AR55" s="90">
        <f t="shared" si="50"/>
        <v>0</v>
      </c>
    </row>
    <row r="56" spans="1:44" x14ac:dyDescent="0.25">
      <c r="A56" t="str">
        <f t="shared" si="11"/>
        <v>46200M</v>
      </c>
      <c r="B56" s="51">
        <f t="shared" si="27"/>
        <v>46200</v>
      </c>
      <c r="C56" s="52" t="s">
        <v>87</v>
      </c>
      <c r="D56" s="79"/>
      <c r="E56" s="62"/>
      <c r="F56" s="62"/>
      <c r="G56" s="170">
        <f t="shared" si="30"/>
        <v>0</v>
      </c>
      <c r="H56" s="171">
        <f t="shared" si="31"/>
        <v>0</v>
      </c>
      <c r="I56" s="119"/>
      <c r="J56" s="120"/>
      <c r="K56" s="121"/>
      <c r="L56" s="122"/>
      <c r="M56" s="58"/>
      <c r="N56" s="58"/>
      <c r="O56" s="59"/>
      <c r="P56" s="56"/>
      <c r="Q56" s="60"/>
      <c r="R56" s="61">
        <f t="shared" si="33"/>
        <v>0</v>
      </c>
      <c r="S56" s="62">
        <f t="shared" si="34"/>
        <v>0</v>
      </c>
      <c r="T56" s="63">
        <f t="shared" si="35"/>
        <v>0</v>
      </c>
      <c r="U56" s="64"/>
      <c r="V56" s="65"/>
      <c r="W56" s="66"/>
      <c r="X56" s="67"/>
      <c r="Y56" s="68"/>
      <c r="Z56" s="68"/>
      <c r="AA56" s="62">
        <f t="shared" si="46"/>
        <v>0</v>
      </c>
      <c r="AB56" s="63">
        <f t="shared" si="47"/>
        <v>0</v>
      </c>
      <c r="AC56" s="69"/>
      <c r="AD56" s="70"/>
      <c r="AE56" s="70"/>
      <c r="AF56" s="62">
        <f t="shared" si="48"/>
        <v>0</v>
      </c>
      <c r="AG56" s="63">
        <f t="shared" si="49"/>
        <v>0</v>
      </c>
      <c r="AH56" s="71"/>
      <c r="AI56" s="66"/>
      <c r="AJ56" s="66"/>
      <c r="AK56" s="62">
        <f t="shared" si="40"/>
        <v>0</v>
      </c>
      <c r="AL56" s="72">
        <f t="shared" si="41"/>
        <v>0</v>
      </c>
      <c r="AM56" s="73">
        <f t="shared" si="21"/>
        <v>0</v>
      </c>
      <c r="AN56" s="74">
        <f t="shared" si="22"/>
        <v>0</v>
      </c>
      <c r="AO56" s="74">
        <f t="shared" si="23"/>
        <v>0</v>
      </c>
      <c r="AP56" s="75" t="e">
        <f t="shared" si="24"/>
        <v>#DIV/0!</v>
      </c>
      <c r="AQ56" s="76">
        <f t="shared" si="25"/>
        <v>0</v>
      </c>
      <c r="AR56" s="90">
        <f t="shared" si="50"/>
        <v>0</v>
      </c>
    </row>
    <row r="57" spans="1:44" x14ac:dyDescent="0.25">
      <c r="A57" t="str">
        <f t="shared" si="11"/>
        <v>46200E</v>
      </c>
      <c r="B57" s="51">
        <f t="shared" si="27"/>
        <v>46200</v>
      </c>
      <c r="C57" s="52" t="s">
        <v>88</v>
      </c>
      <c r="D57" s="79"/>
      <c r="E57" s="62"/>
      <c r="F57" s="62"/>
      <c r="G57" s="170">
        <f t="shared" si="30"/>
        <v>0</v>
      </c>
      <c r="H57" s="171">
        <f t="shared" si="31"/>
        <v>0</v>
      </c>
      <c r="I57" s="119"/>
      <c r="J57" s="120"/>
      <c r="K57" s="121"/>
      <c r="L57" s="122"/>
      <c r="M57" s="58"/>
      <c r="N57" s="58"/>
      <c r="O57" s="59"/>
      <c r="P57" s="56"/>
      <c r="Q57" s="60"/>
      <c r="R57" s="61">
        <f t="shared" si="33"/>
        <v>0</v>
      </c>
      <c r="S57" s="62">
        <f t="shared" si="34"/>
        <v>0</v>
      </c>
      <c r="T57" s="63">
        <f t="shared" si="35"/>
        <v>0</v>
      </c>
      <c r="U57" s="64"/>
      <c r="V57" s="65"/>
      <c r="W57" s="66"/>
      <c r="X57" s="67"/>
      <c r="Y57" s="68"/>
      <c r="Z57" s="68"/>
      <c r="AA57" s="62">
        <v>0</v>
      </c>
      <c r="AB57" s="63">
        <v>0</v>
      </c>
      <c r="AC57" s="69"/>
      <c r="AD57" s="70"/>
      <c r="AE57" s="70"/>
      <c r="AF57" s="62">
        <f t="shared" si="48"/>
        <v>0</v>
      </c>
      <c r="AG57" s="63">
        <f t="shared" si="49"/>
        <v>0</v>
      </c>
      <c r="AH57" s="71"/>
      <c r="AI57" s="66"/>
      <c r="AJ57" s="66"/>
      <c r="AK57" s="62">
        <f t="shared" si="40"/>
        <v>0</v>
      </c>
      <c r="AL57" s="72">
        <f t="shared" si="41"/>
        <v>0</v>
      </c>
      <c r="AM57" s="73">
        <f t="shared" si="21"/>
        <v>0</v>
      </c>
      <c r="AN57" s="74">
        <f t="shared" si="22"/>
        <v>0</v>
      </c>
      <c r="AO57" s="74">
        <f t="shared" si="23"/>
        <v>0</v>
      </c>
      <c r="AP57" s="75" t="e">
        <f t="shared" si="24"/>
        <v>#DIV/0!</v>
      </c>
      <c r="AQ57" s="76">
        <f t="shared" si="25"/>
        <v>0</v>
      </c>
      <c r="AR57" s="90">
        <f t="shared" si="50"/>
        <v>0</v>
      </c>
    </row>
    <row r="58" spans="1:44" x14ac:dyDescent="0.25">
      <c r="A58" t="str">
        <f t="shared" si="11"/>
        <v>46201M</v>
      </c>
      <c r="B58" s="51">
        <f t="shared" si="27"/>
        <v>46201</v>
      </c>
      <c r="C58" s="52" t="s">
        <v>87</v>
      </c>
      <c r="D58" s="79"/>
      <c r="E58" s="62"/>
      <c r="F58" s="62"/>
      <c r="G58" s="170">
        <f t="shared" si="30"/>
        <v>0</v>
      </c>
      <c r="H58" s="171">
        <f t="shared" si="31"/>
        <v>0</v>
      </c>
      <c r="I58" s="119"/>
      <c r="J58" s="120"/>
      <c r="K58" s="121"/>
      <c r="L58" s="122"/>
      <c r="M58" s="58"/>
      <c r="N58" s="58"/>
      <c r="O58" s="59"/>
      <c r="P58" s="56"/>
      <c r="Q58" s="60"/>
      <c r="R58" s="61">
        <f t="shared" si="33"/>
        <v>0</v>
      </c>
      <c r="S58" s="62">
        <f t="shared" si="34"/>
        <v>0</v>
      </c>
      <c r="T58" s="63">
        <f t="shared" si="35"/>
        <v>0</v>
      </c>
      <c r="U58" s="64"/>
      <c r="V58" s="65"/>
      <c r="W58" s="66"/>
      <c r="X58" s="67"/>
      <c r="Y58" s="68"/>
      <c r="Z58" s="68"/>
      <c r="AA58" s="62">
        <f t="shared" ref="AA58:AA63" si="51">X58*Y58%</f>
        <v>0</v>
      </c>
      <c r="AB58" s="63">
        <f t="shared" ref="AB58:AB63" si="52">X58*Z58%</f>
        <v>0</v>
      </c>
      <c r="AC58" s="69"/>
      <c r="AD58" s="70"/>
      <c r="AE58" s="70"/>
      <c r="AF58" s="62">
        <f t="shared" si="48"/>
        <v>0</v>
      </c>
      <c r="AG58" s="63">
        <f t="shared" si="49"/>
        <v>0</v>
      </c>
      <c r="AH58" s="71"/>
      <c r="AI58" s="66"/>
      <c r="AJ58" s="66"/>
      <c r="AK58" s="62">
        <f t="shared" si="40"/>
        <v>0</v>
      </c>
      <c r="AL58" s="72">
        <f>AH58*AJ58%</f>
        <v>0</v>
      </c>
      <c r="AM58" s="73">
        <f t="shared" si="21"/>
        <v>0</v>
      </c>
      <c r="AN58" s="74">
        <f t="shared" si="22"/>
        <v>0</v>
      </c>
      <c r="AO58" s="74">
        <f t="shared" si="23"/>
        <v>0</v>
      </c>
      <c r="AP58" s="75" t="e">
        <f t="shared" si="24"/>
        <v>#DIV/0!</v>
      </c>
      <c r="AQ58" s="76">
        <f t="shared" si="25"/>
        <v>0</v>
      </c>
      <c r="AR58" s="90">
        <f t="shared" si="50"/>
        <v>0</v>
      </c>
    </row>
    <row r="59" spans="1:44" x14ac:dyDescent="0.25">
      <c r="A59" t="str">
        <f t="shared" si="11"/>
        <v>46201E</v>
      </c>
      <c r="B59" s="51">
        <f t="shared" si="27"/>
        <v>46201</v>
      </c>
      <c r="C59" s="52" t="s">
        <v>88</v>
      </c>
      <c r="D59" s="79"/>
      <c r="E59" s="62"/>
      <c r="F59" s="62"/>
      <c r="G59" s="170">
        <f t="shared" si="30"/>
        <v>0</v>
      </c>
      <c r="H59" s="171">
        <f t="shared" si="31"/>
        <v>0</v>
      </c>
      <c r="I59" s="119"/>
      <c r="J59" s="120"/>
      <c r="K59" s="121"/>
      <c r="L59" s="122"/>
      <c r="M59" s="58"/>
      <c r="N59" s="58"/>
      <c r="O59" s="59"/>
      <c r="P59" s="56"/>
      <c r="Q59" s="60"/>
      <c r="R59" s="61">
        <f t="shared" si="33"/>
        <v>0</v>
      </c>
      <c r="S59" s="62">
        <f t="shared" si="34"/>
        <v>0</v>
      </c>
      <c r="T59" s="63">
        <f t="shared" si="35"/>
        <v>0</v>
      </c>
      <c r="U59" s="64"/>
      <c r="V59" s="65"/>
      <c r="W59" s="66"/>
      <c r="X59" s="67"/>
      <c r="Y59" s="68"/>
      <c r="Z59" s="68"/>
      <c r="AA59" s="62">
        <f t="shared" si="51"/>
        <v>0</v>
      </c>
      <c r="AB59" s="63">
        <f t="shared" si="52"/>
        <v>0</v>
      </c>
      <c r="AC59" s="69"/>
      <c r="AD59" s="70"/>
      <c r="AE59" s="70"/>
      <c r="AF59" s="62">
        <f t="shared" si="48"/>
        <v>0</v>
      </c>
      <c r="AG59" s="63">
        <f t="shared" si="49"/>
        <v>0</v>
      </c>
      <c r="AH59" s="71"/>
      <c r="AI59" s="66"/>
      <c r="AJ59" s="66"/>
      <c r="AK59" s="62">
        <f t="shared" si="40"/>
        <v>0</v>
      </c>
      <c r="AL59" s="72">
        <f t="shared" si="41"/>
        <v>0</v>
      </c>
      <c r="AM59" s="73">
        <f t="shared" si="21"/>
        <v>0</v>
      </c>
      <c r="AN59" s="74">
        <f t="shared" si="22"/>
        <v>0</v>
      </c>
      <c r="AO59" s="74">
        <f t="shared" si="23"/>
        <v>0</v>
      </c>
      <c r="AP59" s="75" t="e">
        <f t="shared" si="24"/>
        <v>#DIV/0!</v>
      </c>
      <c r="AQ59" s="76">
        <f t="shared" si="25"/>
        <v>0</v>
      </c>
      <c r="AR59" s="90">
        <f t="shared" si="50"/>
        <v>0</v>
      </c>
    </row>
    <row r="60" spans="1:44" x14ac:dyDescent="0.25">
      <c r="A60" t="str">
        <f t="shared" si="11"/>
        <v>46202M</v>
      </c>
      <c r="B60" s="51">
        <f t="shared" si="27"/>
        <v>46202</v>
      </c>
      <c r="C60" s="52" t="s">
        <v>87</v>
      </c>
      <c r="D60" s="79"/>
      <c r="E60" s="62"/>
      <c r="F60" s="62"/>
      <c r="G60" s="170">
        <f t="shared" si="30"/>
        <v>0</v>
      </c>
      <c r="H60" s="171">
        <f t="shared" si="31"/>
        <v>0</v>
      </c>
      <c r="I60" s="119"/>
      <c r="J60" s="120"/>
      <c r="K60" s="121"/>
      <c r="L60" s="122"/>
      <c r="M60" s="58"/>
      <c r="N60" s="58"/>
      <c r="O60" s="59"/>
      <c r="P60" s="56"/>
      <c r="Q60" s="60"/>
      <c r="R60" s="61">
        <f t="shared" si="33"/>
        <v>0</v>
      </c>
      <c r="S60" s="62">
        <f t="shared" si="34"/>
        <v>0</v>
      </c>
      <c r="T60" s="63">
        <f t="shared" si="35"/>
        <v>0</v>
      </c>
      <c r="U60" s="64"/>
      <c r="V60" s="65"/>
      <c r="W60" s="66"/>
      <c r="X60" s="67"/>
      <c r="Y60" s="68"/>
      <c r="Z60" s="68"/>
      <c r="AA60" s="62">
        <f t="shared" si="51"/>
        <v>0</v>
      </c>
      <c r="AB60" s="63">
        <f t="shared" si="52"/>
        <v>0</v>
      </c>
      <c r="AC60" s="69"/>
      <c r="AD60" s="70"/>
      <c r="AE60" s="70"/>
      <c r="AF60" s="62">
        <f t="shared" si="48"/>
        <v>0</v>
      </c>
      <c r="AG60" s="63">
        <f t="shared" si="49"/>
        <v>0</v>
      </c>
      <c r="AH60" s="71"/>
      <c r="AI60" s="66"/>
      <c r="AJ60" s="66"/>
      <c r="AK60" s="62">
        <f t="shared" si="40"/>
        <v>0</v>
      </c>
      <c r="AL60" s="72">
        <f t="shared" si="41"/>
        <v>0</v>
      </c>
      <c r="AM60" s="73">
        <f t="shared" si="21"/>
        <v>0</v>
      </c>
      <c r="AN60" s="74">
        <f t="shared" si="22"/>
        <v>0</v>
      </c>
      <c r="AO60" s="74">
        <f t="shared" si="23"/>
        <v>0</v>
      </c>
      <c r="AP60" s="75" t="e">
        <f t="shared" si="24"/>
        <v>#DIV/0!</v>
      </c>
      <c r="AQ60" s="76">
        <f t="shared" si="25"/>
        <v>0</v>
      </c>
      <c r="AR60" s="90">
        <f t="shared" si="50"/>
        <v>0</v>
      </c>
    </row>
    <row r="61" spans="1:44" x14ac:dyDescent="0.25">
      <c r="A61" t="str">
        <f t="shared" si="11"/>
        <v>46202E</v>
      </c>
      <c r="B61" s="51">
        <f t="shared" si="27"/>
        <v>46202</v>
      </c>
      <c r="C61" s="52" t="s">
        <v>88</v>
      </c>
      <c r="D61" s="79"/>
      <c r="E61" s="62"/>
      <c r="F61" s="62"/>
      <c r="G61" s="170">
        <f t="shared" si="30"/>
        <v>0</v>
      </c>
      <c r="H61" s="171">
        <f t="shared" si="31"/>
        <v>0</v>
      </c>
      <c r="I61" s="119"/>
      <c r="J61" s="120"/>
      <c r="K61" s="121"/>
      <c r="L61" s="122"/>
      <c r="M61" s="58"/>
      <c r="N61" s="58"/>
      <c r="O61" s="59"/>
      <c r="P61" s="56"/>
      <c r="Q61" s="60"/>
      <c r="R61" s="61">
        <f t="shared" si="33"/>
        <v>0</v>
      </c>
      <c r="S61" s="62">
        <f t="shared" si="34"/>
        <v>0</v>
      </c>
      <c r="T61" s="63">
        <f t="shared" si="35"/>
        <v>0</v>
      </c>
      <c r="U61" s="64"/>
      <c r="V61" s="65"/>
      <c r="W61" s="66"/>
      <c r="X61" s="67"/>
      <c r="Y61" s="68"/>
      <c r="Z61" s="68"/>
      <c r="AA61" s="62">
        <f t="shared" si="51"/>
        <v>0</v>
      </c>
      <c r="AB61" s="63">
        <f t="shared" si="52"/>
        <v>0</v>
      </c>
      <c r="AC61" s="69"/>
      <c r="AD61" s="70"/>
      <c r="AE61" s="70"/>
      <c r="AF61" s="62">
        <f t="shared" si="48"/>
        <v>0</v>
      </c>
      <c r="AG61" s="63">
        <f t="shared" si="49"/>
        <v>0</v>
      </c>
      <c r="AH61" s="71"/>
      <c r="AI61" s="66"/>
      <c r="AJ61" s="66"/>
      <c r="AK61" s="62">
        <f t="shared" si="40"/>
        <v>0</v>
      </c>
      <c r="AL61" s="72">
        <f t="shared" si="41"/>
        <v>0</v>
      </c>
      <c r="AM61" s="73">
        <f t="shared" si="21"/>
        <v>0</v>
      </c>
      <c r="AN61" s="74">
        <f t="shared" si="22"/>
        <v>0</v>
      </c>
      <c r="AO61" s="74">
        <f t="shared" si="23"/>
        <v>0</v>
      </c>
      <c r="AP61" s="75" t="e">
        <f t="shared" si="24"/>
        <v>#DIV/0!</v>
      </c>
      <c r="AQ61" s="76">
        <f t="shared" si="25"/>
        <v>0</v>
      </c>
      <c r="AR61" s="90">
        <f t="shared" si="50"/>
        <v>0</v>
      </c>
    </row>
    <row r="62" spans="1:44" x14ac:dyDescent="0.25">
      <c r="A62" t="str">
        <f t="shared" si="11"/>
        <v>46203M</v>
      </c>
      <c r="B62" s="51">
        <f t="shared" si="27"/>
        <v>46203</v>
      </c>
      <c r="C62" s="52" t="s">
        <v>87</v>
      </c>
      <c r="D62" s="79"/>
      <c r="E62" s="62"/>
      <c r="F62" s="62"/>
      <c r="G62" s="170">
        <f t="shared" si="30"/>
        <v>0</v>
      </c>
      <c r="H62" s="171">
        <f t="shared" si="31"/>
        <v>0</v>
      </c>
      <c r="I62" s="119"/>
      <c r="J62" s="120"/>
      <c r="K62" s="121"/>
      <c r="L62" s="122"/>
      <c r="M62" s="58"/>
      <c r="N62" s="58"/>
      <c r="O62" s="59"/>
      <c r="P62" s="56"/>
      <c r="Q62" s="60"/>
      <c r="R62" s="61">
        <f t="shared" si="33"/>
        <v>0</v>
      </c>
      <c r="S62" s="62">
        <f t="shared" si="34"/>
        <v>0</v>
      </c>
      <c r="T62" s="63">
        <f t="shared" si="35"/>
        <v>0</v>
      </c>
      <c r="U62" s="64"/>
      <c r="V62" s="65"/>
      <c r="W62" s="66"/>
      <c r="X62" s="67"/>
      <c r="Y62" s="68"/>
      <c r="Z62" s="68"/>
      <c r="AA62" s="62">
        <f t="shared" si="51"/>
        <v>0</v>
      </c>
      <c r="AB62" s="63">
        <f t="shared" si="52"/>
        <v>0</v>
      </c>
      <c r="AC62" s="69"/>
      <c r="AD62" s="70"/>
      <c r="AE62" s="70"/>
      <c r="AF62" s="62">
        <f t="shared" si="48"/>
        <v>0</v>
      </c>
      <c r="AG62" s="63">
        <f t="shared" si="49"/>
        <v>0</v>
      </c>
      <c r="AH62" s="71"/>
      <c r="AI62" s="66"/>
      <c r="AJ62" s="66"/>
      <c r="AK62" s="62">
        <f t="shared" si="40"/>
        <v>0</v>
      </c>
      <c r="AL62" s="72">
        <f t="shared" si="41"/>
        <v>0</v>
      </c>
      <c r="AM62" s="73">
        <f t="shared" si="21"/>
        <v>0</v>
      </c>
      <c r="AN62" s="74">
        <f t="shared" si="22"/>
        <v>0</v>
      </c>
      <c r="AO62" s="74">
        <f t="shared" si="23"/>
        <v>0</v>
      </c>
      <c r="AP62" s="75" t="e">
        <f t="shared" si="24"/>
        <v>#DIV/0!</v>
      </c>
      <c r="AQ62" s="76">
        <f t="shared" si="25"/>
        <v>0</v>
      </c>
      <c r="AR62" s="90">
        <f t="shared" si="50"/>
        <v>0</v>
      </c>
    </row>
    <row r="63" spans="1:44" x14ac:dyDescent="0.25">
      <c r="A63" t="str">
        <f t="shared" si="11"/>
        <v>46203E</v>
      </c>
      <c r="B63" s="51">
        <f t="shared" si="27"/>
        <v>46203</v>
      </c>
      <c r="C63" s="52" t="s">
        <v>88</v>
      </c>
      <c r="D63" s="79"/>
      <c r="E63" s="62"/>
      <c r="F63" s="62"/>
      <c r="G63" s="170">
        <f t="shared" si="30"/>
        <v>0</v>
      </c>
      <c r="H63" s="171">
        <f t="shared" si="31"/>
        <v>0</v>
      </c>
      <c r="I63" s="119"/>
      <c r="J63" s="120"/>
      <c r="K63" s="121"/>
      <c r="L63" s="122"/>
      <c r="M63" s="58"/>
      <c r="N63" s="58"/>
      <c r="O63" s="59"/>
      <c r="P63" s="56"/>
      <c r="Q63" s="60"/>
      <c r="R63" s="61">
        <f t="shared" si="33"/>
        <v>0</v>
      </c>
      <c r="S63" s="62">
        <f t="shared" si="34"/>
        <v>0</v>
      </c>
      <c r="T63" s="63">
        <f t="shared" si="35"/>
        <v>0</v>
      </c>
      <c r="U63" s="64"/>
      <c r="V63" s="65"/>
      <c r="W63" s="66"/>
      <c r="X63" s="67"/>
      <c r="Y63" s="68"/>
      <c r="Z63" s="68"/>
      <c r="AA63" s="62">
        <f t="shared" si="51"/>
        <v>0</v>
      </c>
      <c r="AB63" s="63">
        <f t="shared" si="52"/>
        <v>0</v>
      </c>
      <c r="AC63" s="69"/>
      <c r="AD63" s="70"/>
      <c r="AE63" s="70"/>
      <c r="AF63" s="62">
        <f t="shared" si="48"/>
        <v>0</v>
      </c>
      <c r="AG63" s="63">
        <f t="shared" si="49"/>
        <v>0</v>
      </c>
      <c r="AH63" s="71"/>
      <c r="AI63" s="66"/>
      <c r="AJ63" s="66"/>
      <c r="AK63" s="62">
        <f t="shared" si="40"/>
        <v>0</v>
      </c>
      <c r="AL63" s="72">
        <f t="shared" si="41"/>
        <v>0</v>
      </c>
      <c r="AM63" s="73">
        <f t="shared" si="21"/>
        <v>0</v>
      </c>
      <c r="AN63" s="74">
        <f t="shared" si="22"/>
        <v>0</v>
      </c>
      <c r="AO63" s="74">
        <f t="shared" si="23"/>
        <v>0</v>
      </c>
      <c r="AP63" s="75" t="e">
        <f t="shared" si="24"/>
        <v>#DIV/0!</v>
      </c>
      <c r="AQ63" s="76">
        <f t="shared" si="25"/>
        <v>0</v>
      </c>
      <c r="AR63" s="90">
        <f t="shared" si="50"/>
        <v>0</v>
      </c>
    </row>
    <row r="64" spans="1:44" x14ac:dyDescent="0.25">
      <c r="A64" t="str">
        <f t="shared" si="11"/>
        <v>46204M</v>
      </c>
      <c r="B64" s="51">
        <f t="shared" si="27"/>
        <v>46204</v>
      </c>
      <c r="C64" s="52" t="s">
        <v>87</v>
      </c>
      <c r="D64" s="79"/>
      <c r="E64" s="62"/>
      <c r="F64" s="62"/>
      <c r="G64" s="170">
        <f t="shared" si="30"/>
        <v>0</v>
      </c>
      <c r="H64" s="171">
        <f t="shared" si="31"/>
        <v>0</v>
      </c>
      <c r="I64" s="119"/>
      <c r="J64" s="120"/>
      <c r="K64" s="121"/>
      <c r="L64" s="122"/>
      <c r="M64" s="58"/>
      <c r="N64" s="58"/>
      <c r="O64" s="59"/>
      <c r="P64" s="56"/>
      <c r="Q64" s="60"/>
      <c r="R64" s="61">
        <f t="shared" si="33"/>
        <v>0</v>
      </c>
      <c r="S64" s="62">
        <f t="shared" si="34"/>
        <v>0</v>
      </c>
      <c r="T64" s="63">
        <f t="shared" si="35"/>
        <v>0</v>
      </c>
      <c r="U64" s="64"/>
      <c r="V64" s="65"/>
      <c r="W64" s="66"/>
      <c r="X64" s="67"/>
      <c r="Y64" s="68"/>
      <c r="Z64" s="68"/>
      <c r="AA64" s="62">
        <f t="shared" ref="AA64" si="53">X64*Y64%</f>
        <v>0</v>
      </c>
      <c r="AB64" s="63">
        <f t="shared" ref="AB64" si="54">X64*Z64%</f>
        <v>0</v>
      </c>
      <c r="AC64" s="69"/>
      <c r="AD64" s="70"/>
      <c r="AE64" s="70"/>
      <c r="AF64" s="62">
        <f t="shared" ref="AF64" si="55">AC64*AD64%</f>
        <v>0</v>
      </c>
      <c r="AG64" s="63">
        <f t="shared" ref="AG64" si="56">AC64*AE64%</f>
        <v>0</v>
      </c>
      <c r="AH64" s="89"/>
      <c r="AI64" s="66"/>
      <c r="AJ64" s="66"/>
      <c r="AK64" s="62">
        <f t="shared" ref="AK64" si="57">AH64*AI64%</f>
        <v>0</v>
      </c>
      <c r="AL64" s="72">
        <f t="shared" ref="AL64" si="58">AH64*AJ64%</f>
        <v>0</v>
      </c>
      <c r="AM64" s="73">
        <f t="shared" si="21"/>
        <v>0</v>
      </c>
      <c r="AN64" s="74">
        <f t="shared" si="22"/>
        <v>0</v>
      </c>
      <c r="AO64" s="74">
        <f t="shared" si="23"/>
        <v>0</v>
      </c>
      <c r="AP64" s="75" t="e">
        <f t="shared" si="24"/>
        <v>#DIV/0!</v>
      </c>
      <c r="AQ64" s="76">
        <f t="shared" si="25"/>
        <v>0</v>
      </c>
      <c r="AR64" s="83">
        <f t="shared" si="26"/>
        <v>0</v>
      </c>
    </row>
    <row r="65" spans="1:44" x14ac:dyDescent="0.25">
      <c r="A65" t="str">
        <f t="shared" si="11"/>
        <v>46204E</v>
      </c>
      <c r="B65" s="51">
        <f t="shared" si="27"/>
        <v>46204</v>
      </c>
      <c r="C65" s="52" t="s">
        <v>88</v>
      </c>
      <c r="D65" s="79"/>
      <c r="E65" s="62"/>
      <c r="F65" s="62"/>
      <c r="G65" s="170">
        <f t="shared" si="30"/>
        <v>0</v>
      </c>
      <c r="H65" s="171">
        <f t="shared" si="31"/>
        <v>0</v>
      </c>
      <c r="I65" s="119"/>
      <c r="J65" s="120"/>
      <c r="K65" s="121"/>
      <c r="L65" s="122"/>
      <c r="M65" s="58"/>
      <c r="N65" s="58"/>
      <c r="O65" s="59"/>
      <c r="P65" s="56"/>
      <c r="Q65" s="60"/>
      <c r="R65" s="61">
        <f t="shared" si="33"/>
        <v>0</v>
      </c>
      <c r="S65" s="62">
        <f t="shared" si="34"/>
        <v>0</v>
      </c>
      <c r="T65" s="63">
        <f t="shared" si="35"/>
        <v>0</v>
      </c>
      <c r="U65" s="64"/>
      <c r="V65" s="65"/>
      <c r="W65" s="66"/>
      <c r="X65" s="67"/>
      <c r="Y65" s="68"/>
      <c r="Z65" s="68"/>
      <c r="AA65" s="62">
        <f t="shared" ref="AA65" si="59">X65*Y65%</f>
        <v>0</v>
      </c>
      <c r="AB65" s="63">
        <f t="shared" ref="AB65" si="60">X65*Z65%</f>
        <v>0</v>
      </c>
      <c r="AC65" s="69"/>
      <c r="AD65" s="70"/>
      <c r="AE65" s="70"/>
      <c r="AF65" s="62">
        <f t="shared" ref="AF65" si="61">AC65*AD65%</f>
        <v>0</v>
      </c>
      <c r="AG65" s="63">
        <f t="shared" ref="AG65" si="62">AC65*AE65%</f>
        <v>0</v>
      </c>
      <c r="AH65" s="89"/>
      <c r="AI65" s="66"/>
      <c r="AJ65" s="66"/>
      <c r="AK65" s="62">
        <f t="shared" ref="AK65" si="63">AH65*AI65%</f>
        <v>0</v>
      </c>
      <c r="AL65" s="72">
        <f t="shared" ref="AL65" si="64">AH65*AJ65%</f>
        <v>0</v>
      </c>
      <c r="AM65" s="73">
        <f t="shared" si="21"/>
        <v>0</v>
      </c>
      <c r="AN65" s="74">
        <f t="shared" si="22"/>
        <v>0</v>
      </c>
      <c r="AO65" s="74">
        <f t="shared" si="23"/>
        <v>0</v>
      </c>
      <c r="AP65" s="75" t="e">
        <f t="shared" si="24"/>
        <v>#DIV/0!</v>
      </c>
      <c r="AQ65" s="76">
        <f t="shared" si="25"/>
        <v>0</v>
      </c>
      <c r="AR65" s="83">
        <f t="shared" si="26"/>
        <v>0</v>
      </c>
    </row>
    <row r="66" spans="1:44" x14ac:dyDescent="0.25">
      <c r="J66" s="83">
        <f>SUM(J4:J65)</f>
        <v>74530.799999999988</v>
      </c>
      <c r="AM66" s="98">
        <f t="shared" ref="AM66:AO66" si="65">-SUM(AM4:AM65)</f>
        <v>695.40000000000464</v>
      </c>
      <c r="AN66" s="98">
        <f t="shared" si="65"/>
        <v>151.07160460000017</v>
      </c>
      <c r="AO66" s="98">
        <f t="shared" si="65"/>
        <v>-180.32868140000011</v>
      </c>
      <c r="AQ66" s="129">
        <f>-SUM(AQ4:AQ65)</f>
        <v>13849.988442803384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54" priority="2" operator="lessThan">
      <formula>0.1</formula>
    </cfRule>
    <cfRule type="cellIs" dxfId="53" priority="3" operator="greaterThan">
      <formula>0.1</formula>
    </cfRule>
  </conditionalFormatting>
  <conditionalFormatting sqref="AP1:AQ1">
    <cfRule type="cellIs" dxfId="52" priority="1" operator="lessThan">
      <formula>1</formula>
    </cfRule>
  </conditionalFormatting>
  <conditionalFormatting sqref="AQ4:AQ65">
    <cfRule type="cellIs" dxfId="51" priority="22" operator="lessThan">
      <formula>0</formula>
    </cfRule>
    <cfRule type="cellIs" dxfId="50" priority="23" operator="greaterThan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9"/>
  <dimension ref="A1:AW66"/>
  <sheetViews>
    <sheetView topLeftCell="A2" zoomScale="80" zoomScaleNormal="80" workbookViewId="0">
      <pane xSplit="2" ySplit="2" topLeftCell="C4" activePane="bottomRight" state="frozen"/>
      <selection activeCell="A2" sqref="A2"/>
      <selection pane="topRight" activeCell="C2" sqref="C2"/>
      <selection pane="bottomLeft" activeCell="A4" sqref="A4"/>
      <selection pane="bottomRight" activeCell="AC22" sqref="AC22:AE23"/>
    </sheetView>
  </sheetViews>
  <sheetFormatPr defaultRowHeight="15" x14ac:dyDescent="0.25"/>
  <cols>
    <col min="1" max="1" width="3.85546875" customWidth="1"/>
    <col min="2" max="2" width="9.570312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8.140625" bestFit="1" customWidth="1"/>
    <col min="9" max="10" width="9.28515625" bestFit="1" customWidth="1"/>
    <col min="11" max="12" width="5.85546875" bestFit="1" customWidth="1"/>
    <col min="13" max="13" width="7" bestFit="1" customWidth="1"/>
    <col min="14" max="14" width="8" customWidth="1"/>
    <col min="15" max="15" width="7" bestFit="1" customWidth="1"/>
    <col min="16" max="17" width="5.85546875" bestFit="1" customWidth="1"/>
    <col min="18" max="18" width="8.140625" bestFit="1" customWidth="1"/>
    <col min="19" max="19" width="7.28515625" bestFit="1" customWidth="1"/>
    <col min="20" max="20" width="8.140625" bestFit="1" customWidth="1"/>
    <col min="21" max="21" width="7.85546875" customWidth="1"/>
    <col min="22" max="22" width="9.28515625" customWidth="1"/>
    <col min="23" max="23" width="8.7109375" bestFit="1" customWidth="1"/>
    <col min="24" max="24" width="7.42578125" bestFit="1" customWidth="1"/>
    <col min="25" max="26" width="5.85546875" bestFit="1" customWidth="1"/>
    <col min="27" max="27" width="7.28515625" bestFit="1" customWidth="1"/>
    <col min="28" max="28" width="8.140625" bestFit="1" customWidth="1"/>
    <col min="29" max="29" width="9.28515625" bestFit="1" customWidth="1"/>
    <col min="30" max="31" width="5.85546875" bestFit="1" customWidth="1"/>
    <col min="32" max="32" width="7.28515625" bestFit="1" customWidth="1"/>
    <col min="33" max="33" width="8.140625" bestFit="1" customWidth="1"/>
    <col min="34" max="34" width="7.42578125" bestFit="1" customWidth="1"/>
    <col min="35" max="36" width="5.85546875" bestFit="1" customWidth="1"/>
    <col min="37" max="37" width="7.28515625" bestFit="1" customWidth="1"/>
    <col min="38" max="38" width="8.1406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4.140625" bestFit="1" customWidth="1"/>
    <col min="45" max="45" width="6.5703125" bestFit="1" customWidth="1"/>
    <col min="46" max="46" width="6" bestFit="1" customWidth="1"/>
    <col min="47" max="47" width="5" bestFit="1" customWidth="1"/>
    <col min="48" max="48" width="5.7109375" bestFit="1" customWidth="1"/>
    <col min="49" max="49" width="8.140625" bestFit="1" customWidth="1"/>
  </cols>
  <sheetData>
    <row r="1" spans="1:44" ht="15.75" thickBot="1" x14ac:dyDescent="0.3">
      <c r="B1" s="111" t="s">
        <v>97</v>
      </c>
      <c r="C1" s="44"/>
      <c r="I1" t="s">
        <v>94</v>
      </c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59" t="s">
        <v>64</v>
      </c>
      <c r="C2" s="261" t="s">
        <v>65</v>
      </c>
      <c r="D2" s="263" t="s">
        <v>66</v>
      </c>
      <c r="E2" s="263"/>
      <c r="F2" s="263"/>
      <c r="G2" s="263"/>
      <c r="H2" s="264"/>
      <c r="I2" s="255" t="s">
        <v>67</v>
      </c>
      <c r="J2" s="256"/>
      <c r="K2" s="256"/>
      <c r="L2" s="257"/>
      <c r="M2" s="242" t="s">
        <v>68</v>
      </c>
      <c r="N2" s="243"/>
      <c r="O2" s="243"/>
      <c r="P2" s="243"/>
      <c r="Q2" s="244"/>
      <c r="R2" s="265" t="s">
        <v>69</v>
      </c>
      <c r="S2" s="256"/>
      <c r="T2" s="257"/>
      <c r="U2" s="252" t="s">
        <v>70</v>
      </c>
      <c r="V2" s="253"/>
      <c r="W2" s="253"/>
      <c r="X2" s="253"/>
      <c r="Y2" s="253"/>
      <c r="Z2" s="253"/>
      <c r="AA2" s="253"/>
      <c r="AB2" s="254"/>
      <c r="AC2" s="255" t="s">
        <v>71</v>
      </c>
      <c r="AD2" s="256"/>
      <c r="AE2" s="256"/>
      <c r="AF2" s="256"/>
      <c r="AG2" s="257"/>
      <c r="AH2" s="255" t="s">
        <v>72</v>
      </c>
      <c r="AI2" s="256"/>
      <c r="AJ2" s="256"/>
      <c r="AK2" s="256"/>
      <c r="AL2" s="258"/>
      <c r="AM2" s="252" t="s">
        <v>73</v>
      </c>
      <c r="AN2" s="253"/>
      <c r="AO2" s="253"/>
      <c r="AP2" s="253"/>
      <c r="AQ2" s="254"/>
    </row>
    <row r="3" spans="1:44" x14ac:dyDescent="0.25">
      <c r="B3" s="260"/>
      <c r="C3" s="26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112" t="s">
        <v>11</v>
      </c>
    </row>
    <row r="4" spans="1:44" ht="15.75" x14ac:dyDescent="0.25">
      <c r="A4" t="str">
        <f>CONCATENATE(B4,C4)</f>
        <v>46174M</v>
      </c>
      <c r="B4" s="51">
        <v>46174</v>
      </c>
      <c r="C4" s="100" t="s">
        <v>87</v>
      </c>
      <c r="D4" s="101">
        <v>5360</v>
      </c>
      <c r="E4" s="102">
        <v>4.05</v>
      </c>
      <c r="F4" s="102">
        <v>8.4499999999999993</v>
      </c>
      <c r="G4" s="62">
        <f t="shared" ref="G4:G29" si="0">+D4*E4%</f>
        <v>217.08</v>
      </c>
      <c r="H4" s="72">
        <f t="shared" ref="H4:H29" si="1">+D4*F4%</f>
        <v>452.91999999999996</v>
      </c>
      <c r="I4" s="121">
        <v>4237.7500000000009</v>
      </c>
      <c r="J4" s="121">
        <v>4364.8825000000006</v>
      </c>
      <c r="K4" s="121">
        <v>4.5215928263819247</v>
      </c>
      <c r="L4" s="121">
        <v>8.425992566810212</v>
      </c>
      <c r="M4" s="58" t="s">
        <v>276</v>
      </c>
      <c r="N4" s="58" t="s">
        <v>277</v>
      </c>
      <c r="O4" s="59">
        <v>9810</v>
      </c>
      <c r="P4" s="56">
        <v>4.5</v>
      </c>
      <c r="Q4" s="60">
        <v>8.5600000000000023</v>
      </c>
      <c r="R4" s="61">
        <f t="shared" ref="R4" si="2">+J4+O4</f>
        <v>14174.8825</v>
      </c>
      <c r="S4" s="62">
        <f t="shared" ref="S4" si="3">+J4*K4%+O4*P4%</f>
        <v>638.81221400000004</v>
      </c>
      <c r="T4" s="63">
        <f t="shared" ref="T4" si="4">+J4*L4%+O4*Q4%</f>
        <v>1207.520675</v>
      </c>
      <c r="U4" s="137" t="s">
        <v>278</v>
      </c>
      <c r="V4" s="138" t="s">
        <v>279</v>
      </c>
      <c r="W4" s="139" t="s">
        <v>208</v>
      </c>
      <c r="X4" s="140">
        <v>9200</v>
      </c>
      <c r="Y4" s="141">
        <v>4.25</v>
      </c>
      <c r="Z4" s="141">
        <v>8.51</v>
      </c>
      <c r="AA4" s="62">
        <f t="shared" ref="AA4:AA47" si="5">X4*Y4%</f>
        <v>391</v>
      </c>
      <c r="AB4" s="63">
        <f t="shared" ref="AB4:AB47" si="6">X4*Z4%</f>
        <v>782.92</v>
      </c>
      <c r="AC4" s="69">
        <v>9180</v>
      </c>
      <c r="AD4" s="70">
        <v>4.2</v>
      </c>
      <c r="AE4" s="70">
        <v>8.3699999999999992</v>
      </c>
      <c r="AF4" s="62">
        <f t="shared" ref="AF4" si="7">AC4*AD4%</f>
        <v>385.56</v>
      </c>
      <c r="AG4" s="63">
        <f t="shared" ref="AG4" si="8">AC4*AE4%</f>
        <v>768.36599999999999</v>
      </c>
      <c r="AH4" s="142">
        <v>10333</v>
      </c>
      <c r="AI4" s="139">
        <v>4.3899999999999997</v>
      </c>
      <c r="AJ4" s="139">
        <v>8.49</v>
      </c>
      <c r="AK4" s="62">
        <f t="shared" ref="AK4" si="9">AH4*AI4%</f>
        <v>453.61869999999993</v>
      </c>
      <c r="AL4" s="72">
        <f t="shared" ref="AL4" si="10">AH4*AJ4%</f>
        <v>877.27170000000001</v>
      </c>
      <c r="AM4" s="81">
        <f>+D4+R4-AC4-AH4</f>
        <v>21.882499999999709</v>
      </c>
      <c r="AN4" s="80">
        <f t="shared" ref="AN4:AO4" si="11">+G4+S4-AF4-AK4</f>
        <v>16.713514000000146</v>
      </c>
      <c r="AO4" s="80">
        <f t="shared" si="11"/>
        <v>14.802974999999833</v>
      </c>
      <c r="AP4" s="115">
        <f>(AN4+AO4)/(S4+T4)</f>
        <v>1.7069776088465691E-2</v>
      </c>
      <c r="AQ4" s="116">
        <f t="shared" ref="AQ4:AQ65" si="12">($AP$1*AN4+$AQ$1*AO4)</f>
        <v>11932.999241240017</v>
      </c>
      <c r="AR4" s="90">
        <f>(D4+J4+O4)-(X4+AH4)</f>
        <v>1.882499999999709</v>
      </c>
    </row>
    <row r="5" spans="1:44" ht="15.75" x14ac:dyDescent="0.25">
      <c r="A5" t="str">
        <f t="shared" ref="A5:A65" si="13">CONCATENATE(B5,C5)</f>
        <v>46174E</v>
      </c>
      <c r="B5" s="51">
        <f>+B4</f>
        <v>46174</v>
      </c>
      <c r="C5" s="100" t="s">
        <v>88</v>
      </c>
      <c r="D5" s="106">
        <v>10333</v>
      </c>
      <c r="E5" s="107">
        <v>4.3899999999999997</v>
      </c>
      <c r="F5" s="107">
        <v>8.49</v>
      </c>
      <c r="G5" s="62">
        <f t="shared" si="0"/>
        <v>453.61869999999993</v>
      </c>
      <c r="H5" s="72">
        <f t="shared" si="1"/>
        <v>877.27170000000001</v>
      </c>
      <c r="I5" s="121">
        <v>5350.2000000000007</v>
      </c>
      <c r="J5" s="121">
        <v>5510.706000000001</v>
      </c>
      <c r="K5" s="121">
        <v>3.933136144443198</v>
      </c>
      <c r="L5" s="121">
        <v>8.3440020933796806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4">+J5+O5</f>
        <v>5510.706000000001</v>
      </c>
      <c r="S5" s="62">
        <f t="shared" ref="S5:S65" si="15">+J5*K5%+O5*P5%</f>
        <v>216.74356950000001</v>
      </c>
      <c r="T5" s="63">
        <f t="shared" ref="T5:T65" si="16">+J5*L5%+O5*Q5%</f>
        <v>459.81342399999977</v>
      </c>
      <c r="U5" s="103" t="s">
        <v>280</v>
      </c>
      <c r="V5" s="104" t="s">
        <v>281</v>
      </c>
      <c r="W5" s="105" t="s">
        <v>208</v>
      </c>
      <c r="X5" s="113">
        <v>7200</v>
      </c>
      <c r="Y5" s="114">
        <v>4.3</v>
      </c>
      <c r="Z5" s="114">
        <v>8.52</v>
      </c>
      <c r="AA5" s="62">
        <f t="shared" si="5"/>
        <v>309.59999999999997</v>
      </c>
      <c r="AB5" s="63">
        <f t="shared" si="6"/>
        <v>613.43999999999994</v>
      </c>
      <c r="AC5" s="69">
        <v>7130</v>
      </c>
      <c r="AD5" s="70">
        <v>4.2000000000000011</v>
      </c>
      <c r="AE5" s="70">
        <v>8.3699999999999992</v>
      </c>
      <c r="AF5" s="62">
        <f t="shared" ref="AF5:AF65" si="17">AC5*AD5%</f>
        <v>299.46000000000009</v>
      </c>
      <c r="AG5" s="63">
        <f t="shared" ref="AG5:AG65" si="18">AC5*AE5%</f>
        <v>596.78099999999995</v>
      </c>
      <c r="AH5" s="142">
        <v>8642</v>
      </c>
      <c r="AI5" s="139">
        <v>4.29</v>
      </c>
      <c r="AJ5" s="139">
        <v>8.39</v>
      </c>
      <c r="AK5" s="62">
        <f t="shared" ref="AK5:AK65" si="19">AH5*AI5%</f>
        <v>370.74180000000001</v>
      </c>
      <c r="AL5" s="72">
        <f t="shared" ref="AL5:AL65" si="20">AH5*AJ5%</f>
        <v>725.06380000000001</v>
      </c>
      <c r="AM5" s="81">
        <f t="shared" ref="AM5:AM65" si="21">+D5+R5-AC5-AH5</f>
        <v>71.70600000000195</v>
      </c>
      <c r="AN5" s="80">
        <f t="shared" ref="AN5:AN65" si="22">+G5+S5-AF5-AK5</f>
        <v>0.16046949999980598</v>
      </c>
      <c r="AO5" s="80">
        <f t="shared" ref="AO5:AO65" si="23">+H5+T5-AG5-AL5</f>
        <v>15.24032399999976</v>
      </c>
      <c r="AP5" s="115">
        <f t="shared" ref="AP5:AP65" si="24">(AN5+AO5)/(S5+T5)</f>
        <v>2.2763482822529674E-2</v>
      </c>
      <c r="AQ5" s="116">
        <f t="shared" si="12"/>
        <v>4633.058927804841</v>
      </c>
      <c r="AR5" s="90">
        <f t="shared" ref="AR5:AR13" si="25">(D5+J5+O5)-(X5+AH5)</f>
        <v>1.70600000000195</v>
      </c>
    </row>
    <row r="6" spans="1:44" ht="15.75" x14ac:dyDescent="0.25">
      <c r="A6" t="str">
        <f t="shared" si="13"/>
        <v>46175M</v>
      </c>
      <c r="B6" s="51">
        <f>+B4+1</f>
        <v>46175</v>
      </c>
      <c r="C6" s="100" t="s">
        <v>87</v>
      </c>
      <c r="D6" s="106">
        <v>8642</v>
      </c>
      <c r="E6" s="107">
        <v>4.29</v>
      </c>
      <c r="F6" s="107">
        <v>8.39</v>
      </c>
      <c r="G6" s="62">
        <f t="shared" si="0"/>
        <v>370.74180000000001</v>
      </c>
      <c r="H6" s="72">
        <f t="shared" si="1"/>
        <v>725.06380000000001</v>
      </c>
      <c r="I6" s="121">
        <v>5230.3</v>
      </c>
      <c r="J6" s="121">
        <v>5387.2090000000007</v>
      </c>
      <c r="K6" s="121">
        <v>4.571716727529969</v>
      </c>
      <c r="L6" s="121">
        <v>8.3890637248341395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4"/>
        <v>5387.2090000000007</v>
      </c>
      <c r="S6" s="62">
        <f t="shared" si="15"/>
        <v>246.287935</v>
      </c>
      <c r="T6" s="63">
        <f t="shared" si="16"/>
        <v>451.93639600000006</v>
      </c>
      <c r="U6" s="103" t="s">
        <v>278</v>
      </c>
      <c r="V6" s="104" t="s">
        <v>282</v>
      </c>
      <c r="W6" s="105" t="s">
        <v>208</v>
      </c>
      <c r="X6" s="113">
        <v>9200</v>
      </c>
      <c r="Y6" s="114">
        <v>4.3499999999999996</v>
      </c>
      <c r="Z6" s="114">
        <v>8.5299999999999994</v>
      </c>
      <c r="AA6" s="62">
        <f t="shared" si="5"/>
        <v>400.2</v>
      </c>
      <c r="AB6" s="63">
        <f t="shared" si="6"/>
        <v>784.75999999999988</v>
      </c>
      <c r="AC6" s="69">
        <v>9170</v>
      </c>
      <c r="AD6" s="70">
        <v>4.2999999999999989</v>
      </c>
      <c r="AE6" s="70">
        <v>8.52</v>
      </c>
      <c r="AF6" s="62">
        <f t="shared" si="17"/>
        <v>394.30999999999989</v>
      </c>
      <c r="AG6" s="63">
        <f t="shared" si="18"/>
        <v>781.28399999999999</v>
      </c>
      <c r="AH6" s="142">
        <v>4829</v>
      </c>
      <c r="AI6" s="139">
        <v>4.3899999999999997</v>
      </c>
      <c r="AJ6" s="139">
        <v>8.39</v>
      </c>
      <c r="AK6" s="62">
        <f t="shared" si="19"/>
        <v>211.99309999999997</v>
      </c>
      <c r="AL6" s="72">
        <f t="shared" si="20"/>
        <v>405.15309999999999</v>
      </c>
      <c r="AM6" s="81">
        <f t="shared" si="21"/>
        <v>30.209000000000742</v>
      </c>
      <c r="AN6" s="80">
        <f t="shared" si="22"/>
        <v>10.726635000000215</v>
      </c>
      <c r="AO6" s="80">
        <f t="shared" si="23"/>
        <v>-9.4369040000000268</v>
      </c>
      <c r="AP6" s="115">
        <f t="shared" si="24"/>
        <v>1.8471584886665712E-3</v>
      </c>
      <c r="AQ6" s="116">
        <f t="shared" si="12"/>
        <v>1991.0800014234219</v>
      </c>
      <c r="AR6" s="90">
        <f t="shared" si="25"/>
        <v>0.20900000000074215</v>
      </c>
    </row>
    <row r="7" spans="1:44" ht="15.75" x14ac:dyDescent="0.25">
      <c r="A7" t="str">
        <f t="shared" si="13"/>
        <v>46175E</v>
      </c>
      <c r="B7" s="51">
        <f>+B5+1</f>
        <v>46175</v>
      </c>
      <c r="C7" s="100" t="s">
        <v>88</v>
      </c>
      <c r="D7" s="106">
        <v>4829</v>
      </c>
      <c r="E7" s="107">
        <v>4.3899999999999997</v>
      </c>
      <c r="F7" s="107">
        <v>8.39</v>
      </c>
      <c r="G7" s="62">
        <f t="shared" si="0"/>
        <v>211.99309999999997</v>
      </c>
      <c r="H7" s="72">
        <f t="shared" si="1"/>
        <v>405.15309999999999</v>
      </c>
      <c r="I7" s="121">
        <v>4955.4500000000007</v>
      </c>
      <c r="J7" s="121">
        <v>5104.1135000000013</v>
      </c>
      <c r="K7" s="121">
        <v>3.7572319365547031</v>
      </c>
      <c r="L7" s="121">
        <v>8.3224419578443918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4"/>
        <v>5104.1135000000013</v>
      </c>
      <c r="S7" s="62">
        <f t="shared" si="15"/>
        <v>191.77338250000008</v>
      </c>
      <c r="T7" s="63">
        <f t="shared" si="16"/>
        <v>424.78688349999999</v>
      </c>
      <c r="U7" s="103" t="s">
        <v>167</v>
      </c>
      <c r="V7" s="104" t="s">
        <v>167</v>
      </c>
      <c r="W7" s="139">
        <v>0</v>
      </c>
      <c r="X7" s="113">
        <v>0</v>
      </c>
      <c r="Y7" s="114">
        <v>0</v>
      </c>
      <c r="Z7" s="114">
        <v>0</v>
      </c>
      <c r="AA7" s="62">
        <f t="shared" si="5"/>
        <v>0</v>
      </c>
      <c r="AB7" s="63">
        <f t="shared" si="6"/>
        <v>0</v>
      </c>
      <c r="AC7" s="69"/>
      <c r="AD7" s="70"/>
      <c r="AE7" s="70"/>
      <c r="AF7" s="62">
        <f t="shared" si="17"/>
        <v>0</v>
      </c>
      <c r="AG7" s="63">
        <f t="shared" si="18"/>
        <v>0</v>
      </c>
      <c r="AH7" s="142">
        <v>9932</v>
      </c>
      <c r="AI7" s="139">
        <v>4.0599999999999996</v>
      </c>
      <c r="AJ7" s="139">
        <v>8.35</v>
      </c>
      <c r="AK7" s="62">
        <f t="shared" si="19"/>
        <v>403.23919999999998</v>
      </c>
      <c r="AL7" s="72">
        <f t="shared" si="20"/>
        <v>829.32199999999989</v>
      </c>
      <c r="AM7" s="81">
        <f t="shared" si="21"/>
        <v>1.1135000000012951</v>
      </c>
      <c r="AN7" s="80">
        <f t="shared" si="22"/>
        <v>0.52728250000006938</v>
      </c>
      <c r="AO7" s="80">
        <f t="shared" si="23"/>
        <v>0.61798350000003666</v>
      </c>
      <c r="AP7" s="115">
        <f t="shared" si="24"/>
        <v>1.8575086056552756E-3</v>
      </c>
      <c r="AQ7" s="116">
        <f t="shared" si="12"/>
        <v>421.64836906504217</v>
      </c>
      <c r="AR7" s="90">
        <f t="shared" si="25"/>
        <v>1.1135000000012951</v>
      </c>
    </row>
    <row r="8" spans="1:44" ht="15.75" x14ac:dyDescent="0.25">
      <c r="A8" t="str">
        <f t="shared" si="13"/>
        <v>46176M</v>
      </c>
      <c r="B8" s="51">
        <f>+B6+1</f>
        <v>46176</v>
      </c>
      <c r="C8" s="100" t="s">
        <v>87</v>
      </c>
      <c r="D8" s="106">
        <v>9932</v>
      </c>
      <c r="E8" s="107">
        <v>4.0599999999999996</v>
      </c>
      <c r="F8" s="107">
        <v>8.35</v>
      </c>
      <c r="G8" s="62">
        <f t="shared" si="0"/>
        <v>403.23919999999998</v>
      </c>
      <c r="H8" s="72">
        <f t="shared" si="1"/>
        <v>829.32199999999989</v>
      </c>
      <c r="I8" s="121">
        <v>7281.75</v>
      </c>
      <c r="J8" s="121">
        <v>7500.2025000000003</v>
      </c>
      <c r="K8" s="121">
        <v>4.328766436639544</v>
      </c>
      <c r="L8" s="121">
        <v>8.3371806227898535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4"/>
        <v>7500.2025000000003</v>
      </c>
      <c r="S8" s="62">
        <f t="shared" si="15"/>
        <v>324.66624849999999</v>
      </c>
      <c r="T8" s="63">
        <f t="shared" si="16"/>
        <v>625.30542950000017</v>
      </c>
      <c r="U8" s="103" t="s">
        <v>283</v>
      </c>
      <c r="V8" s="104" t="s">
        <v>284</v>
      </c>
      <c r="W8" s="105" t="s">
        <v>208</v>
      </c>
      <c r="X8" s="113">
        <v>17010</v>
      </c>
      <c r="Y8" s="114">
        <v>4.24</v>
      </c>
      <c r="Z8" s="114">
        <v>8.3800000000000008</v>
      </c>
      <c r="AA8" s="62">
        <f t="shared" si="5"/>
        <v>721.22400000000005</v>
      </c>
      <c r="AB8" s="63">
        <f t="shared" si="6"/>
        <v>1425.4380000000003</v>
      </c>
      <c r="AC8" s="69">
        <v>16970</v>
      </c>
      <c r="AD8" s="70">
        <v>4.1727165586328816</v>
      </c>
      <c r="AE8" s="70">
        <v>8.3357572186210973</v>
      </c>
      <c r="AF8" s="62">
        <f t="shared" si="17"/>
        <v>708.11</v>
      </c>
      <c r="AG8" s="63">
        <f t="shared" si="18"/>
        <v>1414.5780000000002</v>
      </c>
      <c r="AH8" s="142">
        <v>420</v>
      </c>
      <c r="AI8" s="139">
        <v>4.17</v>
      </c>
      <c r="AJ8" s="139">
        <v>8.35</v>
      </c>
      <c r="AK8" s="62">
        <f t="shared" si="19"/>
        <v>17.513999999999999</v>
      </c>
      <c r="AL8" s="72">
        <f t="shared" si="20"/>
        <v>35.069999999999993</v>
      </c>
      <c r="AM8" s="81">
        <f t="shared" si="21"/>
        <v>42.202499999999418</v>
      </c>
      <c r="AN8" s="80">
        <f t="shared" si="22"/>
        <v>2.2814484999999074</v>
      </c>
      <c r="AO8" s="80">
        <f t="shared" si="23"/>
        <v>4.9794294999998669</v>
      </c>
      <c r="AP8" s="115">
        <f t="shared" si="24"/>
        <v>7.643257339299092E-3</v>
      </c>
      <c r="AQ8" s="116">
        <f t="shared" si="12"/>
        <v>2514.3755106982521</v>
      </c>
      <c r="AR8" s="90">
        <f t="shared" si="25"/>
        <v>2.2024999999994179</v>
      </c>
    </row>
    <row r="9" spans="1:44" ht="15.75" x14ac:dyDescent="0.25">
      <c r="A9" t="str">
        <f t="shared" si="13"/>
        <v>46176E</v>
      </c>
      <c r="B9" s="51">
        <f t="shared" ref="B9:B65" si="26">+B7+1</f>
        <v>46176</v>
      </c>
      <c r="C9" s="100" t="s">
        <v>88</v>
      </c>
      <c r="D9" s="106">
        <v>420</v>
      </c>
      <c r="E9" s="107">
        <v>4.17</v>
      </c>
      <c r="F9" s="107">
        <v>8.35</v>
      </c>
      <c r="G9" s="62">
        <f t="shared" si="0"/>
        <v>17.513999999999999</v>
      </c>
      <c r="H9" s="72">
        <f t="shared" si="1"/>
        <v>35.069999999999993</v>
      </c>
      <c r="I9" s="121">
        <v>7417.1499999999987</v>
      </c>
      <c r="J9" s="121">
        <v>7639.664499999999</v>
      </c>
      <c r="K9" s="121">
        <v>3.9226212224371886</v>
      </c>
      <c r="L9" s="121">
        <v>8.3215743243698714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4"/>
        <v>7639.664499999999</v>
      </c>
      <c r="S9" s="62">
        <f t="shared" si="15"/>
        <v>299.67510099999987</v>
      </c>
      <c r="T9" s="63">
        <f t="shared" si="16"/>
        <v>635.74035949999984</v>
      </c>
      <c r="U9" s="103" t="s">
        <v>167</v>
      </c>
      <c r="V9" s="104" t="s">
        <v>167</v>
      </c>
      <c r="W9" s="139">
        <v>0</v>
      </c>
      <c r="X9" s="113">
        <v>0</v>
      </c>
      <c r="Y9" s="114">
        <v>0</v>
      </c>
      <c r="Z9" s="114">
        <v>0</v>
      </c>
      <c r="AA9" s="62">
        <f t="shared" si="5"/>
        <v>0</v>
      </c>
      <c r="AB9" s="63">
        <f t="shared" si="6"/>
        <v>0</v>
      </c>
      <c r="AC9" s="69"/>
      <c r="AD9" s="70"/>
      <c r="AE9" s="70"/>
      <c r="AF9" s="62">
        <f t="shared" si="17"/>
        <v>0</v>
      </c>
      <c r="AG9" s="63">
        <f t="shared" si="18"/>
        <v>0</v>
      </c>
      <c r="AH9" s="142">
        <v>8058</v>
      </c>
      <c r="AI9" s="139">
        <v>3.95</v>
      </c>
      <c r="AJ9" s="139">
        <v>8.33</v>
      </c>
      <c r="AK9" s="62">
        <f t="shared" si="19"/>
        <v>318.291</v>
      </c>
      <c r="AL9" s="72">
        <f t="shared" si="20"/>
        <v>671.23140000000001</v>
      </c>
      <c r="AM9" s="81">
        <f t="shared" si="21"/>
        <v>1.6644999999989523</v>
      </c>
      <c r="AN9" s="80">
        <f t="shared" si="22"/>
        <v>-1.1018990000001168</v>
      </c>
      <c r="AO9" s="80">
        <f t="shared" si="23"/>
        <v>-0.42104050000023108</v>
      </c>
      <c r="AP9" s="115">
        <f t="shared" si="24"/>
        <v>-1.6280888699298428E-3</v>
      </c>
      <c r="AQ9" s="116">
        <f t="shared" si="12"/>
        <v>-620.65967399345493</v>
      </c>
      <c r="AR9" s="90">
        <f t="shared" si="25"/>
        <v>1.6644999999989523</v>
      </c>
    </row>
    <row r="10" spans="1:44" ht="15.75" x14ac:dyDescent="0.25">
      <c r="A10" t="str">
        <f t="shared" si="13"/>
        <v>46177M</v>
      </c>
      <c r="B10" s="51">
        <f t="shared" si="26"/>
        <v>46177</v>
      </c>
      <c r="C10" s="100" t="s">
        <v>87</v>
      </c>
      <c r="D10" s="106">
        <v>8058</v>
      </c>
      <c r="E10" s="107">
        <v>3.95</v>
      </c>
      <c r="F10" s="107">
        <v>8.33</v>
      </c>
      <c r="G10" s="62">
        <f t="shared" si="0"/>
        <v>318.291</v>
      </c>
      <c r="H10" s="72">
        <f t="shared" si="1"/>
        <v>671.23140000000001</v>
      </c>
      <c r="I10" s="121">
        <v>6598.2000000000016</v>
      </c>
      <c r="J10" s="121">
        <v>6796.1460000000015</v>
      </c>
      <c r="K10" s="121">
        <v>4.3027090721711989</v>
      </c>
      <c r="L10" s="121">
        <v>8.2589744172653194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4"/>
        <v>6796.1460000000015</v>
      </c>
      <c r="S10" s="62">
        <f t="shared" si="15"/>
        <v>292.4183905000001</v>
      </c>
      <c r="T10" s="63">
        <f t="shared" si="16"/>
        <v>561.29195950000042</v>
      </c>
      <c r="U10" s="103" t="s">
        <v>278</v>
      </c>
      <c r="V10" s="104" t="s">
        <v>285</v>
      </c>
      <c r="W10" s="105" t="s">
        <v>208</v>
      </c>
      <c r="X10" s="113">
        <v>9200</v>
      </c>
      <c r="Y10" s="114">
        <v>4.2</v>
      </c>
      <c r="Z10" s="114">
        <v>8.5</v>
      </c>
      <c r="AA10" s="62">
        <f t="shared" si="5"/>
        <v>386.40000000000003</v>
      </c>
      <c r="AB10" s="63">
        <f t="shared" si="6"/>
        <v>782</v>
      </c>
      <c r="AC10" s="69">
        <v>9170</v>
      </c>
      <c r="AD10" s="70">
        <v>4.0999999999999988</v>
      </c>
      <c r="AE10" s="70">
        <v>8.35</v>
      </c>
      <c r="AF10" s="62">
        <f t="shared" si="17"/>
        <v>375.96999999999991</v>
      </c>
      <c r="AG10" s="63">
        <f t="shared" si="18"/>
        <v>765.69499999999994</v>
      </c>
      <c r="AH10" s="142">
        <v>5652</v>
      </c>
      <c r="AI10" s="139">
        <v>4.1100000000000003</v>
      </c>
      <c r="AJ10" s="139">
        <v>8.3000000000000007</v>
      </c>
      <c r="AK10" s="62">
        <f t="shared" si="19"/>
        <v>232.29720000000003</v>
      </c>
      <c r="AL10" s="72">
        <f t="shared" si="20"/>
        <v>469.11600000000004</v>
      </c>
      <c r="AM10" s="81">
        <f t="shared" si="21"/>
        <v>32.14600000000064</v>
      </c>
      <c r="AN10" s="80">
        <f t="shared" si="22"/>
        <v>2.4421905000002084</v>
      </c>
      <c r="AO10" s="80">
        <f t="shared" si="23"/>
        <v>-2.2876404999995543</v>
      </c>
      <c r="AP10" s="115">
        <f t="shared" si="24"/>
        <v>1.810332977697342E-4</v>
      </c>
      <c r="AQ10" s="116">
        <f t="shared" si="12"/>
        <v>411.6939394518937</v>
      </c>
      <c r="AR10" s="90">
        <f t="shared" si="25"/>
        <v>2.1460000000006403</v>
      </c>
    </row>
    <row r="11" spans="1:44" ht="15.75" x14ac:dyDescent="0.25">
      <c r="A11" t="str">
        <f t="shared" si="13"/>
        <v>46177E</v>
      </c>
      <c r="B11" s="51">
        <f t="shared" si="26"/>
        <v>46177</v>
      </c>
      <c r="C11" s="100" t="s">
        <v>88</v>
      </c>
      <c r="D11" s="106">
        <v>5652</v>
      </c>
      <c r="E11" s="107">
        <v>4.1100000000000003</v>
      </c>
      <c r="F11" s="107">
        <v>8.3000000000000007</v>
      </c>
      <c r="G11" s="62">
        <f t="shared" si="0"/>
        <v>232.29720000000003</v>
      </c>
      <c r="H11" s="72">
        <f t="shared" si="1"/>
        <v>469.11600000000004</v>
      </c>
      <c r="I11" s="121">
        <v>9806</v>
      </c>
      <c r="J11" s="121">
        <v>10100.18</v>
      </c>
      <c r="K11" s="121">
        <v>4.2029685906587808</v>
      </c>
      <c r="L11" s="121">
        <v>8.331225780134611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4"/>
        <v>10100.18</v>
      </c>
      <c r="S11" s="62">
        <f t="shared" si="15"/>
        <v>424.50739300000009</v>
      </c>
      <c r="T11" s="63">
        <f t="shared" si="16"/>
        <v>841.46879999999999</v>
      </c>
      <c r="U11" s="103" t="s">
        <v>286</v>
      </c>
      <c r="V11" s="104" t="s">
        <v>287</v>
      </c>
      <c r="W11" s="139" t="s">
        <v>208</v>
      </c>
      <c r="X11" s="113">
        <v>9810</v>
      </c>
      <c r="Y11" s="114">
        <v>4.4000000000000012</v>
      </c>
      <c r="Z11" s="114">
        <v>8.41</v>
      </c>
      <c r="AA11" s="62">
        <f t="shared" si="5"/>
        <v>431.6400000000001</v>
      </c>
      <c r="AB11" s="63">
        <f t="shared" si="6"/>
        <v>825.02100000000007</v>
      </c>
      <c r="AC11" s="69">
        <v>9700</v>
      </c>
      <c r="AD11" s="70">
        <v>4.3504123711340208</v>
      </c>
      <c r="AE11" s="70">
        <v>8.1500824742268048</v>
      </c>
      <c r="AF11" s="62">
        <f t="shared" si="17"/>
        <v>421.99</v>
      </c>
      <c r="AG11" s="63">
        <f t="shared" si="18"/>
        <v>790.55800000000011</v>
      </c>
      <c r="AH11" s="142">
        <v>6245</v>
      </c>
      <c r="AI11" s="139">
        <v>4.4000000000000004</v>
      </c>
      <c r="AJ11" s="139">
        <v>8.4499999999999993</v>
      </c>
      <c r="AK11" s="62">
        <f t="shared" si="19"/>
        <v>274.78000000000003</v>
      </c>
      <c r="AL11" s="72">
        <f t="shared" si="20"/>
        <v>527.70249999999999</v>
      </c>
      <c r="AM11" s="81">
        <f t="shared" si="21"/>
        <v>-192.81999999999971</v>
      </c>
      <c r="AN11" s="80">
        <f t="shared" si="22"/>
        <v>-39.965406999999971</v>
      </c>
      <c r="AO11" s="80">
        <f t="shared" si="23"/>
        <v>-7.6757000000000062</v>
      </c>
      <c r="AP11" s="115">
        <f t="shared" si="24"/>
        <v>-3.7631913825412651E-2</v>
      </c>
      <c r="AQ11" s="116">
        <f t="shared" si="12"/>
        <v>-20238.003181036656</v>
      </c>
      <c r="AR11" s="90">
        <f t="shared" si="25"/>
        <v>-302.81999999999971</v>
      </c>
    </row>
    <row r="12" spans="1:44" ht="15.75" x14ac:dyDescent="0.25">
      <c r="A12" t="str">
        <f t="shared" si="13"/>
        <v>46178M</v>
      </c>
      <c r="B12" s="51">
        <f t="shared" si="26"/>
        <v>46178</v>
      </c>
      <c r="C12" s="100" t="s">
        <v>87</v>
      </c>
      <c r="D12" s="106">
        <v>6245</v>
      </c>
      <c r="E12" s="107">
        <v>4.4000000000000004</v>
      </c>
      <c r="F12" s="107">
        <v>8.4499999999999993</v>
      </c>
      <c r="G12" s="62">
        <f t="shared" si="0"/>
        <v>274.78000000000003</v>
      </c>
      <c r="H12" s="72">
        <f t="shared" si="1"/>
        <v>527.70249999999999</v>
      </c>
      <c r="I12" s="121">
        <v>4225.3</v>
      </c>
      <c r="J12" s="121">
        <v>4352.0590000000002</v>
      </c>
      <c r="K12" s="121">
        <v>4.62</v>
      </c>
      <c r="L12" s="121">
        <v>8.4700000000000006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4"/>
        <v>4352.0590000000002</v>
      </c>
      <c r="S12" s="62">
        <f t="shared" si="15"/>
        <v>201.0651258</v>
      </c>
      <c r="T12" s="63">
        <f t="shared" si="16"/>
        <v>368.61939730000006</v>
      </c>
      <c r="U12" s="103" t="s">
        <v>278</v>
      </c>
      <c r="V12" s="104" t="s">
        <v>445</v>
      </c>
      <c r="W12" s="105" t="s">
        <v>208</v>
      </c>
      <c r="X12" s="113">
        <v>9200</v>
      </c>
      <c r="Y12" s="114">
        <v>4.3499999999999996</v>
      </c>
      <c r="Z12" s="114">
        <v>8.4</v>
      </c>
      <c r="AA12" s="62">
        <f t="shared" si="5"/>
        <v>400.2</v>
      </c>
      <c r="AB12" s="63">
        <f t="shared" si="6"/>
        <v>772.80000000000007</v>
      </c>
      <c r="AC12" s="69">
        <v>9140</v>
      </c>
      <c r="AD12" s="70">
        <v>4.3</v>
      </c>
      <c r="AE12" s="70">
        <v>8.27</v>
      </c>
      <c r="AF12" s="62">
        <f t="shared" si="17"/>
        <v>393.02</v>
      </c>
      <c r="AG12" s="63">
        <f t="shared" si="18"/>
        <v>755.87799999999993</v>
      </c>
      <c r="AH12" s="142">
        <v>1397</v>
      </c>
      <c r="AI12" s="139">
        <v>4.49</v>
      </c>
      <c r="AJ12" s="139">
        <v>8.4600000000000009</v>
      </c>
      <c r="AK12" s="62">
        <f t="shared" si="19"/>
        <v>62.725300000000004</v>
      </c>
      <c r="AL12" s="72">
        <f t="shared" si="20"/>
        <v>118.18620000000001</v>
      </c>
      <c r="AM12" s="81">
        <f t="shared" si="21"/>
        <v>60.059000000001106</v>
      </c>
      <c r="AN12" s="80">
        <f t="shared" si="22"/>
        <v>20.099825800000019</v>
      </c>
      <c r="AO12" s="80">
        <f t="shared" si="23"/>
        <v>22.257697300000103</v>
      </c>
      <c r="AP12" s="115">
        <f t="shared" si="24"/>
        <v>7.435259583586204E-2</v>
      </c>
      <c r="AQ12" s="116">
        <f t="shared" si="12"/>
        <v>15684.148063173376</v>
      </c>
      <c r="AR12" s="90">
        <f t="shared" si="25"/>
        <v>5.9000000001105946E-2</v>
      </c>
    </row>
    <row r="13" spans="1:44" ht="15.75" x14ac:dyDescent="0.25">
      <c r="A13" t="str">
        <f t="shared" si="13"/>
        <v>46178E</v>
      </c>
      <c r="B13" s="51">
        <f t="shared" si="26"/>
        <v>46178</v>
      </c>
      <c r="C13" s="100" t="s">
        <v>88</v>
      </c>
      <c r="D13" s="106">
        <v>1397</v>
      </c>
      <c r="E13" s="107">
        <v>4.49</v>
      </c>
      <c r="F13" s="107">
        <v>8.4600000000000009</v>
      </c>
      <c r="G13" s="62">
        <f t="shared" si="0"/>
        <v>62.725300000000004</v>
      </c>
      <c r="H13" s="72">
        <f t="shared" si="1"/>
        <v>118.18620000000001</v>
      </c>
      <c r="I13" s="121">
        <v>4612.3999999999996</v>
      </c>
      <c r="J13" s="121">
        <v>4750.7719999999999</v>
      </c>
      <c r="K13" s="121">
        <v>3.97</v>
      </c>
      <c r="L13" s="121">
        <v>8.36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4"/>
        <v>4750.7719999999999</v>
      </c>
      <c r="S13" s="62">
        <f t="shared" si="15"/>
        <v>188.60564840000001</v>
      </c>
      <c r="T13" s="63">
        <f t="shared" si="16"/>
        <v>397.16453919999998</v>
      </c>
      <c r="U13" s="103" t="s">
        <v>167</v>
      </c>
      <c r="V13" s="65" t="s">
        <v>167</v>
      </c>
      <c r="W13" s="139">
        <v>0</v>
      </c>
      <c r="X13" s="113">
        <v>0</v>
      </c>
      <c r="Y13" s="114">
        <v>0</v>
      </c>
      <c r="Z13" s="114">
        <v>0</v>
      </c>
      <c r="AA13" s="62">
        <f t="shared" si="5"/>
        <v>0</v>
      </c>
      <c r="AB13" s="63">
        <f t="shared" si="6"/>
        <v>0</v>
      </c>
      <c r="AC13" s="69"/>
      <c r="AD13" s="70"/>
      <c r="AE13" s="70"/>
      <c r="AF13" s="62">
        <f t="shared" si="17"/>
        <v>0</v>
      </c>
      <c r="AG13" s="63">
        <f t="shared" si="18"/>
        <v>0</v>
      </c>
      <c r="AH13" s="142">
        <v>6148</v>
      </c>
      <c r="AI13" s="139">
        <v>4.0999999999999996</v>
      </c>
      <c r="AJ13" s="139">
        <v>8.39</v>
      </c>
      <c r="AK13" s="62">
        <f t="shared" si="19"/>
        <v>252.06799999999996</v>
      </c>
      <c r="AL13" s="72">
        <f t="shared" si="20"/>
        <v>515.81720000000007</v>
      </c>
      <c r="AM13" s="81">
        <f t="shared" si="21"/>
        <v>-0.22800000000006548</v>
      </c>
      <c r="AN13" s="80">
        <f t="shared" si="22"/>
        <v>-0.73705159999994407</v>
      </c>
      <c r="AO13" s="80">
        <f t="shared" si="23"/>
        <v>-0.46646080000004986</v>
      </c>
      <c r="AP13" s="115">
        <f t="shared" si="24"/>
        <v>-2.0545811744551029E-3</v>
      </c>
      <c r="AQ13" s="116">
        <f t="shared" si="12"/>
        <v>-470.46911224132316</v>
      </c>
      <c r="AR13" s="90">
        <f t="shared" si="25"/>
        <v>-0.22800000000006548</v>
      </c>
    </row>
    <row r="14" spans="1:44" ht="15.75" x14ac:dyDescent="0.25">
      <c r="A14" t="str">
        <f t="shared" si="13"/>
        <v>46179M</v>
      </c>
      <c r="B14" s="51">
        <f t="shared" si="26"/>
        <v>46179</v>
      </c>
      <c r="C14" s="100" t="s">
        <v>87</v>
      </c>
      <c r="D14" s="91">
        <v>6148</v>
      </c>
      <c r="E14" s="62">
        <v>4.0999999999999996</v>
      </c>
      <c r="F14" s="62">
        <v>8.39</v>
      </c>
      <c r="G14" s="62">
        <f t="shared" si="0"/>
        <v>252.06799999999996</v>
      </c>
      <c r="H14" s="72">
        <f t="shared" si="1"/>
        <v>515.81720000000007</v>
      </c>
      <c r="I14" s="121">
        <v>5623.1</v>
      </c>
      <c r="J14" s="121">
        <v>5791.7930000000006</v>
      </c>
      <c r="K14" s="121">
        <v>4.38</v>
      </c>
      <c r="L14" s="121">
        <v>8.35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4"/>
        <v>5791.7930000000006</v>
      </c>
      <c r="S14" s="62">
        <f t="shared" si="15"/>
        <v>253.68053340000003</v>
      </c>
      <c r="T14" s="63">
        <f t="shared" si="16"/>
        <v>483.61471549999999</v>
      </c>
      <c r="U14" s="64" t="s">
        <v>286</v>
      </c>
      <c r="V14" s="65" t="s">
        <v>446</v>
      </c>
      <c r="W14" s="139" t="s">
        <v>208</v>
      </c>
      <c r="X14" s="67">
        <v>9810</v>
      </c>
      <c r="Y14" s="68">
        <v>4.4000000000000012</v>
      </c>
      <c r="Z14" s="68">
        <v>8.5400000000000009</v>
      </c>
      <c r="AA14" s="62">
        <f t="shared" si="5"/>
        <v>431.6400000000001</v>
      </c>
      <c r="AB14" s="63">
        <f t="shared" si="6"/>
        <v>837.774</v>
      </c>
      <c r="AC14" s="69">
        <v>9770</v>
      </c>
      <c r="AD14" s="70">
        <v>4.1497441146366425</v>
      </c>
      <c r="AE14" s="70">
        <v>8.3599488229273273</v>
      </c>
      <c r="AF14" s="62">
        <f t="shared" si="17"/>
        <v>405.42999999999995</v>
      </c>
      <c r="AG14" s="63">
        <f t="shared" si="18"/>
        <v>816.76699999999983</v>
      </c>
      <c r="AH14" s="142">
        <v>2130</v>
      </c>
      <c r="AI14" s="139">
        <v>4.2300000000000004</v>
      </c>
      <c r="AJ14" s="139">
        <v>8.3699999999999992</v>
      </c>
      <c r="AK14" s="62">
        <f t="shared" si="19"/>
        <v>90.099000000000004</v>
      </c>
      <c r="AL14" s="72">
        <f t="shared" si="20"/>
        <v>178.28100000000001</v>
      </c>
      <c r="AM14" s="81">
        <f t="shared" si="21"/>
        <v>39.793000000001484</v>
      </c>
      <c r="AN14" s="80">
        <f t="shared" si="22"/>
        <v>10.219533400000032</v>
      </c>
      <c r="AO14" s="80">
        <f t="shared" si="23"/>
        <v>4.3839155000002279</v>
      </c>
      <c r="AP14" s="115">
        <f t="shared" si="24"/>
        <v>1.9806785574419099E-2</v>
      </c>
      <c r="AQ14" s="116">
        <f t="shared" si="12"/>
        <v>5899.6397433307493</v>
      </c>
      <c r="AR14" s="90">
        <f t="shared" ref="AR14:AR19" si="27">(D14+J14+O14)-(X14+AH14)</f>
        <v>-0.2069999999985157</v>
      </c>
    </row>
    <row r="15" spans="1:44" ht="15.75" x14ac:dyDescent="0.25">
      <c r="A15" t="str">
        <f t="shared" si="13"/>
        <v>46179E</v>
      </c>
      <c r="B15" s="51">
        <f t="shared" si="26"/>
        <v>46179</v>
      </c>
      <c r="C15" s="100" t="s">
        <v>88</v>
      </c>
      <c r="D15" s="91">
        <v>2130</v>
      </c>
      <c r="E15" s="62">
        <v>4.2300000000000004</v>
      </c>
      <c r="F15" s="62">
        <v>8.3699999999999992</v>
      </c>
      <c r="G15" s="62">
        <f t="shared" si="0"/>
        <v>90.099000000000004</v>
      </c>
      <c r="H15" s="72">
        <f t="shared" si="1"/>
        <v>178.28100000000001</v>
      </c>
      <c r="I15" s="121">
        <v>8409.7999999999993</v>
      </c>
      <c r="J15" s="121">
        <v>8662.0939999999991</v>
      </c>
      <c r="K15" s="121">
        <v>4.1100000000000003</v>
      </c>
      <c r="L15" s="121">
        <v>8.33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4"/>
        <v>8662.0939999999991</v>
      </c>
      <c r="S15" s="62">
        <f t="shared" si="15"/>
        <v>356.01206339999999</v>
      </c>
      <c r="T15" s="63">
        <f t="shared" si="16"/>
        <v>721.55243019999989</v>
      </c>
      <c r="U15" s="64" t="s">
        <v>278</v>
      </c>
      <c r="V15" s="65" t="s">
        <v>447</v>
      </c>
      <c r="W15" s="139" t="s">
        <v>208</v>
      </c>
      <c r="X15" s="67">
        <v>9200</v>
      </c>
      <c r="Y15" s="68">
        <v>4.2</v>
      </c>
      <c r="Z15" s="68">
        <v>8.5</v>
      </c>
      <c r="AA15" s="62">
        <f t="shared" si="5"/>
        <v>386.40000000000003</v>
      </c>
      <c r="AB15" s="63">
        <f t="shared" si="6"/>
        <v>782</v>
      </c>
      <c r="AC15" s="69">
        <v>9190</v>
      </c>
      <c r="AD15" s="70">
        <v>4.125081610446137</v>
      </c>
      <c r="AE15" s="70">
        <v>8.3550163220892255</v>
      </c>
      <c r="AF15" s="62">
        <f t="shared" si="17"/>
        <v>379.09500000000003</v>
      </c>
      <c r="AG15" s="63">
        <f t="shared" si="18"/>
        <v>767.82599999999991</v>
      </c>
      <c r="AH15" s="142">
        <v>1592</v>
      </c>
      <c r="AI15" s="139">
        <v>4.1399999999999997</v>
      </c>
      <c r="AJ15" s="139">
        <v>8.35</v>
      </c>
      <c r="AK15" s="62">
        <f t="shared" si="19"/>
        <v>65.908799999999999</v>
      </c>
      <c r="AL15" s="72">
        <f t="shared" si="20"/>
        <v>132.93199999999999</v>
      </c>
      <c r="AM15" s="81">
        <f t="shared" si="21"/>
        <v>10.093999999999141</v>
      </c>
      <c r="AN15" s="80">
        <f t="shared" si="22"/>
        <v>1.107263399999951</v>
      </c>
      <c r="AO15" s="80">
        <f t="shared" si="23"/>
        <v>-0.92456980000005728</v>
      </c>
      <c r="AP15" s="115">
        <f t="shared" si="24"/>
        <v>1.6954307708259644E-4</v>
      </c>
      <c r="AQ15" s="116">
        <f t="shared" si="12"/>
        <v>220.36252694862753</v>
      </c>
      <c r="AR15" s="90">
        <f t="shared" si="27"/>
        <v>9.3999999999141437E-2</v>
      </c>
    </row>
    <row r="16" spans="1:44" ht="15.75" x14ac:dyDescent="0.25">
      <c r="A16" t="str">
        <f t="shared" si="13"/>
        <v>46180M</v>
      </c>
      <c r="B16" s="51">
        <f t="shared" si="26"/>
        <v>46180</v>
      </c>
      <c r="C16" s="100" t="s">
        <v>87</v>
      </c>
      <c r="D16" s="91">
        <v>1592</v>
      </c>
      <c r="E16" s="62">
        <v>4.1399999999999997</v>
      </c>
      <c r="F16" s="62">
        <v>8.35</v>
      </c>
      <c r="G16" s="62">
        <f t="shared" si="0"/>
        <v>65.908799999999999</v>
      </c>
      <c r="H16" s="72">
        <f t="shared" si="1"/>
        <v>132.93199999999999</v>
      </c>
      <c r="I16" s="121">
        <v>7685.2</v>
      </c>
      <c r="J16" s="121">
        <v>7915.7560000000003</v>
      </c>
      <c r="K16" s="121">
        <v>4.18</v>
      </c>
      <c r="L16" s="121">
        <v>8.3699999999999992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4"/>
        <v>7915.7560000000003</v>
      </c>
      <c r="S16" s="62">
        <f t="shared" si="15"/>
        <v>330.87860080000002</v>
      </c>
      <c r="T16" s="63">
        <f t="shared" si="16"/>
        <v>662.54877720000002</v>
      </c>
      <c r="U16" s="64" t="s">
        <v>167</v>
      </c>
      <c r="V16" s="65" t="s">
        <v>167</v>
      </c>
      <c r="W16" s="139">
        <v>0</v>
      </c>
      <c r="X16" s="67">
        <v>0</v>
      </c>
      <c r="Y16" s="68">
        <v>0</v>
      </c>
      <c r="Z16" s="68">
        <v>0</v>
      </c>
      <c r="AA16" s="62">
        <f t="shared" si="5"/>
        <v>0</v>
      </c>
      <c r="AB16" s="63">
        <f t="shared" si="6"/>
        <v>0</v>
      </c>
      <c r="AC16" s="69"/>
      <c r="AD16" s="70"/>
      <c r="AE16" s="70"/>
      <c r="AF16" s="62">
        <f t="shared" si="17"/>
        <v>0</v>
      </c>
      <c r="AG16" s="63">
        <f t="shared" si="18"/>
        <v>0</v>
      </c>
      <c r="AH16" s="142">
        <v>9508</v>
      </c>
      <c r="AI16" s="139">
        <v>4.17</v>
      </c>
      <c r="AJ16" s="139">
        <v>8.3699999999999992</v>
      </c>
      <c r="AK16" s="62">
        <f t="shared" si="19"/>
        <v>396.48360000000002</v>
      </c>
      <c r="AL16" s="72">
        <f t="shared" si="20"/>
        <v>795.81959999999992</v>
      </c>
      <c r="AM16" s="81">
        <f t="shared" si="21"/>
        <v>-0.24399999999877764</v>
      </c>
      <c r="AN16" s="80">
        <f t="shared" si="22"/>
        <v>0.30380079999997633</v>
      </c>
      <c r="AO16" s="80">
        <f t="shared" si="23"/>
        <v>-0.33882279999988896</v>
      </c>
      <c r="AP16" s="115">
        <f t="shared" si="24"/>
        <v>-3.5253709305274071E-5</v>
      </c>
      <c r="AQ16" s="116">
        <f t="shared" si="12"/>
        <v>34.97858836268928</v>
      </c>
      <c r="AR16" s="90">
        <f t="shared" si="27"/>
        <v>-0.24399999999877764</v>
      </c>
    </row>
    <row r="17" spans="1:49" ht="15.75" x14ac:dyDescent="0.25">
      <c r="A17" t="str">
        <f t="shared" si="13"/>
        <v>46180E</v>
      </c>
      <c r="B17" s="51">
        <f t="shared" si="26"/>
        <v>46180</v>
      </c>
      <c r="C17" s="100" t="s">
        <v>88</v>
      </c>
      <c r="D17" s="91">
        <v>9508</v>
      </c>
      <c r="E17" s="62">
        <v>4.17</v>
      </c>
      <c r="F17" s="62">
        <v>8.3699999999999992</v>
      </c>
      <c r="G17" s="62">
        <f t="shared" si="0"/>
        <v>396.48360000000002</v>
      </c>
      <c r="H17" s="72">
        <f t="shared" si="1"/>
        <v>795.81959999999992</v>
      </c>
      <c r="I17" s="121">
        <v>5715.9</v>
      </c>
      <c r="J17" s="121">
        <v>5887.3769999999995</v>
      </c>
      <c r="K17" s="121">
        <v>4</v>
      </c>
      <c r="L17" s="121">
        <v>8.33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4"/>
        <v>5887.3769999999995</v>
      </c>
      <c r="S17" s="62">
        <f t="shared" si="15"/>
        <v>235.49507999999997</v>
      </c>
      <c r="T17" s="63">
        <f t="shared" si="16"/>
        <v>490.41850409999995</v>
      </c>
      <c r="U17" s="64" t="s">
        <v>286</v>
      </c>
      <c r="V17" s="65" t="s">
        <v>448</v>
      </c>
      <c r="W17" s="66" t="s">
        <v>208</v>
      </c>
      <c r="X17" s="67">
        <v>9810</v>
      </c>
      <c r="Y17" s="68">
        <v>4.05</v>
      </c>
      <c r="Z17" s="68">
        <v>8.34</v>
      </c>
      <c r="AA17" s="62">
        <f t="shared" si="5"/>
        <v>397.30500000000001</v>
      </c>
      <c r="AB17" s="63">
        <f t="shared" si="6"/>
        <v>818.154</v>
      </c>
      <c r="AC17" s="69">
        <v>9740</v>
      </c>
      <c r="AD17" s="70">
        <v>3.9251540041067758</v>
      </c>
      <c r="AE17" s="70">
        <v>8.3150308008213543</v>
      </c>
      <c r="AF17" s="62">
        <f t="shared" si="17"/>
        <v>382.31</v>
      </c>
      <c r="AG17" s="63">
        <f t="shared" si="18"/>
        <v>809.8839999999999</v>
      </c>
      <c r="AH17" s="142">
        <v>5585</v>
      </c>
      <c r="AI17" s="139">
        <v>4.0999999999999996</v>
      </c>
      <c r="AJ17" s="139">
        <v>8.35</v>
      </c>
      <c r="AK17" s="62">
        <f t="shared" si="19"/>
        <v>228.98499999999996</v>
      </c>
      <c r="AL17" s="72">
        <f t="shared" si="20"/>
        <v>466.34749999999997</v>
      </c>
      <c r="AM17" s="81">
        <f t="shared" si="21"/>
        <v>70.377000000000407</v>
      </c>
      <c r="AN17" s="80">
        <f t="shared" si="22"/>
        <v>20.683679999999981</v>
      </c>
      <c r="AO17" s="80">
        <f t="shared" si="23"/>
        <v>10.006604100000004</v>
      </c>
      <c r="AP17" s="115">
        <f t="shared" si="24"/>
        <v>4.2278150970339427E-2</v>
      </c>
      <c r="AQ17" s="116">
        <f t="shared" si="12"/>
        <v>12279.820553153993</v>
      </c>
      <c r="AR17" s="90">
        <f t="shared" si="27"/>
        <v>0.37700000000040745</v>
      </c>
      <c r="AS17" s="90">
        <f>SUM(J4:J17)</f>
        <v>89762.954999999987</v>
      </c>
      <c r="AT17" s="83">
        <f>SUM(AM4:AM17)</f>
        <v>187.95500000000629</v>
      </c>
      <c r="AU17" s="83">
        <f>SUM(AN4:AN17)</f>
        <v>43.461285800000283</v>
      </c>
      <c r="AV17" s="83">
        <f>SUM(AO4:AO17)</f>
        <v>50.737790500000017</v>
      </c>
      <c r="AW17" s="83">
        <f>-SUM(AQ4:AQ17)</f>
        <v>-34694.673497381475</v>
      </c>
    </row>
    <row r="18" spans="1:49" ht="15.75" x14ac:dyDescent="0.25">
      <c r="A18" t="str">
        <f t="shared" si="13"/>
        <v>46181M</v>
      </c>
      <c r="B18" s="51">
        <f t="shared" si="26"/>
        <v>46181</v>
      </c>
      <c r="C18" s="100" t="s">
        <v>87</v>
      </c>
      <c r="D18" s="91">
        <v>5585</v>
      </c>
      <c r="E18" s="62">
        <v>4.0999999999999996</v>
      </c>
      <c r="F18" s="62">
        <v>8.35</v>
      </c>
      <c r="G18" s="62">
        <f t="shared" si="0"/>
        <v>228.98499999999996</v>
      </c>
      <c r="H18" s="72">
        <f t="shared" si="1"/>
        <v>466.34749999999997</v>
      </c>
      <c r="I18" s="121">
        <v>7060.9</v>
      </c>
      <c r="J18" s="121">
        <v>7272.7269999999999</v>
      </c>
      <c r="K18" s="121">
        <v>4.43</v>
      </c>
      <c r="L18" s="121">
        <v>8.2799999999999994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4"/>
        <v>7272.7269999999999</v>
      </c>
      <c r="S18" s="62">
        <f t="shared" si="15"/>
        <v>322.18180609999996</v>
      </c>
      <c r="T18" s="63">
        <f t="shared" si="16"/>
        <v>602.18179559999999</v>
      </c>
      <c r="U18" s="64" t="s">
        <v>286</v>
      </c>
      <c r="V18" s="65" t="s">
        <v>449</v>
      </c>
      <c r="W18" s="139" t="s">
        <v>208</v>
      </c>
      <c r="X18" s="67">
        <v>9810</v>
      </c>
      <c r="Y18" s="68">
        <v>4.2500000000000009</v>
      </c>
      <c r="Z18" s="68">
        <v>8.3800000000000008</v>
      </c>
      <c r="AA18" s="62">
        <f t="shared" si="5"/>
        <v>416.92500000000013</v>
      </c>
      <c r="AB18" s="63">
        <f t="shared" si="6"/>
        <v>822.07800000000009</v>
      </c>
      <c r="AC18" s="69">
        <v>9780</v>
      </c>
      <c r="AD18" s="70">
        <v>4.2</v>
      </c>
      <c r="AE18" s="70">
        <v>8.370000000000001</v>
      </c>
      <c r="AF18" s="62">
        <f t="shared" si="17"/>
        <v>410.76000000000005</v>
      </c>
      <c r="AG18" s="63">
        <f t="shared" si="18"/>
        <v>818.58600000000013</v>
      </c>
      <c r="AH18" s="142">
        <v>3048</v>
      </c>
      <c r="AI18" s="139">
        <v>4.28</v>
      </c>
      <c r="AJ18" s="139">
        <v>8.31</v>
      </c>
      <c r="AK18" s="62">
        <f t="shared" si="19"/>
        <v>130.45440000000002</v>
      </c>
      <c r="AL18" s="72">
        <f t="shared" si="20"/>
        <v>253.28880000000001</v>
      </c>
      <c r="AM18" s="81">
        <f t="shared" si="21"/>
        <v>29.726999999998952</v>
      </c>
      <c r="AN18" s="80">
        <f t="shared" si="22"/>
        <v>9.9524060999998483</v>
      </c>
      <c r="AO18" s="80">
        <f t="shared" si="23"/>
        <v>-3.3455044000002943</v>
      </c>
      <c r="AP18" s="115">
        <f t="shared" si="24"/>
        <v>7.1475139088652793E-3</v>
      </c>
      <c r="AQ18" s="116">
        <f t="shared" si="12"/>
        <v>3466.5143688815106</v>
      </c>
      <c r="AR18" s="90">
        <f t="shared" si="27"/>
        <v>-0.27300000000104774</v>
      </c>
    </row>
    <row r="19" spans="1:49" ht="15.75" x14ac:dyDescent="0.25">
      <c r="A19" t="str">
        <f t="shared" si="13"/>
        <v>46181E</v>
      </c>
      <c r="B19" s="51">
        <f t="shared" si="26"/>
        <v>46181</v>
      </c>
      <c r="C19" s="100" t="s">
        <v>88</v>
      </c>
      <c r="D19" s="91">
        <v>3048</v>
      </c>
      <c r="E19" s="62">
        <v>4.28</v>
      </c>
      <c r="F19" s="62">
        <v>8.31</v>
      </c>
      <c r="G19" s="62">
        <f t="shared" si="0"/>
        <v>130.45440000000002</v>
      </c>
      <c r="H19" s="72">
        <f t="shared" si="1"/>
        <v>253.28880000000001</v>
      </c>
      <c r="I19" s="121">
        <v>4296.8</v>
      </c>
      <c r="J19" s="121">
        <v>4425.7040000000006</v>
      </c>
      <c r="K19" s="121">
        <v>4.17</v>
      </c>
      <c r="L19" s="121">
        <v>8.42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4"/>
        <v>4425.7040000000006</v>
      </c>
      <c r="S19" s="62">
        <f t="shared" si="15"/>
        <v>184.55185680000002</v>
      </c>
      <c r="T19" s="63">
        <f t="shared" si="16"/>
        <v>372.64427680000006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5"/>
        <v>0</v>
      </c>
      <c r="AB19" s="63">
        <f t="shared" si="6"/>
        <v>0</v>
      </c>
      <c r="AC19" s="69"/>
      <c r="AD19" s="70"/>
      <c r="AE19" s="70"/>
      <c r="AF19" s="62">
        <f t="shared" si="17"/>
        <v>0</v>
      </c>
      <c r="AG19" s="63">
        <f t="shared" si="18"/>
        <v>0</v>
      </c>
      <c r="AH19" s="142">
        <v>7474</v>
      </c>
      <c r="AI19" s="139">
        <v>4.21</v>
      </c>
      <c r="AJ19" s="139">
        <v>8.3699999999999992</v>
      </c>
      <c r="AK19" s="62">
        <f t="shared" si="19"/>
        <v>314.65539999999999</v>
      </c>
      <c r="AL19" s="72">
        <f t="shared" si="20"/>
        <v>625.57380000000001</v>
      </c>
      <c r="AM19" s="81">
        <f t="shared" si="21"/>
        <v>-0.29599999999936699</v>
      </c>
      <c r="AN19" s="80">
        <f t="shared" si="22"/>
        <v>0.35085680000008779</v>
      </c>
      <c r="AO19" s="80">
        <f t="shared" si="23"/>
        <v>0.35927680000008877</v>
      </c>
      <c r="AP19" s="115">
        <f t="shared" si="24"/>
        <v>1.2744768981293169E-3</v>
      </c>
      <c r="AQ19" s="116">
        <f t="shared" si="12"/>
        <v>265.02509161339935</v>
      </c>
      <c r="AR19" s="90">
        <f t="shared" si="27"/>
        <v>-0.29599999999936699</v>
      </c>
    </row>
    <row r="20" spans="1:49" ht="15.75" x14ac:dyDescent="0.25">
      <c r="A20" t="str">
        <f t="shared" si="13"/>
        <v>46182M</v>
      </c>
      <c r="B20" s="51">
        <f t="shared" si="26"/>
        <v>46182</v>
      </c>
      <c r="C20" s="100" t="s">
        <v>87</v>
      </c>
      <c r="D20" s="91">
        <v>7474</v>
      </c>
      <c r="E20" s="62">
        <v>4.21</v>
      </c>
      <c r="F20" s="62">
        <v>8.3699999999999992</v>
      </c>
      <c r="G20" s="62">
        <f t="shared" si="0"/>
        <v>314.65539999999999</v>
      </c>
      <c r="H20" s="72">
        <f t="shared" si="1"/>
        <v>625.57380000000001</v>
      </c>
      <c r="I20" s="121">
        <v>9563.1</v>
      </c>
      <c r="J20" s="121">
        <v>9849.9930000000004</v>
      </c>
      <c r="K20" s="121">
        <v>4.32</v>
      </c>
      <c r="L20" s="121">
        <v>8.32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4"/>
        <v>9849.9930000000004</v>
      </c>
      <c r="S20" s="62">
        <f t="shared" si="15"/>
        <v>425.51969760000003</v>
      </c>
      <c r="T20" s="63">
        <f t="shared" si="16"/>
        <v>819.5194176</v>
      </c>
      <c r="U20" s="64" t="s">
        <v>450</v>
      </c>
      <c r="V20" s="65" t="s">
        <v>451</v>
      </c>
      <c r="W20" s="139" t="s">
        <v>208</v>
      </c>
      <c r="X20" s="67">
        <v>16400</v>
      </c>
      <c r="Y20" s="68">
        <v>4.37</v>
      </c>
      <c r="Z20" s="68">
        <v>8.5299999999999994</v>
      </c>
      <c r="AA20" s="62">
        <f t="shared" si="5"/>
        <v>716.68000000000006</v>
      </c>
      <c r="AB20" s="63">
        <f t="shared" si="6"/>
        <v>1398.9199999999998</v>
      </c>
      <c r="AC20" s="69">
        <v>16350</v>
      </c>
      <c r="AD20" s="70">
        <v>4.3080428134556579</v>
      </c>
      <c r="AE20" s="70">
        <v>8.2716085626911315</v>
      </c>
      <c r="AF20" s="62">
        <f t="shared" si="17"/>
        <v>704.36500000000001</v>
      </c>
      <c r="AG20" s="63">
        <f t="shared" si="18"/>
        <v>1352.4079999999999</v>
      </c>
      <c r="AH20" s="142">
        <v>924</v>
      </c>
      <c r="AI20" s="139">
        <v>4.2699999999999996</v>
      </c>
      <c r="AJ20" s="139">
        <v>8.34</v>
      </c>
      <c r="AK20" s="62">
        <f t="shared" si="19"/>
        <v>39.454799999999999</v>
      </c>
      <c r="AL20" s="72">
        <f t="shared" si="20"/>
        <v>77.061599999999999</v>
      </c>
      <c r="AM20" s="81">
        <f t="shared" si="21"/>
        <v>49.993000000002212</v>
      </c>
      <c r="AN20" s="80">
        <f t="shared" si="22"/>
        <v>-3.6447023999999359</v>
      </c>
      <c r="AO20" s="80">
        <f t="shared" si="23"/>
        <v>15.623617600000216</v>
      </c>
      <c r="AP20" s="115">
        <f t="shared" si="24"/>
        <v>9.6213163536440511E-3</v>
      </c>
      <c r="AQ20" s="116">
        <f t="shared" si="12"/>
        <v>3039.588763493427</v>
      </c>
      <c r="AR20" s="90">
        <f>(D20+J20+O20)-(X20+AH20)</f>
        <v>-6.9999999977881089E-3</v>
      </c>
    </row>
    <row r="21" spans="1:49" ht="15.75" x14ac:dyDescent="0.25">
      <c r="A21" t="str">
        <f t="shared" si="13"/>
        <v>46182E</v>
      </c>
      <c r="B21" s="51">
        <f t="shared" si="26"/>
        <v>46182</v>
      </c>
      <c r="C21" s="100" t="s">
        <v>88</v>
      </c>
      <c r="D21" s="91">
        <v>924</v>
      </c>
      <c r="E21" s="62">
        <v>4.2699999999999996</v>
      </c>
      <c r="F21" s="62">
        <v>8.34</v>
      </c>
      <c r="G21" s="62">
        <f t="shared" si="0"/>
        <v>39.454799999999999</v>
      </c>
      <c r="H21" s="72">
        <f t="shared" si="1"/>
        <v>77.061599999999999</v>
      </c>
      <c r="I21" s="121">
        <v>4324.8</v>
      </c>
      <c r="J21" s="121">
        <v>4454.5439999999999</v>
      </c>
      <c r="K21" s="121">
        <v>4.0199999999999996</v>
      </c>
      <c r="L21" s="121">
        <v>8.3800000000000008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4"/>
        <v>4454.5439999999999</v>
      </c>
      <c r="S21" s="62">
        <f t="shared" si="15"/>
        <v>179.07266879999997</v>
      </c>
      <c r="T21" s="63">
        <f t="shared" si="16"/>
        <v>373.29078720000007</v>
      </c>
      <c r="U21" s="64" t="s">
        <v>167</v>
      </c>
      <c r="V21" s="65" t="s">
        <v>167</v>
      </c>
      <c r="W21" s="105">
        <v>0</v>
      </c>
      <c r="X21" s="67">
        <v>0</v>
      </c>
      <c r="Y21" s="68">
        <v>0</v>
      </c>
      <c r="Z21" s="68">
        <v>0</v>
      </c>
      <c r="AA21" s="62">
        <f t="shared" si="5"/>
        <v>0</v>
      </c>
      <c r="AB21" s="63">
        <f t="shared" si="6"/>
        <v>0</v>
      </c>
      <c r="AC21" s="69"/>
      <c r="AD21" s="70"/>
      <c r="AE21" s="70"/>
      <c r="AF21" s="62">
        <f t="shared" si="17"/>
        <v>0</v>
      </c>
      <c r="AG21" s="63">
        <f t="shared" si="18"/>
        <v>0</v>
      </c>
      <c r="AH21" s="142">
        <v>5379</v>
      </c>
      <c r="AI21" s="139">
        <v>4.05</v>
      </c>
      <c r="AJ21" s="139">
        <v>8.3699999999999992</v>
      </c>
      <c r="AK21" s="62">
        <f t="shared" si="19"/>
        <v>217.84950000000001</v>
      </c>
      <c r="AL21" s="72">
        <f t="shared" si="20"/>
        <v>450.22229999999996</v>
      </c>
      <c r="AM21" s="81">
        <f t="shared" si="21"/>
        <v>-0.45600000000013097</v>
      </c>
      <c r="AN21" s="80">
        <f t="shared" si="22"/>
        <v>0.67796879999997373</v>
      </c>
      <c r="AO21" s="80">
        <f t="shared" si="23"/>
        <v>0.13008720000010499</v>
      </c>
      <c r="AP21" s="115">
        <f t="shared" si="24"/>
        <v>1.4629063368016848E-3</v>
      </c>
      <c r="AQ21" s="116">
        <f t="shared" si="12"/>
        <v>343.27860397601961</v>
      </c>
      <c r="AR21" s="90">
        <f>(D21+J21+O21)-(X21+AH21)</f>
        <v>-0.45600000000013097</v>
      </c>
    </row>
    <row r="22" spans="1:49" ht="15.75" x14ac:dyDescent="0.25">
      <c r="A22" t="str">
        <f t="shared" si="13"/>
        <v>46183M</v>
      </c>
      <c r="B22" s="51">
        <f t="shared" si="26"/>
        <v>46183</v>
      </c>
      <c r="C22" s="100" t="s">
        <v>87</v>
      </c>
      <c r="D22" s="91">
        <v>5379</v>
      </c>
      <c r="E22" s="62">
        <v>4.05</v>
      </c>
      <c r="F22" s="62">
        <v>8.3699999999999992</v>
      </c>
      <c r="G22" s="62">
        <f t="shared" si="0"/>
        <v>217.84950000000001</v>
      </c>
      <c r="H22" s="72">
        <f t="shared" si="1"/>
        <v>450.22229999999996</v>
      </c>
      <c r="I22" s="121">
        <v>5449.9</v>
      </c>
      <c r="J22" s="121">
        <v>5613.3969999999999</v>
      </c>
      <c r="K22" s="121">
        <v>4.57</v>
      </c>
      <c r="L22" s="121">
        <v>8.31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4"/>
        <v>5613.3969999999999</v>
      </c>
      <c r="S22" s="62">
        <f t="shared" si="15"/>
        <v>256.53224290000003</v>
      </c>
      <c r="T22" s="63">
        <f t="shared" si="16"/>
        <v>466.47329070000001</v>
      </c>
      <c r="U22" s="64" t="s">
        <v>280</v>
      </c>
      <c r="V22" s="65" t="s">
        <v>452</v>
      </c>
      <c r="W22" s="139" t="s">
        <v>208</v>
      </c>
      <c r="X22" s="67">
        <v>7200</v>
      </c>
      <c r="Y22" s="68">
        <v>4.3500000000000005</v>
      </c>
      <c r="Z22" s="68">
        <v>8.3999999999999986</v>
      </c>
      <c r="AA22" s="62">
        <f t="shared" si="5"/>
        <v>313.20000000000005</v>
      </c>
      <c r="AB22" s="63">
        <f t="shared" si="6"/>
        <v>604.79999999999995</v>
      </c>
      <c r="AC22" s="226">
        <v>7200</v>
      </c>
      <c r="AD22" s="227">
        <v>4.3500000000000005</v>
      </c>
      <c r="AE22" s="227">
        <v>8.3999999999999986</v>
      </c>
      <c r="AF22" s="62">
        <f t="shared" si="17"/>
        <v>313.20000000000005</v>
      </c>
      <c r="AG22" s="63">
        <f t="shared" si="18"/>
        <v>604.79999999999995</v>
      </c>
      <c r="AH22" s="142">
        <v>3792</v>
      </c>
      <c r="AI22" s="139">
        <v>4.3099999999999996</v>
      </c>
      <c r="AJ22" s="139">
        <v>8.33</v>
      </c>
      <c r="AK22" s="62">
        <f t="shared" si="19"/>
        <v>163.43520000000001</v>
      </c>
      <c r="AL22" s="72">
        <f t="shared" si="20"/>
        <v>315.87360000000001</v>
      </c>
      <c r="AM22" s="81">
        <f t="shared" si="21"/>
        <v>0.39700000000084401</v>
      </c>
      <c r="AN22" s="80">
        <f t="shared" si="22"/>
        <v>-2.2534570999999914</v>
      </c>
      <c r="AO22" s="80">
        <f t="shared" si="23"/>
        <v>-3.9780093000000534</v>
      </c>
      <c r="AP22" s="115">
        <f t="shared" si="24"/>
        <v>-8.6188363856252014E-3</v>
      </c>
      <c r="AQ22" s="116">
        <f t="shared" si="12"/>
        <v>-2202.1115300030124</v>
      </c>
      <c r="AR22" s="90">
        <f t="shared" ref="AR22:AR57" si="28">(D22+J22+O22)-(X22+AH22)</f>
        <v>0.39700000000084401</v>
      </c>
    </row>
    <row r="23" spans="1:49" ht="15.75" x14ac:dyDescent="0.25">
      <c r="A23" t="str">
        <f t="shared" si="13"/>
        <v>46183E</v>
      </c>
      <c r="B23" s="51">
        <f t="shared" si="26"/>
        <v>46183</v>
      </c>
      <c r="C23" s="100" t="s">
        <v>88</v>
      </c>
      <c r="D23" s="91">
        <v>3792</v>
      </c>
      <c r="E23" s="62">
        <v>4.3099999999999996</v>
      </c>
      <c r="F23" s="62">
        <v>8.33</v>
      </c>
      <c r="G23" s="62">
        <f t="shared" si="0"/>
        <v>163.43520000000001</v>
      </c>
      <c r="H23" s="72">
        <f t="shared" si="1"/>
        <v>315.87360000000001</v>
      </c>
      <c r="I23" s="121">
        <v>4394.7</v>
      </c>
      <c r="J23" s="121">
        <v>4526.5410000000002</v>
      </c>
      <c r="K23" s="121">
        <v>4.01</v>
      </c>
      <c r="L23" s="121">
        <v>8.42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4"/>
        <v>4526.5410000000002</v>
      </c>
      <c r="S23" s="62">
        <f t="shared" si="15"/>
        <v>181.5142941</v>
      </c>
      <c r="T23" s="63">
        <f t="shared" si="16"/>
        <v>381.13475219999998</v>
      </c>
      <c r="U23" s="64" t="s">
        <v>278</v>
      </c>
      <c r="V23" s="65" t="s">
        <v>453</v>
      </c>
      <c r="W23" s="105" t="s">
        <v>208</v>
      </c>
      <c r="X23" s="67">
        <v>7700</v>
      </c>
      <c r="Y23" s="68">
        <v>4.5</v>
      </c>
      <c r="Z23" s="68">
        <v>8.56</v>
      </c>
      <c r="AA23" s="62">
        <f t="shared" si="5"/>
        <v>346.5</v>
      </c>
      <c r="AB23" s="63">
        <f t="shared" si="6"/>
        <v>659.12000000000012</v>
      </c>
      <c r="AC23" s="226">
        <v>7700</v>
      </c>
      <c r="AD23" s="227">
        <v>4.5</v>
      </c>
      <c r="AE23" s="227">
        <v>8.56</v>
      </c>
      <c r="AF23" s="62">
        <f t="shared" si="17"/>
        <v>346.5</v>
      </c>
      <c r="AG23" s="63">
        <f t="shared" si="18"/>
        <v>659.12000000000012</v>
      </c>
      <c r="AH23" s="142">
        <v>619</v>
      </c>
      <c r="AI23" s="139">
        <v>4.1500000000000004</v>
      </c>
      <c r="AJ23" s="139">
        <v>8.3699999999999992</v>
      </c>
      <c r="AK23" s="62">
        <f t="shared" si="19"/>
        <v>25.688500000000001</v>
      </c>
      <c r="AL23" s="72">
        <f t="shared" si="20"/>
        <v>51.810299999999998</v>
      </c>
      <c r="AM23" s="81">
        <f t="shared" si="21"/>
        <v>-0.45899999999892316</v>
      </c>
      <c r="AN23" s="80">
        <f t="shared" si="22"/>
        <v>-27.239005899999963</v>
      </c>
      <c r="AO23" s="80">
        <f t="shared" si="23"/>
        <v>-13.921947800000126</v>
      </c>
      <c r="AP23" s="115">
        <f t="shared" si="24"/>
        <v>-7.3155644661047556E-2</v>
      </c>
      <c r="AQ23" s="116">
        <f t="shared" si="12"/>
        <v>-16394.329863167688</v>
      </c>
      <c r="AR23" s="90">
        <f t="shared" si="28"/>
        <v>-0.45899999999892316</v>
      </c>
    </row>
    <row r="24" spans="1:49" ht="15.75" x14ac:dyDescent="0.25">
      <c r="A24" t="str">
        <f t="shared" si="13"/>
        <v>46184M</v>
      </c>
      <c r="B24" s="51">
        <f t="shared" si="26"/>
        <v>46184</v>
      </c>
      <c r="C24" s="100" t="s">
        <v>87</v>
      </c>
      <c r="D24" s="91"/>
      <c r="E24" s="62"/>
      <c r="F24" s="62"/>
      <c r="G24" s="62">
        <f t="shared" si="0"/>
        <v>0</v>
      </c>
      <c r="H24" s="72">
        <f t="shared" si="1"/>
        <v>0</v>
      </c>
      <c r="I24" s="121"/>
      <c r="J24" s="121"/>
      <c r="K24" s="121"/>
      <c r="L24" s="121"/>
      <c r="M24" s="58"/>
      <c r="N24" s="58"/>
      <c r="O24" s="59"/>
      <c r="P24" s="56"/>
      <c r="Q24" s="60"/>
      <c r="R24" s="61">
        <f t="shared" si="14"/>
        <v>0</v>
      </c>
      <c r="S24" s="62">
        <f t="shared" si="15"/>
        <v>0</v>
      </c>
      <c r="T24" s="63">
        <f t="shared" si="16"/>
        <v>0</v>
      </c>
      <c r="U24" s="64"/>
      <c r="V24" s="65"/>
      <c r="W24" s="105"/>
      <c r="X24" s="67"/>
      <c r="Y24" s="68"/>
      <c r="Z24" s="68"/>
      <c r="AA24" s="62">
        <f t="shared" si="5"/>
        <v>0</v>
      </c>
      <c r="AB24" s="63">
        <f t="shared" si="6"/>
        <v>0</v>
      </c>
      <c r="AC24" s="69"/>
      <c r="AD24" s="70"/>
      <c r="AE24" s="70"/>
      <c r="AF24" s="62">
        <f t="shared" si="17"/>
        <v>0</v>
      </c>
      <c r="AG24" s="63">
        <f t="shared" si="18"/>
        <v>0</v>
      </c>
      <c r="AH24" s="142"/>
      <c r="AI24" s="139"/>
      <c r="AJ24" s="139"/>
      <c r="AK24" s="62">
        <f t="shared" si="19"/>
        <v>0</v>
      </c>
      <c r="AL24" s="72">
        <f t="shared" si="20"/>
        <v>0</v>
      </c>
      <c r="AM24" s="81">
        <f t="shared" si="21"/>
        <v>0</v>
      </c>
      <c r="AN24" s="80">
        <f t="shared" si="22"/>
        <v>0</v>
      </c>
      <c r="AO24" s="80">
        <f t="shared" si="23"/>
        <v>0</v>
      </c>
      <c r="AP24" s="115" t="e">
        <f t="shared" si="24"/>
        <v>#DIV/0!</v>
      </c>
      <c r="AQ24" s="116">
        <f t="shared" si="12"/>
        <v>0</v>
      </c>
      <c r="AR24" s="90">
        <f t="shared" si="28"/>
        <v>0</v>
      </c>
    </row>
    <row r="25" spans="1:49" ht="15.75" x14ac:dyDescent="0.25">
      <c r="A25" t="str">
        <f t="shared" si="13"/>
        <v>46184E</v>
      </c>
      <c r="B25" s="51">
        <f t="shared" si="26"/>
        <v>46184</v>
      </c>
      <c r="C25" s="100" t="s">
        <v>88</v>
      </c>
      <c r="D25" s="91"/>
      <c r="E25" s="62"/>
      <c r="F25" s="62"/>
      <c r="G25" s="62">
        <f t="shared" si="0"/>
        <v>0</v>
      </c>
      <c r="H25" s="72">
        <f t="shared" si="1"/>
        <v>0</v>
      </c>
      <c r="I25" s="121"/>
      <c r="J25" s="121"/>
      <c r="K25" s="121"/>
      <c r="L25" s="121"/>
      <c r="M25" s="58"/>
      <c r="N25" s="58"/>
      <c r="O25" s="59"/>
      <c r="P25" s="56"/>
      <c r="Q25" s="60"/>
      <c r="R25" s="61">
        <f t="shared" si="14"/>
        <v>0</v>
      </c>
      <c r="S25" s="62">
        <f t="shared" si="15"/>
        <v>0</v>
      </c>
      <c r="T25" s="63">
        <f t="shared" si="16"/>
        <v>0</v>
      </c>
      <c r="U25" s="64"/>
      <c r="V25" s="65"/>
      <c r="W25" s="66"/>
      <c r="X25" s="67"/>
      <c r="Y25" s="68"/>
      <c r="Z25" s="68"/>
      <c r="AA25" s="62">
        <f t="shared" si="5"/>
        <v>0</v>
      </c>
      <c r="AB25" s="63">
        <f t="shared" si="6"/>
        <v>0</v>
      </c>
      <c r="AC25" s="69"/>
      <c r="AD25" s="70"/>
      <c r="AE25" s="70"/>
      <c r="AF25" s="62">
        <f t="shared" si="17"/>
        <v>0</v>
      </c>
      <c r="AG25" s="63">
        <f t="shared" si="18"/>
        <v>0</v>
      </c>
      <c r="AH25" s="142"/>
      <c r="AI25" s="139"/>
      <c r="AJ25" s="139"/>
      <c r="AK25" s="62">
        <f t="shared" si="19"/>
        <v>0</v>
      </c>
      <c r="AL25" s="72">
        <f t="shared" si="20"/>
        <v>0</v>
      </c>
      <c r="AM25" s="81">
        <f t="shared" si="21"/>
        <v>0</v>
      </c>
      <c r="AN25" s="80">
        <f t="shared" si="22"/>
        <v>0</v>
      </c>
      <c r="AO25" s="80">
        <f t="shared" si="23"/>
        <v>0</v>
      </c>
      <c r="AP25" s="115" t="e">
        <f t="shared" si="24"/>
        <v>#DIV/0!</v>
      </c>
      <c r="AQ25" s="116">
        <f t="shared" si="12"/>
        <v>0</v>
      </c>
      <c r="AR25" s="90">
        <f t="shared" si="28"/>
        <v>0</v>
      </c>
      <c r="AS25" s="90">
        <f>SUM(J12:J25)</f>
        <v>73502.756999999998</v>
      </c>
      <c r="AT25" s="83">
        <f>SUM(AM12:AM25)</f>
        <v>258.75700000000688</v>
      </c>
      <c r="AU25" s="83">
        <f>SUM(AN12:AN25)</f>
        <v>29.521118100000034</v>
      </c>
      <c r="AV25" s="83">
        <f>SUM(AO12:AO25)</f>
        <v>29.785883600000275</v>
      </c>
      <c r="AW25" s="83">
        <f>-SUM(AQ12:AQ25)</f>
        <v>-22166.445797521767</v>
      </c>
    </row>
    <row r="26" spans="1:49" ht="15.75" x14ac:dyDescent="0.25">
      <c r="A26" t="str">
        <f t="shared" si="13"/>
        <v>46185M</v>
      </c>
      <c r="B26" s="51">
        <f t="shared" si="26"/>
        <v>46185</v>
      </c>
      <c r="C26" s="100" t="s">
        <v>87</v>
      </c>
      <c r="D26" s="91"/>
      <c r="E26" s="62"/>
      <c r="F26" s="62"/>
      <c r="G26" s="62">
        <f t="shared" si="0"/>
        <v>0</v>
      </c>
      <c r="H26" s="72">
        <f t="shared" si="1"/>
        <v>0</v>
      </c>
      <c r="I26" s="121"/>
      <c r="J26" s="121"/>
      <c r="K26" s="121"/>
      <c r="L26" s="121"/>
      <c r="M26" s="58"/>
      <c r="N26" s="58"/>
      <c r="O26" s="59"/>
      <c r="P26" s="56"/>
      <c r="Q26" s="60"/>
      <c r="R26" s="61">
        <f t="shared" si="14"/>
        <v>0</v>
      </c>
      <c r="S26" s="62">
        <f t="shared" si="15"/>
        <v>0</v>
      </c>
      <c r="T26" s="63">
        <f t="shared" si="16"/>
        <v>0</v>
      </c>
      <c r="U26" s="64"/>
      <c r="V26" s="65"/>
      <c r="W26" s="139"/>
      <c r="X26" s="67"/>
      <c r="Y26" s="68"/>
      <c r="Z26" s="68"/>
      <c r="AA26" s="62">
        <f t="shared" si="5"/>
        <v>0</v>
      </c>
      <c r="AB26" s="63">
        <f t="shared" si="6"/>
        <v>0</v>
      </c>
      <c r="AC26" s="69"/>
      <c r="AD26" s="70"/>
      <c r="AE26" s="70"/>
      <c r="AF26" s="62">
        <f t="shared" si="17"/>
        <v>0</v>
      </c>
      <c r="AG26" s="63">
        <f t="shared" si="18"/>
        <v>0</v>
      </c>
      <c r="AH26" s="142"/>
      <c r="AI26" s="139"/>
      <c r="AJ26" s="139"/>
      <c r="AK26" s="62">
        <f t="shared" si="19"/>
        <v>0</v>
      </c>
      <c r="AL26" s="72">
        <f t="shared" si="20"/>
        <v>0</v>
      </c>
      <c r="AM26" s="81">
        <f t="shared" si="21"/>
        <v>0</v>
      </c>
      <c r="AN26" s="80">
        <f t="shared" si="22"/>
        <v>0</v>
      </c>
      <c r="AO26" s="80">
        <f t="shared" si="23"/>
        <v>0</v>
      </c>
      <c r="AP26" s="115" t="e">
        <f t="shared" si="24"/>
        <v>#DIV/0!</v>
      </c>
      <c r="AQ26" s="116">
        <f t="shared" si="12"/>
        <v>0</v>
      </c>
      <c r="AR26" s="90">
        <f t="shared" si="28"/>
        <v>0</v>
      </c>
    </row>
    <row r="27" spans="1:49" ht="15.75" x14ac:dyDescent="0.25">
      <c r="A27" t="str">
        <f t="shared" si="13"/>
        <v>46185E</v>
      </c>
      <c r="B27" s="51">
        <f t="shared" si="26"/>
        <v>46185</v>
      </c>
      <c r="C27" s="100" t="s">
        <v>88</v>
      </c>
      <c r="D27" s="91"/>
      <c r="E27" s="62"/>
      <c r="F27" s="62"/>
      <c r="G27" s="62">
        <f t="shared" si="0"/>
        <v>0</v>
      </c>
      <c r="H27" s="72">
        <f t="shared" si="1"/>
        <v>0</v>
      </c>
      <c r="I27" s="121"/>
      <c r="J27" s="121"/>
      <c r="K27" s="121"/>
      <c r="L27" s="121"/>
      <c r="M27" s="58"/>
      <c r="N27" s="58"/>
      <c r="O27" s="59"/>
      <c r="P27" s="56"/>
      <c r="Q27" s="60"/>
      <c r="R27" s="61">
        <f t="shared" si="14"/>
        <v>0</v>
      </c>
      <c r="S27" s="62">
        <f t="shared" si="15"/>
        <v>0</v>
      </c>
      <c r="T27" s="63">
        <f t="shared" si="16"/>
        <v>0</v>
      </c>
      <c r="U27" s="64"/>
      <c r="V27" s="65"/>
      <c r="W27" s="105"/>
      <c r="X27" s="67"/>
      <c r="Y27" s="68"/>
      <c r="Z27" s="68"/>
      <c r="AA27" s="62">
        <f t="shared" si="5"/>
        <v>0</v>
      </c>
      <c r="AB27" s="63">
        <f t="shared" si="6"/>
        <v>0</v>
      </c>
      <c r="AC27" s="69"/>
      <c r="AD27" s="70"/>
      <c r="AE27" s="70"/>
      <c r="AF27" s="62">
        <f t="shared" si="17"/>
        <v>0</v>
      </c>
      <c r="AG27" s="63">
        <f t="shared" si="18"/>
        <v>0</v>
      </c>
      <c r="AH27" s="142"/>
      <c r="AI27" s="139"/>
      <c r="AJ27" s="139"/>
      <c r="AK27" s="62">
        <f t="shared" si="19"/>
        <v>0</v>
      </c>
      <c r="AL27" s="72">
        <f t="shared" si="20"/>
        <v>0</v>
      </c>
      <c r="AM27" s="81">
        <f t="shared" si="21"/>
        <v>0</v>
      </c>
      <c r="AN27" s="80">
        <f t="shared" si="22"/>
        <v>0</v>
      </c>
      <c r="AO27" s="80">
        <f t="shared" si="23"/>
        <v>0</v>
      </c>
      <c r="AP27" s="115" t="e">
        <f t="shared" si="24"/>
        <v>#DIV/0!</v>
      </c>
      <c r="AQ27" s="116">
        <f t="shared" si="12"/>
        <v>0</v>
      </c>
      <c r="AR27" s="90">
        <f>(D27+J27+O27)-(X27+AH27)</f>
        <v>0</v>
      </c>
    </row>
    <row r="28" spans="1:49" ht="15.75" x14ac:dyDescent="0.25">
      <c r="A28" t="str">
        <f t="shared" si="13"/>
        <v>46186M</v>
      </c>
      <c r="B28" s="51">
        <f t="shared" si="26"/>
        <v>46186</v>
      </c>
      <c r="C28" s="100" t="s">
        <v>87</v>
      </c>
      <c r="D28" s="91"/>
      <c r="E28" s="62"/>
      <c r="F28" s="62"/>
      <c r="G28" s="62">
        <f t="shared" si="0"/>
        <v>0</v>
      </c>
      <c r="H28" s="72">
        <f t="shared" si="1"/>
        <v>0</v>
      </c>
      <c r="I28" s="121"/>
      <c r="J28" s="121"/>
      <c r="K28" s="121"/>
      <c r="L28" s="121"/>
      <c r="M28" s="58"/>
      <c r="N28" s="58"/>
      <c r="O28" s="59"/>
      <c r="P28" s="56"/>
      <c r="Q28" s="60"/>
      <c r="R28" s="61">
        <f t="shared" si="14"/>
        <v>0</v>
      </c>
      <c r="S28" s="62">
        <f t="shared" si="15"/>
        <v>0</v>
      </c>
      <c r="T28" s="63">
        <f t="shared" si="16"/>
        <v>0</v>
      </c>
      <c r="U28" s="64"/>
      <c r="V28" s="65"/>
      <c r="W28" s="139"/>
      <c r="X28" s="67"/>
      <c r="Y28" s="68"/>
      <c r="Z28" s="68"/>
      <c r="AA28" s="62">
        <f t="shared" si="5"/>
        <v>0</v>
      </c>
      <c r="AB28" s="63">
        <f t="shared" si="6"/>
        <v>0</v>
      </c>
      <c r="AC28" s="69"/>
      <c r="AD28" s="70"/>
      <c r="AE28" s="70"/>
      <c r="AF28" s="62">
        <f t="shared" si="17"/>
        <v>0</v>
      </c>
      <c r="AG28" s="63">
        <f t="shared" si="18"/>
        <v>0</v>
      </c>
      <c r="AH28" s="142"/>
      <c r="AI28" s="139"/>
      <c r="AJ28" s="139"/>
      <c r="AK28" s="62">
        <f t="shared" si="19"/>
        <v>0</v>
      </c>
      <c r="AL28" s="72">
        <f t="shared" si="20"/>
        <v>0</v>
      </c>
      <c r="AM28" s="81">
        <f t="shared" si="21"/>
        <v>0</v>
      </c>
      <c r="AN28" s="80">
        <f t="shared" si="22"/>
        <v>0</v>
      </c>
      <c r="AO28" s="80">
        <f t="shared" si="23"/>
        <v>0</v>
      </c>
      <c r="AP28" s="115" t="e">
        <f t="shared" si="24"/>
        <v>#DIV/0!</v>
      </c>
      <c r="AQ28" s="116">
        <f t="shared" si="12"/>
        <v>0</v>
      </c>
      <c r="AR28" s="90">
        <f>(D28+J28+O28)-(X28+AH28)</f>
        <v>0</v>
      </c>
    </row>
    <row r="29" spans="1:49" ht="15.75" x14ac:dyDescent="0.25">
      <c r="A29" t="str">
        <f t="shared" si="13"/>
        <v>46186E</v>
      </c>
      <c r="B29" s="51">
        <f t="shared" si="26"/>
        <v>46186</v>
      </c>
      <c r="C29" s="100" t="s">
        <v>88</v>
      </c>
      <c r="D29" s="91"/>
      <c r="E29" s="62"/>
      <c r="F29" s="62"/>
      <c r="G29" s="62">
        <f t="shared" si="0"/>
        <v>0</v>
      </c>
      <c r="H29" s="72">
        <f t="shared" si="1"/>
        <v>0</v>
      </c>
      <c r="I29" s="121"/>
      <c r="J29" s="121"/>
      <c r="K29" s="121"/>
      <c r="L29" s="121"/>
      <c r="M29" s="58"/>
      <c r="N29" s="58"/>
      <c r="O29" s="59"/>
      <c r="P29" s="56"/>
      <c r="Q29" s="60"/>
      <c r="R29" s="61">
        <f t="shared" si="14"/>
        <v>0</v>
      </c>
      <c r="S29" s="62">
        <f t="shared" si="15"/>
        <v>0</v>
      </c>
      <c r="T29" s="63">
        <f t="shared" si="16"/>
        <v>0</v>
      </c>
      <c r="U29" s="64"/>
      <c r="V29" s="65"/>
      <c r="W29" s="66"/>
      <c r="X29" s="67"/>
      <c r="Y29" s="68"/>
      <c r="Z29" s="68"/>
      <c r="AA29" s="62">
        <f t="shared" si="5"/>
        <v>0</v>
      </c>
      <c r="AB29" s="63">
        <f t="shared" si="6"/>
        <v>0</v>
      </c>
      <c r="AC29" s="69"/>
      <c r="AD29" s="70"/>
      <c r="AE29" s="70"/>
      <c r="AF29" s="62">
        <f t="shared" si="17"/>
        <v>0</v>
      </c>
      <c r="AG29" s="63">
        <f t="shared" si="18"/>
        <v>0</v>
      </c>
      <c r="AH29" s="142"/>
      <c r="AI29" s="139"/>
      <c r="AJ29" s="139"/>
      <c r="AK29" s="62">
        <f t="shared" si="19"/>
        <v>0</v>
      </c>
      <c r="AL29" s="72">
        <f t="shared" si="20"/>
        <v>0</v>
      </c>
      <c r="AM29" s="81">
        <f t="shared" si="21"/>
        <v>0</v>
      </c>
      <c r="AN29" s="80">
        <f t="shared" si="22"/>
        <v>0</v>
      </c>
      <c r="AO29" s="80">
        <f t="shared" si="23"/>
        <v>0</v>
      </c>
      <c r="AP29" s="115" t="e">
        <f t="shared" si="24"/>
        <v>#DIV/0!</v>
      </c>
      <c r="AQ29" s="116">
        <f t="shared" si="12"/>
        <v>0</v>
      </c>
      <c r="AR29" s="90">
        <f t="shared" si="28"/>
        <v>0</v>
      </c>
    </row>
    <row r="30" spans="1:49" ht="15.75" x14ac:dyDescent="0.25">
      <c r="A30" t="str">
        <f t="shared" si="13"/>
        <v>46187M</v>
      </c>
      <c r="B30" s="51">
        <f t="shared" si="26"/>
        <v>46187</v>
      </c>
      <c r="C30" s="100" t="s">
        <v>87</v>
      </c>
      <c r="D30" s="91"/>
      <c r="E30" s="62"/>
      <c r="F30" s="62"/>
      <c r="G30" s="62">
        <f t="shared" ref="G30:G47" si="29">+D30*E30%</f>
        <v>0</v>
      </c>
      <c r="H30" s="72">
        <f t="shared" ref="H30:H47" si="30">+D30*F30%</f>
        <v>0</v>
      </c>
      <c r="I30" s="121"/>
      <c r="J30" s="121"/>
      <c r="K30" s="121"/>
      <c r="L30" s="121"/>
      <c r="M30" s="58"/>
      <c r="N30" s="58"/>
      <c r="O30" s="59"/>
      <c r="P30" s="56"/>
      <c r="Q30" s="60"/>
      <c r="R30" s="61">
        <f t="shared" si="14"/>
        <v>0</v>
      </c>
      <c r="S30" s="62">
        <f t="shared" si="15"/>
        <v>0</v>
      </c>
      <c r="T30" s="63">
        <f t="shared" si="16"/>
        <v>0</v>
      </c>
      <c r="U30" s="64"/>
      <c r="V30" s="65"/>
      <c r="W30" s="139"/>
      <c r="X30" s="67"/>
      <c r="Y30" s="68"/>
      <c r="Z30" s="68"/>
      <c r="AA30" s="62">
        <f t="shared" si="5"/>
        <v>0</v>
      </c>
      <c r="AB30" s="63">
        <f t="shared" si="6"/>
        <v>0</v>
      </c>
      <c r="AC30" s="69"/>
      <c r="AD30" s="70"/>
      <c r="AE30" s="70"/>
      <c r="AF30" s="62">
        <f t="shared" si="17"/>
        <v>0</v>
      </c>
      <c r="AG30" s="63">
        <f t="shared" si="18"/>
        <v>0</v>
      </c>
      <c r="AH30" s="142"/>
      <c r="AI30" s="139"/>
      <c r="AJ30" s="139"/>
      <c r="AK30" s="62">
        <f t="shared" si="19"/>
        <v>0</v>
      </c>
      <c r="AL30" s="72">
        <f t="shared" si="20"/>
        <v>0</v>
      </c>
      <c r="AM30" s="81">
        <f t="shared" si="21"/>
        <v>0</v>
      </c>
      <c r="AN30" s="80">
        <f t="shared" si="22"/>
        <v>0</v>
      </c>
      <c r="AO30" s="80">
        <f t="shared" si="23"/>
        <v>0</v>
      </c>
      <c r="AP30" s="115" t="e">
        <f t="shared" si="24"/>
        <v>#DIV/0!</v>
      </c>
      <c r="AQ30" s="116">
        <f t="shared" si="12"/>
        <v>0</v>
      </c>
      <c r="AR30" s="90">
        <f t="shared" ref="AR30:AR35" si="31">(D30+J30+O30)-(X30+AH30)</f>
        <v>0</v>
      </c>
    </row>
    <row r="31" spans="1:49" ht="15.75" x14ac:dyDescent="0.25">
      <c r="A31" t="str">
        <f t="shared" si="13"/>
        <v>46187E</v>
      </c>
      <c r="B31" s="51">
        <f t="shared" si="26"/>
        <v>46187</v>
      </c>
      <c r="C31" s="100" t="s">
        <v>88</v>
      </c>
      <c r="D31" s="91"/>
      <c r="E31" s="62"/>
      <c r="F31" s="62"/>
      <c r="G31" s="62">
        <f t="shared" si="29"/>
        <v>0</v>
      </c>
      <c r="H31" s="72">
        <f t="shared" si="30"/>
        <v>0</v>
      </c>
      <c r="I31" s="121"/>
      <c r="J31" s="121"/>
      <c r="K31" s="121"/>
      <c r="L31" s="121"/>
      <c r="M31" s="58"/>
      <c r="N31" s="58"/>
      <c r="O31" s="59"/>
      <c r="P31" s="56"/>
      <c r="Q31" s="60"/>
      <c r="R31" s="61">
        <f t="shared" si="14"/>
        <v>0</v>
      </c>
      <c r="S31" s="62">
        <f t="shared" si="15"/>
        <v>0</v>
      </c>
      <c r="T31" s="63">
        <f t="shared" si="16"/>
        <v>0</v>
      </c>
      <c r="U31" s="64"/>
      <c r="V31" s="85"/>
      <c r="W31" s="66"/>
      <c r="X31" s="67"/>
      <c r="Y31" s="68"/>
      <c r="Z31" s="68"/>
      <c r="AA31" s="62">
        <f t="shared" si="5"/>
        <v>0</v>
      </c>
      <c r="AB31" s="63">
        <f t="shared" si="6"/>
        <v>0</v>
      </c>
      <c r="AC31" s="69"/>
      <c r="AD31" s="70"/>
      <c r="AE31" s="70"/>
      <c r="AF31" s="62">
        <f t="shared" si="17"/>
        <v>0</v>
      </c>
      <c r="AG31" s="63">
        <f t="shared" si="18"/>
        <v>0</v>
      </c>
      <c r="AH31" s="142"/>
      <c r="AI31" s="139"/>
      <c r="AJ31" s="139"/>
      <c r="AK31" s="62">
        <f t="shared" si="19"/>
        <v>0</v>
      </c>
      <c r="AL31" s="72">
        <f t="shared" si="20"/>
        <v>0</v>
      </c>
      <c r="AM31" s="81">
        <f t="shared" si="21"/>
        <v>0</v>
      </c>
      <c r="AN31" s="80">
        <f t="shared" si="22"/>
        <v>0</v>
      </c>
      <c r="AO31" s="80">
        <f t="shared" si="23"/>
        <v>0</v>
      </c>
      <c r="AP31" s="115" t="e">
        <f t="shared" si="24"/>
        <v>#DIV/0!</v>
      </c>
      <c r="AQ31" s="116">
        <f t="shared" si="12"/>
        <v>0</v>
      </c>
      <c r="AR31" s="90">
        <f t="shared" si="31"/>
        <v>0</v>
      </c>
    </row>
    <row r="32" spans="1:49" ht="15.75" x14ac:dyDescent="0.25">
      <c r="A32" t="str">
        <f t="shared" si="13"/>
        <v>46188M</v>
      </c>
      <c r="B32" s="51">
        <f t="shared" si="26"/>
        <v>46188</v>
      </c>
      <c r="C32" s="100" t="s">
        <v>87</v>
      </c>
      <c r="D32" s="91"/>
      <c r="E32" s="62"/>
      <c r="F32" s="62"/>
      <c r="G32" s="62">
        <f t="shared" si="29"/>
        <v>0</v>
      </c>
      <c r="H32" s="72">
        <f t="shared" si="30"/>
        <v>0</v>
      </c>
      <c r="I32" s="121"/>
      <c r="J32" s="121"/>
      <c r="K32" s="121"/>
      <c r="L32" s="121"/>
      <c r="M32" s="58"/>
      <c r="N32" s="58"/>
      <c r="O32" s="59"/>
      <c r="P32" s="56"/>
      <c r="Q32" s="60"/>
      <c r="R32" s="61">
        <f t="shared" si="14"/>
        <v>0</v>
      </c>
      <c r="S32" s="62">
        <f t="shared" si="15"/>
        <v>0</v>
      </c>
      <c r="T32" s="63">
        <f t="shared" si="16"/>
        <v>0</v>
      </c>
      <c r="U32" s="64"/>
      <c r="V32" s="65"/>
      <c r="W32" s="105"/>
      <c r="X32" s="67"/>
      <c r="Y32" s="68"/>
      <c r="Z32" s="68"/>
      <c r="AA32" s="62">
        <f t="shared" si="5"/>
        <v>0</v>
      </c>
      <c r="AB32" s="63">
        <f t="shared" si="6"/>
        <v>0</v>
      </c>
      <c r="AC32" s="69"/>
      <c r="AD32" s="70"/>
      <c r="AE32" s="70"/>
      <c r="AF32" s="62">
        <f t="shared" si="17"/>
        <v>0</v>
      </c>
      <c r="AG32" s="63">
        <f t="shared" si="18"/>
        <v>0</v>
      </c>
      <c r="AH32" s="142"/>
      <c r="AI32" s="139"/>
      <c r="AJ32" s="139"/>
      <c r="AK32" s="62">
        <f t="shared" si="19"/>
        <v>0</v>
      </c>
      <c r="AL32" s="72">
        <f t="shared" si="20"/>
        <v>0</v>
      </c>
      <c r="AM32" s="81">
        <f t="shared" si="21"/>
        <v>0</v>
      </c>
      <c r="AN32" s="80">
        <f t="shared" si="22"/>
        <v>0</v>
      </c>
      <c r="AO32" s="80">
        <f t="shared" si="23"/>
        <v>0</v>
      </c>
      <c r="AP32" s="115" t="e">
        <f t="shared" si="24"/>
        <v>#DIV/0!</v>
      </c>
      <c r="AQ32" s="116">
        <f t="shared" si="12"/>
        <v>0</v>
      </c>
      <c r="AR32" s="90">
        <f t="shared" si="31"/>
        <v>0</v>
      </c>
    </row>
    <row r="33" spans="1:49" ht="15.75" x14ac:dyDescent="0.25">
      <c r="A33" t="str">
        <f t="shared" si="13"/>
        <v>46188E</v>
      </c>
      <c r="B33" s="51">
        <f t="shared" si="26"/>
        <v>46188</v>
      </c>
      <c r="C33" s="100" t="s">
        <v>88</v>
      </c>
      <c r="D33" s="91"/>
      <c r="E33" s="62"/>
      <c r="F33" s="62"/>
      <c r="G33" s="62">
        <f t="shared" si="29"/>
        <v>0</v>
      </c>
      <c r="H33" s="72">
        <f t="shared" si="30"/>
        <v>0</v>
      </c>
      <c r="I33" s="121"/>
      <c r="J33" s="121"/>
      <c r="K33" s="121"/>
      <c r="L33" s="121"/>
      <c r="M33" s="58"/>
      <c r="N33" s="58"/>
      <c r="O33" s="59"/>
      <c r="P33" s="56"/>
      <c r="Q33" s="60"/>
      <c r="R33" s="61">
        <f t="shared" si="14"/>
        <v>0</v>
      </c>
      <c r="S33" s="62">
        <f t="shared" si="15"/>
        <v>0</v>
      </c>
      <c r="T33" s="63">
        <f t="shared" si="16"/>
        <v>0</v>
      </c>
      <c r="U33" s="64"/>
      <c r="V33" s="65"/>
      <c r="W33" s="139"/>
      <c r="X33" s="67"/>
      <c r="Y33" s="68"/>
      <c r="Z33" s="68"/>
      <c r="AA33" s="62">
        <f t="shared" si="5"/>
        <v>0</v>
      </c>
      <c r="AB33" s="63">
        <f t="shared" si="6"/>
        <v>0</v>
      </c>
      <c r="AC33" s="69"/>
      <c r="AD33" s="70"/>
      <c r="AE33" s="70"/>
      <c r="AF33" s="62">
        <f t="shared" si="17"/>
        <v>0</v>
      </c>
      <c r="AG33" s="63">
        <f t="shared" si="18"/>
        <v>0</v>
      </c>
      <c r="AH33" s="142"/>
      <c r="AI33" s="139"/>
      <c r="AJ33" s="139"/>
      <c r="AK33" s="62">
        <f t="shared" si="19"/>
        <v>0</v>
      </c>
      <c r="AL33" s="72">
        <f t="shared" si="20"/>
        <v>0</v>
      </c>
      <c r="AM33" s="81">
        <f t="shared" si="21"/>
        <v>0</v>
      </c>
      <c r="AN33" s="80">
        <f t="shared" si="22"/>
        <v>0</v>
      </c>
      <c r="AO33" s="80">
        <f t="shared" si="23"/>
        <v>0</v>
      </c>
      <c r="AP33" s="115" t="e">
        <f t="shared" si="24"/>
        <v>#DIV/0!</v>
      </c>
      <c r="AQ33" s="116">
        <f t="shared" si="12"/>
        <v>0</v>
      </c>
      <c r="AR33" s="90">
        <f t="shared" si="31"/>
        <v>0</v>
      </c>
    </row>
    <row r="34" spans="1:49" ht="15.75" x14ac:dyDescent="0.25">
      <c r="A34" t="str">
        <f t="shared" si="13"/>
        <v>46189M</v>
      </c>
      <c r="B34" s="51">
        <f t="shared" si="26"/>
        <v>46189</v>
      </c>
      <c r="C34" s="100" t="s">
        <v>87</v>
      </c>
      <c r="D34" s="91"/>
      <c r="E34" s="62"/>
      <c r="F34" s="62"/>
      <c r="G34" s="62">
        <f t="shared" si="29"/>
        <v>0</v>
      </c>
      <c r="H34" s="72">
        <f t="shared" si="30"/>
        <v>0</v>
      </c>
      <c r="I34" s="121"/>
      <c r="J34" s="121"/>
      <c r="K34" s="121"/>
      <c r="L34" s="121"/>
      <c r="M34" s="58"/>
      <c r="N34" s="58"/>
      <c r="O34" s="59"/>
      <c r="P34" s="56"/>
      <c r="Q34" s="60"/>
      <c r="R34" s="61">
        <f t="shared" si="14"/>
        <v>0</v>
      </c>
      <c r="S34" s="62">
        <f t="shared" si="15"/>
        <v>0</v>
      </c>
      <c r="T34" s="63">
        <f t="shared" si="16"/>
        <v>0</v>
      </c>
      <c r="U34" s="64"/>
      <c r="V34" s="65"/>
      <c r="W34" s="105"/>
      <c r="X34" s="67"/>
      <c r="Y34" s="68"/>
      <c r="Z34" s="68"/>
      <c r="AA34" s="62">
        <f t="shared" si="5"/>
        <v>0</v>
      </c>
      <c r="AB34" s="63">
        <f t="shared" si="6"/>
        <v>0</v>
      </c>
      <c r="AC34" s="69"/>
      <c r="AD34" s="70"/>
      <c r="AE34" s="70"/>
      <c r="AF34" s="62">
        <f t="shared" si="17"/>
        <v>0</v>
      </c>
      <c r="AG34" s="63">
        <f t="shared" si="18"/>
        <v>0</v>
      </c>
      <c r="AH34" s="142"/>
      <c r="AI34" s="139"/>
      <c r="AJ34" s="139"/>
      <c r="AK34" s="62">
        <f t="shared" si="19"/>
        <v>0</v>
      </c>
      <c r="AL34" s="72">
        <f t="shared" si="20"/>
        <v>0</v>
      </c>
      <c r="AM34" s="81">
        <f t="shared" si="21"/>
        <v>0</v>
      </c>
      <c r="AN34" s="80">
        <f t="shared" si="22"/>
        <v>0</v>
      </c>
      <c r="AO34" s="80">
        <f t="shared" si="23"/>
        <v>0</v>
      </c>
      <c r="AP34" s="115" t="e">
        <f t="shared" si="24"/>
        <v>#DIV/0!</v>
      </c>
      <c r="AQ34" s="116">
        <f t="shared" si="12"/>
        <v>0</v>
      </c>
      <c r="AR34" s="90">
        <f t="shared" si="31"/>
        <v>0</v>
      </c>
    </row>
    <row r="35" spans="1:49" ht="15.75" x14ac:dyDescent="0.25">
      <c r="A35" t="str">
        <f t="shared" si="13"/>
        <v>46189E</v>
      </c>
      <c r="B35" s="51">
        <f t="shared" si="26"/>
        <v>46189</v>
      </c>
      <c r="C35" s="100" t="s">
        <v>88</v>
      </c>
      <c r="D35" s="91"/>
      <c r="E35" s="62"/>
      <c r="F35" s="62"/>
      <c r="G35" s="62">
        <f t="shared" si="29"/>
        <v>0</v>
      </c>
      <c r="H35" s="72">
        <f t="shared" si="30"/>
        <v>0</v>
      </c>
      <c r="I35" s="121"/>
      <c r="J35" s="121"/>
      <c r="K35" s="121"/>
      <c r="L35" s="121"/>
      <c r="M35" s="58"/>
      <c r="N35" s="58"/>
      <c r="O35" s="59"/>
      <c r="P35" s="56"/>
      <c r="Q35" s="60"/>
      <c r="R35" s="61">
        <f t="shared" si="14"/>
        <v>0</v>
      </c>
      <c r="S35" s="62">
        <f t="shared" si="15"/>
        <v>0</v>
      </c>
      <c r="T35" s="63">
        <f t="shared" si="16"/>
        <v>0</v>
      </c>
      <c r="U35" s="64"/>
      <c r="V35" s="65"/>
      <c r="W35" s="105"/>
      <c r="X35" s="67"/>
      <c r="Y35" s="68"/>
      <c r="Z35" s="68"/>
      <c r="AA35" s="62">
        <f t="shared" si="5"/>
        <v>0</v>
      </c>
      <c r="AB35" s="63">
        <f t="shared" si="6"/>
        <v>0</v>
      </c>
      <c r="AC35" s="69"/>
      <c r="AD35" s="70"/>
      <c r="AE35" s="70"/>
      <c r="AF35" s="62">
        <f t="shared" si="17"/>
        <v>0</v>
      </c>
      <c r="AG35" s="63">
        <f t="shared" si="18"/>
        <v>0</v>
      </c>
      <c r="AH35" s="142"/>
      <c r="AI35" s="139"/>
      <c r="AJ35" s="139"/>
      <c r="AK35" s="62">
        <f t="shared" si="19"/>
        <v>0</v>
      </c>
      <c r="AL35" s="72">
        <f t="shared" si="20"/>
        <v>0</v>
      </c>
      <c r="AM35" s="81">
        <f t="shared" si="21"/>
        <v>0</v>
      </c>
      <c r="AN35" s="80">
        <f t="shared" si="22"/>
        <v>0</v>
      </c>
      <c r="AO35" s="80">
        <f t="shared" si="23"/>
        <v>0</v>
      </c>
      <c r="AP35" s="115" t="e">
        <f t="shared" si="24"/>
        <v>#DIV/0!</v>
      </c>
      <c r="AQ35" s="116">
        <f t="shared" si="12"/>
        <v>0</v>
      </c>
      <c r="AR35" s="90">
        <f t="shared" si="31"/>
        <v>0</v>
      </c>
      <c r="AS35" s="90">
        <f>SUM(J22:J35)</f>
        <v>10139.938</v>
      </c>
      <c r="AT35" s="83">
        <f>SUM(AM22:AM35)</f>
        <v>-6.1999999998079147E-2</v>
      </c>
      <c r="AU35" s="83">
        <f>SUM(AN22:AN35)</f>
        <v>-29.492462999999955</v>
      </c>
      <c r="AV35" s="83">
        <f>SUM(AO22:AO35)</f>
        <v>-17.899957100000179</v>
      </c>
      <c r="AW35" s="83">
        <f>-SUM(AQ22:AQ35)</f>
        <v>18596.441393170702</v>
      </c>
    </row>
    <row r="36" spans="1:49" ht="15.75" x14ac:dyDescent="0.25">
      <c r="A36" t="str">
        <f t="shared" si="13"/>
        <v>46190M</v>
      </c>
      <c r="B36" s="51">
        <f t="shared" si="26"/>
        <v>46190</v>
      </c>
      <c r="C36" s="100" t="s">
        <v>87</v>
      </c>
      <c r="D36" s="91"/>
      <c r="E36" s="62"/>
      <c r="F36" s="62"/>
      <c r="G36" s="62">
        <f t="shared" si="29"/>
        <v>0</v>
      </c>
      <c r="H36" s="72">
        <f t="shared" si="30"/>
        <v>0</v>
      </c>
      <c r="I36" s="121"/>
      <c r="J36" s="121"/>
      <c r="K36" s="121"/>
      <c r="L36" s="121"/>
      <c r="M36" s="58"/>
      <c r="N36" s="58"/>
      <c r="O36" s="59"/>
      <c r="P36" s="56"/>
      <c r="Q36" s="60"/>
      <c r="R36" s="61">
        <f t="shared" si="14"/>
        <v>0</v>
      </c>
      <c r="S36" s="62">
        <f t="shared" si="15"/>
        <v>0</v>
      </c>
      <c r="T36" s="63">
        <f t="shared" si="16"/>
        <v>0</v>
      </c>
      <c r="U36" s="64"/>
      <c r="V36" s="85"/>
      <c r="W36" s="105"/>
      <c r="X36" s="67"/>
      <c r="Y36" s="68"/>
      <c r="Z36" s="68"/>
      <c r="AA36" s="62">
        <f t="shared" si="5"/>
        <v>0</v>
      </c>
      <c r="AB36" s="63">
        <f t="shared" si="6"/>
        <v>0</v>
      </c>
      <c r="AC36" s="69"/>
      <c r="AD36" s="70"/>
      <c r="AE36" s="70"/>
      <c r="AF36" s="62">
        <f t="shared" si="17"/>
        <v>0</v>
      </c>
      <c r="AG36" s="63">
        <f t="shared" si="18"/>
        <v>0</v>
      </c>
      <c r="AH36" s="142"/>
      <c r="AI36" s="139"/>
      <c r="AJ36" s="139"/>
      <c r="AK36" s="62">
        <f t="shared" si="19"/>
        <v>0</v>
      </c>
      <c r="AL36" s="72">
        <f t="shared" si="20"/>
        <v>0</v>
      </c>
      <c r="AM36" s="81">
        <f t="shared" si="21"/>
        <v>0</v>
      </c>
      <c r="AN36" s="80">
        <f t="shared" si="22"/>
        <v>0</v>
      </c>
      <c r="AO36" s="80">
        <f t="shared" si="23"/>
        <v>0</v>
      </c>
      <c r="AP36" s="115" t="e">
        <f t="shared" si="24"/>
        <v>#DIV/0!</v>
      </c>
      <c r="AQ36" s="116">
        <f t="shared" si="12"/>
        <v>0</v>
      </c>
      <c r="AR36" s="90">
        <f t="shared" ref="AR36:AR43" si="32">(D36+J36+O36)-(X36+AH36)</f>
        <v>0</v>
      </c>
    </row>
    <row r="37" spans="1:49" ht="15.75" x14ac:dyDescent="0.25">
      <c r="A37" t="str">
        <f t="shared" si="13"/>
        <v>46190E</v>
      </c>
      <c r="B37" s="51">
        <f t="shared" si="26"/>
        <v>46190</v>
      </c>
      <c r="C37" s="100" t="s">
        <v>88</v>
      </c>
      <c r="D37" s="91"/>
      <c r="E37" s="62"/>
      <c r="F37" s="62"/>
      <c r="G37" s="62">
        <f t="shared" si="29"/>
        <v>0</v>
      </c>
      <c r="H37" s="72">
        <f t="shared" si="30"/>
        <v>0</v>
      </c>
      <c r="I37" s="121"/>
      <c r="J37" s="121"/>
      <c r="K37" s="121"/>
      <c r="L37" s="121"/>
      <c r="M37" s="58"/>
      <c r="N37" s="58"/>
      <c r="O37" s="59"/>
      <c r="P37" s="56"/>
      <c r="Q37" s="60"/>
      <c r="R37" s="61">
        <f t="shared" si="14"/>
        <v>0</v>
      </c>
      <c r="S37" s="62">
        <f t="shared" si="15"/>
        <v>0</v>
      </c>
      <c r="T37" s="63">
        <f t="shared" si="16"/>
        <v>0</v>
      </c>
      <c r="U37" s="64"/>
      <c r="V37" s="65"/>
      <c r="W37" s="66"/>
      <c r="X37" s="67"/>
      <c r="Y37" s="68"/>
      <c r="Z37" s="68"/>
      <c r="AA37" s="62">
        <f t="shared" si="5"/>
        <v>0</v>
      </c>
      <c r="AB37" s="63">
        <f t="shared" si="6"/>
        <v>0</v>
      </c>
      <c r="AC37" s="69"/>
      <c r="AD37" s="70"/>
      <c r="AE37" s="70"/>
      <c r="AF37" s="62">
        <f t="shared" si="17"/>
        <v>0</v>
      </c>
      <c r="AG37" s="63">
        <f t="shared" si="18"/>
        <v>0</v>
      </c>
      <c r="AH37" s="142"/>
      <c r="AI37" s="139"/>
      <c r="AJ37" s="139"/>
      <c r="AK37" s="62">
        <f t="shared" si="19"/>
        <v>0</v>
      </c>
      <c r="AL37" s="72">
        <f t="shared" si="20"/>
        <v>0</v>
      </c>
      <c r="AM37" s="81">
        <f t="shared" si="21"/>
        <v>0</v>
      </c>
      <c r="AN37" s="80">
        <f t="shared" si="22"/>
        <v>0</v>
      </c>
      <c r="AO37" s="80">
        <f t="shared" si="23"/>
        <v>0</v>
      </c>
      <c r="AP37" s="115" t="e">
        <f t="shared" si="24"/>
        <v>#DIV/0!</v>
      </c>
      <c r="AQ37" s="116">
        <f t="shared" si="12"/>
        <v>0</v>
      </c>
      <c r="AR37" s="90">
        <f t="shared" si="32"/>
        <v>0</v>
      </c>
    </row>
    <row r="38" spans="1:49" ht="15.75" x14ac:dyDescent="0.25">
      <c r="A38" t="str">
        <f t="shared" si="13"/>
        <v>46191M</v>
      </c>
      <c r="B38" s="51">
        <f t="shared" si="26"/>
        <v>46191</v>
      </c>
      <c r="C38" s="100" t="s">
        <v>87</v>
      </c>
      <c r="D38" s="91"/>
      <c r="E38" s="62"/>
      <c r="F38" s="62"/>
      <c r="G38" s="62">
        <f t="shared" si="29"/>
        <v>0</v>
      </c>
      <c r="H38" s="72">
        <f t="shared" si="30"/>
        <v>0</v>
      </c>
      <c r="I38" s="121"/>
      <c r="J38" s="121"/>
      <c r="K38" s="121"/>
      <c r="L38" s="121"/>
      <c r="M38" s="58"/>
      <c r="N38" s="58"/>
      <c r="O38" s="59"/>
      <c r="P38" s="56"/>
      <c r="Q38" s="60"/>
      <c r="R38" s="61">
        <f t="shared" si="14"/>
        <v>0</v>
      </c>
      <c r="S38" s="62">
        <f t="shared" si="15"/>
        <v>0</v>
      </c>
      <c r="T38" s="63">
        <f t="shared" si="16"/>
        <v>0</v>
      </c>
      <c r="U38" s="64"/>
      <c r="V38" s="65"/>
      <c r="W38" s="139"/>
      <c r="X38" s="67"/>
      <c r="Y38" s="68"/>
      <c r="Z38" s="68"/>
      <c r="AA38" s="62">
        <f t="shared" si="5"/>
        <v>0</v>
      </c>
      <c r="AB38" s="63">
        <f t="shared" si="6"/>
        <v>0</v>
      </c>
      <c r="AC38" s="69"/>
      <c r="AD38" s="70"/>
      <c r="AE38" s="70"/>
      <c r="AF38" s="62">
        <f t="shared" si="17"/>
        <v>0</v>
      </c>
      <c r="AG38" s="63">
        <f t="shared" si="18"/>
        <v>0</v>
      </c>
      <c r="AH38" s="142"/>
      <c r="AI38" s="139"/>
      <c r="AJ38" s="139"/>
      <c r="AK38" s="62">
        <f t="shared" si="19"/>
        <v>0</v>
      </c>
      <c r="AL38" s="72">
        <f t="shared" si="20"/>
        <v>0</v>
      </c>
      <c r="AM38" s="81">
        <f t="shared" si="21"/>
        <v>0</v>
      </c>
      <c r="AN38" s="80">
        <f t="shared" si="22"/>
        <v>0</v>
      </c>
      <c r="AO38" s="80">
        <f t="shared" si="23"/>
        <v>0</v>
      </c>
      <c r="AP38" s="115" t="e">
        <f t="shared" si="24"/>
        <v>#DIV/0!</v>
      </c>
      <c r="AQ38" s="116">
        <f t="shared" si="12"/>
        <v>0</v>
      </c>
      <c r="AR38" s="90">
        <f t="shared" si="32"/>
        <v>0</v>
      </c>
    </row>
    <row r="39" spans="1:49" ht="15.75" x14ac:dyDescent="0.25">
      <c r="A39" t="str">
        <f t="shared" si="13"/>
        <v>46191E</v>
      </c>
      <c r="B39" s="51">
        <f t="shared" si="26"/>
        <v>46191</v>
      </c>
      <c r="C39" s="100" t="s">
        <v>88</v>
      </c>
      <c r="D39" s="91"/>
      <c r="E39" s="62"/>
      <c r="F39" s="62"/>
      <c r="G39" s="62">
        <f t="shared" si="29"/>
        <v>0</v>
      </c>
      <c r="H39" s="72">
        <f t="shared" si="30"/>
        <v>0</v>
      </c>
      <c r="I39" s="121"/>
      <c r="J39" s="121"/>
      <c r="K39" s="121"/>
      <c r="L39" s="121"/>
      <c r="M39" s="58"/>
      <c r="N39" s="58"/>
      <c r="O39" s="59"/>
      <c r="P39" s="56"/>
      <c r="Q39" s="60"/>
      <c r="R39" s="61">
        <f t="shared" si="14"/>
        <v>0</v>
      </c>
      <c r="S39" s="62">
        <f t="shared" si="15"/>
        <v>0</v>
      </c>
      <c r="T39" s="63">
        <f t="shared" si="16"/>
        <v>0</v>
      </c>
      <c r="U39" s="64"/>
      <c r="V39" s="65"/>
      <c r="W39" s="139"/>
      <c r="X39" s="67"/>
      <c r="Y39" s="68"/>
      <c r="Z39" s="68"/>
      <c r="AA39" s="62">
        <f t="shared" si="5"/>
        <v>0</v>
      </c>
      <c r="AB39" s="63">
        <f t="shared" si="6"/>
        <v>0</v>
      </c>
      <c r="AC39" s="69"/>
      <c r="AD39" s="70"/>
      <c r="AE39" s="70"/>
      <c r="AF39" s="62">
        <f t="shared" si="17"/>
        <v>0</v>
      </c>
      <c r="AG39" s="63">
        <f t="shared" si="18"/>
        <v>0</v>
      </c>
      <c r="AH39" s="142"/>
      <c r="AI39" s="139"/>
      <c r="AJ39" s="139"/>
      <c r="AK39" s="62">
        <f t="shared" si="19"/>
        <v>0</v>
      </c>
      <c r="AL39" s="72">
        <f t="shared" si="20"/>
        <v>0</v>
      </c>
      <c r="AM39" s="81">
        <f t="shared" si="21"/>
        <v>0</v>
      </c>
      <c r="AN39" s="80">
        <f t="shared" si="22"/>
        <v>0</v>
      </c>
      <c r="AO39" s="80">
        <f t="shared" si="23"/>
        <v>0</v>
      </c>
      <c r="AP39" s="115" t="e">
        <f t="shared" si="24"/>
        <v>#DIV/0!</v>
      </c>
      <c r="AQ39" s="116">
        <f t="shared" si="12"/>
        <v>0</v>
      </c>
      <c r="AR39" s="90">
        <f t="shared" si="32"/>
        <v>0</v>
      </c>
      <c r="AS39" s="90">
        <f>SUM(J26:J39)</f>
        <v>0</v>
      </c>
      <c r="AT39" s="83">
        <f>SUM(AM26:AM39)</f>
        <v>0</v>
      </c>
      <c r="AU39" s="83">
        <f>SUM(AN26:AN39)</f>
        <v>0</v>
      </c>
      <c r="AV39" s="83">
        <f>SUM(AO26:AO39)</f>
        <v>0</v>
      </c>
      <c r="AW39" s="83">
        <f>-SUM(AQ26:AQ39)</f>
        <v>0</v>
      </c>
    </row>
    <row r="40" spans="1:49" ht="15.75" x14ac:dyDescent="0.25">
      <c r="A40" t="str">
        <f t="shared" si="13"/>
        <v>46192M</v>
      </c>
      <c r="B40" s="51">
        <f t="shared" si="26"/>
        <v>46192</v>
      </c>
      <c r="C40" s="100" t="s">
        <v>87</v>
      </c>
      <c r="D40" s="91"/>
      <c r="E40" s="62"/>
      <c r="F40" s="62"/>
      <c r="G40" s="62">
        <f t="shared" si="29"/>
        <v>0</v>
      </c>
      <c r="H40" s="72">
        <f t="shared" si="30"/>
        <v>0</v>
      </c>
      <c r="I40" s="121"/>
      <c r="J40" s="121"/>
      <c r="K40" s="121"/>
      <c r="L40" s="121"/>
      <c r="M40" s="58"/>
      <c r="N40" s="58"/>
      <c r="O40" s="59"/>
      <c r="P40" s="56"/>
      <c r="Q40" s="60"/>
      <c r="R40" s="61">
        <f t="shared" si="14"/>
        <v>0</v>
      </c>
      <c r="S40" s="62">
        <f t="shared" si="15"/>
        <v>0</v>
      </c>
      <c r="T40" s="63">
        <f t="shared" si="16"/>
        <v>0</v>
      </c>
      <c r="U40" s="64"/>
      <c r="V40" s="65"/>
      <c r="W40" s="105"/>
      <c r="X40" s="67"/>
      <c r="Y40" s="68"/>
      <c r="Z40" s="68"/>
      <c r="AA40" s="62">
        <f t="shared" si="5"/>
        <v>0</v>
      </c>
      <c r="AB40" s="63">
        <f t="shared" si="6"/>
        <v>0</v>
      </c>
      <c r="AC40" s="69"/>
      <c r="AD40" s="70"/>
      <c r="AE40" s="70"/>
      <c r="AF40" s="62">
        <f t="shared" si="17"/>
        <v>0</v>
      </c>
      <c r="AG40" s="63">
        <f t="shared" si="18"/>
        <v>0</v>
      </c>
      <c r="AH40" s="142"/>
      <c r="AI40" s="139"/>
      <c r="AJ40" s="139"/>
      <c r="AK40" s="62">
        <f t="shared" si="19"/>
        <v>0</v>
      </c>
      <c r="AL40" s="72">
        <f t="shared" si="20"/>
        <v>0</v>
      </c>
      <c r="AM40" s="81">
        <f t="shared" si="21"/>
        <v>0</v>
      </c>
      <c r="AN40" s="80">
        <f t="shared" si="22"/>
        <v>0</v>
      </c>
      <c r="AO40" s="80">
        <f t="shared" si="23"/>
        <v>0</v>
      </c>
      <c r="AP40" s="115" t="e">
        <f t="shared" si="24"/>
        <v>#DIV/0!</v>
      </c>
      <c r="AQ40" s="116">
        <f t="shared" si="12"/>
        <v>0</v>
      </c>
      <c r="AR40" s="90">
        <f t="shared" si="32"/>
        <v>0</v>
      </c>
    </row>
    <row r="41" spans="1:49" ht="15.75" x14ac:dyDescent="0.25">
      <c r="A41" t="str">
        <f t="shared" si="13"/>
        <v>46192E</v>
      </c>
      <c r="B41" s="51">
        <f t="shared" si="26"/>
        <v>46192</v>
      </c>
      <c r="C41" s="100" t="s">
        <v>88</v>
      </c>
      <c r="D41" s="91"/>
      <c r="E41" s="62"/>
      <c r="F41" s="62"/>
      <c r="G41" s="62">
        <f t="shared" si="29"/>
        <v>0</v>
      </c>
      <c r="H41" s="72">
        <f t="shared" si="30"/>
        <v>0</v>
      </c>
      <c r="I41" s="121"/>
      <c r="J41" s="121"/>
      <c r="K41" s="121"/>
      <c r="L41" s="121"/>
      <c r="M41" s="58"/>
      <c r="N41" s="58"/>
      <c r="O41" s="59"/>
      <c r="P41" s="56"/>
      <c r="Q41" s="60"/>
      <c r="R41" s="61">
        <f t="shared" si="14"/>
        <v>0</v>
      </c>
      <c r="S41" s="62">
        <f t="shared" si="15"/>
        <v>0</v>
      </c>
      <c r="T41" s="63">
        <f t="shared" si="16"/>
        <v>0</v>
      </c>
      <c r="U41" s="64"/>
      <c r="V41" s="65"/>
      <c r="W41" s="139"/>
      <c r="X41" s="67"/>
      <c r="Y41" s="68"/>
      <c r="Z41" s="68"/>
      <c r="AA41" s="62">
        <f t="shared" si="5"/>
        <v>0</v>
      </c>
      <c r="AB41" s="63">
        <f t="shared" si="6"/>
        <v>0</v>
      </c>
      <c r="AC41" s="69"/>
      <c r="AD41" s="70"/>
      <c r="AE41" s="70"/>
      <c r="AF41" s="62">
        <f t="shared" si="17"/>
        <v>0</v>
      </c>
      <c r="AG41" s="63">
        <f t="shared" si="18"/>
        <v>0</v>
      </c>
      <c r="AH41" s="142"/>
      <c r="AI41" s="139"/>
      <c r="AJ41" s="139"/>
      <c r="AK41" s="62">
        <f t="shared" si="19"/>
        <v>0</v>
      </c>
      <c r="AL41" s="72">
        <f t="shared" si="20"/>
        <v>0</v>
      </c>
      <c r="AM41" s="81">
        <f t="shared" si="21"/>
        <v>0</v>
      </c>
      <c r="AN41" s="80">
        <f t="shared" si="22"/>
        <v>0</v>
      </c>
      <c r="AO41" s="80">
        <f t="shared" si="23"/>
        <v>0</v>
      </c>
      <c r="AP41" s="115" t="e">
        <f t="shared" si="24"/>
        <v>#DIV/0!</v>
      </c>
      <c r="AQ41" s="116">
        <f t="shared" si="12"/>
        <v>0</v>
      </c>
      <c r="AR41" s="90">
        <f t="shared" si="32"/>
        <v>0</v>
      </c>
      <c r="AS41" s="90">
        <f>SUM(J28:J41)</f>
        <v>0</v>
      </c>
      <c r="AT41" s="83">
        <f>SUM(AM28:AM41)</f>
        <v>0</v>
      </c>
      <c r="AU41" s="83">
        <f>SUM(AN28:AN41)</f>
        <v>0</v>
      </c>
      <c r="AV41" s="83">
        <f>SUM(AO28:AO41)</f>
        <v>0</v>
      </c>
      <c r="AW41" s="83">
        <f>-SUM(AQ28:AQ41)</f>
        <v>0</v>
      </c>
    </row>
    <row r="42" spans="1:49" ht="15.75" x14ac:dyDescent="0.25">
      <c r="A42" t="str">
        <f t="shared" si="13"/>
        <v>46193M</v>
      </c>
      <c r="B42" s="51">
        <f t="shared" si="26"/>
        <v>46193</v>
      </c>
      <c r="C42" s="100" t="s">
        <v>87</v>
      </c>
      <c r="D42" s="91"/>
      <c r="E42" s="62"/>
      <c r="F42" s="62"/>
      <c r="G42" s="62">
        <f t="shared" si="29"/>
        <v>0</v>
      </c>
      <c r="H42" s="72">
        <f t="shared" si="30"/>
        <v>0</v>
      </c>
      <c r="I42" s="121"/>
      <c r="J42" s="121"/>
      <c r="K42" s="121"/>
      <c r="L42" s="121"/>
      <c r="M42" s="58"/>
      <c r="N42" s="58"/>
      <c r="O42" s="59"/>
      <c r="P42" s="56"/>
      <c r="Q42" s="60"/>
      <c r="R42" s="61">
        <f t="shared" si="14"/>
        <v>0</v>
      </c>
      <c r="S42" s="62">
        <f t="shared" si="15"/>
        <v>0</v>
      </c>
      <c r="T42" s="63">
        <f t="shared" si="16"/>
        <v>0</v>
      </c>
      <c r="U42" s="64"/>
      <c r="V42" s="65"/>
      <c r="W42" s="66"/>
      <c r="X42" s="67"/>
      <c r="Y42" s="68"/>
      <c r="Z42" s="68"/>
      <c r="AA42" s="62">
        <f t="shared" si="5"/>
        <v>0</v>
      </c>
      <c r="AB42" s="63">
        <f t="shared" si="6"/>
        <v>0</v>
      </c>
      <c r="AC42" s="69"/>
      <c r="AD42" s="70"/>
      <c r="AE42" s="70"/>
      <c r="AF42" s="62">
        <f t="shared" si="17"/>
        <v>0</v>
      </c>
      <c r="AG42" s="63">
        <f t="shared" si="18"/>
        <v>0</v>
      </c>
      <c r="AH42" s="142"/>
      <c r="AI42" s="139"/>
      <c r="AJ42" s="139"/>
      <c r="AK42" s="62">
        <f t="shared" si="19"/>
        <v>0</v>
      </c>
      <c r="AL42" s="72">
        <f t="shared" si="20"/>
        <v>0</v>
      </c>
      <c r="AM42" s="81">
        <f t="shared" si="21"/>
        <v>0</v>
      </c>
      <c r="AN42" s="80">
        <f t="shared" si="22"/>
        <v>0</v>
      </c>
      <c r="AO42" s="80">
        <f t="shared" si="23"/>
        <v>0</v>
      </c>
      <c r="AP42" s="115" t="e">
        <f t="shared" si="24"/>
        <v>#DIV/0!</v>
      </c>
      <c r="AQ42" s="116">
        <f t="shared" si="12"/>
        <v>0</v>
      </c>
      <c r="AR42" s="90">
        <f t="shared" si="32"/>
        <v>0</v>
      </c>
    </row>
    <row r="43" spans="1:49" ht="15.75" x14ac:dyDescent="0.25">
      <c r="A43" t="str">
        <f t="shared" si="13"/>
        <v>46193E</v>
      </c>
      <c r="B43" s="51">
        <f t="shared" si="26"/>
        <v>46193</v>
      </c>
      <c r="C43" s="100" t="s">
        <v>88</v>
      </c>
      <c r="D43" s="91"/>
      <c r="E43" s="62"/>
      <c r="F43" s="62"/>
      <c r="G43" s="62">
        <f t="shared" si="29"/>
        <v>0</v>
      </c>
      <c r="H43" s="72">
        <f t="shared" si="30"/>
        <v>0</v>
      </c>
      <c r="I43" s="121"/>
      <c r="J43" s="121"/>
      <c r="K43" s="121"/>
      <c r="L43" s="121"/>
      <c r="M43" s="58"/>
      <c r="N43" s="58"/>
      <c r="O43" s="59"/>
      <c r="P43" s="56"/>
      <c r="Q43" s="60"/>
      <c r="R43" s="61">
        <f t="shared" si="14"/>
        <v>0</v>
      </c>
      <c r="S43" s="62">
        <f t="shared" si="15"/>
        <v>0</v>
      </c>
      <c r="T43" s="63">
        <f t="shared" si="16"/>
        <v>0</v>
      </c>
      <c r="U43" s="64"/>
      <c r="V43" s="65"/>
      <c r="W43" s="139"/>
      <c r="X43" s="67"/>
      <c r="Y43" s="68"/>
      <c r="Z43" s="68"/>
      <c r="AA43" s="62">
        <f t="shared" si="5"/>
        <v>0</v>
      </c>
      <c r="AB43" s="63">
        <f t="shared" si="6"/>
        <v>0</v>
      </c>
      <c r="AC43" s="69"/>
      <c r="AD43" s="70"/>
      <c r="AE43" s="70"/>
      <c r="AF43" s="62">
        <f t="shared" si="17"/>
        <v>0</v>
      </c>
      <c r="AG43" s="63">
        <f t="shared" si="18"/>
        <v>0</v>
      </c>
      <c r="AH43" s="142"/>
      <c r="AI43" s="139"/>
      <c r="AJ43" s="139"/>
      <c r="AK43" s="62">
        <f t="shared" si="19"/>
        <v>0</v>
      </c>
      <c r="AL43" s="72">
        <f t="shared" si="20"/>
        <v>0</v>
      </c>
      <c r="AM43" s="81">
        <f t="shared" si="21"/>
        <v>0</v>
      </c>
      <c r="AN43" s="80">
        <f t="shared" si="22"/>
        <v>0</v>
      </c>
      <c r="AO43" s="80">
        <f t="shared" si="23"/>
        <v>0</v>
      </c>
      <c r="AP43" s="115" t="e">
        <f t="shared" si="24"/>
        <v>#DIV/0!</v>
      </c>
      <c r="AQ43" s="116">
        <f t="shared" si="12"/>
        <v>0</v>
      </c>
      <c r="AR43" s="90">
        <f t="shared" si="32"/>
        <v>0</v>
      </c>
    </row>
    <row r="44" spans="1:49" ht="15.75" x14ac:dyDescent="0.25">
      <c r="A44" t="str">
        <f t="shared" si="13"/>
        <v>46194M</v>
      </c>
      <c r="B44" s="51">
        <f t="shared" si="26"/>
        <v>46194</v>
      </c>
      <c r="C44" s="100" t="s">
        <v>87</v>
      </c>
      <c r="D44" s="91"/>
      <c r="E44" s="62"/>
      <c r="F44" s="62"/>
      <c r="G44" s="62">
        <f t="shared" si="29"/>
        <v>0</v>
      </c>
      <c r="H44" s="72">
        <f t="shared" si="30"/>
        <v>0</v>
      </c>
      <c r="I44" s="121"/>
      <c r="J44" s="121"/>
      <c r="K44" s="121"/>
      <c r="L44" s="121"/>
      <c r="M44" s="58"/>
      <c r="N44" s="58"/>
      <c r="O44" s="59"/>
      <c r="P44" s="56"/>
      <c r="Q44" s="60"/>
      <c r="R44" s="61">
        <f t="shared" si="14"/>
        <v>0</v>
      </c>
      <c r="S44" s="62">
        <f t="shared" si="15"/>
        <v>0</v>
      </c>
      <c r="T44" s="63">
        <f t="shared" si="16"/>
        <v>0</v>
      </c>
      <c r="U44" s="64"/>
      <c r="V44" s="65"/>
      <c r="W44" s="139"/>
      <c r="X44" s="67"/>
      <c r="Y44" s="68"/>
      <c r="Z44" s="68"/>
      <c r="AA44" s="62">
        <f t="shared" si="5"/>
        <v>0</v>
      </c>
      <c r="AB44" s="63">
        <f t="shared" si="6"/>
        <v>0</v>
      </c>
      <c r="AC44" s="69"/>
      <c r="AD44" s="70"/>
      <c r="AE44" s="70"/>
      <c r="AF44" s="62">
        <f t="shared" si="17"/>
        <v>0</v>
      </c>
      <c r="AG44" s="63">
        <f t="shared" si="18"/>
        <v>0</v>
      </c>
      <c r="AH44" s="142"/>
      <c r="AI44" s="139"/>
      <c r="AJ44" s="139"/>
      <c r="AK44" s="62">
        <f t="shared" si="19"/>
        <v>0</v>
      </c>
      <c r="AL44" s="72">
        <f t="shared" si="20"/>
        <v>0</v>
      </c>
      <c r="AM44" s="81">
        <f t="shared" si="21"/>
        <v>0</v>
      </c>
      <c r="AN44" s="80">
        <f t="shared" si="22"/>
        <v>0</v>
      </c>
      <c r="AO44" s="80">
        <f t="shared" si="23"/>
        <v>0</v>
      </c>
      <c r="AP44" s="115" t="e">
        <f t="shared" si="24"/>
        <v>#DIV/0!</v>
      </c>
      <c r="AQ44" s="116">
        <f t="shared" si="12"/>
        <v>0</v>
      </c>
      <c r="AR44" s="90">
        <f t="shared" si="28"/>
        <v>0</v>
      </c>
    </row>
    <row r="45" spans="1:49" ht="15.75" x14ac:dyDescent="0.25">
      <c r="A45" t="str">
        <f t="shared" si="13"/>
        <v>46194E</v>
      </c>
      <c r="B45" s="51">
        <f t="shared" si="26"/>
        <v>46194</v>
      </c>
      <c r="C45" s="100" t="s">
        <v>88</v>
      </c>
      <c r="D45" s="91"/>
      <c r="E45" s="62"/>
      <c r="F45" s="62"/>
      <c r="G45" s="62">
        <f t="shared" si="29"/>
        <v>0</v>
      </c>
      <c r="H45" s="72">
        <f t="shared" si="30"/>
        <v>0</v>
      </c>
      <c r="I45" s="121"/>
      <c r="J45" s="121"/>
      <c r="K45" s="121"/>
      <c r="L45" s="121"/>
      <c r="M45" s="58"/>
      <c r="N45" s="58"/>
      <c r="O45" s="59"/>
      <c r="P45" s="56"/>
      <c r="Q45" s="60"/>
      <c r="R45" s="61">
        <f t="shared" si="14"/>
        <v>0</v>
      </c>
      <c r="S45" s="62">
        <f t="shared" si="15"/>
        <v>0</v>
      </c>
      <c r="T45" s="63">
        <f t="shared" si="16"/>
        <v>0</v>
      </c>
      <c r="U45" s="64"/>
      <c r="V45" s="65"/>
      <c r="W45" s="139"/>
      <c r="X45" s="67"/>
      <c r="Y45" s="68"/>
      <c r="Z45" s="68"/>
      <c r="AA45" s="62">
        <f t="shared" si="5"/>
        <v>0</v>
      </c>
      <c r="AB45" s="63">
        <f t="shared" si="6"/>
        <v>0</v>
      </c>
      <c r="AC45" s="69"/>
      <c r="AD45" s="70"/>
      <c r="AE45" s="70"/>
      <c r="AF45" s="62">
        <f t="shared" si="17"/>
        <v>0</v>
      </c>
      <c r="AG45" s="63">
        <f t="shared" si="18"/>
        <v>0</v>
      </c>
      <c r="AH45" s="142"/>
      <c r="AI45" s="139"/>
      <c r="AJ45" s="139"/>
      <c r="AK45" s="62">
        <f t="shared" si="19"/>
        <v>0</v>
      </c>
      <c r="AL45" s="72">
        <f t="shared" si="20"/>
        <v>0</v>
      </c>
      <c r="AM45" s="81">
        <f t="shared" si="21"/>
        <v>0</v>
      </c>
      <c r="AN45" s="80">
        <f t="shared" si="22"/>
        <v>0</v>
      </c>
      <c r="AO45" s="80">
        <f t="shared" si="23"/>
        <v>0</v>
      </c>
      <c r="AP45" s="115" t="e">
        <f t="shared" si="24"/>
        <v>#DIV/0!</v>
      </c>
      <c r="AQ45" s="116">
        <f t="shared" si="12"/>
        <v>0</v>
      </c>
      <c r="AR45" s="90">
        <f t="shared" si="28"/>
        <v>0</v>
      </c>
    </row>
    <row r="46" spans="1:49" ht="15.75" x14ac:dyDescent="0.25">
      <c r="A46" t="str">
        <f t="shared" si="13"/>
        <v>46195M</v>
      </c>
      <c r="B46" s="51">
        <f t="shared" si="26"/>
        <v>46195</v>
      </c>
      <c r="C46" s="100" t="s">
        <v>87</v>
      </c>
      <c r="D46" s="91"/>
      <c r="E46" s="62"/>
      <c r="F46" s="62"/>
      <c r="G46" s="62">
        <f t="shared" si="29"/>
        <v>0</v>
      </c>
      <c r="H46" s="72">
        <f t="shared" si="30"/>
        <v>0</v>
      </c>
      <c r="I46" s="121"/>
      <c r="J46" s="121"/>
      <c r="K46" s="121"/>
      <c r="L46" s="121"/>
      <c r="M46" s="58"/>
      <c r="N46" s="58"/>
      <c r="O46" s="59"/>
      <c r="P46" s="56"/>
      <c r="Q46" s="60"/>
      <c r="R46" s="61">
        <f t="shared" si="14"/>
        <v>0</v>
      </c>
      <c r="S46" s="62">
        <f t="shared" si="15"/>
        <v>0</v>
      </c>
      <c r="T46" s="63">
        <f t="shared" si="16"/>
        <v>0</v>
      </c>
      <c r="U46" s="64"/>
      <c r="V46" s="65"/>
      <c r="W46" s="139"/>
      <c r="X46" s="67"/>
      <c r="Y46" s="68"/>
      <c r="Z46" s="68"/>
      <c r="AA46" s="62">
        <f t="shared" si="5"/>
        <v>0</v>
      </c>
      <c r="AB46" s="63">
        <f t="shared" si="6"/>
        <v>0</v>
      </c>
      <c r="AC46" s="69"/>
      <c r="AD46" s="70"/>
      <c r="AE46" s="70"/>
      <c r="AF46" s="62">
        <f t="shared" si="17"/>
        <v>0</v>
      </c>
      <c r="AG46" s="63">
        <f t="shared" si="18"/>
        <v>0</v>
      </c>
      <c r="AH46" s="142"/>
      <c r="AI46" s="139"/>
      <c r="AJ46" s="139"/>
      <c r="AK46" s="62">
        <f t="shared" si="19"/>
        <v>0</v>
      </c>
      <c r="AL46" s="72">
        <f t="shared" si="20"/>
        <v>0</v>
      </c>
      <c r="AM46" s="81">
        <f t="shared" si="21"/>
        <v>0</v>
      </c>
      <c r="AN46" s="80">
        <f t="shared" si="22"/>
        <v>0</v>
      </c>
      <c r="AO46" s="80">
        <f t="shared" si="23"/>
        <v>0</v>
      </c>
      <c r="AP46" s="115" t="e">
        <f t="shared" si="24"/>
        <v>#DIV/0!</v>
      </c>
      <c r="AQ46" s="116">
        <f t="shared" si="12"/>
        <v>0</v>
      </c>
      <c r="AR46" s="90">
        <f t="shared" si="28"/>
        <v>0</v>
      </c>
    </row>
    <row r="47" spans="1:49" ht="15.75" x14ac:dyDescent="0.25">
      <c r="A47" t="str">
        <f t="shared" si="13"/>
        <v>46195E</v>
      </c>
      <c r="B47" s="51">
        <f t="shared" si="26"/>
        <v>46195</v>
      </c>
      <c r="C47" s="100" t="s">
        <v>88</v>
      </c>
      <c r="D47" s="91"/>
      <c r="E47" s="62"/>
      <c r="F47" s="62"/>
      <c r="G47" s="62">
        <f t="shared" si="29"/>
        <v>0</v>
      </c>
      <c r="H47" s="72">
        <f t="shared" si="30"/>
        <v>0</v>
      </c>
      <c r="I47" s="121"/>
      <c r="J47" s="121"/>
      <c r="K47" s="121"/>
      <c r="L47" s="121"/>
      <c r="M47" s="58"/>
      <c r="N47" s="58"/>
      <c r="O47" s="59"/>
      <c r="P47" s="56"/>
      <c r="Q47" s="60"/>
      <c r="R47" s="61">
        <f t="shared" si="14"/>
        <v>0</v>
      </c>
      <c r="S47" s="62">
        <f t="shared" si="15"/>
        <v>0</v>
      </c>
      <c r="T47" s="63">
        <f t="shared" si="16"/>
        <v>0</v>
      </c>
      <c r="U47" s="64"/>
      <c r="V47" s="65"/>
      <c r="W47" s="66"/>
      <c r="X47" s="67"/>
      <c r="Y47" s="68"/>
      <c r="Z47" s="68"/>
      <c r="AA47" s="62">
        <f t="shared" si="5"/>
        <v>0</v>
      </c>
      <c r="AB47" s="63">
        <f t="shared" si="6"/>
        <v>0</v>
      </c>
      <c r="AC47" s="69"/>
      <c r="AD47" s="70"/>
      <c r="AE47" s="70"/>
      <c r="AF47" s="62">
        <f t="shared" si="17"/>
        <v>0</v>
      </c>
      <c r="AG47" s="63">
        <f t="shared" si="18"/>
        <v>0</v>
      </c>
      <c r="AH47" s="142"/>
      <c r="AI47" s="139"/>
      <c r="AJ47" s="139"/>
      <c r="AK47" s="62">
        <f t="shared" si="19"/>
        <v>0</v>
      </c>
      <c r="AL47" s="72">
        <f t="shared" si="20"/>
        <v>0</v>
      </c>
      <c r="AM47" s="81">
        <f t="shared" si="21"/>
        <v>0</v>
      </c>
      <c r="AN47" s="80">
        <f t="shared" si="22"/>
        <v>0</v>
      </c>
      <c r="AO47" s="80">
        <f t="shared" si="23"/>
        <v>0</v>
      </c>
      <c r="AP47" s="115" t="e">
        <f t="shared" si="24"/>
        <v>#DIV/0!</v>
      </c>
      <c r="AQ47" s="116">
        <f t="shared" si="12"/>
        <v>0</v>
      </c>
      <c r="AR47" s="90">
        <f t="shared" si="28"/>
        <v>0</v>
      </c>
      <c r="AS47" s="90"/>
      <c r="AT47" s="83"/>
      <c r="AU47" s="83"/>
      <c r="AV47" s="83"/>
      <c r="AW47" s="83"/>
    </row>
    <row r="48" spans="1:49" ht="15.75" x14ac:dyDescent="0.25">
      <c r="A48" t="str">
        <f t="shared" si="13"/>
        <v>46196M</v>
      </c>
      <c r="B48" s="51">
        <f t="shared" si="26"/>
        <v>46196</v>
      </c>
      <c r="C48" s="100" t="s">
        <v>87</v>
      </c>
      <c r="D48" s="106"/>
      <c r="E48" s="107"/>
      <c r="F48" s="107"/>
      <c r="G48" s="62">
        <f t="shared" ref="G48:G51" si="33">+D48*E48%</f>
        <v>0</v>
      </c>
      <c r="H48" s="72">
        <f t="shared" ref="H48:H51" si="34">+D48*F48%</f>
        <v>0</v>
      </c>
      <c r="I48" s="121"/>
      <c r="J48" s="121"/>
      <c r="K48" s="121"/>
      <c r="L48" s="121"/>
      <c r="M48" s="58"/>
      <c r="N48" s="58"/>
      <c r="O48" s="59"/>
      <c r="P48" s="56"/>
      <c r="Q48" s="60"/>
      <c r="R48" s="61">
        <f t="shared" si="14"/>
        <v>0</v>
      </c>
      <c r="S48" s="62">
        <f t="shared" si="15"/>
        <v>0</v>
      </c>
      <c r="T48" s="63">
        <f t="shared" si="16"/>
        <v>0</v>
      </c>
      <c r="U48" s="103"/>
      <c r="V48" s="85"/>
      <c r="W48" s="105"/>
      <c r="X48" s="113"/>
      <c r="Y48" s="114"/>
      <c r="Z48" s="114"/>
      <c r="AA48" s="62">
        <f t="shared" ref="AA48:AA51" si="35">X48*Y48%</f>
        <v>0</v>
      </c>
      <c r="AB48" s="63">
        <f t="shared" ref="AB48:AB51" si="36">X48*Z48%</f>
        <v>0</v>
      </c>
      <c r="AC48" s="69"/>
      <c r="AD48" s="70"/>
      <c r="AE48" s="70"/>
      <c r="AF48" s="62">
        <f t="shared" si="17"/>
        <v>0</v>
      </c>
      <c r="AG48" s="63">
        <f t="shared" si="18"/>
        <v>0</v>
      </c>
      <c r="AH48" s="142"/>
      <c r="AI48" s="139"/>
      <c r="AJ48" s="139"/>
      <c r="AK48" s="62">
        <f t="shared" si="19"/>
        <v>0</v>
      </c>
      <c r="AL48" s="72">
        <f t="shared" si="20"/>
        <v>0</v>
      </c>
      <c r="AM48" s="81">
        <f t="shared" si="21"/>
        <v>0</v>
      </c>
      <c r="AN48" s="80">
        <f t="shared" si="22"/>
        <v>0</v>
      </c>
      <c r="AO48" s="80">
        <f t="shared" si="23"/>
        <v>0</v>
      </c>
      <c r="AP48" s="115" t="e">
        <f t="shared" si="24"/>
        <v>#DIV/0!</v>
      </c>
      <c r="AQ48" s="116">
        <f t="shared" si="12"/>
        <v>0</v>
      </c>
      <c r="AR48" s="90">
        <f t="shared" si="28"/>
        <v>0</v>
      </c>
    </row>
    <row r="49" spans="1:49" ht="15.75" x14ac:dyDescent="0.25">
      <c r="A49" t="str">
        <f t="shared" si="13"/>
        <v>46196E</v>
      </c>
      <c r="B49" s="51">
        <f t="shared" si="26"/>
        <v>46196</v>
      </c>
      <c r="C49" s="100" t="s">
        <v>88</v>
      </c>
      <c r="D49" s="106"/>
      <c r="E49" s="107"/>
      <c r="F49" s="107"/>
      <c r="G49" s="62">
        <f t="shared" si="33"/>
        <v>0</v>
      </c>
      <c r="H49" s="72">
        <f t="shared" si="34"/>
        <v>0</v>
      </c>
      <c r="I49" s="121"/>
      <c r="J49" s="121"/>
      <c r="K49" s="121"/>
      <c r="L49" s="121"/>
      <c r="M49" s="58"/>
      <c r="N49" s="58"/>
      <c r="O49" s="59"/>
      <c r="P49" s="56"/>
      <c r="Q49" s="60"/>
      <c r="R49" s="61">
        <f t="shared" si="14"/>
        <v>0</v>
      </c>
      <c r="S49" s="62">
        <f t="shared" si="15"/>
        <v>0</v>
      </c>
      <c r="T49" s="63">
        <f t="shared" si="16"/>
        <v>0</v>
      </c>
      <c r="U49" s="103"/>
      <c r="V49" s="104"/>
      <c r="W49" s="105"/>
      <c r="X49" s="113"/>
      <c r="Y49" s="114"/>
      <c r="Z49" s="114"/>
      <c r="AA49" s="62">
        <f t="shared" si="35"/>
        <v>0</v>
      </c>
      <c r="AB49" s="63">
        <f t="shared" si="36"/>
        <v>0</v>
      </c>
      <c r="AC49" s="69"/>
      <c r="AD49" s="70"/>
      <c r="AE49" s="70"/>
      <c r="AF49" s="62">
        <f t="shared" si="17"/>
        <v>0</v>
      </c>
      <c r="AG49" s="63">
        <f t="shared" si="18"/>
        <v>0</v>
      </c>
      <c r="AH49" s="142"/>
      <c r="AI49" s="139"/>
      <c r="AJ49" s="139"/>
      <c r="AK49" s="62">
        <f t="shared" si="19"/>
        <v>0</v>
      </c>
      <c r="AL49" s="72">
        <f t="shared" si="20"/>
        <v>0</v>
      </c>
      <c r="AM49" s="81">
        <f t="shared" si="21"/>
        <v>0</v>
      </c>
      <c r="AN49" s="80">
        <f t="shared" si="22"/>
        <v>0</v>
      </c>
      <c r="AO49" s="80">
        <f t="shared" si="23"/>
        <v>0</v>
      </c>
      <c r="AP49" s="115" t="e">
        <f t="shared" si="24"/>
        <v>#DIV/0!</v>
      </c>
      <c r="AQ49" s="116">
        <f t="shared" si="12"/>
        <v>0</v>
      </c>
      <c r="AR49" s="90">
        <f t="shared" si="28"/>
        <v>0</v>
      </c>
    </row>
    <row r="50" spans="1:49" ht="15.75" x14ac:dyDescent="0.25">
      <c r="A50" t="str">
        <f t="shared" si="13"/>
        <v>46197M</v>
      </c>
      <c r="B50" s="51">
        <f t="shared" si="26"/>
        <v>46197</v>
      </c>
      <c r="C50" s="100" t="s">
        <v>87</v>
      </c>
      <c r="D50" s="91"/>
      <c r="E50" s="62"/>
      <c r="F50" s="62"/>
      <c r="G50" s="62">
        <f t="shared" si="33"/>
        <v>0</v>
      </c>
      <c r="H50" s="72">
        <f t="shared" si="34"/>
        <v>0</v>
      </c>
      <c r="I50" s="121"/>
      <c r="J50" s="121"/>
      <c r="K50" s="121"/>
      <c r="L50" s="121"/>
      <c r="M50" s="58"/>
      <c r="N50" s="58"/>
      <c r="O50" s="59"/>
      <c r="P50" s="56"/>
      <c r="Q50" s="60"/>
      <c r="R50" s="61">
        <f t="shared" si="14"/>
        <v>0</v>
      </c>
      <c r="S50" s="62">
        <f t="shared" si="15"/>
        <v>0</v>
      </c>
      <c r="T50" s="63">
        <f t="shared" si="16"/>
        <v>0</v>
      </c>
      <c r="U50" s="64"/>
      <c r="V50" s="65"/>
      <c r="W50" s="66"/>
      <c r="X50" s="67"/>
      <c r="Y50" s="68"/>
      <c r="Z50" s="68"/>
      <c r="AA50" s="62">
        <f t="shared" si="35"/>
        <v>0</v>
      </c>
      <c r="AB50" s="63">
        <f t="shared" si="36"/>
        <v>0</v>
      </c>
      <c r="AC50" s="69"/>
      <c r="AD50" s="70"/>
      <c r="AE50" s="70"/>
      <c r="AF50" s="62">
        <f t="shared" si="17"/>
        <v>0</v>
      </c>
      <c r="AG50" s="63">
        <f t="shared" si="18"/>
        <v>0</v>
      </c>
      <c r="AH50" s="142"/>
      <c r="AI50" s="139"/>
      <c r="AJ50" s="139"/>
      <c r="AK50" s="62">
        <f t="shared" si="19"/>
        <v>0</v>
      </c>
      <c r="AL50" s="72">
        <f t="shared" si="20"/>
        <v>0</v>
      </c>
      <c r="AM50" s="81">
        <f t="shared" si="21"/>
        <v>0</v>
      </c>
      <c r="AN50" s="80">
        <f t="shared" si="22"/>
        <v>0</v>
      </c>
      <c r="AO50" s="80">
        <f t="shared" si="23"/>
        <v>0</v>
      </c>
      <c r="AP50" s="115" t="e">
        <f t="shared" si="24"/>
        <v>#DIV/0!</v>
      </c>
      <c r="AQ50" s="116">
        <f t="shared" si="12"/>
        <v>0</v>
      </c>
      <c r="AR50" s="90">
        <f t="shared" ref="AR50:AR55" si="37">(D50+J50+O50)-(X50+AH50)</f>
        <v>0</v>
      </c>
    </row>
    <row r="51" spans="1:49" ht="15.75" x14ac:dyDescent="0.25">
      <c r="A51" t="str">
        <f t="shared" si="13"/>
        <v>46197E</v>
      </c>
      <c r="B51" s="51">
        <f t="shared" si="26"/>
        <v>46197</v>
      </c>
      <c r="C51" s="100" t="s">
        <v>88</v>
      </c>
      <c r="D51" s="91"/>
      <c r="E51" s="62"/>
      <c r="F51" s="62"/>
      <c r="G51" s="62">
        <f t="shared" si="33"/>
        <v>0</v>
      </c>
      <c r="H51" s="72">
        <f t="shared" si="34"/>
        <v>0</v>
      </c>
      <c r="I51" s="121"/>
      <c r="J51" s="121"/>
      <c r="K51" s="121"/>
      <c r="L51" s="121"/>
      <c r="M51" s="58"/>
      <c r="N51" s="58"/>
      <c r="O51" s="59"/>
      <c r="P51" s="56"/>
      <c r="Q51" s="60"/>
      <c r="R51" s="61">
        <f t="shared" si="14"/>
        <v>0</v>
      </c>
      <c r="S51" s="62">
        <f t="shared" si="15"/>
        <v>0</v>
      </c>
      <c r="T51" s="63">
        <f t="shared" si="16"/>
        <v>0</v>
      </c>
      <c r="U51" s="64"/>
      <c r="V51" s="85"/>
      <c r="W51" s="66"/>
      <c r="X51" s="67"/>
      <c r="Y51" s="68"/>
      <c r="Z51" s="68"/>
      <c r="AA51" s="62">
        <f t="shared" si="35"/>
        <v>0</v>
      </c>
      <c r="AB51" s="63">
        <f t="shared" si="36"/>
        <v>0</v>
      </c>
      <c r="AC51" s="69"/>
      <c r="AD51" s="70"/>
      <c r="AE51" s="70"/>
      <c r="AF51" s="62">
        <f t="shared" si="17"/>
        <v>0</v>
      </c>
      <c r="AG51" s="63">
        <f t="shared" si="18"/>
        <v>0</v>
      </c>
      <c r="AH51" s="142"/>
      <c r="AI51" s="139"/>
      <c r="AJ51" s="139"/>
      <c r="AK51" s="62">
        <f t="shared" si="19"/>
        <v>0</v>
      </c>
      <c r="AL51" s="72">
        <f t="shared" si="20"/>
        <v>0</v>
      </c>
      <c r="AM51" s="81">
        <f t="shared" si="21"/>
        <v>0</v>
      </c>
      <c r="AN51" s="80">
        <f t="shared" si="22"/>
        <v>0</v>
      </c>
      <c r="AO51" s="80">
        <f t="shared" si="23"/>
        <v>0</v>
      </c>
      <c r="AP51" s="115" t="e">
        <f t="shared" si="24"/>
        <v>#DIV/0!</v>
      </c>
      <c r="AQ51" s="116">
        <f t="shared" si="12"/>
        <v>0</v>
      </c>
      <c r="AR51" s="90">
        <f t="shared" si="37"/>
        <v>0</v>
      </c>
    </row>
    <row r="52" spans="1:49" ht="15.75" x14ac:dyDescent="0.25">
      <c r="A52" t="str">
        <f t="shared" si="13"/>
        <v>46198M</v>
      </c>
      <c r="B52" s="51">
        <f t="shared" si="26"/>
        <v>46198</v>
      </c>
      <c r="C52" s="100" t="s">
        <v>87</v>
      </c>
      <c r="D52" s="91"/>
      <c r="E52" s="62"/>
      <c r="F52" s="62"/>
      <c r="G52" s="62">
        <f t="shared" ref="G52:G65" si="38">+D52*E52%</f>
        <v>0</v>
      </c>
      <c r="H52" s="72">
        <f t="shared" ref="H52:H65" si="39">+D52*F52%</f>
        <v>0</v>
      </c>
      <c r="I52" s="121"/>
      <c r="J52" s="121"/>
      <c r="K52" s="121"/>
      <c r="L52" s="121"/>
      <c r="M52" s="58"/>
      <c r="N52" s="58"/>
      <c r="O52" s="59"/>
      <c r="P52" s="56"/>
      <c r="Q52" s="60"/>
      <c r="R52" s="61">
        <f t="shared" si="14"/>
        <v>0</v>
      </c>
      <c r="S52" s="62">
        <f t="shared" si="15"/>
        <v>0</v>
      </c>
      <c r="T52" s="63">
        <f t="shared" si="16"/>
        <v>0</v>
      </c>
      <c r="U52" s="64"/>
      <c r="V52" s="65"/>
      <c r="W52" s="66"/>
      <c r="X52" s="67"/>
      <c r="Y52" s="68"/>
      <c r="Z52" s="68"/>
      <c r="AA52" s="62">
        <f t="shared" ref="AA52:AA65" si="40">X52*Y52%</f>
        <v>0</v>
      </c>
      <c r="AB52" s="63">
        <f t="shared" ref="AB52:AB65" si="41">X52*Z52%</f>
        <v>0</v>
      </c>
      <c r="AC52" s="69"/>
      <c r="AD52" s="70"/>
      <c r="AE52" s="70"/>
      <c r="AF52" s="62">
        <f t="shared" si="17"/>
        <v>0</v>
      </c>
      <c r="AG52" s="63">
        <f t="shared" si="18"/>
        <v>0</v>
      </c>
      <c r="AH52" s="142"/>
      <c r="AI52" s="139"/>
      <c r="AJ52" s="139"/>
      <c r="AK52" s="62">
        <f t="shared" si="19"/>
        <v>0</v>
      </c>
      <c r="AL52" s="72">
        <f t="shared" si="20"/>
        <v>0</v>
      </c>
      <c r="AM52" s="81">
        <f t="shared" si="21"/>
        <v>0</v>
      </c>
      <c r="AN52" s="80">
        <f t="shared" si="22"/>
        <v>0</v>
      </c>
      <c r="AO52" s="80">
        <f t="shared" si="23"/>
        <v>0</v>
      </c>
      <c r="AP52" s="115" t="e">
        <f t="shared" si="24"/>
        <v>#DIV/0!</v>
      </c>
      <c r="AQ52" s="116">
        <f t="shared" si="12"/>
        <v>0</v>
      </c>
      <c r="AR52" s="90">
        <f t="shared" si="37"/>
        <v>0</v>
      </c>
    </row>
    <row r="53" spans="1:49" ht="15.75" x14ac:dyDescent="0.25">
      <c r="A53" t="str">
        <f t="shared" si="13"/>
        <v>46198E</v>
      </c>
      <c r="B53" s="51">
        <f t="shared" si="26"/>
        <v>46198</v>
      </c>
      <c r="C53" s="100" t="s">
        <v>88</v>
      </c>
      <c r="D53" s="91"/>
      <c r="E53" s="62"/>
      <c r="F53" s="62"/>
      <c r="G53" s="62">
        <f t="shared" si="38"/>
        <v>0</v>
      </c>
      <c r="H53" s="72">
        <f t="shared" si="39"/>
        <v>0</v>
      </c>
      <c r="I53" s="121"/>
      <c r="J53" s="121"/>
      <c r="K53" s="121"/>
      <c r="L53" s="121"/>
      <c r="M53" s="58"/>
      <c r="N53" s="58"/>
      <c r="O53" s="59"/>
      <c r="P53" s="56"/>
      <c r="Q53" s="60"/>
      <c r="R53" s="61">
        <f t="shared" si="14"/>
        <v>0</v>
      </c>
      <c r="S53" s="62">
        <f t="shared" si="15"/>
        <v>0</v>
      </c>
      <c r="T53" s="63">
        <f t="shared" si="16"/>
        <v>0</v>
      </c>
      <c r="U53" s="64"/>
      <c r="V53" s="65"/>
      <c r="W53" s="66"/>
      <c r="X53" s="67"/>
      <c r="Y53" s="68"/>
      <c r="Z53" s="68"/>
      <c r="AA53" s="62">
        <f t="shared" si="40"/>
        <v>0</v>
      </c>
      <c r="AB53" s="63">
        <f t="shared" si="41"/>
        <v>0</v>
      </c>
      <c r="AC53" s="69"/>
      <c r="AD53" s="70"/>
      <c r="AE53" s="70"/>
      <c r="AF53" s="62">
        <f t="shared" si="17"/>
        <v>0</v>
      </c>
      <c r="AG53" s="63">
        <f t="shared" si="18"/>
        <v>0</v>
      </c>
      <c r="AH53" s="142"/>
      <c r="AI53" s="139"/>
      <c r="AJ53" s="139"/>
      <c r="AK53" s="62">
        <f t="shared" si="19"/>
        <v>0</v>
      </c>
      <c r="AL53" s="72">
        <f t="shared" si="20"/>
        <v>0</v>
      </c>
      <c r="AM53" s="81">
        <f t="shared" si="21"/>
        <v>0</v>
      </c>
      <c r="AN53" s="80">
        <f t="shared" si="22"/>
        <v>0</v>
      </c>
      <c r="AO53" s="80">
        <f t="shared" si="23"/>
        <v>0</v>
      </c>
      <c r="AP53" s="115" t="e">
        <f t="shared" si="24"/>
        <v>#DIV/0!</v>
      </c>
      <c r="AQ53" s="116">
        <f t="shared" si="12"/>
        <v>0</v>
      </c>
      <c r="AR53" s="90">
        <f t="shared" si="37"/>
        <v>0</v>
      </c>
    </row>
    <row r="54" spans="1:49" ht="15.75" x14ac:dyDescent="0.25">
      <c r="A54" t="str">
        <f t="shared" si="13"/>
        <v>46199M</v>
      </c>
      <c r="B54" s="51">
        <f t="shared" si="26"/>
        <v>46199</v>
      </c>
      <c r="C54" s="100" t="s">
        <v>87</v>
      </c>
      <c r="D54" s="91"/>
      <c r="E54" s="62"/>
      <c r="F54" s="62"/>
      <c r="G54" s="62">
        <f t="shared" si="38"/>
        <v>0</v>
      </c>
      <c r="H54" s="72">
        <f t="shared" si="39"/>
        <v>0</v>
      </c>
      <c r="I54" s="121"/>
      <c r="J54" s="121"/>
      <c r="K54" s="121"/>
      <c r="L54" s="121"/>
      <c r="M54" s="58"/>
      <c r="N54" s="58"/>
      <c r="O54" s="59"/>
      <c r="P54" s="56"/>
      <c r="Q54" s="60"/>
      <c r="R54" s="61">
        <f t="shared" si="14"/>
        <v>0</v>
      </c>
      <c r="S54" s="62">
        <f t="shared" si="15"/>
        <v>0</v>
      </c>
      <c r="T54" s="63">
        <f t="shared" si="16"/>
        <v>0</v>
      </c>
      <c r="U54" s="64"/>
      <c r="V54" s="65"/>
      <c r="W54" s="105"/>
      <c r="X54" s="67"/>
      <c r="Y54" s="68"/>
      <c r="Z54" s="68"/>
      <c r="AA54" s="62">
        <f t="shared" si="40"/>
        <v>0</v>
      </c>
      <c r="AB54" s="63">
        <f t="shared" si="41"/>
        <v>0</v>
      </c>
      <c r="AC54" s="69"/>
      <c r="AD54" s="70"/>
      <c r="AE54" s="70"/>
      <c r="AF54" s="62">
        <f t="shared" si="17"/>
        <v>0</v>
      </c>
      <c r="AG54" s="63">
        <f t="shared" si="18"/>
        <v>0</v>
      </c>
      <c r="AH54" s="142"/>
      <c r="AI54" s="139"/>
      <c r="AJ54" s="139"/>
      <c r="AK54" s="62">
        <f t="shared" si="19"/>
        <v>0</v>
      </c>
      <c r="AL54" s="72">
        <f t="shared" si="20"/>
        <v>0</v>
      </c>
      <c r="AM54" s="81">
        <f t="shared" si="21"/>
        <v>0</v>
      </c>
      <c r="AN54" s="80">
        <f t="shared" si="22"/>
        <v>0</v>
      </c>
      <c r="AO54" s="80">
        <f t="shared" si="23"/>
        <v>0</v>
      </c>
      <c r="AP54" s="115" t="e">
        <f t="shared" si="24"/>
        <v>#DIV/0!</v>
      </c>
      <c r="AQ54" s="116">
        <f t="shared" si="12"/>
        <v>0</v>
      </c>
      <c r="AR54" s="90">
        <f t="shared" si="37"/>
        <v>0</v>
      </c>
    </row>
    <row r="55" spans="1:49" ht="15.75" x14ac:dyDescent="0.25">
      <c r="A55" t="str">
        <f t="shared" si="13"/>
        <v>46199E</v>
      </c>
      <c r="B55" s="51">
        <f t="shared" si="26"/>
        <v>46199</v>
      </c>
      <c r="C55" s="100" t="s">
        <v>88</v>
      </c>
      <c r="D55" s="91"/>
      <c r="E55" s="62"/>
      <c r="F55" s="62"/>
      <c r="G55" s="62">
        <f t="shared" si="38"/>
        <v>0</v>
      </c>
      <c r="H55" s="72">
        <f t="shared" si="39"/>
        <v>0</v>
      </c>
      <c r="I55" s="121"/>
      <c r="J55" s="121"/>
      <c r="K55" s="121"/>
      <c r="L55" s="121"/>
      <c r="M55" s="58"/>
      <c r="N55" s="58"/>
      <c r="O55" s="59"/>
      <c r="P55" s="56"/>
      <c r="Q55" s="60"/>
      <c r="R55" s="61">
        <f t="shared" si="14"/>
        <v>0</v>
      </c>
      <c r="S55" s="62">
        <f t="shared" si="15"/>
        <v>0</v>
      </c>
      <c r="T55" s="63">
        <f t="shared" si="16"/>
        <v>0</v>
      </c>
      <c r="U55" s="64"/>
      <c r="V55" s="65"/>
      <c r="W55" s="105"/>
      <c r="X55" s="67"/>
      <c r="Y55" s="68"/>
      <c r="Z55" s="68"/>
      <c r="AA55" s="62">
        <f t="shared" si="40"/>
        <v>0</v>
      </c>
      <c r="AB55" s="63">
        <f t="shared" si="41"/>
        <v>0</v>
      </c>
      <c r="AC55" s="69"/>
      <c r="AD55" s="70"/>
      <c r="AE55" s="70"/>
      <c r="AF55" s="62">
        <f t="shared" si="17"/>
        <v>0</v>
      </c>
      <c r="AG55" s="63">
        <f t="shared" si="18"/>
        <v>0</v>
      </c>
      <c r="AH55" s="142"/>
      <c r="AI55" s="139"/>
      <c r="AJ55" s="139"/>
      <c r="AK55" s="62">
        <f t="shared" si="19"/>
        <v>0</v>
      </c>
      <c r="AL55" s="72">
        <f t="shared" si="20"/>
        <v>0</v>
      </c>
      <c r="AM55" s="81">
        <f t="shared" si="21"/>
        <v>0</v>
      </c>
      <c r="AN55" s="80">
        <f t="shared" si="22"/>
        <v>0</v>
      </c>
      <c r="AO55" s="80">
        <f t="shared" si="23"/>
        <v>0</v>
      </c>
      <c r="AP55" s="115" t="e">
        <f t="shared" si="24"/>
        <v>#DIV/0!</v>
      </c>
      <c r="AQ55" s="116">
        <f t="shared" si="12"/>
        <v>0</v>
      </c>
      <c r="AR55" s="90">
        <f t="shared" si="37"/>
        <v>0</v>
      </c>
      <c r="AS55" s="90">
        <f>SUM(J42:J55)</f>
        <v>0</v>
      </c>
      <c r="AT55" s="83">
        <f>SUM(AM42:AM55)</f>
        <v>0</v>
      </c>
      <c r="AU55" s="83">
        <f>SUM(AN42:AN55)</f>
        <v>0</v>
      </c>
      <c r="AV55" s="83">
        <f>SUM(AO42:AO55)</f>
        <v>0</v>
      </c>
      <c r="AW55" s="83">
        <f>-SUM(AQ42:AQ55)</f>
        <v>0</v>
      </c>
    </row>
    <row r="56" spans="1:49" ht="15.75" x14ac:dyDescent="0.25">
      <c r="A56" t="str">
        <f t="shared" si="13"/>
        <v>46200M</v>
      </c>
      <c r="B56" s="51">
        <f t="shared" si="26"/>
        <v>46200</v>
      </c>
      <c r="C56" s="100" t="s">
        <v>87</v>
      </c>
      <c r="D56" s="91"/>
      <c r="E56" s="62"/>
      <c r="F56" s="62"/>
      <c r="G56" s="62">
        <f t="shared" si="38"/>
        <v>0</v>
      </c>
      <c r="H56" s="72">
        <f t="shared" si="39"/>
        <v>0</v>
      </c>
      <c r="I56" s="121"/>
      <c r="J56" s="121"/>
      <c r="K56" s="121"/>
      <c r="L56" s="121"/>
      <c r="M56" s="58"/>
      <c r="N56" s="58"/>
      <c r="O56" s="59"/>
      <c r="P56" s="56"/>
      <c r="Q56" s="60"/>
      <c r="R56" s="61">
        <f t="shared" si="14"/>
        <v>0</v>
      </c>
      <c r="S56" s="62">
        <f t="shared" si="15"/>
        <v>0</v>
      </c>
      <c r="T56" s="63">
        <f t="shared" si="16"/>
        <v>0</v>
      </c>
      <c r="U56" s="64"/>
      <c r="V56" s="65"/>
      <c r="W56" s="66"/>
      <c r="X56" s="67"/>
      <c r="Y56" s="68"/>
      <c r="Z56" s="68"/>
      <c r="AA56" s="62">
        <f t="shared" si="40"/>
        <v>0</v>
      </c>
      <c r="AB56" s="63">
        <f t="shared" si="41"/>
        <v>0</v>
      </c>
      <c r="AC56" s="69"/>
      <c r="AD56" s="70"/>
      <c r="AE56" s="70"/>
      <c r="AF56" s="62">
        <f t="shared" si="17"/>
        <v>0</v>
      </c>
      <c r="AG56" s="63">
        <f t="shared" si="18"/>
        <v>0</v>
      </c>
      <c r="AH56" s="142"/>
      <c r="AI56" s="139"/>
      <c r="AJ56" s="139"/>
      <c r="AK56" s="62">
        <f t="shared" si="19"/>
        <v>0</v>
      </c>
      <c r="AL56" s="72">
        <f t="shared" si="20"/>
        <v>0</v>
      </c>
      <c r="AM56" s="81">
        <f t="shared" si="21"/>
        <v>0</v>
      </c>
      <c r="AN56" s="80">
        <f t="shared" si="22"/>
        <v>0</v>
      </c>
      <c r="AO56" s="80">
        <f t="shared" si="23"/>
        <v>0</v>
      </c>
      <c r="AP56" s="115" t="e">
        <f t="shared" si="24"/>
        <v>#DIV/0!</v>
      </c>
      <c r="AQ56" s="116">
        <f t="shared" si="12"/>
        <v>0</v>
      </c>
      <c r="AR56" s="90">
        <f t="shared" si="28"/>
        <v>0</v>
      </c>
    </row>
    <row r="57" spans="1:49" ht="15.75" x14ac:dyDescent="0.25">
      <c r="A57" t="str">
        <f t="shared" si="13"/>
        <v>46200E</v>
      </c>
      <c r="B57" s="51">
        <f t="shared" si="26"/>
        <v>46200</v>
      </c>
      <c r="C57" s="100" t="s">
        <v>88</v>
      </c>
      <c r="D57" s="91"/>
      <c r="E57" s="62"/>
      <c r="F57" s="62"/>
      <c r="G57" s="62">
        <f t="shared" si="38"/>
        <v>0</v>
      </c>
      <c r="H57" s="72">
        <f t="shared" si="39"/>
        <v>0</v>
      </c>
      <c r="I57" s="121"/>
      <c r="J57" s="121"/>
      <c r="K57" s="121"/>
      <c r="L57" s="121"/>
      <c r="M57" s="58"/>
      <c r="N57" s="58"/>
      <c r="O57" s="59"/>
      <c r="P57" s="56"/>
      <c r="Q57" s="60"/>
      <c r="R57" s="61">
        <f t="shared" si="14"/>
        <v>0</v>
      </c>
      <c r="S57" s="62">
        <f t="shared" si="15"/>
        <v>0</v>
      </c>
      <c r="T57" s="63">
        <f t="shared" si="16"/>
        <v>0</v>
      </c>
      <c r="U57" s="64"/>
      <c r="V57" s="65"/>
      <c r="W57" s="105"/>
      <c r="X57" s="67"/>
      <c r="Y57" s="68"/>
      <c r="Z57" s="68"/>
      <c r="AA57" s="62">
        <f t="shared" si="40"/>
        <v>0</v>
      </c>
      <c r="AB57" s="63">
        <f t="shared" si="41"/>
        <v>0</v>
      </c>
      <c r="AC57" s="69"/>
      <c r="AD57" s="70"/>
      <c r="AE57" s="70"/>
      <c r="AF57" s="62">
        <f t="shared" si="17"/>
        <v>0</v>
      </c>
      <c r="AG57" s="63">
        <f t="shared" si="18"/>
        <v>0</v>
      </c>
      <c r="AH57" s="142"/>
      <c r="AI57" s="139"/>
      <c r="AJ57" s="139"/>
      <c r="AK57" s="62">
        <f t="shared" si="19"/>
        <v>0</v>
      </c>
      <c r="AL57" s="72">
        <f t="shared" si="20"/>
        <v>0</v>
      </c>
      <c r="AM57" s="81">
        <f t="shared" si="21"/>
        <v>0</v>
      </c>
      <c r="AN57" s="80">
        <f t="shared" si="22"/>
        <v>0</v>
      </c>
      <c r="AO57" s="80">
        <f t="shared" si="23"/>
        <v>0</v>
      </c>
      <c r="AP57" s="115" t="e">
        <f t="shared" si="24"/>
        <v>#DIV/0!</v>
      </c>
      <c r="AQ57" s="116">
        <f t="shared" si="12"/>
        <v>0</v>
      </c>
      <c r="AR57" s="90">
        <f t="shared" si="28"/>
        <v>0</v>
      </c>
    </row>
    <row r="58" spans="1:49" ht="15.75" x14ac:dyDescent="0.25">
      <c r="A58" t="str">
        <f t="shared" si="13"/>
        <v>46201M</v>
      </c>
      <c r="B58" s="51">
        <f t="shared" si="26"/>
        <v>46201</v>
      </c>
      <c r="C58" s="100" t="s">
        <v>87</v>
      </c>
      <c r="D58" s="91"/>
      <c r="E58" s="62"/>
      <c r="F58" s="62"/>
      <c r="G58" s="62">
        <f t="shared" si="38"/>
        <v>0</v>
      </c>
      <c r="H58" s="72">
        <f t="shared" si="39"/>
        <v>0</v>
      </c>
      <c r="I58" s="121"/>
      <c r="J58" s="121"/>
      <c r="K58" s="121"/>
      <c r="L58" s="121"/>
      <c r="M58" s="58"/>
      <c r="N58" s="58"/>
      <c r="O58" s="59"/>
      <c r="P58" s="56"/>
      <c r="Q58" s="60"/>
      <c r="R58" s="61">
        <f t="shared" si="14"/>
        <v>0</v>
      </c>
      <c r="S58" s="62">
        <f t="shared" si="15"/>
        <v>0</v>
      </c>
      <c r="T58" s="63">
        <f t="shared" si="16"/>
        <v>0</v>
      </c>
      <c r="U58" s="64"/>
      <c r="V58" s="65"/>
      <c r="W58" s="66"/>
      <c r="X58" s="67"/>
      <c r="Y58" s="68"/>
      <c r="Z58" s="68"/>
      <c r="AA58" s="62">
        <f t="shared" si="40"/>
        <v>0</v>
      </c>
      <c r="AB58" s="63">
        <f t="shared" si="41"/>
        <v>0</v>
      </c>
      <c r="AC58" s="69"/>
      <c r="AD58" s="70"/>
      <c r="AE58" s="70"/>
      <c r="AF58" s="62">
        <f t="shared" si="17"/>
        <v>0</v>
      </c>
      <c r="AG58" s="63">
        <f t="shared" si="18"/>
        <v>0</v>
      </c>
      <c r="AH58" s="142"/>
      <c r="AI58" s="139"/>
      <c r="AJ58" s="139"/>
      <c r="AK58" s="62">
        <f t="shared" si="19"/>
        <v>0</v>
      </c>
      <c r="AL58" s="72">
        <f t="shared" si="20"/>
        <v>0</v>
      </c>
      <c r="AM58" s="81">
        <f t="shared" si="21"/>
        <v>0</v>
      </c>
      <c r="AN58" s="80">
        <f t="shared" si="22"/>
        <v>0</v>
      </c>
      <c r="AO58" s="80">
        <f t="shared" si="23"/>
        <v>0</v>
      </c>
      <c r="AP58" s="115" t="e">
        <f t="shared" si="24"/>
        <v>#DIV/0!</v>
      </c>
      <c r="AQ58" s="116">
        <f t="shared" si="12"/>
        <v>0</v>
      </c>
      <c r="AR58" s="90">
        <f t="shared" ref="AR58:AR63" si="42">(D58+J58+O58)-(X58+AH58)</f>
        <v>0</v>
      </c>
    </row>
    <row r="59" spans="1:49" ht="15.75" x14ac:dyDescent="0.25">
      <c r="A59" t="str">
        <f t="shared" si="13"/>
        <v>46201E</v>
      </c>
      <c r="B59" s="51">
        <f t="shared" si="26"/>
        <v>46201</v>
      </c>
      <c r="C59" s="100" t="s">
        <v>88</v>
      </c>
      <c r="D59" s="91"/>
      <c r="E59" s="62"/>
      <c r="F59" s="62"/>
      <c r="G59" s="62">
        <f t="shared" si="38"/>
        <v>0</v>
      </c>
      <c r="H59" s="72">
        <f t="shared" si="39"/>
        <v>0</v>
      </c>
      <c r="I59" s="121"/>
      <c r="J59" s="121"/>
      <c r="K59" s="121"/>
      <c r="L59" s="121"/>
      <c r="M59" s="58"/>
      <c r="N59" s="58"/>
      <c r="O59" s="59"/>
      <c r="P59" s="56"/>
      <c r="Q59" s="60"/>
      <c r="R59" s="61">
        <f t="shared" si="14"/>
        <v>0</v>
      </c>
      <c r="S59" s="62">
        <f t="shared" si="15"/>
        <v>0</v>
      </c>
      <c r="T59" s="63">
        <f t="shared" si="16"/>
        <v>0</v>
      </c>
      <c r="U59" s="64"/>
      <c r="V59" s="65"/>
      <c r="W59" s="66"/>
      <c r="X59" s="67"/>
      <c r="Y59" s="68"/>
      <c r="Z59" s="68"/>
      <c r="AA59" s="62">
        <f t="shared" si="40"/>
        <v>0</v>
      </c>
      <c r="AB59" s="63">
        <f t="shared" si="41"/>
        <v>0</v>
      </c>
      <c r="AC59" s="69"/>
      <c r="AD59" s="70"/>
      <c r="AE59" s="70"/>
      <c r="AF59" s="62">
        <f t="shared" si="17"/>
        <v>0</v>
      </c>
      <c r="AG59" s="63">
        <f t="shared" si="18"/>
        <v>0</v>
      </c>
      <c r="AH59" s="142"/>
      <c r="AI59" s="139"/>
      <c r="AJ59" s="139"/>
      <c r="AK59" s="62">
        <f t="shared" si="19"/>
        <v>0</v>
      </c>
      <c r="AL59" s="72">
        <f t="shared" si="20"/>
        <v>0</v>
      </c>
      <c r="AM59" s="81">
        <f t="shared" si="21"/>
        <v>0</v>
      </c>
      <c r="AN59" s="80">
        <f t="shared" si="22"/>
        <v>0</v>
      </c>
      <c r="AO59" s="80">
        <f t="shared" si="23"/>
        <v>0</v>
      </c>
      <c r="AP59" s="115" t="e">
        <f t="shared" si="24"/>
        <v>#DIV/0!</v>
      </c>
      <c r="AQ59" s="116">
        <f t="shared" si="12"/>
        <v>0</v>
      </c>
      <c r="AR59" s="90">
        <f t="shared" si="42"/>
        <v>0</v>
      </c>
    </row>
    <row r="60" spans="1:49" ht="15.75" x14ac:dyDescent="0.25">
      <c r="A60" t="str">
        <f t="shared" si="13"/>
        <v>46202M</v>
      </c>
      <c r="B60" s="51">
        <f t="shared" si="26"/>
        <v>46202</v>
      </c>
      <c r="C60" s="100" t="s">
        <v>87</v>
      </c>
      <c r="D60" s="91"/>
      <c r="E60" s="62"/>
      <c r="F60" s="62"/>
      <c r="G60" s="62">
        <f t="shared" si="38"/>
        <v>0</v>
      </c>
      <c r="H60" s="72">
        <f t="shared" si="39"/>
        <v>0</v>
      </c>
      <c r="I60" s="121"/>
      <c r="J60" s="121"/>
      <c r="K60" s="121"/>
      <c r="L60" s="121"/>
      <c r="M60" s="58"/>
      <c r="N60" s="58"/>
      <c r="O60" s="59"/>
      <c r="P60" s="56"/>
      <c r="Q60" s="60"/>
      <c r="R60" s="61">
        <f t="shared" si="14"/>
        <v>0</v>
      </c>
      <c r="S60" s="62">
        <f t="shared" si="15"/>
        <v>0</v>
      </c>
      <c r="T60" s="63">
        <f t="shared" si="16"/>
        <v>0</v>
      </c>
      <c r="U60" s="64"/>
      <c r="V60" s="65"/>
      <c r="W60" s="66"/>
      <c r="X60" s="67"/>
      <c r="Y60" s="68"/>
      <c r="Z60" s="68"/>
      <c r="AA60" s="62">
        <f t="shared" si="40"/>
        <v>0</v>
      </c>
      <c r="AB60" s="63">
        <f t="shared" si="41"/>
        <v>0</v>
      </c>
      <c r="AC60" s="69"/>
      <c r="AD60" s="70"/>
      <c r="AE60" s="70"/>
      <c r="AF60" s="62">
        <f t="shared" si="17"/>
        <v>0</v>
      </c>
      <c r="AG60" s="63">
        <f t="shared" si="18"/>
        <v>0</v>
      </c>
      <c r="AH60" s="142"/>
      <c r="AI60" s="139"/>
      <c r="AJ60" s="139"/>
      <c r="AK60" s="62">
        <f t="shared" si="19"/>
        <v>0</v>
      </c>
      <c r="AL60" s="72">
        <f t="shared" si="20"/>
        <v>0</v>
      </c>
      <c r="AM60" s="81">
        <f t="shared" si="21"/>
        <v>0</v>
      </c>
      <c r="AN60" s="80">
        <f t="shared" si="22"/>
        <v>0</v>
      </c>
      <c r="AO60" s="80">
        <f t="shared" si="23"/>
        <v>0</v>
      </c>
      <c r="AP60" s="115" t="e">
        <f t="shared" si="24"/>
        <v>#DIV/0!</v>
      </c>
      <c r="AQ60" s="116">
        <f t="shared" si="12"/>
        <v>0</v>
      </c>
      <c r="AR60" s="90">
        <f t="shared" si="42"/>
        <v>0</v>
      </c>
    </row>
    <row r="61" spans="1:49" ht="15.75" x14ac:dyDescent="0.25">
      <c r="A61" t="str">
        <f t="shared" si="13"/>
        <v>46202E</v>
      </c>
      <c r="B61" s="51">
        <f t="shared" si="26"/>
        <v>46202</v>
      </c>
      <c r="C61" s="100" t="s">
        <v>88</v>
      </c>
      <c r="D61" s="91"/>
      <c r="E61" s="62"/>
      <c r="F61" s="62"/>
      <c r="G61" s="62">
        <f t="shared" si="38"/>
        <v>0</v>
      </c>
      <c r="H61" s="72">
        <f t="shared" si="39"/>
        <v>0</v>
      </c>
      <c r="I61" s="121"/>
      <c r="J61" s="121"/>
      <c r="K61" s="121"/>
      <c r="L61" s="121"/>
      <c r="M61" s="58"/>
      <c r="N61" s="58"/>
      <c r="O61" s="59"/>
      <c r="P61" s="56"/>
      <c r="Q61" s="60"/>
      <c r="R61" s="61">
        <f t="shared" si="14"/>
        <v>0</v>
      </c>
      <c r="S61" s="62">
        <f t="shared" si="15"/>
        <v>0</v>
      </c>
      <c r="T61" s="63">
        <f t="shared" si="16"/>
        <v>0</v>
      </c>
      <c r="U61" s="64"/>
      <c r="V61" s="65"/>
      <c r="W61" s="105"/>
      <c r="X61" s="67"/>
      <c r="Y61" s="68"/>
      <c r="Z61" s="68"/>
      <c r="AA61" s="62">
        <f t="shared" si="40"/>
        <v>0</v>
      </c>
      <c r="AB61" s="63">
        <f t="shared" si="41"/>
        <v>0</v>
      </c>
      <c r="AC61" s="69"/>
      <c r="AD61" s="70"/>
      <c r="AE61" s="70"/>
      <c r="AF61" s="62">
        <f t="shared" si="17"/>
        <v>0</v>
      </c>
      <c r="AG61" s="63">
        <f t="shared" si="18"/>
        <v>0</v>
      </c>
      <c r="AH61" s="142"/>
      <c r="AI61" s="139"/>
      <c r="AJ61" s="139"/>
      <c r="AK61" s="62">
        <f t="shared" si="19"/>
        <v>0</v>
      </c>
      <c r="AL61" s="72">
        <f t="shared" si="20"/>
        <v>0</v>
      </c>
      <c r="AM61" s="81">
        <f t="shared" si="21"/>
        <v>0</v>
      </c>
      <c r="AN61" s="80">
        <f t="shared" si="22"/>
        <v>0</v>
      </c>
      <c r="AO61" s="80">
        <f t="shared" si="23"/>
        <v>0</v>
      </c>
      <c r="AP61" s="115" t="e">
        <f t="shared" si="24"/>
        <v>#DIV/0!</v>
      </c>
      <c r="AQ61" s="116">
        <f t="shared" si="12"/>
        <v>0</v>
      </c>
      <c r="AR61" s="90">
        <f t="shared" si="42"/>
        <v>0</v>
      </c>
      <c r="AS61" s="90">
        <f>SUM(J48:J61)</f>
        <v>0</v>
      </c>
      <c r="AT61" s="83">
        <f>SUM(AM48:AM61)</f>
        <v>0</v>
      </c>
      <c r="AU61" s="83">
        <f>SUM(AN48:AN61)</f>
        <v>0</v>
      </c>
      <c r="AV61" s="83">
        <f>SUM(AO48:AO61)</f>
        <v>0</v>
      </c>
      <c r="AW61" s="83">
        <f>-SUM(AQ48:AQ61)</f>
        <v>0</v>
      </c>
    </row>
    <row r="62" spans="1:49" ht="15.75" x14ac:dyDescent="0.25">
      <c r="A62" t="str">
        <f t="shared" si="13"/>
        <v>46203M</v>
      </c>
      <c r="B62" s="51">
        <f t="shared" si="26"/>
        <v>46203</v>
      </c>
      <c r="C62" s="100" t="s">
        <v>87</v>
      </c>
      <c r="D62" s="91"/>
      <c r="E62" s="62"/>
      <c r="F62" s="62"/>
      <c r="G62" s="62">
        <f t="shared" si="38"/>
        <v>0</v>
      </c>
      <c r="H62" s="72">
        <f t="shared" si="39"/>
        <v>0</v>
      </c>
      <c r="I62" s="121"/>
      <c r="J62" s="121"/>
      <c r="K62" s="121"/>
      <c r="L62" s="121"/>
      <c r="M62" s="58"/>
      <c r="N62" s="58"/>
      <c r="O62" s="59"/>
      <c r="P62" s="56"/>
      <c r="Q62" s="60"/>
      <c r="R62" s="61">
        <f t="shared" si="14"/>
        <v>0</v>
      </c>
      <c r="S62" s="62">
        <f t="shared" si="15"/>
        <v>0</v>
      </c>
      <c r="T62" s="63">
        <f t="shared" si="16"/>
        <v>0</v>
      </c>
      <c r="U62" s="64"/>
      <c r="V62" s="65"/>
      <c r="W62" s="105"/>
      <c r="X62" s="67"/>
      <c r="Y62" s="68"/>
      <c r="Z62" s="68"/>
      <c r="AA62" s="62">
        <f t="shared" si="40"/>
        <v>0</v>
      </c>
      <c r="AB62" s="63">
        <f t="shared" si="41"/>
        <v>0</v>
      </c>
      <c r="AC62" s="69"/>
      <c r="AD62" s="70"/>
      <c r="AE62" s="70"/>
      <c r="AF62" s="62">
        <f t="shared" si="17"/>
        <v>0</v>
      </c>
      <c r="AG62" s="63">
        <f t="shared" si="18"/>
        <v>0</v>
      </c>
      <c r="AH62" s="142"/>
      <c r="AI62" s="139"/>
      <c r="AJ62" s="139"/>
      <c r="AK62" s="62">
        <f t="shared" si="19"/>
        <v>0</v>
      </c>
      <c r="AL62" s="72">
        <f t="shared" si="20"/>
        <v>0</v>
      </c>
      <c r="AM62" s="81">
        <f t="shared" si="21"/>
        <v>0</v>
      </c>
      <c r="AN62" s="80">
        <f t="shared" si="22"/>
        <v>0</v>
      </c>
      <c r="AO62" s="80">
        <f t="shared" si="23"/>
        <v>0</v>
      </c>
      <c r="AP62" s="115" t="e">
        <f t="shared" si="24"/>
        <v>#DIV/0!</v>
      </c>
      <c r="AQ62" s="116">
        <f t="shared" si="12"/>
        <v>0</v>
      </c>
      <c r="AR62" s="90">
        <f t="shared" si="42"/>
        <v>0</v>
      </c>
    </row>
    <row r="63" spans="1:49" ht="15.75" x14ac:dyDescent="0.25">
      <c r="A63" t="str">
        <f t="shared" si="13"/>
        <v>46203E</v>
      </c>
      <c r="B63" s="51">
        <f t="shared" si="26"/>
        <v>46203</v>
      </c>
      <c r="C63" s="100" t="s">
        <v>88</v>
      </c>
      <c r="D63" s="91"/>
      <c r="E63" s="62"/>
      <c r="F63" s="62"/>
      <c r="G63" s="62">
        <f t="shared" si="38"/>
        <v>0</v>
      </c>
      <c r="H63" s="72">
        <f t="shared" si="39"/>
        <v>0</v>
      </c>
      <c r="I63" s="121"/>
      <c r="J63" s="121"/>
      <c r="K63" s="121"/>
      <c r="L63" s="121"/>
      <c r="M63" s="58"/>
      <c r="N63" s="58"/>
      <c r="O63" s="59"/>
      <c r="P63" s="56"/>
      <c r="Q63" s="60"/>
      <c r="R63" s="61">
        <f t="shared" si="14"/>
        <v>0</v>
      </c>
      <c r="S63" s="62">
        <f t="shared" si="15"/>
        <v>0</v>
      </c>
      <c r="T63" s="63">
        <f t="shared" si="16"/>
        <v>0</v>
      </c>
      <c r="U63" s="64"/>
      <c r="V63" s="65"/>
      <c r="W63" s="105"/>
      <c r="X63" s="67"/>
      <c r="Y63" s="68"/>
      <c r="Z63" s="68"/>
      <c r="AA63" s="62">
        <f t="shared" si="40"/>
        <v>0</v>
      </c>
      <c r="AB63" s="63">
        <f t="shared" si="41"/>
        <v>0</v>
      </c>
      <c r="AC63" s="69"/>
      <c r="AD63" s="70"/>
      <c r="AE63" s="70"/>
      <c r="AF63" s="62">
        <f t="shared" si="17"/>
        <v>0</v>
      </c>
      <c r="AG63" s="63">
        <f t="shared" si="18"/>
        <v>0</v>
      </c>
      <c r="AH63" s="142"/>
      <c r="AI63" s="139"/>
      <c r="AJ63" s="139"/>
      <c r="AK63" s="62">
        <f t="shared" si="19"/>
        <v>0</v>
      </c>
      <c r="AL63" s="72">
        <f t="shared" si="20"/>
        <v>0</v>
      </c>
      <c r="AM63" s="81">
        <f t="shared" si="21"/>
        <v>0</v>
      </c>
      <c r="AN63" s="80">
        <f t="shared" si="22"/>
        <v>0</v>
      </c>
      <c r="AO63" s="80">
        <f t="shared" si="23"/>
        <v>0</v>
      </c>
      <c r="AP63" s="115" t="e">
        <f t="shared" si="24"/>
        <v>#DIV/0!</v>
      </c>
      <c r="AQ63" s="116">
        <f t="shared" si="12"/>
        <v>0</v>
      </c>
      <c r="AR63" s="90">
        <f t="shared" si="42"/>
        <v>0</v>
      </c>
    </row>
    <row r="64" spans="1:49" ht="15.75" x14ac:dyDescent="0.25">
      <c r="A64" t="str">
        <f t="shared" si="13"/>
        <v>46204M</v>
      </c>
      <c r="B64" s="51">
        <f t="shared" si="26"/>
        <v>46204</v>
      </c>
      <c r="C64" s="100" t="s">
        <v>87</v>
      </c>
      <c r="D64" s="106"/>
      <c r="E64" s="107"/>
      <c r="F64" s="107"/>
      <c r="G64" s="62">
        <f t="shared" si="38"/>
        <v>0</v>
      </c>
      <c r="H64" s="72">
        <f t="shared" si="39"/>
        <v>0</v>
      </c>
      <c r="I64" s="121"/>
      <c r="J64" s="121"/>
      <c r="K64" s="121"/>
      <c r="L64" s="121"/>
      <c r="M64" s="58"/>
      <c r="N64" s="58"/>
      <c r="O64" s="59"/>
      <c r="P64" s="56"/>
      <c r="Q64" s="60"/>
      <c r="R64" s="61">
        <f t="shared" si="14"/>
        <v>0</v>
      </c>
      <c r="S64" s="62">
        <f t="shared" si="15"/>
        <v>0</v>
      </c>
      <c r="T64" s="63">
        <f t="shared" si="16"/>
        <v>0</v>
      </c>
      <c r="U64" s="103"/>
      <c r="V64" s="65"/>
      <c r="W64" s="105"/>
      <c r="X64" s="67"/>
      <c r="Y64" s="68"/>
      <c r="Z64" s="68"/>
      <c r="AA64" s="62">
        <f t="shared" si="40"/>
        <v>0</v>
      </c>
      <c r="AB64" s="63">
        <f t="shared" si="41"/>
        <v>0</v>
      </c>
      <c r="AC64" s="69"/>
      <c r="AD64" s="70"/>
      <c r="AE64" s="70"/>
      <c r="AF64" s="62">
        <f t="shared" si="17"/>
        <v>0</v>
      </c>
      <c r="AG64" s="63">
        <f t="shared" si="18"/>
        <v>0</v>
      </c>
      <c r="AH64" s="142"/>
      <c r="AI64" s="139"/>
      <c r="AJ64" s="139"/>
      <c r="AK64" s="62">
        <f t="shared" si="19"/>
        <v>0</v>
      </c>
      <c r="AL64" s="72">
        <f t="shared" si="20"/>
        <v>0</v>
      </c>
      <c r="AM64" s="81">
        <f t="shared" si="21"/>
        <v>0</v>
      </c>
      <c r="AN64" s="80">
        <f t="shared" si="22"/>
        <v>0</v>
      </c>
      <c r="AO64" s="80">
        <f t="shared" si="23"/>
        <v>0</v>
      </c>
      <c r="AP64" s="115" t="e">
        <f t="shared" si="24"/>
        <v>#DIV/0!</v>
      </c>
      <c r="AQ64" s="116">
        <f t="shared" si="12"/>
        <v>0</v>
      </c>
    </row>
    <row r="65" spans="1:43" ht="15.75" x14ac:dyDescent="0.25">
      <c r="A65" t="str">
        <f t="shared" si="13"/>
        <v>46204E</v>
      </c>
      <c r="B65" s="51">
        <f t="shared" si="26"/>
        <v>46204</v>
      </c>
      <c r="C65" s="100" t="s">
        <v>88</v>
      </c>
      <c r="D65" s="106"/>
      <c r="E65" s="107"/>
      <c r="F65" s="107"/>
      <c r="G65" s="62">
        <f t="shared" si="38"/>
        <v>0</v>
      </c>
      <c r="H65" s="72">
        <f t="shared" si="39"/>
        <v>0</v>
      </c>
      <c r="I65" s="121"/>
      <c r="J65" s="121"/>
      <c r="K65" s="121"/>
      <c r="L65" s="121"/>
      <c r="M65" s="58"/>
      <c r="N65" s="58"/>
      <c r="O65" s="59"/>
      <c r="P65" s="56"/>
      <c r="Q65" s="60"/>
      <c r="R65" s="61">
        <f t="shared" si="14"/>
        <v>0</v>
      </c>
      <c r="S65" s="62">
        <f t="shared" si="15"/>
        <v>0</v>
      </c>
      <c r="T65" s="63">
        <f t="shared" si="16"/>
        <v>0</v>
      </c>
      <c r="U65" s="103"/>
      <c r="V65" s="104"/>
      <c r="W65" s="105"/>
      <c r="X65" s="113"/>
      <c r="Y65" s="114"/>
      <c r="Z65" s="114"/>
      <c r="AA65" s="62">
        <f t="shared" si="40"/>
        <v>0</v>
      </c>
      <c r="AB65" s="63">
        <f t="shared" si="41"/>
        <v>0</v>
      </c>
      <c r="AC65" s="69"/>
      <c r="AD65" s="70"/>
      <c r="AE65" s="70"/>
      <c r="AF65" s="62">
        <f t="shared" si="17"/>
        <v>0</v>
      </c>
      <c r="AG65" s="63">
        <f t="shared" si="18"/>
        <v>0</v>
      </c>
      <c r="AH65" s="142"/>
      <c r="AI65" s="139"/>
      <c r="AJ65" s="139"/>
      <c r="AK65" s="62">
        <f t="shared" si="19"/>
        <v>0</v>
      </c>
      <c r="AL65" s="72">
        <f t="shared" si="20"/>
        <v>0</v>
      </c>
      <c r="AM65" s="81">
        <f t="shared" si="21"/>
        <v>0</v>
      </c>
      <c r="AN65" s="80">
        <f t="shared" si="22"/>
        <v>0</v>
      </c>
      <c r="AO65" s="80">
        <f t="shared" si="23"/>
        <v>0</v>
      </c>
      <c r="AP65" s="115" t="e">
        <f t="shared" si="24"/>
        <v>#DIV/0!</v>
      </c>
      <c r="AQ65" s="116">
        <f t="shared" si="12"/>
        <v>0</v>
      </c>
    </row>
    <row r="66" spans="1:43" x14ac:dyDescent="0.25">
      <c r="J66" s="83">
        <f>SUM(J4:J65)</f>
        <v>125905.86099999998</v>
      </c>
      <c r="AM66" s="98">
        <f t="shared" ref="AM66:AO66" si="43">-SUM(AM4:AM65)</f>
        <v>-266.86100000000988</v>
      </c>
      <c r="AN66" s="98">
        <f>-SUM(AN4:AN65)</f>
        <v>-21.305352100000302</v>
      </c>
      <c r="AO66" s="98">
        <f t="shared" si="43"/>
        <v>-45.605310599999953</v>
      </c>
      <c r="AP66" s="98"/>
      <c r="AQ66" s="98">
        <f>-SUM(AQ4:AQ65)</f>
        <v>-23212.638932175127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49" priority="2" operator="lessThan">
      <formula>0.1</formula>
    </cfRule>
    <cfRule type="cellIs" dxfId="48" priority="3" operator="greaterThan">
      <formula>0.1</formula>
    </cfRule>
  </conditionalFormatting>
  <conditionalFormatting sqref="AP1:AQ1">
    <cfRule type="cellIs" dxfId="47" priority="1" operator="lessThan">
      <formula>1</formula>
    </cfRule>
  </conditionalFormatting>
  <conditionalFormatting sqref="AQ4:AQ65">
    <cfRule type="cellIs" dxfId="46" priority="20" operator="lessThan">
      <formula>0</formula>
    </cfRule>
    <cfRule type="cellIs" dxfId="45" priority="21" operator="greaterThan">
      <formula>0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8"/>
  <dimension ref="A1:AW66"/>
  <sheetViews>
    <sheetView topLeftCell="A2" zoomScale="80" zoomScaleNormal="80" workbookViewId="0">
      <pane xSplit="3" ySplit="2" topLeftCell="D4" activePane="bottomRight" state="frozen"/>
      <selection activeCell="AH28" sqref="AH28:AJ41"/>
      <selection pane="topRight" activeCell="AH28" sqref="AH28:AJ41"/>
      <selection pane="bottomLeft" activeCell="AH28" sqref="AH28:AJ41"/>
      <selection pane="bottomRight" activeCell="AC21" sqref="AC21:AE21"/>
    </sheetView>
  </sheetViews>
  <sheetFormatPr defaultRowHeight="15" x14ac:dyDescent="0.25"/>
  <cols>
    <col min="1" max="1" width="2.85546875" customWidth="1"/>
    <col min="2" max="2" width="9.8554687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8.140625" bestFit="1" customWidth="1"/>
    <col min="9" max="10" width="8.42578125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20" width="7.28515625" customWidth="1"/>
    <col min="21" max="21" width="9.28515625" customWidth="1"/>
    <col min="22" max="22" width="9.7109375" customWidth="1"/>
    <col min="23" max="23" width="10.85546875" customWidth="1"/>
    <col min="24" max="24" width="8.5703125" bestFit="1" customWidth="1"/>
    <col min="25" max="26" width="5.85546875" bestFit="1" customWidth="1"/>
    <col min="27" max="28" width="7.42578125" customWidth="1"/>
    <col min="29" max="29" width="8.85546875" customWidth="1"/>
    <col min="30" max="31" width="5.85546875" bestFit="1" customWidth="1"/>
    <col min="32" max="33" width="7.140625" customWidth="1"/>
    <col min="34" max="34" width="8.140625" bestFit="1" customWidth="1"/>
    <col min="35" max="36" width="5.85546875" bestFit="1" customWidth="1"/>
    <col min="37" max="37" width="7.28515625" bestFit="1" customWidth="1"/>
    <col min="38" max="38" width="8.140625" bestFit="1" customWidth="1"/>
    <col min="39" max="39" width="7.85546875" bestFit="1" customWidth="1"/>
    <col min="40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6.28515625" bestFit="1" customWidth="1"/>
    <col min="45" max="45" width="6.5703125" bestFit="1" customWidth="1"/>
    <col min="46" max="46" width="7.85546875" bestFit="1" customWidth="1"/>
    <col min="47" max="48" width="6.7109375" bestFit="1" customWidth="1"/>
    <col min="49" max="49" width="8.85546875" bestFit="1" customWidth="1"/>
  </cols>
  <sheetData>
    <row r="1" spans="1:44" ht="15.75" thickBot="1" x14ac:dyDescent="0.3">
      <c r="B1" s="43" t="s">
        <v>96</v>
      </c>
      <c r="C1" s="44"/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59" t="s">
        <v>64</v>
      </c>
      <c r="C2" s="261" t="s">
        <v>65</v>
      </c>
      <c r="D2" s="263" t="s">
        <v>66</v>
      </c>
      <c r="E2" s="263"/>
      <c r="F2" s="263"/>
      <c r="G2" s="263"/>
      <c r="H2" s="264"/>
      <c r="I2" s="255" t="s">
        <v>67</v>
      </c>
      <c r="J2" s="256"/>
      <c r="K2" s="256"/>
      <c r="L2" s="257"/>
      <c r="M2" s="255" t="s">
        <v>68</v>
      </c>
      <c r="N2" s="265"/>
      <c r="O2" s="256"/>
      <c r="P2" s="256"/>
      <c r="Q2" s="257"/>
      <c r="R2" s="265" t="s">
        <v>69</v>
      </c>
      <c r="S2" s="256"/>
      <c r="T2" s="257"/>
      <c r="U2" s="252" t="s">
        <v>70</v>
      </c>
      <c r="V2" s="253"/>
      <c r="W2" s="253"/>
      <c r="X2" s="253"/>
      <c r="Y2" s="253"/>
      <c r="Z2" s="253"/>
      <c r="AA2" s="253"/>
      <c r="AB2" s="254"/>
      <c r="AC2" s="255" t="s">
        <v>71</v>
      </c>
      <c r="AD2" s="256"/>
      <c r="AE2" s="256"/>
      <c r="AF2" s="256"/>
      <c r="AG2" s="257"/>
      <c r="AH2" s="255" t="s">
        <v>72</v>
      </c>
      <c r="AI2" s="256"/>
      <c r="AJ2" s="256"/>
      <c r="AK2" s="256"/>
      <c r="AL2" s="258"/>
      <c r="AM2" s="252" t="s">
        <v>73</v>
      </c>
      <c r="AN2" s="253"/>
      <c r="AO2" s="253"/>
      <c r="AP2" s="253"/>
      <c r="AQ2" s="254"/>
    </row>
    <row r="3" spans="1:44" x14ac:dyDescent="0.25">
      <c r="B3" s="260"/>
      <c r="C3" s="26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201">
        <v>5860</v>
      </c>
      <c r="E4" s="202">
        <v>4.55</v>
      </c>
      <c r="F4" s="202">
        <v>8.4</v>
      </c>
      <c r="G4" s="62">
        <f t="shared" ref="G4:G15" si="0">+D4*E4%</f>
        <v>266.63</v>
      </c>
      <c r="H4" s="72">
        <f t="shared" ref="H4:H15" si="1">+D4*F4%</f>
        <v>492.24</v>
      </c>
      <c r="I4" s="203">
        <v>3543.0100000000007</v>
      </c>
      <c r="J4" s="203">
        <v>3649.3003000000008</v>
      </c>
      <c r="K4" s="203">
        <v>4.6660839229920326</v>
      </c>
      <c r="L4" s="203">
        <v>8.5206019740277341</v>
      </c>
      <c r="M4" s="57">
        <v>0</v>
      </c>
      <c r="N4" s="58">
        <v>0</v>
      </c>
      <c r="O4" s="59">
        <v>0</v>
      </c>
      <c r="P4" s="56">
        <v>0</v>
      </c>
      <c r="Q4" s="60">
        <v>0</v>
      </c>
      <c r="R4" s="61">
        <f t="shared" ref="R4" si="2">+J4+O4</f>
        <v>3649.3003000000008</v>
      </c>
      <c r="S4" s="62">
        <f t="shared" ref="S4" si="3">+J4*K4%+O4*P4%</f>
        <v>170.27941460000005</v>
      </c>
      <c r="T4" s="63">
        <f t="shared" ref="T4" si="4">+J4*L4%+O4*Q4%</f>
        <v>310.94235340000012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:AA36" si="5">X4*Y4%</f>
        <v>0</v>
      </c>
      <c r="AB4" s="63">
        <f t="shared" ref="AB4:AB36" si="6">X4*Z4%</f>
        <v>0</v>
      </c>
      <c r="AC4" s="69"/>
      <c r="AD4" s="70"/>
      <c r="AE4" s="70"/>
      <c r="AF4" s="62">
        <f t="shared" ref="AF4:AF36" si="7">AC4*AD4%</f>
        <v>0</v>
      </c>
      <c r="AG4" s="63">
        <f t="shared" ref="AG4:AG36" si="8">AC4*AE4%</f>
        <v>0</v>
      </c>
      <c r="AH4" s="97">
        <v>9509</v>
      </c>
      <c r="AI4" s="66">
        <v>4.4000000000000004</v>
      </c>
      <c r="AJ4" s="66">
        <v>8.4</v>
      </c>
      <c r="AK4" s="62">
        <f t="shared" ref="AK4" si="9">AH4*AI4%</f>
        <v>418.39600000000002</v>
      </c>
      <c r="AL4" s="72">
        <f t="shared" ref="AL4" si="10">AH4*AJ4%</f>
        <v>798.75600000000009</v>
      </c>
      <c r="AM4" s="73">
        <f>+D4+R4-AC4-AH4</f>
        <v>0.30030000000078871</v>
      </c>
      <c r="AN4" s="74">
        <f t="shared" ref="AN4:AO4" si="11">+G4+S4-AF4-AK4</f>
        <v>18.513414600000033</v>
      </c>
      <c r="AO4" s="74">
        <f t="shared" si="11"/>
        <v>4.4263534000000391</v>
      </c>
      <c r="AP4" s="75">
        <f>(AN4+AO4)/(S4+T4)</f>
        <v>4.7669846888555682E-2</v>
      </c>
      <c r="AQ4" s="76">
        <f t="shared" ref="AQ4" si="12">($AP$1*AN4+$AQ$1*AO4)</f>
        <v>9635.5464846153609</v>
      </c>
      <c r="AR4" s="90">
        <f t="shared" ref="AR4:AR65" si="13">(D4+J4+O4)-(X4+AH4)</f>
        <v>0.30030000000078871</v>
      </c>
    </row>
    <row r="5" spans="1:44" x14ac:dyDescent="0.25">
      <c r="A5" t="str">
        <f t="shared" ref="A5:A65" si="14">CONCATENATE(B5,C5)</f>
        <v>46174E</v>
      </c>
      <c r="B5" s="51">
        <f>+B4</f>
        <v>46174</v>
      </c>
      <c r="C5" s="52" t="s">
        <v>88</v>
      </c>
      <c r="D5" s="91">
        <v>9509</v>
      </c>
      <c r="E5" s="62">
        <v>4.4000000000000004</v>
      </c>
      <c r="F5" s="62">
        <v>8.4</v>
      </c>
      <c r="G5" s="62">
        <f t="shared" si="0"/>
        <v>418.39600000000002</v>
      </c>
      <c r="H5" s="72">
        <f t="shared" si="1"/>
        <v>798.75600000000009</v>
      </c>
      <c r="I5" s="203">
        <v>4516.3999999999996</v>
      </c>
      <c r="J5" s="203">
        <v>4651.8919999999998</v>
      </c>
      <c r="K5" s="203">
        <v>4.2780178903551507</v>
      </c>
      <c r="L5" s="203">
        <v>8.3867438667965661</v>
      </c>
      <c r="M5" s="57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5">+J5+O5</f>
        <v>4651.8919999999998</v>
      </c>
      <c r="S5" s="62">
        <f t="shared" ref="S5:S65" si="16">+J5*K5%+O5*P5%</f>
        <v>199.00877200000002</v>
      </c>
      <c r="T5" s="63">
        <f t="shared" ref="T5:T65" si="17">+J5*L5%+O5*Q5%</f>
        <v>390.14226700000006</v>
      </c>
      <c r="U5" s="64" t="s">
        <v>278</v>
      </c>
      <c r="V5" s="65" t="s">
        <v>288</v>
      </c>
      <c r="W5" s="66" t="s">
        <v>208</v>
      </c>
      <c r="X5" s="67">
        <v>9200</v>
      </c>
      <c r="Y5" s="68">
        <v>4.4000000000000004</v>
      </c>
      <c r="Z5" s="68">
        <v>8.5399999999999991</v>
      </c>
      <c r="AA5" s="62">
        <f t="shared" si="5"/>
        <v>404.80000000000007</v>
      </c>
      <c r="AB5" s="63">
        <f t="shared" si="6"/>
        <v>785.68</v>
      </c>
      <c r="AC5" s="69">
        <v>9190</v>
      </c>
      <c r="AD5" s="70">
        <v>4.3249727965179536</v>
      </c>
      <c r="AE5" s="70">
        <v>8.5249945593035896</v>
      </c>
      <c r="AF5" s="62">
        <f t="shared" si="7"/>
        <v>397.46499999999992</v>
      </c>
      <c r="AG5" s="63">
        <f t="shared" si="8"/>
        <v>783.44699999999989</v>
      </c>
      <c r="AH5" s="97">
        <v>4960</v>
      </c>
      <c r="AI5" s="66">
        <v>4.4000000000000004</v>
      </c>
      <c r="AJ5" s="66">
        <v>8.4</v>
      </c>
      <c r="AK5" s="62">
        <f t="shared" ref="AK5:AK65" si="18">AH5*AI5%</f>
        <v>218.24</v>
      </c>
      <c r="AL5" s="72">
        <f t="shared" ref="AL5:AL65" si="19">AH5*AJ5%</f>
        <v>416.64000000000004</v>
      </c>
      <c r="AM5" s="73">
        <f t="shared" ref="AM5:AM65" si="20">+D5+R5-AC5-AH5</f>
        <v>10.891999999999825</v>
      </c>
      <c r="AN5" s="74">
        <f t="shared" ref="AN5:AN65" si="21">+G5+S5-AF5-AK5</f>
        <v>1.6997720000001664</v>
      </c>
      <c r="AO5" s="74">
        <f t="shared" ref="AO5:AO65" si="22">+H5+T5-AG5-AL5</f>
        <v>-11.1887329999999</v>
      </c>
      <c r="AP5" s="75">
        <f t="shared" ref="AP5:AP65" si="23">(AN5+AO5)/(S5+T5)</f>
        <v>-1.6106160172620405E-2</v>
      </c>
      <c r="AQ5" s="76">
        <f t="shared" ref="AQ5:AQ65" si="24">($AP$1*AN5+$AQ$1*AO5)</f>
        <v>-2585.4447721665624</v>
      </c>
      <c r="AR5" s="90">
        <f t="shared" si="13"/>
        <v>0.89199999999982538</v>
      </c>
    </row>
    <row r="6" spans="1:44" x14ac:dyDescent="0.25">
      <c r="A6" t="str">
        <f t="shared" si="14"/>
        <v>46175M</v>
      </c>
      <c r="B6" s="51">
        <f>+B4+1</f>
        <v>46175</v>
      </c>
      <c r="C6" s="52" t="s">
        <v>87</v>
      </c>
      <c r="D6" s="91">
        <v>4960</v>
      </c>
      <c r="E6" s="62">
        <v>4.4000000000000004</v>
      </c>
      <c r="F6" s="62">
        <v>8.4</v>
      </c>
      <c r="G6" s="62">
        <f t="shared" si="0"/>
        <v>218.24</v>
      </c>
      <c r="H6" s="72">
        <f t="shared" si="1"/>
        <v>416.64000000000004</v>
      </c>
      <c r="I6" s="203">
        <v>3619.34</v>
      </c>
      <c r="J6" s="203">
        <v>3727.9202</v>
      </c>
      <c r="K6" s="203">
        <v>4.8732829742439217</v>
      </c>
      <c r="L6" s="203">
        <v>8.38806964805738</v>
      </c>
      <c r="M6" s="57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5"/>
        <v>3727.9202</v>
      </c>
      <c r="S6" s="62">
        <f t="shared" si="16"/>
        <v>181.67210039999998</v>
      </c>
      <c r="T6" s="63">
        <f t="shared" si="17"/>
        <v>312.70054279999994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f t="shared" si="5"/>
        <v>0</v>
      </c>
      <c r="AB6" s="63">
        <f t="shared" si="6"/>
        <v>0</v>
      </c>
      <c r="AC6" s="69"/>
      <c r="AD6" s="70"/>
      <c r="AE6" s="70"/>
      <c r="AF6" s="62">
        <f t="shared" si="7"/>
        <v>0</v>
      </c>
      <c r="AG6" s="63">
        <f t="shared" si="8"/>
        <v>0</v>
      </c>
      <c r="AH6" s="97">
        <v>8687</v>
      </c>
      <c r="AI6" s="66">
        <v>4.4000000000000004</v>
      </c>
      <c r="AJ6" s="66">
        <v>8.3000000000000007</v>
      </c>
      <c r="AK6" s="62">
        <f t="shared" si="18"/>
        <v>382.22800000000007</v>
      </c>
      <c r="AL6" s="72">
        <f t="shared" si="19"/>
        <v>721.02100000000007</v>
      </c>
      <c r="AM6" s="73">
        <f t="shared" si="20"/>
        <v>0.9202000000004773</v>
      </c>
      <c r="AN6" s="74">
        <f t="shared" si="21"/>
        <v>17.68410039999992</v>
      </c>
      <c r="AO6" s="74">
        <f t="shared" si="22"/>
        <v>8.3195427999999083</v>
      </c>
      <c r="AP6" s="75">
        <f t="shared" si="23"/>
        <v>5.2599276189075006E-2</v>
      </c>
      <c r="AQ6" s="76">
        <f t="shared" si="24"/>
        <v>10428.38681612927</v>
      </c>
      <c r="AR6" s="90">
        <f t="shared" si="13"/>
        <v>0.9202000000004773</v>
      </c>
    </row>
    <row r="7" spans="1:44" x14ac:dyDescent="0.25">
      <c r="A7" t="str">
        <f t="shared" si="14"/>
        <v>46175E</v>
      </c>
      <c r="B7" s="51">
        <f>+B5+1</f>
        <v>46175</v>
      </c>
      <c r="C7" s="52" t="s">
        <v>88</v>
      </c>
      <c r="D7" s="91">
        <v>8687</v>
      </c>
      <c r="E7" s="62">
        <v>4.4000000000000004</v>
      </c>
      <c r="F7" s="62">
        <v>8.3000000000000007</v>
      </c>
      <c r="G7" s="62">
        <f t="shared" si="0"/>
        <v>382.22800000000007</v>
      </c>
      <c r="H7" s="72">
        <f t="shared" si="1"/>
        <v>721.02100000000007</v>
      </c>
      <c r="I7" s="203">
        <v>4121.4999999999991</v>
      </c>
      <c r="J7" s="203">
        <v>4245.1449999999995</v>
      </c>
      <c r="K7" s="203">
        <v>4.2521679000363939</v>
      </c>
      <c r="L7" s="203">
        <v>8.4224335800072776</v>
      </c>
      <c r="M7" s="57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5"/>
        <v>4245.1449999999995</v>
      </c>
      <c r="S7" s="62">
        <f t="shared" si="16"/>
        <v>180.51069299999995</v>
      </c>
      <c r="T7" s="63">
        <f t="shared" si="17"/>
        <v>357.54451799999987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5"/>
        <v>0</v>
      </c>
      <c r="AB7" s="63">
        <f t="shared" si="6"/>
        <v>0</v>
      </c>
      <c r="AC7" s="69"/>
      <c r="AD7" s="70"/>
      <c r="AE7" s="70"/>
      <c r="AF7" s="62">
        <f t="shared" si="7"/>
        <v>0</v>
      </c>
      <c r="AG7" s="63">
        <f t="shared" si="8"/>
        <v>0</v>
      </c>
      <c r="AH7" s="97">
        <v>12931</v>
      </c>
      <c r="AI7" s="66">
        <v>4.3</v>
      </c>
      <c r="AJ7" s="66">
        <v>8.4</v>
      </c>
      <c r="AK7" s="62">
        <f t="shared" si="18"/>
        <v>556.0329999999999</v>
      </c>
      <c r="AL7" s="72">
        <f t="shared" si="19"/>
        <v>1086.2040000000002</v>
      </c>
      <c r="AM7" s="73">
        <f t="shared" si="20"/>
        <v>1.1450000000004366</v>
      </c>
      <c r="AN7" s="74">
        <f t="shared" si="21"/>
        <v>6.7056930000001103</v>
      </c>
      <c r="AO7" s="74">
        <f t="shared" si="22"/>
        <v>-7.6384820000002946</v>
      </c>
      <c r="AP7" s="75">
        <f t="shared" si="23"/>
        <v>-1.733630640369701E-3</v>
      </c>
      <c r="AQ7" s="76">
        <f t="shared" si="24"/>
        <v>724.25867488329459</v>
      </c>
      <c r="AR7" s="90">
        <f t="shared" si="13"/>
        <v>1.1450000000004366</v>
      </c>
    </row>
    <row r="8" spans="1:44" x14ac:dyDescent="0.25">
      <c r="A8" t="str">
        <f t="shared" si="14"/>
        <v>46176M</v>
      </c>
      <c r="B8" s="51">
        <f>+B6+1</f>
        <v>46176</v>
      </c>
      <c r="C8" s="52" t="s">
        <v>87</v>
      </c>
      <c r="D8" s="91">
        <v>12931</v>
      </c>
      <c r="E8" s="62">
        <v>4.3</v>
      </c>
      <c r="F8" s="62">
        <v>8.4</v>
      </c>
      <c r="G8" s="62">
        <f t="shared" si="0"/>
        <v>556.0329999999999</v>
      </c>
      <c r="H8" s="72">
        <f t="shared" si="1"/>
        <v>1086.2040000000002</v>
      </c>
      <c r="I8" s="203">
        <v>7299.4</v>
      </c>
      <c r="J8" s="203">
        <v>7518.3819999999996</v>
      </c>
      <c r="K8" s="203">
        <v>4.6018768665917742</v>
      </c>
      <c r="L8" s="203">
        <v>8.4137504452420764</v>
      </c>
      <c r="M8" s="57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5"/>
        <v>7518.3819999999996</v>
      </c>
      <c r="S8" s="62">
        <f t="shared" si="16"/>
        <v>345.98668199999992</v>
      </c>
      <c r="T8" s="63">
        <f t="shared" si="17"/>
        <v>632.57789900000012</v>
      </c>
      <c r="U8" s="64" t="s">
        <v>289</v>
      </c>
      <c r="V8" s="65" t="s">
        <v>290</v>
      </c>
      <c r="W8" s="66" t="s">
        <v>291</v>
      </c>
      <c r="X8" s="67">
        <v>17750</v>
      </c>
      <c r="Y8" s="68">
        <v>4.55</v>
      </c>
      <c r="Z8" s="68">
        <v>8.44</v>
      </c>
      <c r="AA8" s="62">
        <f t="shared" si="5"/>
        <v>807.625</v>
      </c>
      <c r="AB8" s="63">
        <f t="shared" si="6"/>
        <v>1498.1</v>
      </c>
      <c r="AC8" s="69">
        <v>17440</v>
      </c>
      <c r="AD8" s="70">
        <v>4.5</v>
      </c>
      <c r="AE8" s="70">
        <v>8.43</v>
      </c>
      <c r="AF8" s="62">
        <f t="shared" si="7"/>
        <v>784.8</v>
      </c>
      <c r="AG8" s="63">
        <f>AC8*AE8%</f>
        <v>1470.192</v>
      </c>
      <c r="AH8" s="97">
        <v>2699</v>
      </c>
      <c r="AI8" s="66">
        <v>4.4000000000000004</v>
      </c>
      <c r="AJ8" s="66">
        <v>8.4</v>
      </c>
      <c r="AK8" s="62">
        <f t="shared" si="18"/>
        <v>118.75600000000001</v>
      </c>
      <c r="AL8" s="72">
        <f t="shared" si="19"/>
        <v>226.71600000000001</v>
      </c>
      <c r="AM8" s="73">
        <f t="shared" si="20"/>
        <v>310.38199999999779</v>
      </c>
      <c r="AN8" s="74">
        <f t="shared" si="21"/>
        <v>-1.5363180000000938</v>
      </c>
      <c r="AO8" s="74">
        <f t="shared" si="22"/>
        <v>21.873899000000279</v>
      </c>
      <c r="AP8" s="75">
        <f t="shared" si="23"/>
        <v>2.078307491899728E-2</v>
      </c>
      <c r="AQ8" s="76">
        <f t="shared" si="24"/>
        <v>5856.6061533467091</v>
      </c>
      <c r="AR8" s="90">
        <f t="shared" ref="AR8:AR21" si="25">(D8+J8+O8)-(X8+AH8)</f>
        <v>0.38199999999778811</v>
      </c>
    </row>
    <row r="9" spans="1:44" x14ac:dyDescent="0.25">
      <c r="A9" t="str">
        <f t="shared" si="14"/>
        <v>46176E</v>
      </c>
      <c r="B9" s="51">
        <f t="shared" ref="B9:B65" si="26">+B7+1</f>
        <v>46176</v>
      </c>
      <c r="C9" s="52" t="s">
        <v>88</v>
      </c>
      <c r="D9" s="91">
        <v>2699</v>
      </c>
      <c r="E9" s="62">
        <v>4.4000000000000004</v>
      </c>
      <c r="F9" s="62">
        <v>8.4</v>
      </c>
      <c r="G9" s="62">
        <f t="shared" si="0"/>
        <v>118.75600000000001</v>
      </c>
      <c r="H9" s="72">
        <f t="shared" si="1"/>
        <v>226.71600000000001</v>
      </c>
      <c r="I9" s="203">
        <v>8314.7000000000007</v>
      </c>
      <c r="J9" s="203">
        <v>8564.1410000000014</v>
      </c>
      <c r="K9" s="203">
        <v>4.3558131983114246</v>
      </c>
      <c r="L9" s="203">
        <v>8.4463384126907783</v>
      </c>
      <c r="M9" s="57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5"/>
        <v>8564.1410000000014</v>
      </c>
      <c r="S9" s="62">
        <f t="shared" si="16"/>
        <v>373.03798400000005</v>
      </c>
      <c r="T9" s="63">
        <f t="shared" si="17"/>
        <v>723.35633100000018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5"/>
        <v>0</v>
      </c>
      <c r="AB9" s="63">
        <f t="shared" si="6"/>
        <v>0</v>
      </c>
      <c r="AC9" s="69"/>
      <c r="AD9" s="70"/>
      <c r="AE9" s="70"/>
      <c r="AF9" s="62">
        <f t="shared" si="7"/>
        <v>0</v>
      </c>
      <c r="AG9" s="63">
        <f t="shared" si="8"/>
        <v>0</v>
      </c>
      <c r="AH9" s="110">
        <v>11263</v>
      </c>
      <c r="AI9" s="66">
        <v>4.4000000000000004</v>
      </c>
      <c r="AJ9" s="66">
        <v>8.4</v>
      </c>
      <c r="AK9" s="62">
        <f t="shared" si="18"/>
        <v>495.57200000000006</v>
      </c>
      <c r="AL9" s="72">
        <f t="shared" si="19"/>
        <v>946.0920000000001</v>
      </c>
      <c r="AM9" s="73">
        <f t="shared" si="20"/>
        <v>0.14100000000144064</v>
      </c>
      <c r="AN9" s="74">
        <f t="shared" si="21"/>
        <v>-3.7780159999999796</v>
      </c>
      <c r="AO9" s="74">
        <f t="shared" si="22"/>
        <v>3.980331000000092</v>
      </c>
      <c r="AP9" s="75">
        <f t="shared" si="23"/>
        <v>1.8452758941942557E-4</v>
      </c>
      <c r="AQ9" s="76">
        <f t="shared" si="24"/>
        <v>-504.78223641996328</v>
      </c>
      <c r="AR9" s="90">
        <f t="shared" si="25"/>
        <v>0.14100000000144064</v>
      </c>
    </row>
    <row r="10" spans="1:44" x14ac:dyDescent="0.25">
      <c r="A10" t="str">
        <f t="shared" si="14"/>
        <v>46177M</v>
      </c>
      <c r="B10" s="51">
        <f t="shared" si="26"/>
        <v>46177</v>
      </c>
      <c r="C10" s="52" t="s">
        <v>87</v>
      </c>
      <c r="D10" s="91">
        <v>11263</v>
      </c>
      <c r="E10" s="62">
        <v>4.4000000000000004</v>
      </c>
      <c r="F10" s="62">
        <v>8.4</v>
      </c>
      <c r="G10" s="62">
        <f t="shared" si="0"/>
        <v>495.57200000000006</v>
      </c>
      <c r="H10" s="72">
        <f t="shared" si="1"/>
        <v>946.0920000000001</v>
      </c>
      <c r="I10" s="203">
        <v>7262</v>
      </c>
      <c r="J10" s="203">
        <v>7479.8600000000006</v>
      </c>
      <c r="K10" s="203">
        <v>4.536090608647755</v>
      </c>
      <c r="L10" s="203">
        <v>8.3474428532084808</v>
      </c>
      <c r="M10" s="57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5"/>
        <v>7479.8600000000006</v>
      </c>
      <c r="S10" s="62">
        <f t="shared" si="16"/>
        <v>339.293227</v>
      </c>
      <c r="T10" s="72">
        <f t="shared" si="17"/>
        <v>624.37703899999997</v>
      </c>
      <c r="U10" s="65" t="s">
        <v>280</v>
      </c>
      <c r="V10" s="65" t="s">
        <v>292</v>
      </c>
      <c r="W10" s="66" t="s">
        <v>291</v>
      </c>
      <c r="X10" s="67">
        <v>7200</v>
      </c>
      <c r="Y10" s="68">
        <v>4.6500000000000004</v>
      </c>
      <c r="Z10" s="68">
        <v>8.4600000000000009</v>
      </c>
      <c r="AA10" s="62">
        <f t="shared" si="5"/>
        <v>334.80000000000007</v>
      </c>
      <c r="AB10" s="63">
        <f t="shared" si="6"/>
        <v>609.12000000000012</v>
      </c>
      <c r="AC10" s="69">
        <v>7180</v>
      </c>
      <c r="AD10" s="70">
        <v>4.5999999999999996</v>
      </c>
      <c r="AE10" s="70">
        <v>8.39</v>
      </c>
      <c r="AF10" s="62">
        <f t="shared" si="7"/>
        <v>330.28</v>
      </c>
      <c r="AG10" s="63">
        <f t="shared" si="8"/>
        <v>602.40200000000004</v>
      </c>
      <c r="AH10" s="97">
        <v>11542</v>
      </c>
      <c r="AI10" s="66">
        <v>4.4000000000000004</v>
      </c>
      <c r="AJ10" s="66">
        <v>8.4</v>
      </c>
      <c r="AK10" s="62">
        <f t="shared" si="18"/>
        <v>507.84800000000007</v>
      </c>
      <c r="AL10" s="72">
        <f t="shared" si="19"/>
        <v>969.52800000000002</v>
      </c>
      <c r="AM10" s="73">
        <f t="shared" si="20"/>
        <v>20.860000000000582</v>
      </c>
      <c r="AN10" s="74">
        <f t="shared" si="21"/>
        <v>-3.2627730000000383</v>
      </c>
      <c r="AO10" s="74">
        <f t="shared" si="22"/>
        <v>-1.4609609999999975</v>
      </c>
      <c r="AP10" s="75">
        <f t="shared" si="23"/>
        <v>-4.9018156590088626E-3</v>
      </c>
      <c r="AQ10" s="76">
        <f t="shared" si="24"/>
        <v>-1901.9180957700166</v>
      </c>
      <c r="AR10" s="90">
        <f t="shared" si="25"/>
        <v>0.86000000000058208</v>
      </c>
    </row>
    <row r="11" spans="1:44" x14ac:dyDescent="0.25">
      <c r="A11" t="str">
        <f t="shared" si="14"/>
        <v>46177E</v>
      </c>
      <c r="B11" s="51">
        <f t="shared" si="26"/>
        <v>46177</v>
      </c>
      <c r="C11" s="52" t="s">
        <v>88</v>
      </c>
      <c r="D11" s="91">
        <v>11542</v>
      </c>
      <c r="E11" s="62">
        <v>4.4000000000000004</v>
      </c>
      <c r="F11" s="62">
        <v>8.4</v>
      </c>
      <c r="G11" s="62">
        <f t="shared" si="0"/>
        <v>507.84800000000007</v>
      </c>
      <c r="H11" s="72">
        <f t="shared" si="1"/>
        <v>969.52800000000002</v>
      </c>
      <c r="I11" s="203">
        <v>8455</v>
      </c>
      <c r="J11" s="203">
        <v>8708.65</v>
      </c>
      <c r="K11" s="203">
        <v>4.3085251330573628</v>
      </c>
      <c r="L11" s="203">
        <v>8.3967261975162639</v>
      </c>
      <c r="M11" s="57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5"/>
        <v>8708.65</v>
      </c>
      <c r="S11" s="62">
        <f t="shared" si="16"/>
        <v>375.21437400000002</v>
      </c>
      <c r="T11" s="72">
        <f t="shared" si="17"/>
        <v>731.24149599999998</v>
      </c>
      <c r="U11" s="65" t="s">
        <v>293</v>
      </c>
      <c r="V11" s="65" t="s">
        <v>294</v>
      </c>
      <c r="W11" s="66" t="s">
        <v>208</v>
      </c>
      <c r="X11" s="67">
        <v>5900</v>
      </c>
      <c r="Y11" s="68">
        <v>4.5</v>
      </c>
      <c r="Z11" s="68">
        <v>8.44</v>
      </c>
      <c r="AA11" s="62">
        <f t="shared" si="5"/>
        <v>265.5</v>
      </c>
      <c r="AB11" s="63">
        <f t="shared" si="6"/>
        <v>497.95999999999992</v>
      </c>
      <c r="AC11" s="69">
        <v>5870</v>
      </c>
      <c r="AD11" s="70">
        <v>4.4000000000000004</v>
      </c>
      <c r="AE11" s="70">
        <v>8.2899999999999991</v>
      </c>
      <c r="AF11" s="62">
        <f t="shared" si="7"/>
        <v>258.28000000000003</v>
      </c>
      <c r="AG11" s="63">
        <f t="shared" si="8"/>
        <v>486.62299999999993</v>
      </c>
      <c r="AH11" s="97">
        <v>14450</v>
      </c>
      <c r="AI11" s="66">
        <v>4.5999999999999996</v>
      </c>
      <c r="AJ11" s="66">
        <v>8.4499999999999993</v>
      </c>
      <c r="AK11" s="62">
        <f t="shared" si="18"/>
        <v>664.7</v>
      </c>
      <c r="AL11" s="72">
        <f t="shared" si="19"/>
        <v>1221.0249999999999</v>
      </c>
      <c r="AM11" s="73">
        <f t="shared" si="20"/>
        <v>-69.349999999998545</v>
      </c>
      <c r="AN11" s="74">
        <f t="shared" si="21"/>
        <v>-39.917625999999927</v>
      </c>
      <c r="AO11" s="74">
        <f t="shared" si="22"/>
        <v>-6.8785040000000208</v>
      </c>
      <c r="AP11" s="75">
        <f t="shared" si="23"/>
        <v>-4.2293715699659985E-2</v>
      </c>
      <c r="AQ11" s="76">
        <f t="shared" si="24"/>
        <v>-19977.974308086643</v>
      </c>
      <c r="AR11" s="90">
        <f t="shared" si="25"/>
        <v>-99.349999999998545</v>
      </c>
    </row>
    <row r="12" spans="1:44" x14ac:dyDescent="0.25">
      <c r="A12" t="str">
        <f t="shared" si="14"/>
        <v>46178M</v>
      </c>
      <c r="B12" s="51">
        <f t="shared" si="26"/>
        <v>46178</v>
      </c>
      <c r="C12" s="52" t="s">
        <v>87</v>
      </c>
      <c r="D12" s="91">
        <v>14450</v>
      </c>
      <c r="E12" s="62">
        <v>4.5999999999999996</v>
      </c>
      <c r="F12" s="62">
        <v>8.4499999999999993</v>
      </c>
      <c r="G12" s="62">
        <f t="shared" si="0"/>
        <v>664.7</v>
      </c>
      <c r="H12" s="72">
        <f t="shared" si="1"/>
        <v>1221.0249999999999</v>
      </c>
      <c r="I12" s="203">
        <v>7188.9</v>
      </c>
      <c r="J12" s="203">
        <v>7404.567</v>
      </c>
      <c r="K12" s="203">
        <v>4.54</v>
      </c>
      <c r="L12" s="203">
        <v>8.3800000000000008</v>
      </c>
      <c r="M12" s="57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5"/>
        <v>7404.567</v>
      </c>
      <c r="S12" s="62">
        <f t="shared" si="16"/>
        <v>336.16734180000003</v>
      </c>
      <c r="T12" s="72">
        <f t="shared" si="17"/>
        <v>620.5027146000001</v>
      </c>
      <c r="U12" s="65" t="s">
        <v>289</v>
      </c>
      <c r="V12" s="65" t="s">
        <v>399</v>
      </c>
      <c r="W12" s="66" t="s">
        <v>189</v>
      </c>
      <c r="X12" s="68">
        <v>18500</v>
      </c>
      <c r="Y12" s="68">
        <v>4.45</v>
      </c>
      <c r="Z12" s="68">
        <v>8.42</v>
      </c>
      <c r="AA12" s="62">
        <f>Y12*Z12%</f>
        <v>0.37469000000000002</v>
      </c>
      <c r="AB12" s="63">
        <f t="shared" si="6"/>
        <v>1557.7</v>
      </c>
      <c r="AC12" s="69">
        <v>18460</v>
      </c>
      <c r="AD12" s="70">
        <v>4.4000000000000012</v>
      </c>
      <c r="AE12" s="70">
        <v>8.16</v>
      </c>
      <c r="AF12" s="62">
        <f t="shared" si="7"/>
        <v>812.24000000000024</v>
      </c>
      <c r="AG12" s="63">
        <f t="shared" si="8"/>
        <v>1506.336</v>
      </c>
      <c r="AH12" s="97">
        <v>3354</v>
      </c>
      <c r="AI12" s="66">
        <v>4.58</v>
      </c>
      <c r="AJ12" s="66">
        <v>8.43</v>
      </c>
      <c r="AK12" s="62">
        <f t="shared" si="18"/>
        <v>153.61320000000001</v>
      </c>
      <c r="AL12" s="72">
        <f t="shared" si="19"/>
        <v>282.74220000000003</v>
      </c>
      <c r="AM12" s="73">
        <f t="shared" si="20"/>
        <v>40.566999999999098</v>
      </c>
      <c r="AN12" s="74">
        <f t="shared" si="21"/>
        <v>35.014141799999834</v>
      </c>
      <c r="AO12" s="74">
        <f t="shared" si="22"/>
        <v>52.449514599999816</v>
      </c>
      <c r="AP12" s="75">
        <f t="shared" si="23"/>
        <v>9.142510086406383E-2</v>
      </c>
      <c r="AQ12" s="76">
        <f t="shared" si="24"/>
        <v>31414.939461495207</v>
      </c>
      <c r="AR12" s="90">
        <f t="shared" si="25"/>
        <v>0.56699999999909778</v>
      </c>
    </row>
    <row r="13" spans="1:44" x14ac:dyDescent="0.25">
      <c r="A13" t="str">
        <f t="shared" si="14"/>
        <v>46178E</v>
      </c>
      <c r="B13" s="51">
        <f t="shared" si="26"/>
        <v>46178</v>
      </c>
      <c r="C13" s="52" t="s">
        <v>88</v>
      </c>
      <c r="D13" s="91">
        <v>3354</v>
      </c>
      <c r="E13" s="62">
        <v>4.58</v>
      </c>
      <c r="F13" s="62">
        <v>8.43</v>
      </c>
      <c r="G13" s="62">
        <f t="shared" si="0"/>
        <v>153.61320000000001</v>
      </c>
      <c r="H13" s="72">
        <f t="shared" si="1"/>
        <v>282.74220000000003</v>
      </c>
      <c r="I13" s="203">
        <v>8192</v>
      </c>
      <c r="J13" s="203">
        <v>8437.76</v>
      </c>
      <c r="K13" s="203">
        <v>4.28</v>
      </c>
      <c r="L13" s="203">
        <v>8.3800000000000008</v>
      </c>
      <c r="M13" s="57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5"/>
        <v>8437.76</v>
      </c>
      <c r="S13" s="62">
        <f t="shared" si="16"/>
        <v>361.13612800000004</v>
      </c>
      <c r="T13" s="72">
        <f t="shared" si="17"/>
        <v>707.08428800000013</v>
      </c>
      <c r="U13" s="65" t="s">
        <v>167</v>
      </c>
      <c r="V13" s="6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5"/>
        <v>0</v>
      </c>
      <c r="AB13" s="63">
        <f>X13*Z13%</f>
        <v>0</v>
      </c>
      <c r="AC13" s="69"/>
      <c r="AD13" s="70"/>
      <c r="AE13" s="70"/>
      <c r="AF13" s="62">
        <f t="shared" si="7"/>
        <v>0</v>
      </c>
      <c r="AG13" s="63">
        <f t="shared" si="8"/>
        <v>0</v>
      </c>
      <c r="AH13" s="97">
        <v>11791</v>
      </c>
      <c r="AI13" s="66">
        <v>4.37</v>
      </c>
      <c r="AJ13" s="66">
        <v>8.39</v>
      </c>
      <c r="AK13" s="62">
        <f t="shared" si="18"/>
        <v>515.26670000000001</v>
      </c>
      <c r="AL13" s="72">
        <f t="shared" si="19"/>
        <v>989.26490000000001</v>
      </c>
      <c r="AM13" s="73">
        <f t="shared" si="20"/>
        <v>0.76000000000021828</v>
      </c>
      <c r="AN13" s="74">
        <f t="shared" si="21"/>
        <v>-0.51737199999990935</v>
      </c>
      <c r="AO13" s="74">
        <f t="shared" si="22"/>
        <v>0.56158800000014253</v>
      </c>
      <c r="AP13" s="75">
        <f t="shared" si="23"/>
        <v>4.1392206456605649E-5</v>
      </c>
      <c r="AQ13" s="76">
        <f t="shared" si="24"/>
        <v>-64.185151799916639</v>
      </c>
      <c r="AR13" s="90">
        <f t="shared" si="25"/>
        <v>0.76000000000021828</v>
      </c>
    </row>
    <row r="14" spans="1:44" x14ac:dyDescent="0.25">
      <c r="A14" t="str">
        <f t="shared" si="14"/>
        <v>46179M</v>
      </c>
      <c r="B14" s="51">
        <f t="shared" si="26"/>
        <v>46179</v>
      </c>
      <c r="C14" s="52" t="s">
        <v>87</v>
      </c>
      <c r="D14" s="91">
        <v>11791</v>
      </c>
      <c r="E14" s="62">
        <v>4.37</v>
      </c>
      <c r="F14" s="62">
        <v>8.39</v>
      </c>
      <c r="G14" s="62">
        <f t="shared" si="0"/>
        <v>515.26670000000001</v>
      </c>
      <c r="H14" s="72">
        <f t="shared" si="1"/>
        <v>989.26490000000001</v>
      </c>
      <c r="I14" s="203">
        <v>7217.7</v>
      </c>
      <c r="J14" s="203">
        <v>7434.2309999999998</v>
      </c>
      <c r="K14" s="203">
        <v>4.51</v>
      </c>
      <c r="L14" s="203">
        <v>8.36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5"/>
        <v>7434.2309999999998</v>
      </c>
      <c r="S14" s="62">
        <f t="shared" si="16"/>
        <v>335.28381810000002</v>
      </c>
      <c r="T14" s="72">
        <f t="shared" si="17"/>
        <v>621.50171159999991</v>
      </c>
      <c r="U14" s="65" t="s">
        <v>289</v>
      </c>
      <c r="V14" s="65" t="s">
        <v>400</v>
      </c>
      <c r="W14" s="66" t="s">
        <v>291</v>
      </c>
      <c r="X14" s="67">
        <v>18500</v>
      </c>
      <c r="Y14" s="68">
        <v>4.6500000000000004</v>
      </c>
      <c r="Z14" s="68">
        <v>8.59</v>
      </c>
      <c r="AA14" s="62">
        <f t="shared" si="5"/>
        <v>860.25000000000011</v>
      </c>
      <c r="AB14" s="63">
        <f t="shared" si="6"/>
        <v>1589.15</v>
      </c>
      <c r="AC14" s="69">
        <v>18460</v>
      </c>
      <c r="AD14" s="70">
        <v>4.5999999999999996</v>
      </c>
      <c r="AE14" s="70">
        <v>8.33</v>
      </c>
      <c r="AF14" s="62">
        <f t="shared" si="7"/>
        <v>849.16</v>
      </c>
      <c r="AG14" s="63">
        <f t="shared" si="8"/>
        <v>1537.7180000000001</v>
      </c>
      <c r="AH14" s="97">
        <v>725</v>
      </c>
      <c r="AI14" s="66">
        <v>4.42</v>
      </c>
      <c r="AJ14" s="66">
        <v>8.3800000000000008</v>
      </c>
      <c r="AK14" s="62">
        <f t="shared" si="18"/>
        <v>32.044999999999995</v>
      </c>
      <c r="AL14" s="72">
        <f t="shared" si="19"/>
        <v>60.75500000000001</v>
      </c>
      <c r="AM14" s="73">
        <f t="shared" si="20"/>
        <v>40.230999999999767</v>
      </c>
      <c r="AN14" s="74">
        <f t="shared" si="21"/>
        <v>-30.654481899999872</v>
      </c>
      <c r="AO14" s="74">
        <f t="shared" si="22"/>
        <v>12.293611599999949</v>
      </c>
      <c r="AP14" s="75">
        <f t="shared" si="23"/>
        <v>-1.9190163030326113E-2</v>
      </c>
      <c r="AQ14" s="76">
        <f t="shared" si="24"/>
        <v>-10081.953347491624</v>
      </c>
      <c r="AR14" s="90">
        <f t="shared" si="25"/>
        <v>0.23099999999976717</v>
      </c>
    </row>
    <row r="15" spans="1:44" x14ac:dyDescent="0.25">
      <c r="A15" t="str">
        <f t="shared" si="14"/>
        <v>46179E</v>
      </c>
      <c r="B15" s="51">
        <f t="shared" si="26"/>
        <v>46179</v>
      </c>
      <c r="C15" s="52" t="s">
        <v>88</v>
      </c>
      <c r="D15" s="91">
        <v>725</v>
      </c>
      <c r="E15" s="62">
        <v>4.42</v>
      </c>
      <c r="F15" s="62">
        <v>8.3800000000000008</v>
      </c>
      <c r="G15" s="62">
        <f t="shared" si="0"/>
        <v>32.044999999999995</v>
      </c>
      <c r="H15" s="72">
        <f t="shared" si="1"/>
        <v>60.75500000000001</v>
      </c>
      <c r="I15" s="203">
        <v>8183.4</v>
      </c>
      <c r="J15" s="203">
        <v>8428.902</v>
      </c>
      <c r="K15" s="203">
        <v>4.32</v>
      </c>
      <c r="L15" s="203">
        <v>8.34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5"/>
        <v>8428.902</v>
      </c>
      <c r="S15" s="62">
        <f t="shared" si="16"/>
        <v>364.12856640000001</v>
      </c>
      <c r="T15" s="72">
        <f t="shared" si="17"/>
        <v>702.97042680000004</v>
      </c>
      <c r="U15" s="65" t="s">
        <v>293</v>
      </c>
      <c r="V15" s="65" t="s">
        <v>401</v>
      </c>
      <c r="W15" s="66" t="s">
        <v>208</v>
      </c>
      <c r="X15" s="67">
        <v>5910</v>
      </c>
      <c r="Y15" s="68">
        <v>4.4000000000000004</v>
      </c>
      <c r="Z15" s="68">
        <v>8.39</v>
      </c>
      <c r="AA15" s="62">
        <f t="shared" si="5"/>
        <v>260.04000000000002</v>
      </c>
      <c r="AB15" s="63">
        <f t="shared" si="6"/>
        <v>495.84899999999999</v>
      </c>
      <c r="AC15" s="69">
        <v>5820</v>
      </c>
      <c r="AD15" s="70">
        <v>4.2</v>
      </c>
      <c r="AE15" s="70">
        <v>8</v>
      </c>
      <c r="AF15" s="62">
        <f t="shared" si="7"/>
        <v>244.44000000000003</v>
      </c>
      <c r="AG15" s="63">
        <f t="shared" si="8"/>
        <v>465.6</v>
      </c>
      <c r="AH15" s="97">
        <v>3243</v>
      </c>
      <c r="AI15" s="66">
        <v>4.33</v>
      </c>
      <c r="AJ15" s="66">
        <v>8.34</v>
      </c>
      <c r="AK15" s="62">
        <f t="shared" si="18"/>
        <v>140.42189999999999</v>
      </c>
      <c r="AL15" s="72">
        <f t="shared" si="19"/>
        <v>270.46620000000001</v>
      </c>
      <c r="AM15" s="73">
        <f t="shared" si="20"/>
        <v>90.902000000000044</v>
      </c>
      <c r="AN15" s="74">
        <f t="shared" si="21"/>
        <v>11.311666400000007</v>
      </c>
      <c r="AO15" s="74">
        <f t="shared" si="22"/>
        <v>27.659226799999999</v>
      </c>
      <c r="AP15" s="75">
        <f t="shared" si="23"/>
        <v>3.652041042896563E-2</v>
      </c>
      <c r="AQ15" s="76">
        <f t="shared" si="24"/>
        <v>13355.58916548267</v>
      </c>
      <c r="AR15" s="90">
        <f t="shared" si="25"/>
        <v>0.90200000000004366</v>
      </c>
    </row>
    <row r="16" spans="1:44" x14ac:dyDescent="0.25">
      <c r="A16" t="str">
        <f t="shared" si="14"/>
        <v>46180M</v>
      </c>
      <c r="B16" s="51">
        <f t="shared" si="26"/>
        <v>46180</v>
      </c>
      <c r="C16" s="52" t="s">
        <v>87</v>
      </c>
      <c r="D16" s="91">
        <v>3243</v>
      </c>
      <c r="E16" s="62">
        <v>4.33</v>
      </c>
      <c r="F16" s="62">
        <v>8.34</v>
      </c>
      <c r="G16" s="62">
        <f t="shared" ref="G16:G27" si="27">+D16*E16%</f>
        <v>140.42189999999999</v>
      </c>
      <c r="H16" s="72">
        <f t="shared" ref="H16:H27" si="28">+D16*F16%</f>
        <v>270.46620000000001</v>
      </c>
      <c r="I16" s="203">
        <v>7160.3</v>
      </c>
      <c r="J16" s="203">
        <v>7375.1090000000004</v>
      </c>
      <c r="K16" s="203">
        <v>4.45</v>
      </c>
      <c r="L16" s="203">
        <v>8.34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5"/>
        <v>7375.1090000000004</v>
      </c>
      <c r="S16" s="62">
        <f t="shared" si="16"/>
        <v>328.19235050000003</v>
      </c>
      <c r="T16" s="72">
        <f t="shared" si="17"/>
        <v>615.08409060000008</v>
      </c>
      <c r="U16" s="65" t="s">
        <v>278</v>
      </c>
      <c r="V16" s="65" t="s">
        <v>402</v>
      </c>
      <c r="W16" s="66" t="s">
        <v>208</v>
      </c>
      <c r="X16" s="67">
        <v>9200</v>
      </c>
      <c r="Y16" s="68">
        <v>4.5</v>
      </c>
      <c r="Z16" s="68">
        <v>8.43</v>
      </c>
      <c r="AA16" s="62">
        <f t="shared" si="5"/>
        <v>414</v>
      </c>
      <c r="AB16" s="63">
        <f t="shared" si="6"/>
        <v>775.56</v>
      </c>
      <c r="AC16" s="69">
        <v>9170</v>
      </c>
      <c r="AD16" s="70">
        <v>4.4000000000000004</v>
      </c>
      <c r="AE16" s="70">
        <v>8.3499345692475462</v>
      </c>
      <c r="AF16" s="62">
        <f t="shared" si="7"/>
        <v>403.48</v>
      </c>
      <c r="AG16" s="63">
        <f t="shared" si="8"/>
        <v>765.68900000000008</v>
      </c>
      <c r="AH16" s="97">
        <v>1418</v>
      </c>
      <c r="AI16" s="118">
        <v>4.41</v>
      </c>
      <c r="AJ16" s="118">
        <v>8.34</v>
      </c>
      <c r="AK16" s="62">
        <f t="shared" si="18"/>
        <v>62.533799999999999</v>
      </c>
      <c r="AL16" s="72">
        <f t="shared" si="19"/>
        <v>118.2612</v>
      </c>
      <c r="AM16" s="73">
        <f t="shared" si="20"/>
        <v>30.109000000000378</v>
      </c>
      <c r="AN16" s="74">
        <f t="shared" si="21"/>
        <v>2.600450500000008</v>
      </c>
      <c r="AO16" s="74">
        <f t="shared" si="22"/>
        <v>1.6000906000000725</v>
      </c>
      <c r="AP16" s="75">
        <f t="shared" si="23"/>
        <v>4.4531389918968265E-3</v>
      </c>
      <c r="AQ16" s="76">
        <f t="shared" si="24"/>
        <v>1646.2326814523587</v>
      </c>
      <c r="AR16" s="90">
        <f t="shared" si="25"/>
        <v>0.10900000000037835</v>
      </c>
    </row>
    <row r="17" spans="1:49" x14ac:dyDescent="0.25">
      <c r="A17" t="str">
        <f t="shared" si="14"/>
        <v>46180E</v>
      </c>
      <c r="B17" s="51">
        <f t="shared" si="26"/>
        <v>46180</v>
      </c>
      <c r="C17" s="52" t="s">
        <v>88</v>
      </c>
      <c r="D17" s="91">
        <v>1418</v>
      </c>
      <c r="E17" s="62">
        <v>4.41</v>
      </c>
      <c r="F17" s="62">
        <v>8.34</v>
      </c>
      <c r="G17" s="62">
        <f t="shared" si="27"/>
        <v>62.533799999999999</v>
      </c>
      <c r="H17" s="72">
        <f t="shared" si="28"/>
        <v>118.2612</v>
      </c>
      <c r="I17" s="203">
        <v>7809.2</v>
      </c>
      <c r="J17" s="203">
        <v>8043.4759999999997</v>
      </c>
      <c r="K17" s="203">
        <v>4.25</v>
      </c>
      <c r="L17" s="203">
        <v>8.36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5"/>
        <v>8043.4759999999997</v>
      </c>
      <c r="S17" s="62">
        <f t="shared" si="16"/>
        <v>341.84773000000001</v>
      </c>
      <c r="T17" s="72">
        <f t="shared" si="17"/>
        <v>672.43459359999997</v>
      </c>
      <c r="U17" s="65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5"/>
        <v>0</v>
      </c>
      <c r="AB17" s="63">
        <f t="shared" si="6"/>
        <v>0</v>
      </c>
      <c r="AC17" s="69"/>
      <c r="AD17" s="70"/>
      <c r="AE17" s="70"/>
      <c r="AF17" s="62">
        <f t="shared" si="7"/>
        <v>0</v>
      </c>
      <c r="AG17" s="63">
        <f t="shared" si="8"/>
        <v>0</v>
      </c>
      <c r="AH17" s="97">
        <v>9461</v>
      </c>
      <c r="AI17" s="66">
        <v>4.2699999999999996</v>
      </c>
      <c r="AJ17" s="66">
        <v>8.36</v>
      </c>
      <c r="AK17" s="62">
        <f t="shared" si="18"/>
        <v>403.98469999999998</v>
      </c>
      <c r="AL17" s="72">
        <f t="shared" si="19"/>
        <v>790.93959999999993</v>
      </c>
      <c r="AM17" s="73">
        <f t="shared" si="20"/>
        <v>0.47599999999874854</v>
      </c>
      <c r="AN17" s="74">
        <f t="shared" si="21"/>
        <v>0.39683000000002266</v>
      </c>
      <c r="AO17" s="74">
        <f t="shared" si="22"/>
        <v>-0.24380639999992582</v>
      </c>
      <c r="AP17" s="75">
        <f t="shared" si="23"/>
        <v>1.5086884237218001E-4</v>
      </c>
      <c r="AQ17" s="76">
        <f t="shared" si="24"/>
        <v>105.17620128403237</v>
      </c>
      <c r="AR17" s="90">
        <f t="shared" si="25"/>
        <v>0.47599999999874854</v>
      </c>
      <c r="AS17" s="90">
        <f>SUM(J4:J17)</f>
        <v>95669.335500000001</v>
      </c>
      <c r="AT17" s="83">
        <f>SUM(AM4:AM17)</f>
        <v>478.33550000000105</v>
      </c>
      <c r="AU17" s="83">
        <f>SUM(AN4:AN17)</f>
        <v>14.25948180000028</v>
      </c>
      <c r="AV17" s="83">
        <f>SUM(AO4:AO17)</f>
        <v>105.75367140000016</v>
      </c>
      <c r="AW17" s="83">
        <f>-SUM(AQ4:AQ17)</f>
        <v>-38050.477726954188</v>
      </c>
    </row>
    <row r="18" spans="1:49" x14ac:dyDescent="0.25">
      <c r="A18" t="str">
        <f t="shared" si="14"/>
        <v>46181M</v>
      </c>
      <c r="B18" s="51">
        <f t="shared" si="26"/>
        <v>46181</v>
      </c>
      <c r="C18" s="52" t="s">
        <v>87</v>
      </c>
      <c r="D18" s="91">
        <v>9461</v>
      </c>
      <c r="E18" s="62">
        <v>4.2699999999999996</v>
      </c>
      <c r="F18" s="62">
        <v>8.36</v>
      </c>
      <c r="G18" s="62">
        <f t="shared" si="27"/>
        <v>403.98469999999998</v>
      </c>
      <c r="H18" s="72">
        <f t="shared" si="28"/>
        <v>790.93959999999993</v>
      </c>
      <c r="I18" s="203">
        <v>7288.2</v>
      </c>
      <c r="J18" s="203">
        <v>7506.8460000000005</v>
      </c>
      <c r="K18" s="203">
        <v>4.54</v>
      </c>
      <c r="L18" s="203">
        <v>8.36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5"/>
        <v>7506.8460000000005</v>
      </c>
      <c r="S18" s="62">
        <f t="shared" si="16"/>
        <v>340.81080840000004</v>
      </c>
      <c r="T18" s="72">
        <f t="shared" si="17"/>
        <v>627.5723256</v>
      </c>
      <c r="U18" s="65" t="s">
        <v>167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5"/>
        <v>0</v>
      </c>
      <c r="AB18" s="63">
        <f t="shared" si="6"/>
        <v>0</v>
      </c>
      <c r="AC18" s="69"/>
      <c r="AD18" s="70"/>
      <c r="AE18" s="70"/>
      <c r="AF18" s="62">
        <f t="shared" si="7"/>
        <v>0</v>
      </c>
      <c r="AG18" s="63">
        <f t="shared" si="8"/>
        <v>0</v>
      </c>
      <c r="AH18" s="207">
        <v>16967</v>
      </c>
      <c r="AI18" s="66">
        <v>4.3899999999999997</v>
      </c>
      <c r="AJ18" s="66">
        <v>8.36</v>
      </c>
      <c r="AK18" s="62">
        <f t="shared" si="18"/>
        <v>744.85129999999992</v>
      </c>
      <c r="AL18" s="72">
        <f t="shared" si="19"/>
        <v>1418.4412</v>
      </c>
      <c r="AM18" s="73">
        <f t="shared" si="20"/>
        <v>0.84600000000136788</v>
      </c>
      <c r="AN18" s="74">
        <f t="shared" si="21"/>
        <v>-5.5791599999906794E-2</v>
      </c>
      <c r="AO18" s="74">
        <f t="shared" si="22"/>
        <v>7.0725599999832411E-2</v>
      </c>
      <c r="AP18" s="75">
        <f t="shared" si="23"/>
        <v>1.5421582094515926E-5</v>
      </c>
      <c r="AQ18" s="76">
        <f t="shared" si="24"/>
        <v>-3.8791210920083117</v>
      </c>
      <c r="AR18" s="90">
        <f t="shared" si="25"/>
        <v>0.84600000000136788</v>
      </c>
    </row>
    <row r="19" spans="1:49" x14ac:dyDescent="0.25">
      <c r="A19" t="str">
        <f t="shared" si="14"/>
        <v>46181E</v>
      </c>
      <c r="B19" s="51">
        <f t="shared" si="26"/>
        <v>46181</v>
      </c>
      <c r="C19" s="52" t="s">
        <v>88</v>
      </c>
      <c r="D19" s="91">
        <v>16967</v>
      </c>
      <c r="E19" s="62">
        <v>4.3899999999999997</v>
      </c>
      <c r="F19" s="62">
        <v>8.36</v>
      </c>
      <c r="G19" s="62">
        <f t="shared" si="27"/>
        <v>744.85129999999992</v>
      </c>
      <c r="H19" s="72">
        <f t="shared" si="28"/>
        <v>1418.4412</v>
      </c>
      <c r="I19" s="203">
        <v>8260.9</v>
      </c>
      <c r="J19" s="203">
        <v>8508.726999999999</v>
      </c>
      <c r="K19" s="203">
        <v>4.4000000000000004</v>
      </c>
      <c r="L19" s="203">
        <v>8.35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5"/>
        <v>8508.726999999999</v>
      </c>
      <c r="S19" s="62">
        <f t="shared" si="16"/>
        <v>374.38398799999999</v>
      </c>
      <c r="T19" s="72">
        <f t="shared" si="17"/>
        <v>710.47870449999982</v>
      </c>
      <c r="U19" s="65" t="s">
        <v>289</v>
      </c>
      <c r="V19" s="65" t="s">
        <v>403</v>
      </c>
      <c r="W19" s="66" t="s">
        <v>208</v>
      </c>
      <c r="X19" s="67">
        <v>18500</v>
      </c>
      <c r="Y19" s="68">
        <v>4.7</v>
      </c>
      <c r="Z19" s="68">
        <v>8.4700000000000006</v>
      </c>
      <c r="AA19" s="62">
        <f t="shared" si="5"/>
        <v>869.5</v>
      </c>
      <c r="AB19" s="63">
        <f t="shared" si="6"/>
        <v>1566.9500000000003</v>
      </c>
      <c r="AC19" s="69">
        <v>18430</v>
      </c>
      <c r="AD19" s="70">
        <v>4.5999999999999996</v>
      </c>
      <c r="AE19" s="70">
        <v>8.33</v>
      </c>
      <c r="AF19" s="62">
        <f t="shared" si="7"/>
        <v>847.78</v>
      </c>
      <c r="AG19" s="63">
        <f t="shared" si="8"/>
        <v>1535.2190000000001</v>
      </c>
      <c r="AH19" s="207">
        <v>6975</v>
      </c>
      <c r="AI19" s="66">
        <v>4.3899999999999997</v>
      </c>
      <c r="AJ19" s="66">
        <v>8.36</v>
      </c>
      <c r="AK19" s="62">
        <f t="shared" si="18"/>
        <v>306.20249999999999</v>
      </c>
      <c r="AL19" s="72">
        <f t="shared" si="19"/>
        <v>583.1099999999999</v>
      </c>
      <c r="AM19" s="73">
        <f t="shared" si="20"/>
        <v>70.726999999998952</v>
      </c>
      <c r="AN19" s="74">
        <f t="shared" si="21"/>
        <v>-34.747212000000104</v>
      </c>
      <c r="AO19" s="74">
        <f t="shared" si="22"/>
        <v>10.590904499999624</v>
      </c>
      <c r="AP19" s="75">
        <f t="shared" si="23"/>
        <v>-2.2266695745923149E-2</v>
      </c>
      <c r="AQ19" s="76">
        <f t="shared" si="24"/>
        <v>-12428.795646190161</v>
      </c>
      <c r="AR19" s="90">
        <f t="shared" si="25"/>
        <v>0.72699999999895226</v>
      </c>
    </row>
    <row r="20" spans="1:49" x14ac:dyDescent="0.25">
      <c r="A20" t="str">
        <f t="shared" si="14"/>
        <v>46182M</v>
      </c>
      <c r="B20" s="51">
        <f t="shared" si="26"/>
        <v>46182</v>
      </c>
      <c r="C20" s="52" t="s">
        <v>87</v>
      </c>
      <c r="D20" s="91">
        <v>6975</v>
      </c>
      <c r="E20" s="62">
        <v>4.3899999999999997</v>
      </c>
      <c r="F20" s="62">
        <v>8.36</v>
      </c>
      <c r="G20" s="62">
        <f t="shared" si="27"/>
        <v>306.20249999999999</v>
      </c>
      <c r="H20" s="72">
        <f t="shared" si="28"/>
        <v>583.1099999999999</v>
      </c>
      <c r="I20" s="203">
        <v>7474.9</v>
      </c>
      <c r="J20" s="203">
        <v>7699.1469999999999</v>
      </c>
      <c r="K20" s="203">
        <v>4.43</v>
      </c>
      <c r="L20" s="203">
        <v>8.2799999999999994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5"/>
        <v>7699.1469999999999</v>
      </c>
      <c r="S20" s="62">
        <f t="shared" si="16"/>
        <v>341.0722121</v>
      </c>
      <c r="T20" s="72">
        <f t="shared" si="17"/>
        <v>637.48937160000003</v>
      </c>
      <c r="U20" s="65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5"/>
        <v>0</v>
      </c>
      <c r="AB20" s="63">
        <f t="shared" si="6"/>
        <v>0</v>
      </c>
      <c r="AC20" s="69"/>
      <c r="AD20" s="70"/>
      <c r="AE20" s="70"/>
      <c r="AF20" s="62">
        <f t="shared" si="7"/>
        <v>0</v>
      </c>
      <c r="AG20" s="63">
        <f t="shared" si="8"/>
        <v>0</v>
      </c>
      <c r="AH20" s="207">
        <v>14674</v>
      </c>
      <c r="AI20" s="66">
        <v>4.41</v>
      </c>
      <c r="AJ20" s="66">
        <v>8.32</v>
      </c>
      <c r="AK20" s="62">
        <f t="shared" si="18"/>
        <v>647.12340000000006</v>
      </c>
      <c r="AL20" s="72">
        <f t="shared" si="19"/>
        <v>1220.8768</v>
      </c>
      <c r="AM20" s="73">
        <f t="shared" si="20"/>
        <v>0.14700000000084401</v>
      </c>
      <c r="AN20" s="74">
        <f t="shared" si="21"/>
        <v>0.15131209999992734</v>
      </c>
      <c r="AO20" s="74">
        <f t="shared" si="22"/>
        <v>-0.27742840000018987</v>
      </c>
      <c r="AP20" s="75">
        <f t="shared" si="23"/>
        <v>-1.2887926738694281E-4</v>
      </c>
      <c r="AQ20" s="76">
        <f t="shared" si="24"/>
        <v>-15.101407218422779</v>
      </c>
      <c r="AR20" s="90">
        <f t="shared" si="25"/>
        <v>0.14700000000084401</v>
      </c>
    </row>
    <row r="21" spans="1:49" x14ac:dyDescent="0.25">
      <c r="A21" t="str">
        <f t="shared" si="14"/>
        <v>46182E</v>
      </c>
      <c r="B21" s="51">
        <f t="shared" si="26"/>
        <v>46182</v>
      </c>
      <c r="C21" s="99" t="s">
        <v>88</v>
      </c>
      <c r="D21" s="91">
        <v>14674</v>
      </c>
      <c r="E21" s="62">
        <v>4.41</v>
      </c>
      <c r="F21" s="62">
        <v>8.32</v>
      </c>
      <c r="G21" s="62">
        <f t="shared" si="27"/>
        <v>647.12340000000006</v>
      </c>
      <c r="H21" s="72">
        <f t="shared" si="28"/>
        <v>1220.8768</v>
      </c>
      <c r="I21" s="203">
        <v>8784.6</v>
      </c>
      <c r="J21" s="203">
        <v>9048.1380000000008</v>
      </c>
      <c r="K21" s="203">
        <v>4.3099999999999996</v>
      </c>
      <c r="L21" s="203">
        <v>8.34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5"/>
        <v>9048.1380000000008</v>
      </c>
      <c r="S21" s="62">
        <f t="shared" si="16"/>
        <v>389.97474780000005</v>
      </c>
      <c r="T21" s="72">
        <f t="shared" si="17"/>
        <v>754.61470920000011</v>
      </c>
      <c r="U21" s="65" t="s">
        <v>286</v>
      </c>
      <c r="V21" s="65" t="s">
        <v>404</v>
      </c>
      <c r="W21" s="66" t="s">
        <v>291</v>
      </c>
      <c r="X21" s="67">
        <v>9850</v>
      </c>
      <c r="Y21" s="68">
        <v>4.7</v>
      </c>
      <c r="Z21" s="68">
        <v>8.41</v>
      </c>
      <c r="AA21" s="62">
        <f t="shared" si="5"/>
        <v>462.95</v>
      </c>
      <c r="AB21" s="63">
        <f t="shared" si="6"/>
        <v>828.3850000000001</v>
      </c>
      <c r="AC21" s="69">
        <v>9730</v>
      </c>
      <c r="AD21" s="70">
        <v>4.6237410071942442</v>
      </c>
      <c r="AE21" s="70">
        <v>8.3045323741007184</v>
      </c>
      <c r="AF21" s="62">
        <f t="shared" si="7"/>
        <v>449.89</v>
      </c>
      <c r="AG21" s="63">
        <f t="shared" si="8"/>
        <v>808.03099999999995</v>
      </c>
      <c r="AH21" s="207">
        <v>13872</v>
      </c>
      <c r="AI21" s="66">
        <v>4.37</v>
      </c>
      <c r="AJ21" s="66">
        <v>8.33</v>
      </c>
      <c r="AK21" s="62">
        <f t="shared" si="18"/>
        <v>606.20640000000003</v>
      </c>
      <c r="AL21" s="72">
        <f t="shared" si="19"/>
        <v>1155.5375999999999</v>
      </c>
      <c r="AM21" s="73">
        <f t="shared" si="20"/>
        <v>120.13799999999901</v>
      </c>
      <c r="AN21" s="74">
        <f t="shared" si="21"/>
        <v>-18.998252199999911</v>
      </c>
      <c r="AO21" s="74">
        <f t="shared" si="22"/>
        <v>11.922909200000277</v>
      </c>
      <c r="AP21" s="75">
        <f t="shared" si="23"/>
        <v>-6.1815552788196211E-3</v>
      </c>
      <c r="AQ21" s="76">
        <f t="shared" si="24"/>
        <v>-4960.2966157872106</v>
      </c>
      <c r="AR21" s="90">
        <f t="shared" si="25"/>
        <v>0.13799999999901047</v>
      </c>
      <c r="AS21" s="90">
        <f>SUM(J8:J21)</f>
        <v>112157.93600000002</v>
      </c>
      <c r="AT21" s="83">
        <f>SUM(AM8:AM21)</f>
        <v>656.93599999999969</v>
      </c>
      <c r="AU21" s="83">
        <f>SUM(AN8:AN21)</f>
        <v>-83.993441899999937</v>
      </c>
      <c r="AV21" s="83">
        <f>SUM(AO8:AO21)</f>
        <v>134.14210109999993</v>
      </c>
      <c r="AW21" s="83">
        <f>-SUM(AQ8:AQ21)</f>
        <v>-2439.6577332050092</v>
      </c>
    </row>
    <row r="22" spans="1:49" x14ac:dyDescent="0.25">
      <c r="A22" t="str">
        <f t="shared" si="14"/>
        <v>46183M</v>
      </c>
      <c r="B22" s="51">
        <f t="shared" si="26"/>
        <v>46183</v>
      </c>
      <c r="C22" s="52" t="s">
        <v>87</v>
      </c>
      <c r="D22" s="91"/>
      <c r="E22" s="62"/>
      <c r="F22" s="62"/>
      <c r="G22" s="62">
        <f t="shared" si="27"/>
        <v>0</v>
      </c>
      <c r="H22" s="72">
        <f t="shared" si="28"/>
        <v>0</v>
      </c>
      <c r="I22" s="203"/>
      <c r="J22" s="203"/>
      <c r="K22" s="203"/>
      <c r="L22" s="203"/>
      <c r="M22" s="58"/>
      <c r="N22" s="58"/>
      <c r="O22" s="59"/>
      <c r="P22" s="56"/>
      <c r="Q22" s="60"/>
      <c r="R22" s="61">
        <f t="shared" si="15"/>
        <v>0</v>
      </c>
      <c r="S22" s="62">
        <f t="shared" si="16"/>
        <v>0</v>
      </c>
      <c r="T22" s="72">
        <f t="shared" si="17"/>
        <v>0</v>
      </c>
      <c r="U22" s="65"/>
      <c r="V22" s="65"/>
      <c r="W22" s="66"/>
      <c r="X22" s="67"/>
      <c r="Y22" s="68"/>
      <c r="Z22" s="68"/>
      <c r="AA22" s="62">
        <f t="shared" si="5"/>
        <v>0</v>
      </c>
      <c r="AB22" s="63">
        <f t="shared" si="6"/>
        <v>0</v>
      </c>
      <c r="AC22" s="69"/>
      <c r="AD22" s="70"/>
      <c r="AE22" s="70"/>
      <c r="AF22" s="62">
        <f t="shared" si="7"/>
        <v>0</v>
      </c>
      <c r="AG22" s="63">
        <f t="shared" si="8"/>
        <v>0</v>
      </c>
      <c r="AH22" s="207"/>
      <c r="AI22" s="66"/>
      <c r="AJ22" s="66"/>
      <c r="AK22" s="62">
        <f t="shared" si="18"/>
        <v>0</v>
      </c>
      <c r="AL22" s="72">
        <f t="shared" si="19"/>
        <v>0</v>
      </c>
      <c r="AM22" s="73">
        <f t="shared" si="20"/>
        <v>0</v>
      </c>
      <c r="AN22" s="74">
        <f t="shared" si="21"/>
        <v>0</v>
      </c>
      <c r="AO22" s="74">
        <f t="shared" si="22"/>
        <v>0</v>
      </c>
      <c r="AP22" s="75" t="e">
        <f t="shared" si="23"/>
        <v>#DIV/0!</v>
      </c>
      <c r="AQ22" s="76">
        <f t="shared" si="24"/>
        <v>0</v>
      </c>
      <c r="AR22" s="90">
        <f t="shared" si="13"/>
        <v>0</v>
      </c>
    </row>
    <row r="23" spans="1:49" x14ac:dyDescent="0.25">
      <c r="A23" t="str">
        <f t="shared" si="14"/>
        <v>46183E</v>
      </c>
      <c r="B23" s="51">
        <f t="shared" si="26"/>
        <v>46183</v>
      </c>
      <c r="C23" s="52" t="s">
        <v>88</v>
      </c>
      <c r="D23" s="91"/>
      <c r="E23" s="62"/>
      <c r="F23" s="62"/>
      <c r="G23" s="62">
        <f t="shared" si="27"/>
        <v>0</v>
      </c>
      <c r="H23" s="72">
        <f t="shared" si="28"/>
        <v>0</v>
      </c>
      <c r="I23" s="203"/>
      <c r="J23" s="203"/>
      <c r="K23" s="203"/>
      <c r="L23" s="203"/>
      <c r="M23" s="58"/>
      <c r="N23" s="58"/>
      <c r="O23" s="59"/>
      <c r="P23" s="56"/>
      <c r="Q23" s="60"/>
      <c r="R23" s="61">
        <f t="shared" si="15"/>
        <v>0</v>
      </c>
      <c r="S23" s="62">
        <f t="shared" si="16"/>
        <v>0</v>
      </c>
      <c r="T23" s="72">
        <f t="shared" si="17"/>
        <v>0</v>
      </c>
      <c r="U23" s="65"/>
      <c r="V23" s="65"/>
      <c r="W23" s="66"/>
      <c r="X23" s="67"/>
      <c r="Y23" s="68"/>
      <c r="Z23" s="68"/>
      <c r="AA23" s="62">
        <f t="shared" si="5"/>
        <v>0</v>
      </c>
      <c r="AB23" s="63">
        <f t="shared" si="6"/>
        <v>0</v>
      </c>
      <c r="AC23" s="69"/>
      <c r="AD23" s="70"/>
      <c r="AE23" s="70"/>
      <c r="AF23" s="62">
        <f t="shared" si="7"/>
        <v>0</v>
      </c>
      <c r="AG23" s="63">
        <f t="shared" si="8"/>
        <v>0</v>
      </c>
      <c r="AH23" s="207"/>
      <c r="AI23" s="66"/>
      <c r="AJ23" s="66"/>
      <c r="AK23" s="62">
        <f t="shared" si="18"/>
        <v>0</v>
      </c>
      <c r="AL23" s="72">
        <f t="shared" si="19"/>
        <v>0</v>
      </c>
      <c r="AM23" s="73">
        <f t="shared" si="20"/>
        <v>0</v>
      </c>
      <c r="AN23" s="74">
        <f t="shared" si="21"/>
        <v>0</v>
      </c>
      <c r="AO23" s="74">
        <f t="shared" si="22"/>
        <v>0</v>
      </c>
      <c r="AP23" s="75" t="e">
        <f t="shared" si="23"/>
        <v>#DIV/0!</v>
      </c>
      <c r="AQ23" s="76">
        <f t="shared" si="24"/>
        <v>0</v>
      </c>
      <c r="AR23" s="90">
        <f t="shared" si="13"/>
        <v>0</v>
      </c>
    </row>
    <row r="24" spans="1:49" x14ac:dyDescent="0.25">
      <c r="A24" t="str">
        <f t="shared" si="14"/>
        <v>46184M</v>
      </c>
      <c r="B24" s="51">
        <f t="shared" si="26"/>
        <v>46184</v>
      </c>
      <c r="C24" s="52" t="s">
        <v>87</v>
      </c>
      <c r="D24" s="91"/>
      <c r="E24" s="62"/>
      <c r="F24" s="62"/>
      <c r="G24" s="62">
        <f t="shared" si="27"/>
        <v>0</v>
      </c>
      <c r="H24" s="72">
        <f t="shared" si="28"/>
        <v>0</v>
      </c>
      <c r="I24" s="203"/>
      <c r="J24" s="203"/>
      <c r="K24" s="203"/>
      <c r="L24" s="203"/>
      <c r="M24" s="58"/>
      <c r="N24" s="58"/>
      <c r="O24" s="59"/>
      <c r="P24" s="56"/>
      <c r="Q24" s="60"/>
      <c r="R24" s="61">
        <f t="shared" si="15"/>
        <v>0</v>
      </c>
      <c r="S24" s="62">
        <f t="shared" si="16"/>
        <v>0</v>
      </c>
      <c r="T24" s="63">
        <f t="shared" si="17"/>
        <v>0</v>
      </c>
      <c r="U24" s="65"/>
      <c r="V24" s="65"/>
      <c r="W24" s="66"/>
      <c r="X24" s="67"/>
      <c r="Y24" s="68"/>
      <c r="Z24" s="68"/>
      <c r="AA24" s="62">
        <f t="shared" si="5"/>
        <v>0</v>
      </c>
      <c r="AB24" s="63">
        <f t="shared" si="6"/>
        <v>0</v>
      </c>
      <c r="AC24" s="69"/>
      <c r="AD24" s="70"/>
      <c r="AE24" s="70"/>
      <c r="AF24" s="62">
        <f t="shared" si="7"/>
        <v>0</v>
      </c>
      <c r="AG24" s="63">
        <f t="shared" si="8"/>
        <v>0</v>
      </c>
      <c r="AH24" s="208"/>
      <c r="AI24" s="66"/>
      <c r="AJ24" s="66"/>
      <c r="AK24" s="62">
        <f t="shared" si="18"/>
        <v>0</v>
      </c>
      <c r="AL24" s="72">
        <f t="shared" si="19"/>
        <v>0</v>
      </c>
      <c r="AM24" s="73">
        <f t="shared" si="20"/>
        <v>0</v>
      </c>
      <c r="AN24" s="74">
        <f t="shared" si="21"/>
        <v>0</v>
      </c>
      <c r="AO24" s="74">
        <f t="shared" si="22"/>
        <v>0</v>
      </c>
      <c r="AP24" s="75" t="e">
        <f t="shared" si="23"/>
        <v>#DIV/0!</v>
      </c>
      <c r="AQ24" s="76">
        <f t="shared" si="24"/>
        <v>0</v>
      </c>
      <c r="AR24" s="90">
        <f t="shared" si="13"/>
        <v>0</v>
      </c>
    </row>
    <row r="25" spans="1:49" x14ac:dyDescent="0.25">
      <c r="A25" t="str">
        <f t="shared" si="14"/>
        <v>46184E</v>
      </c>
      <c r="B25" s="51">
        <f t="shared" si="26"/>
        <v>46184</v>
      </c>
      <c r="C25" s="52" t="s">
        <v>88</v>
      </c>
      <c r="D25" s="91"/>
      <c r="E25" s="62"/>
      <c r="F25" s="62"/>
      <c r="G25" s="62">
        <f t="shared" si="27"/>
        <v>0</v>
      </c>
      <c r="H25" s="72">
        <f t="shared" si="28"/>
        <v>0</v>
      </c>
      <c r="I25" s="203"/>
      <c r="J25" s="203"/>
      <c r="K25" s="203"/>
      <c r="L25" s="203"/>
      <c r="M25" s="58"/>
      <c r="N25" s="58"/>
      <c r="O25" s="59"/>
      <c r="P25" s="56"/>
      <c r="Q25" s="60"/>
      <c r="R25" s="61">
        <f t="shared" si="15"/>
        <v>0</v>
      </c>
      <c r="S25" s="62">
        <f t="shared" si="16"/>
        <v>0</v>
      </c>
      <c r="T25" s="63">
        <f t="shared" si="17"/>
        <v>0</v>
      </c>
      <c r="U25" s="65"/>
      <c r="V25" s="65"/>
      <c r="W25" s="66"/>
      <c r="X25" s="67"/>
      <c r="Y25" s="68"/>
      <c r="Z25" s="68"/>
      <c r="AA25" s="62">
        <f t="shared" si="5"/>
        <v>0</v>
      </c>
      <c r="AB25" s="63">
        <f t="shared" si="6"/>
        <v>0</v>
      </c>
      <c r="AC25" s="69"/>
      <c r="AD25" s="70"/>
      <c r="AE25" s="70"/>
      <c r="AF25" s="62">
        <f t="shared" si="7"/>
        <v>0</v>
      </c>
      <c r="AG25" s="63">
        <f t="shared" si="8"/>
        <v>0</v>
      </c>
      <c r="AH25" s="207"/>
      <c r="AI25" s="66"/>
      <c r="AJ25" s="66"/>
      <c r="AK25" s="62">
        <f t="shared" si="18"/>
        <v>0</v>
      </c>
      <c r="AL25" s="72">
        <f t="shared" si="19"/>
        <v>0</v>
      </c>
      <c r="AM25" s="73">
        <f t="shared" si="20"/>
        <v>0</v>
      </c>
      <c r="AN25" s="74">
        <f t="shared" si="21"/>
        <v>0</v>
      </c>
      <c r="AO25" s="74">
        <f t="shared" si="22"/>
        <v>0</v>
      </c>
      <c r="AP25" s="75" t="e">
        <f t="shared" si="23"/>
        <v>#DIV/0!</v>
      </c>
      <c r="AQ25" s="76">
        <f t="shared" si="24"/>
        <v>0</v>
      </c>
      <c r="AR25" s="90">
        <f t="shared" si="13"/>
        <v>0</v>
      </c>
      <c r="AS25" s="90">
        <f>SUM(J12:J25)</f>
        <v>79886.903000000006</v>
      </c>
      <c r="AT25" s="83">
        <f>SUM(AM12:AM25)</f>
        <v>394.90299999999843</v>
      </c>
      <c r="AU25" s="83">
        <f>SUM(AN12:AN25)</f>
        <v>-35.498708899999905</v>
      </c>
      <c r="AV25" s="83">
        <f>SUM(AO12:AO25)</f>
        <v>116.6273360999996</v>
      </c>
      <c r="AW25" s="83">
        <f>-SUM(AQ12:AQ25)</f>
        <v>-18967.726220134922</v>
      </c>
    </row>
    <row r="26" spans="1:49" x14ac:dyDescent="0.25">
      <c r="A26" t="str">
        <f t="shared" si="14"/>
        <v>46185M</v>
      </c>
      <c r="B26" s="51">
        <f t="shared" si="26"/>
        <v>46185</v>
      </c>
      <c r="C26" s="52" t="s">
        <v>87</v>
      </c>
      <c r="D26" s="91"/>
      <c r="E26" s="62"/>
      <c r="F26" s="62"/>
      <c r="G26" s="62">
        <f t="shared" si="27"/>
        <v>0</v>
      </c>
      <c r="H26" s="72">
        <f t="shared" si="28"/>
        <v>0</v>
      </c>
      <c r="I26" s="203"/>
      <c r="J26" s="203"/>
      <c r="K26" s="203"/>
      <c r="L26" s="203"/>
      <c r="M26" s="58"/>
      <c r="N26" s="58"/>
      <c r="O26" s="59"/>
      <c r="P26" s="56"/>
      <c r="Q26" s="60"/>
      <c r="R26" s="61">
        <f t="shared" si="15"/>
        <v>0</v>
      </c>
      <c r="S26" s="62">
        <f t="shared" si="16"/>
        <v>0</v>
      </c>
      <c r="T26" s="63">
        <f t="shared" si="17"/>
        <v>0</v>
      </c>
      <c r="U26" s="65"/>
      <c r="V26" s="65"/>
      <c r="W26" s="66"/>
      <c r="X26" s="67"/>
      <c r="Y26" s="68"/>
      <c r="Z26" s="68"/>
      <c r="AA26" s="62">
        <f t="shared" si="5"/>
        <v>0</v>
      </c>
      <c r="AB26" s="63">
        <f t="shared" si="6"/>
        <v>0</v>
      </c>
      <c r="AC26" s="69"/>
      <c r="AD26" s="70"/>
      <c r="AE26" s="70"/>
      <c r="AF26" s="62">
        <f t="shared" si="7"/>
        <v>0</v>
      </c>
      <c r="AG26" s="63">
        <f t="shared" si="8"/>
        <v>0</v>
      </c>
      <c r="AH26" s="97"/>
      <c r="AI26" s="71"/>
      <c r="AJ26" s="71"/>
      <c r="AK26" s="62">
        <f t="shared" si="18"/>
        <v>0</v>
      </c>
      <c r="AL26" s="72">
        <f t="shared" si="19"/>
        <v>0</v>
      </c>
      <c r="AM26" s="73">
        <f t="shared" si="20"/>
        <v>0</v>
      </c>
      <c r="AN26" s="74">
        <f t="shared" si="21"/>
        <v>0</v>
      </c>
      <c r="AO26" s="74">
        <f t="shared" si="22"/>
        <v>0</v>
      </c>
      <c r="AP26" s="75" t="e">
        <f t="shared" si="23"/>
        <v>#DIV/0!</v>
      </c>
      <c r="AQ26" s="76">
        <f t="shared" si="24"/>
        <v>0</v>
      </c>
      <c r="AR26" s="90">
        <f t="shared" si="13"/>
        <v>0</v>
      </c>
    </row>
    <row r="27" spans="1:49" x14ac:dyDescent="0.25">
      <c r="A27" t="str">
        <f t="shared" si="14"/>
        <v>46185E</v>
      </c>
      <c r="B27" s="51">
        <f t="shared" si="26"/>
        <v>46185</v>
      </c>
      <c r="C27" s="52" t="s">
        <v>88</v>
      </c>
      <c r="D27" s="91"/>
      <c r="E27" s="62"/>
      <c r="F27" s="62"/>
      <c r="G27" s="62">
        <f t="shared" si="27"/>
        <v>0</v>
      </c>
      <c r="H27" s="72">
        <f t="shared" si="28"/>
        <v>0</v>
      </c>
      <c r="I27" s="203"/>
      <c r="J27" s="203"/>
      <c r="K27" s="203"/>
      <c r="L27" s="203"/>
      <c r="M27" s="58"/>
      <c r="N27" s="58"/>
      <c r="O27" s="59"/>
      <c r="P27" s="56"/>
      <c r="Q27" s="60"/>
      <c r="R27" s="61">
        <f t="shared" si="15"/>
        <v>0</v>
      </c>
      <c r="S27" s="62">
        <f t="shared" si="16"/>
        <v>0</v>
      </c>
      <c r="T27" s="63">
        <f t="shared" si="17"/>
        <v>0</v>
      </c>
      <c r="U27" s="65"/>
      <c r="V27" s="65"/>
      <c r="W27" s="66"/>
      <c r="X27" s="67"/>
      <c r="Y27" s="68"/>
      <c r="Z27" s="68"/>
      <c r="AA27" s="62">
        <f t="shared" si="5"/>
        <v>0</v>
      </c>
      <c r="AB27" s="63">
        <f t="shared" si="6"/>
        <v>0</v>
      </c>
      <c r="AC27" s="69"/>
      <c r="AD27" s="70"/>
      <c r="AE27" s="70"/>
      <c r="AF27" s="62">
        <f t="shared" si="7"/>
        <v>0</v>
      </c>
      <c r="AG27" s="63">
        <f t="shared" si="8"/>
        <v>0</v>
      </c>
      <c r="AH27" s="97"/>
      <c r="AI27" s="66"/>
      <c r="AJ27" s="66"/>
      <c r="AK27" s="62">
        <f t="shared" si="18"/>
        <v>0</v>
      </c>
      <c r="AL27" s="72">
        <f t="shared" si="19"/>
        <v>0</v>
      </c>
      <c r="AM27" s="73">
        <f t="shared" si="20"/>
        <v>0</v>
      </c>
      <c r="AN27" s="74">
        <f t="shared" si="21"/>
        <v>0</v>
      </c>
      <c r="AO27" s="74">
        <f t="shared" si="22"/>
        <v>0</v>
      </c>
      <c r="AP27" s="75" t="e">
        <f t="shared" si="23"/>
        <v>#DIV/0!</v>
      </c>
      <c r="AQ27" s="76">
        <f t="shared" si="24"/>
        <v>0</v>
      </c>
      <c r="AR27" s="90">
        <f t="shared" si="13"/>
        <v>0</v>
      </c>
    </row>
    <row r="28" spans="1:49" x14ac:dyDescent="0.25">
      <c r="A28" t="str">
        <f t="shared" si="14"/>
        <v>46186M</v>
      </c>
      <c r="B28" s="51">
        <f t="shared" si="26"/>
        <v>46186</v>
      </c>
      <c r="C28" s="52" t="s">
        <v>87</v>
      </c>
      <c r="D28" s="91"/>
      <c r="E28" s="62"/>
      <c r="F28" s="62"/>
      <c r="G28" s="62">
        <f t="shared" ref="G28:G65" si="29">+D28*E28%</f>
        <v>0</v>
      </c>
      <c r="H28" s="72">
        <f t="shared" ref="H28:H65" si="30">+D28*F28%</f>
        <v>0</v>
      </c>
      <c r="I28" s="203"/>
      <c r="J28" s="203"/>
      <c r="K28" s="203"/>
      <c r="L28" s="203"/>
      <c r="M28" s="58"/>
      <c r="N28" s="58"/>
      <c r="O28" s="59"/>
      <c r="P28" s="56"/>
      <c r="Q28" s="60"/>
      <c r="R28" s="61">
        <f t="shared" si="15"/>
        <v>0</v>
      </c>
      <c r="S28" s="62">
        <f t="shared" si="16"/>
        <v>0</v>
      </c>
      <c r="T28" s="63">
        <f t="shared" si="17"/>
        <v>0</v>
      </c>
      <c r="U28" s="65"/>
      <c r="V28" s="65"/>
      <c r="W28" s="66"/>
      <c r="X28" s="67"/>
      <c r="Y28" s="68"/>
      <c r="Z28" s="68"/>
      <c r="AA28" s="62">
        <f t="shared" si="5"/>
        <v>0</v>
      </c>
      <c r="AB28" s="63">
        <f t="shared" si="6"/>
        <v>0</v>
      </c>
      <c r="AC28" s="69"/>
      <c r="AD28" s="70"/>
      <c r="AE28" s="70"/>
      <c r="AF28" s="62">
        <f t="shared" si="7"/>
        <v>0</v>
      </c>
      <c r="AG28" s="63">
        <f t="shared" si="8"/>
        <v>0</v>
      </c>
      <c r="AH28" s="97"/>
      <c r="AI28" s="71"/>
      <c r="AJ28" s="71"/>
      <c r="AK28" s="62">
        <f t="shared" si="18"/>
        <v>0</v>
      </c>
      <c r="AL28" s="72">
        <f t="shared" si="19"/>
        <v>0</v>
      </c>
      <c r="AM28" s="73">
        <f t="shared" si="20"/>
        <v>0</v>
      </c>
      <c r="AN28" s="74">
        <f t="shared" si="21"/>
        <v>0</v>
      </c>
      <c r="AO28" s="74">
        <f t="shared" si="22"/>
        <v>0</v>
      </c>
      <c r="AP28" s="75" t="e">
        <f t="shared" si="23"/>
        <v>#DIV/0!</v>
      </c>
      <c r="AQ28" s="76">
        <f t="shared" si="24"/>
        <v>0</v>
      </c>
      <c r="AR28" s="90">
        <f t="shared" si="13"/>
        <v>0</v>
      </c>
    </row>
    <row r="29" spans="1:49" x14ac:dyDescent="0.25">
      <c r="A29" t="str">
        <f t="shared" si="14"/>
        <v>46186E</v>
      </c>
      <c r="B29" s="51">
        <f t="shared" si="26"/>
        <v>46186</v>
      </c>
      <c r="C29" s="52" t="s">
        <v>88</v>
      </c>
      <c r="D29" s="91"/>
      <c r="E29" s="62"/>
      <c r="F29" s="62"/>
      <c r="G29" s="62">
        <f t="shared" si="29"/>
        <v>0</v>
      </c>
      <c r="H29" s="72">
        <f t="shared" si="30"/>
        <v>0</v>
      </c>
      <c r="I29" s="203"/>
      <c r="J29" s="203"/>
      <c r="K29" s="203"/>
      <c r="L29" s="203"/>
      <c r="M29" s="58"/>
      <c r="N29" s="58"/>
      <c r="O29" s="59"/>
      <c r="P29" s="56"/>
      <c r="Q29" s="60"/>
      <c r="R29" s="61">
        <f t="shared" si="15"/>
        <v>0</v>
      </c>
      <c r="S29" s="62">
        <f t="shared" si="16"/>
        <v>0</v>
      </c>
      <c r="T29" s="63">
        <f t="shared" si="17"/>
        <v>0</v>
      </c>
      <c r="U29" s="65"/>
      <c r="V29" s="65"/>
      <c r="W29" s="66"/>
      <c r="X29" s="67"/>
      <c r="Y29" s="68"/>
      <c r="Z29" s="68"/>
      <c r="AA29" s="62">
        <f t="shared" si="5"/>
        <v>0</v>
      </c>
      <c r="AB29" s="63">
        <f t="shared" si="6"/>
        <v>0</v>
      </c>
      <c r="AC29" s="69"/>
      <c r="AD29" s="70"/>
      <c r="AE29" s="70"/>
      <c r="AF29" s="62">
        <f t="shared" si="7"/>
        <v>0</v>
      </c>
      <c r="AG29" s="63">
        <f t="shared" si="8"/>
        <v>0</v>
      </c>
      <c r="AH29" s="97"/>
      <c r="AI29" s="66"/>
      <c r="AJ29" s="66"/>
      <c r="AK29" s="62">
        <f t="shared" si="18"/>
        <v>0</v>
      </c>
      <c r="AL29" s="72">
        <f t="shared" si="19"/>
        <v>0</v>
      </c>
      <c r="AM29" s="73">
        <f t="shared" si="20"/>
        <v>0</v>
      </c>
      <c r="AN29" s="74">
        <f t="shared" si="21"/>
        <v>0</v>
      </c>
      <c r="AO29" s="74">
        <f t="shared" si="22"/>
        <v>0</v>
      </c>
      <c r="AP29" s="75" t="e">
        <f t="shared" si="23"/>
        <v>#DIV/0!</v>
      </c>
      <c r="AQ29" s="76">
        <f t="shared" si="24"/>
        <v>0</v>
      </c>
      <c r="AR29" s="90">
        <f t="shared" si="13"/>
        <v>0</v>
      </c>
      <c r="AS29" s="90">
        <f>SUM(J16:J29)</f>
        <v>48181.442999999999</v>
      </c>
      <c r="AT29" s="83">
        <f>SUM(AM16:AM29)</f>
        <v>222.4429999999993</v>
      </c>
      <c r="AU29" s="83">
        <f>SUM(AN16:AN29)</f>
        <v>-50.652663199999964</v>
      </c>
      <c r="AV29" s="83">
        <f>SUM(AO16:AO29)</f>
        <v>23.66339509999969</v>
      </c>
      <c r="AW29" s="83">
        <f>-SUM(AQ16:AQ29)</f>
        <v>15656.663907551412</v>
      </c>
    </row>
    <row r="30" spans="1:49" x14ac:dyDescent="0.25">
      <c r="A30" t="str">
        <f t="shared" si="14"/>
        <v>46187M</v>
      </c>
      <c r="B30" s="51">
        <f t="shared" si="26"/>
        <v>46187</v>
      </c>
      <c r="C30" s="52" t="s">
        <v>87</v>
      </c>
      <c r="D30" s="91"/>
      <c r="E30" s="62"/>
      <c r="F30" s="62"/>
      <c r="G30" s="62">
        <f t="shared" si="29"/>
        <v>0</v>
      </c>
      <c r="H30" s="72">
        <f t="shared" si="30"/>
        <v>0</v>
      </c>
      <c r="I30" s="203"/>
      <c r="J30" s="203"/>
      <c r="K30" s="203"/>
      <c r="L30" s="203"/>
      <c r="M30" s="58"/>
      <c r="N30" s="58"/>
      <c r="O30" s="59"/>
      <c r="P30" s="56"/>
      <c r="Q30" s="60"/>
      <c r="R30" s="61">
        <f t="shared" si="15"/>
        <v>0</v>
      </c>
      <c r="S30" s="62">
        <f t="shared" si="16"/>
        <v>0</v>
      </c>
      <c r="T30" s="63">
        <f t="shared" si="17"/>
        <v>0</v>
      </c>
      <c r="U30" s="65"/>
      <c r="V30" s="65"/>
      <c r="W30" s="66"/>
      <c r="X30" s="67"/>
      <c r="Y30" s="68"/>
      <c r="Z30" s="68"/>
      <c r="AA30" s="62">
        <f t="shared" si="5"/>
        <v>0</v>
      </c>
      <c r="AB30" s="63">
        <f t="shared" si="6"/>
        <v>0</v>
      </c>
      <c r="AC30" s="69"/>
      <c r="AD30" s="70"/>
      <c r="AE30" s="70"/>
      <c r="AF30" s="62">
        <f t="shared" si="7"/>
        <v>0</v>
      </c>
      <c r="AG30" s="63">
        <f t="shared" si="8"/>
        <v>0</v>
      </c>
      <c r="AH30" s="97"/>
      <c r="AI30" s="71"/>
      <c r="AJ30" s="71"/>
      <c r="AK30" s="62">
        <f t="shared" si="18"/>
        <v>0</v>
      </c>
      <c r="AL30" s="72">
        <f t="shared" si="19"/>
        <v>0</v>
      </c>
      <c r="AM30" s="73">
        <f t="shared" si="20"/>
        <v>0</v>
      </c>
      <c r="AN30" s="74">
        <f t="shared" si="21"/>
        <v>0</v>
      </c>
      <c r="AO30" s="74">
        <f t="shared" si="22"/>
        <v>0</v>
      </c>
      <c r="AP30" s="75" t="e">
        <f t="shared" si="23"/>
        <v>#DIV/0!</v>
      </c>
      <c r="AQ30" s="76">
        <f t="shared" si="24"/>
        <v>0</v>
      </c>
      <c r="AR30" s="90">
        <f t="shared" si="13"/>
        <v>0</v>
      </c>
    </row>
    <row r="31" spans="1:49" x14ac:dyDescent="0.25">
      <c r="A31" t="str">
        <f t="shared" si="14"/>
        <v>46187E</v>
      </c>
      <c r="B31" s="51">
        <f t="shared" si="26"/>
        <v>46187</v>
      </c>
      <c r="C31" s="52" t="s">
        <v>88</v>
      </c>
      <c r="D31" s="91"/>
      <c r="E31" s="62"/>
      <c r="F31" s="62"/>
      <c r="G31" s="62">
        <f t="shared" si="29"/>
        <v>0</v>
      </c>
      <c r="H31" s="72">
        <f t="shared" si="30"/>
        <v>0</v>
      </c>
      <c r="I31" s="203"/>
      <c r="J31" s="203"/>
      <c r="K31" s="203"/>
      <c r="L31" s="203"/>
      <c r="M31" s="58"/>
      <c r="N31" s="58"/>
      <c r="O31" s="59"/>
      <c r="P31" s="56"/>
      <c r="Q31" s="60"/>
      <c r="R31" s="61">
        <f t="shared" si="15"/>
        <v>0</v>
      </c>
      <c r="S31" s="62">
        <f t="shared" si="16"/>
        <v>0</v>
      </c>
      <c r="T31" s="63">
        <f t="shared" si="17"/>
        <v>0</v>
      </c>
      <c r="U31" s="65"/>
      <c r="V31" s="65"/>
      <c r="W31" s="66"/>
      <c r="X31" s="67"/>
      <c r="Y31" s="68"/>
      <c r="Z31" s="68"/>
      <c r="AA31" s="62">
        <f t="shared" si="5"/>
        <v>0</v>
      </c>
      <c r="AB31" s="63">
        <f t="shared" si="6"/>
        <v>0</v>
      </c>
      <c r="AC31" s="69"/>
      <c r="AD31" s="70"/>
      <c r="AE31" s="70"/>
      <c r="AF31" s="62">
        <f t="shared" si="7"/>
        <v>0</v>
      </c>
      <c r="AG31" s="63">
        <f t="shared" si="8"/>
        <v>0</v>
      </c>
      <c r="AH31" s="97"/>
      <c r="AI31" s="66"/>
      <c r="AJ31" s="66"/>
      <c r="AK31" s="62">
        <f t="shared" si="18"/>
        <v>0</v>
      </c>
      <c r="AL31" s="72">
        <f t="shared" si="19"/>
        <v>0</v>
      </c>
      <c r="AM31" s="73">
        <f t="shared" si="20"/>
        <v>0</v>
      </c>
      <c r="AN31" s="74">
        <f t="shared" si="21"/>
        <v>0</v>
      </c>
      <c r="AO31" s="74">
        <f t="shared" si="22"/>
        <v>0</v>
      </c>
      <c r="AP31" s="75" t="e">
        <f t="shared" si="23"/>
        <v>#DIV/0!</v>
      </c>
      <c r="AQ31" s="76">
        <f t="shared" si="24"/>
        <v>0</v>
      </c>
      <c r="AR31" s="90">
        <f t="shared" si="13"/>
        <v>0</v>
      </c>
    </row>
    <row r="32" spans="1:49" x14ac:dyDescent="0.25">
      <c r="A32" t="str">
        <f t="shared" si="14"/>
        <v>46188M</v>
      </c>
      <c r="B32" s="51">
        <f t="shared" si="26"/>
        <v>46188</v>
      </c>
      <c r="C32" s="52" t="s">
        <v>87</v>
      </c>
      <c r="D32" s="91"/>
      <c r="E32" s="62"/>
      <c r="F32" s="62"/>
      <c r="G32" s="62">
        <f t="shared" si="29"/>
        <v>0</v>
      </c>
      <c r="H32" s="72">
        <f t="shared" si="30"/>
        <v>0</v>
      </c>
      <c r="I32" s="203"/>
      <c r="J32" s="203"/>
      <c r="K32" s="203"/>
      <c r="L32" s="203"/>
      <c r="M32" s="58"/>
      <c r="N32" s="57"/>
      <c r="O32" s="59"/>
      <c r="P32" s="56"/>
      <c r="Q32" s="60"/>
      <c r="R32" s="61">
        <f t="shared" si="15"/>
        <v>0</v>
      </c>
      <c r="S32" s="62">
        <f t="shared" si="16"/>
        <v>0</v>
      </c>
      <c r="T32" s="63">
        <f t="shared" si="17"/>
        <v>0</v>
      </c>
      <c r="U32" s="65"/>
      <c r="V32" s="65"/>
      <c r="W32" s="66"/>
      <c r="X32" s="67"/>
      <c r="Y32" s="68"/>
      <c r="Z32" s="68"/>
      <c r="AA32" s="62">
        <f t="shared" si="5"/>
        <v>0</v>
      </c>
      <c r="AB32" s="63">
        <f t="shared" si="6"/>
        <v>0</v>
      </c>
      <c r="AC32" s="69"/>
      <c r="AD32" s="70"/>
      <c r="AE32" s="70"/>
      <c r="AF32" s="62">
        <f t="shared" si="7"/>
        <v>0</v>
      </c>
      <c r="AG32" s="63">
        <f t="shared" si="8"/>
        <v>0</v>
      </c>
      <c r="AH32" s="97"/>
      <c r="AI32" s="71"/>
      <c r="AJ32" s="71"/>
      <c r="AK32" s="62">
        <f t="shared" si="18"/>
        <v>0</v>
      </c>
      <c r="AL32" s="72">
        <f t="shared" si="19"/>
        <v>0</v>
      </c>
      <c r="AM32" s="73">
        <f t="shared" si="20"/>
        <v>0</v>
      </c>
      <c r="AN32" s="74">
        <f t="shared" si="21"/>
        <v>0</v>
      </c>
      <c r="AO32" s="74">
        <f t="shared" si="22"/>
        <v>0</v>
      </c>
      <c r="AP32" s="75" t="e">
        <f t="shared" si="23"/>
        <v>#DIV/0!</v>
      </c>
      <c r="AQ32" s="76">
        <f t="shared" si="24"/>
        <v>0</v>
      </c>
      <c r="AR32" s="90">
        <f t="shared" si="13"/>
        <v>0</v>
      </c>
    </row>
    <row r="33" spans="1:49" x14ac:dyDescent="0.25">
      <c r="A33" t="str">
        <f t="shared" si="14"/>
        <v>46188E</v>
      </c>
      <c r="B33" s="51">
        <f t="shared" si="26"/>
        <v>46188</v>
      </c>
      <c r="C33" s="52" t="s">
        <v>88</v>
      </c>
      <c r="D33" s="91"/>
      <c r="E33" s="62"/>
      <c r="F33" s="62"/>
      <c r="G33" s="62">
        <f t="shared" si="29"/>
        <v>0</v>
      </c>
      <c r="H33" s="72">
        <f t="shared" si="30"/>
        <v>0</v>
      </c>
      <c r="I33" s="203"/>
      <c r="J33" s="203"/>
      <c r="K33" s="203"/>
      <c r="L33" s="203"/>
      <c r="M33" s="58"/>
      <c r="N33" s="58"/>
      <c r="O33" s="59"/>
      <c r="P33" s="56"/>
      <c r="Q33" s="60"/>
      <c r="R33" s="61">
        <f t="shared" si="15"/>
        <v>0</v>
      </c>
      <c r="S33" s="62">
        <f t="shared" si="16"/>
        <v>0</v>
      </c>
      <c r="T33" s="63">
        <f t="shared" si="17"/>
        <v>0</v>
      </c>
      <c r="U33" s="65"/>
      <c r="V33" s="65"/>
      <c r="W33" s="66"/>
      <c r="X33" s="67"/>
      <c r="Y33" s="68"/>
      <c r="Z33" s="68"/>
      <c r="AA33" s="62">
        <f t="shared" si="5"/>
        <v>0</v>
      </c>
      <c r="AB33" s="63">
        <f t="shared" si="6"/>
        <v>0</v>
      </c>
      <c r="AC33" s="69"/>
      <c r="AD33" s="70"/>
      <c r="AE33" s="70"/>
      <c r="AF33" s="62">
        <f t="shared" si="7"/>
        <v>0</v>
      </c>
      <c r="AG33" s="63">
        <f t="shared" si="8"/>
        <v>0</v>
      </c>
      <c r="AH33" s="97"/>
      <c r="AI33" s="71"/>
      <c r="AJ33" s="71"/>
      <c r="AK33" s="62">
        <f t="shared" si="18"/>
        <v>0</v>
      </c>
      <c r="AL33" s="72">
        <f t="shared" si="19"/>
        <v>0</v>
      </c>
      <c r="AM33" s="73">
        <f t="shared" si="20"/>
        <v>0</v>
      </c>
      <c r="AN33" s="74">
        <f t="shared" si="21"/>
        <v>0</v>
      </c>
      <c r="AO33" s="74">
        <f t="shared" si="22"/>
        <v>0</v>
      </c>
      <c r="AP33" s="75" t="e">
        <f t="shared" si="23"/>
        <v>#DIV/0!</v>
      </c>
      <c r="AQ33" s="76">
        <f t="shared" si="24"/>
        <v>0</v>
      </c>
      <c r="AR33" s="90">
        <f t="shared" si="13"/>
        <v>0</v>
      </c>
    </row>
    <row r="34" spans="1:49" x14ac:dyDescent="0.25">
      <c r="A34" t="str">
        <f t="shared" si="14"/>
        <v>46189M</v>
      </c>
      <c r="B34" s="51">
        <f t="shared" si="26"/>
        <v>46189</v>
      </c>
      <c r="C34" s="52" t="s">
        <v>87</v>
      </c>
      <c r="D34" s="91"/>
      <c r="E34" s="62"/>
      <c r="F34" s="62"/>
      <c r="G34" s="62">
        <f t="shared" si="29"/>
        <v>0</v>
      </c>
      <c r="H34" s="72">
        <f t="shared" si="30"/>
        <v>0</v>
      </c>
      <c r="I34" s="203"/>
      <c r="J34" s="203"/>
      <c r="K34" s="203"/>
      <c r="L34" s="203"/>
      <c r="M34" s="58"/>
      <c r="N34" s="58"/>
      <c r="O34" s="59"/>
      <c r="P34" s="56"/>
      <c r="Q34" s="60"/>
      <c r="R34" s="61">
        <f t="shared" si="15"/>
        <v>0</v>
      </c>
      <c r="S34" s="62">
        <f t="shared" si="16"/>
        <v>0</v>
      </c>
      <c r="T34" s="63">
        <f t="shared" si="17"/>
        <v>0</v>
      </c>
      <c r="U34" s="64"/>
      <c r="V34" s="65"/>
      <c r="W34" s="66"/>
      <c r="X34" s="67"/>
      <c r="Y34" s="68"/>
      <c r="Z34" s="68"/>
      <c r="AA34" s="62">
        <f t="shared" si="5"/>
        <v>0</v>
      </c>
      <c r="AB34" s="63">
        <f t="shared" si="6"/>
        <v>0</v>
      </c>
      <c r="AC34" s="69"/>
      <c r="AD34" s="70"/>
      <c r="AE34" s="70"/>
      <c r="AF34" s="62">
        <f t="shared" si="7"/>
        <v>0</v>
      </c>
      <c r="AG34" s="63">
        <f t="shared" si="8"/>
        <v>0</v>
      </c>
      <c r="AH34" s="97"/>
      <c r="AI34" s="71"/>
      <c r="AJ34" s="71"/>
      <c r="AK34" s="62">
        <f t="shared" si="18"/>
        <v>0</v>
      </c>
      <c r="AL34" s="72">
        <f t="shared" si="19"/>
        <v>0</v>
      </c>
      <c r="AM34" s="73">
        <f t="shared" si="20"/>
        <v>0</v>
      </c>
      <c r="AN34" s="74">
        <f t="shared" si="21"/>
        <v>0</v>
      </c>
      <c r="AO34" s="74">
        <f t="shared" si="22"/>
        <v>0</v>
      </c>
      <c r="AP34" s="75" t="e">
        <f t="shared" si="23"/>
        <v>#DIV/0!</v>
      </c>
      <c r="AQ34" s="76">
        <f t="shared" si="24"/>
        <v>0</v>
      </c>
      <c r="AR34" s="90">
        <f t="shared" si="13"/>
        <v>0</v>
      </c>
    </row>
    <row r="35" spans="1:49" x14ac:dyDescent="0.25">
      <c r="A35" t="str">
        <f t="shared" si="14"/>
        <v>46189E</v>
      </c>
      <c r="B35" s="51">
        <f t="shared" si="26"/>
        <v>46189</v>
      </c>
      <c r="C35" s="52" t="s">
        <v>88</v>
      </c>
      <c r="D35" s="91"/>
      <c r="E35" s="62"/>
      <c r="F35" s="62"/>
      <c r="G35" s="62">
        <f t="shared" si="29"/>
        <v>0</v>
      </c>
      <c r="H35" s="72">
        <f t="shared" si="30"/>
        <v>0</v>
      </c>
      <c r="I35" s="203"/>
      <c r="J35" s="203"/>
      <c r="K35" s="203"/>
      <c r="L35" s="203"/>
      <c r="M35" s="58"/>
      <c r="N35" s="58"/>
      <c r="O35" s="59"/>
      <c r="P35" s="56"/>
      <c r="Q35" s="60"/>
      <c r="R35" s="61">
        <f t="shared" si="15"/>
        <v>0</v>
      </c>
      <c r="S35" s="62">
        <f t="shared" si="16"/>
        <v>0</v>
      </c>
      <c r="T35" s="63">
        <f t="shared" si="17"/>
        <v>0</v>
      </c>
      <c r="U35" s="64"/>
      <c r="V35" s="65"/>
      <c r="W35" s="66"/>
      <c r="X35" s="67"/>
      <c r="Y35" s="68"/>
      <c r="Z35" s="68"/>
      <c r="AA35" s="62">
        <f t="shared" si="5"/>
        <v>0</v>
      </c>
      <c r="AB35" s="63">
        <f t="shared" si="6"/>
        <v>0</v>
      </c>
      <c r="AC35" s="69"/>
      <c r="AD35" s="70"/>
      <c r="AE35" s="70"/>
      <c r="AF35" s="62">
        <f t="shared" si="7"/>
        <v>0</v>
      </c>
      <c r="AG35" s="63">
        <f t="shared" si="8"/>
        <v>0</v>
      </c>
      <c r="AH35" s="97"/>
      <c r="AI35" s="71"/>
      <c r="AJ35" s="71"/>
      <c r="AK35" s="62">
        <f t="shared" si="18"/>
        <v>0</v>
      </c>
      <c r="AL35" s="72">
        <f t="shared" si="19"/>
        <v>0</v>
      </c>
      <c r="AM35" s="73">
        <f t="shared" si="20"/>
        <v>0</v>
      </c>
      <c r="AN35" s="74">
        <f t="shared" si="21"/>
        <v>0</v>
      </c>
      <c r="AO35" s="74">
        <f t="shared" si="22"/>
        <v>0</v>
      </c>
      <c r="AP35" s="75" t="e">
        <f t="shared" si="23"/>
        <v>#DIV/0!</v>
      </c>
      <c r="AQ35" s="76">
        <f t="shared" si="24"/>
        <v>0</v>
      </c>
      <c r="AR35" s="90">
        <f t="shared" si="13"/>
        <v>0</v>
      </c>
    </row>
    <row r="36" spans="1:49" x14ac:dyDescent="0.25">
      <c r="A36" t="str">
        <f t="shared" si="14"/>
        <v>46190M</v>
      </c>
      <c r="B36" s="51">
        <f t="shared" si="26"/>
        <v>46190</v>
      </c>
      <c r="C36" s="52" t="s">
        <v>87</v>
      </c>
      <c r="D36" s="91"/>
      <c r="E36" s="62"/>
      <c r="F36" s="62"/>
      <c r="G36" s="62">
        <f t="shared" si="29"/>
        <v>0</v>
      </c>
      <c r="H36" s="72">
        <f t="shared" si="30"/>
        <v>0</v>
      </c>
      <c r="I36" s="203"/>
      <c r="J36" s="203"/>
      <c r="K36" s="203"/>
      <c r="L36" s="203"/>
      <c r="M36" s="58"/>
      <c r="N36" s="58"/>
      <c r="O36" s="59"/>
      <c r="P36" s="56"/>
      <c r="Q36" s="60"/>
      <c r="R36" s="61">
        <f t="shared" si="15"/>
        <v>0</v>
      </c>
      <c r="S36" s="62">
        <f t="shared" si="16"/>
        <v>0</v>
      </c>
      <c r="T36" s="63">
        <f t="shared" si="17"/>
        <v>0</v>
      </c>
      <c r="U36" s="64"/>
      <c r="V36" s="85"/>
      <c r="W36" s="66"/>
      <c r="X36" s="67"/>
      <c r="Y36" s="68"/>
      <c r="Z36" s="68"/>
      <c r="AA36" s="62">
        <f t="shared" si="5"/>
        <v>0</v>
      </c>
      <c r="AB36" s="63">
        <f t="shared" si="6"/>
        <v>0</v>
      </c>
      <c r="AC36" s="69"/>
      <c r="AD36" s="70"/>
      <c r="AE36" s="70"/>
      <c r="AF36" s="62">
        <f t="shared" si="7"/>
        <v>0</v>
      </c>
      <c r="AG36" s="63">
        <f t="shared" si="8"/>
        <v>0</v>
      </c>
      <c r="AH36" s="97"/>
      <c r="AI36" s="71"/>
      <c r="AJ36" s="71"/>
      <c r="AK36" s="62">
        <f t="shared" si="18"/>
        <v>0</v>
      </c>
      <c r="AL36" s="72">
        <f t="shared" si="19"/>
        <v>0</v>
      </c>
      <c r="AM36" s="73">
        <f t="shared" si="20"/>
        <v>0</v>
      </c>
      <c r="AN36" s="74">
        <f t="shared" si="21"/>
        <v>0</v>
      </c>
      <c r="AO36" s="74">
        <f t="shared" si="22"/>
        <v>0</v>
      </c>
      <c r="AP36" s="75" t="e">
        <f t="shared" si="23"/>
        <v>#DIV/0!</v>
      </c>
      <c r="AQ36" s="76">
        <f t="shared" si="24"/>
        <v>0</v>
      </c>
      <c r="AR36" s="90">
        <f t="shared" ref="AR36:AR48" si="31">(D36+J36+O36)-(X36+AH36)</f>
        <v>0</v>
      </c>
    </row>
    <row r="37" spans="1:49" x14ac:dyDescent="0.25">
      <c r="A37" t="str">
        <f t="shared" si="14"/>
        <v>46190E</v>
      </c>
      <c r="B37" s="51">
        <f t="shared" si="26"/>
        <v>46190</v>
      </c>
      <c r="C37" s="52" t="s">
        <v>88</v>
      </c>
      <c r="D37" s="91"/>
      <c r="E37" s="62"/>
      <c r="F37" s="62"/>
      <c r="G37" s="62">
        <f t="shared" si="29"/>
        <v>0</v>
      </c>
      <c r="H37" s="72">
        <f t="shared" si="30"/>
        <v>0</v>
      </c>
      <c r="I37" s="203"/>
      <c r="J37" s="203"/>
      <c r="K37" s="203"/>
      <c r="L37" s="203"/>
      <c r="M37" s="58"/>
      <c r="N37" s="58"/>
      <c r="O37" s="59"/>
      <c r="P37" s="56"/>
      <c r="Q37" s="60"/>
      <c r="R37" s="61">
        <f t="shared" si="15"/>
        <v>0</v>
      </c>
      <c r="S37" s="62">
        <f t="shared" si="16"/>
        <v>0</v>
      </c>
      <c r="T37" s="63">
        <f t="shared" si="17"/>
        <v>0</v>
      </c>
      <c r="U37" s="64"/>
      <c r="V37" s="65"/>
      <c r="W37" s="66"/>
      <c r="X37" s="67"/>
      <c r="Y37" s="68"/>
      <c r="Z37" s="68"/>
      <c r="AA37" s="62">
        <f t="shared" ref="AA37:AA43" si="32">X37*Y37%</f>
        <v>0</v>
      </c>
      <c r="AB37" s="63">
        <f t="shared" ref="AB37:AB43" si="33">X37*Z37%</f>
        <v>0</v>
      </c>
      <c r="AC37" s="69"/>
      <c r="AD37" s="70"/>
      <c r="AE37" s="70"/>
      <c r="AF37" s="62">
        <f t="shared" ref="AF37:AF49" si="34">AC37*AD37%</f>
        <v>0</v>
      </c>
      <c r="AG37" s="63">
        <f t="shared" ref="AG37:AG49" si="35">AC37*AE37%</f>
        <v>0</v>
      </c>
      <c r="AH37" s="97"/>
      <c r="AI37" s="71"/>
      <c r="AJ37" s="71"/>
      <c r="AK37" s="62">
        <f t="shared" si="18"/>
        <v>0</v>
      </c>
      <c r="AL37" s="72">
        <f t="shared" si="19"/>
        <v>0</v>
      </c>
      <c r="AM37" s="73">
        <f t="shared" si="20"/>
        <v>0</v>
      </c>
      <c r="AN37" s="74">
        <f t="shared" si="21"/>
        <v>0</v>
      </c>
      <c r="AO37" s="74">
        <f t="shared" si="22"/>
        <v>0</v>
      </c>
      <c r="AP37" s="75" t="e">
        <f t="shared" si="23"/>
        <v>#DIV/0!</v>
      </c>
      <c r="AQ37" s="76">
        <f t="shared" si="24"/>
        <v>0</v>
      </c>
      <c r="AR37" s="90">
        <f t="shared" si="31"/>
        <v>0</v>
      </c>
    </row>
    <row r="38" spans="1:49" x14ac:dyDescent="0.25">
      <c r="A38" t="str">
        <f t="shared" si="14"/>
        <v>46191M</v>
      </c>
      <c r="B38" s="51">
        <f t="shared" si="26"/>
        <v>46191</v>
      </c>
      <c r="C38" s="52" t="s">
        <v>87</v>
      </c>
      <c r="D38" s="91"/>
      <c r="E38" s="62"/>
      <c r="F38" s="62"/>
      <c r="G38" s="62">
        <f t="shared" si="29"/>
        <v>0</v>
      </c>
      <c r="H38" s="72">
        <f t="shared" si="30"/>
        <v>0</v>
      </c>
      <c r="I38" s="203"/>
      <c r="J38" s="203"/>
      <c r="K38" s="203"/>
      <c r="L38" s="203"/>
      <c r="M38" s="58"/>
      <c r="N38" s="58"/>
      <c r="O38" s="59"/>
      <c r="P38" s="56"/>
      <c r="Q38" s="60"/>
      <c r="R38" s="61">
        <f t="shared" si="15"/>
        <v>0</v>
      </c>
      <c r="S38" s="62">
        <f t="shared" si="16"/>
        <v>0</v>
      </c>
      <c r="T38" s="63">
        <f t="shared" si="17"/>
        <v>0</v>
      </c>
      <c r="U38" s="64"/>
      <c r="V38" s="65"/>
      <c r="W38" s="66"/>
      <c r="X38" s="67"/>
      <c r="Y38" s="68"/>
      <c r="Z38" s="68"/>
      <c r="AA38" s="62">
        <f t="shared" si="32"/>
        <v>0</v>
      </c>
      <c r="AB38" s="63">
        <f t="shared" si="33"/>
        <v>0</v>
      </c>
      <c r="AC38" s="69"/>
      <c r="AD38" s="70"/>
      <c r="AE38" s="70"/>
      <c r="AF38" s="62">
        <f t="shared" si="34"/>
        <v>0</v>
      </c>
      <c r="AG38" s="63">
        <f t="shared" si="35"/>
        <v>0</v>
      </c>
      <c r="AH38" s="97"/>
      <c r="AI38" s="71"/>
      <c r="AJ38" s="71"/>
      <c r="AK38" s="62">
        <f t="shared" si="18"/>
        <v>0</v>
      </c>
      <c r="AL38" s="72">
        <f t="shared" si="19"/>
        <v>0</v>
      </c>
      <c r="AM38" s="73">
        <f t="shared" si="20"/>
        <v>0</v>
      </c>
      <c r="AN38" s="74">
        <f t="shared" si="21"/>
        <v>0</v>
      </c>
      <c r="AO38" s="74">
        <f t="shared" si="22"/>
        <v>0</v>
      </c>
      <c r="AP38" s="75" t="e">
        <f t="shared" si="23"/>
        <v>#DIV/0!</v>
      </c>
      <c r="AQ38" s="76">
        <f t="shared" si="24"/>
        <v>0</v>
      </c>
      <c r="AR38" s="90">
        <f t="shared" si="31"/>
        <v>0</v>
      </c>
    </row>
    <row r="39" spans="1:49" x14ac:dyDescent="0.25">
      <c r="A39" t="str">
        <f t="shared" si="14"/>
        <v>46191E</v>
      </c>
      <c r="B39" s="51">
        <f t="shared" si="26"/>
        <v>46191</v>
      </c>
      <c r="C39" s="52" t="s">
        <v>88</v>
      </c>
      <c r="D39" s="91"/>
      <c r="E39" s="62"/>
      <c r="F39" s="62"/>
      <c r="G39" s="62">
        <f t="shared" si="29"/>
        <v>0</v>
      </c>
      <c r="H39" s="72">
        <f t="shared" si="30"/>
        <v>0</v>
      </c>
      <c r="I39" s="203"/>
      <c r="J39" s="203"/>
      <c r="K39" s="203"/>
      <c r="L39" s="203"/>
      <c r="M39" s="58"/>
      <c r="N39" s="58"/>
      <c r="O39" s="59"/>
      <c r="P39" s="56"/>
      <c r="Q39" s="60"/>
      <c r="R39" s="61">
        <f t="shared" si="15"/>
        <v>0</v>
      </c>
      <c r="S39" s="62">
        <f t="shared" si="16"/>
        <v>0</v>
      </c>
      <c r="T39" s="63">
        <f t="shared" si="17"/>
        <v>0</v>
      </c>
      <c r="U39" s="64"/>
      <c r="V39" s="65"/>
      <c r="W39" s="66"/>
      <c r="X39" s="67"/>
      <c r="Y39" s="68"/>
      <c r="Z39" s="68"/>
      <c r="AA39" s="62">
        <f t="shared" si="32"/>
        <v>0</v>
      </c>
      <c r="AB39" s="63">
        <f t="shared" si="33"/>
        <v>0</v>
      </c>
      <c r="AC39" s="69"/>
      <c r="AD39" s="70"/>
      <c r="AE39" s="70"/>
      <c r="AF39" s="62">
        <f t="shared" si="34"/>
        <v>0</v>
      </c>
      <c r="AG39" s="63">
        <f t="shared" si="35"/>
        <v>0</v>
      </c>
      <c r="AH39" s="97"/>
      <c r="AI39" s="71"/>
      <c r="AJ39" s="71"/>
      <c r="AK39" s="62">
        <f t="shared" si="18"/>
        <v>0</v>
      </c>
      <c r="AL39" s="72">
        <f t="shared" si="19"/>
        <v>0</v>
      </c>
      <c r="AM39" s="73">
        <f t="shared" si="20"/>
        <v>0</v>
      </c>
      <c r="AN39" s="74">
        <f t="shared" si="21"/>
        <v>0</v>
      </c>
      <c r="AO39" s="74">
        <f t="shared" si="22"/>
        <v>0</v>
      </c>
      <c r="AP39" s="75" t="e">
        <f t="shared" si="23"/>
        <v>#DIV/0!</v>
      </c>
      <c r="AQ39" s="76">
        <f t="shared" si="24"/>
        <v>0</v>
      </c>
      <c r="AR39" s="90">
        <f t="shared" si="31"/>
        <v>0</v>
      </c>
    </row>
    <row r="40" spans="1:49" x14ac:dyDescent="0.25">
      <c r="A40" t="str">
        <f t="shared" si="14"/>
        <v>46192M</v>
      </c>
      <c r="B40" s="51">
        <f t="shared" si="26"/>
        <v>46192</v>
      </c>
      <c r="C40" s="52" t="s">
        <v>87</v>
      </c>
      <c r="D40" s="91"/>
      <c r="E40" s="62"/>
      <c r="F40" s="62"/>
      <c r="G40" s="62">
        <f t="shared" si="29"/>
        <v>0</v>
      </c>
      <c r="H40" s="72">
        <f t="shared" si="30"/>
        <v>0</v>
      </c>
      <c r="I40" s="203"/>
      <c r="J40" s="203"/>
      <c r="K40" s="203"/>
      <c r="L40" s="203"/>
      <c r="M40" s="58"/>
      <c r="N40" s="58"/>
      <c r="O40" s="59"/>
      <c r="P40" s="56"/>
      <c r="Q40" s="60"/>
      <c r="R40" s="61">
        <f t="shared" si="15"/>
        <v>0</v>
      </c>
      <c r="S40" s="62">
        <f t="shared" si="16"/>
        <v>0</v>
      </c>
      <c r="T40" s="63">
        <f t="shared" si="17"/>
        <v>0</v>
      </c>
      <c r="U40" s="64"/>
      <c r="V40" s="65"/>
      <c r="W40" s="66"/>
      <c r="X40" s="67"/>
      <c r="Y40" s="68"/>
      <c r="Z40" s="68"/>
      <c r="AA40" s="62">
        <f t="shared" si="32"/>
        <v>0</v>
      </c>
      <c r="AB40" s="63">
        <f t="shared" si="33"/>
        <v>0</v>
      </c>
      <c r="AC40" s="69"/>
      <c r="AD40" s="70"/>
      <c r="AE40" s="70"/>
      <c r="AF40" s="62">
        <f t="shared" si="34"/>
        <v>0</v>
      </c>
      <c r="AG40" s="63">
        <f t="shared" si="35"/>
        <v>0</v>
      </c>
      <c r="AH40" s="97"/>
      <c r="AI40" s="66"/>
      <c r="AJ40" s="66"/>
      <c r="AK40" s="62">
        <f t="shared" si="18"/>
        <v>0</v>
      </c>
      <c r="AL40" s="72">
        <f t="shared" si="19"/>
        <v>0</v>
      </c>
      <c r="AM40" s="73">
        <f t="shared" si="20"/>
        <v>0</v>
      </c>
      <c r="AN40" s="74">
        <f t="shared" si="21"/>
        <v>0</v>
      </c>
      <c r="AO40" s="74">
        <f t="shared" si="22"/>
        <v>0</v>
      </c>
      <c r="AP40" s="75" t="e">
        <f t="shared" si="23"/>
        <v>#DIV/0!</v>
      </c>
      <c r="AQ40" s="76">
        <f t="shared" si="24"/>
        <v>0</v>
      </c>
      <c r="AR40" s="90">
        <f t="shared" si="31"/>
        <v>0</v>
      </c>
    </row>
    <row r="41" spans="1:49" x14ac:dyDescent="0.25">
      <c r="A41" t="str">
        <f t="shared" si="14"/>
        <v>46192E</v>
      </c>
      <c r="B41" s="51">
        <f t="shared" si="26"/>
        <v>46192</v>
      </c>
      <c r="C41" s="52" t="s">
        <v>88</v>
      </c>
      <c r="D41" s="91"/>
      <c r="E41" s="62"/>
      <c r="F41" s="62"/>
      <c r="G41" s="62">
        <f t="shared" si="29"/>
        <v>0</v>
      </c>
      <c r="H41" s="72">
        <f t="shared" si="30"/>
        <v>0</v>
      </c>
      <c r="I41" s="203"/>
      <c r="J41" s="203"/>
      <c r="K41" s="203"/>
      <c r="L41" s="203"/>
      <c r="M41" s="58"/>
      <c r="N41" s="58"/>
      <c r="O41" s="59"/>
      <c r="P41" s="56"/>
      <c r="Q41" s="60"/>
      <c r="R41" s="61">
        <f t="shared" si="15"/>
        <v>0</v>
      </c>
      <c r="S41" s="62">
        <f t="shared" si="16"/>
        <v>0</v>
      </c>
      <c r="T41" s="63">
        <f t="shared" si="17"/>
        <v>0</v>
      </c>
      <c r="U41" s="64"/>
      <c r="V41" s="65"/>
      <c r="W41" s="66"/>
      <c r="X41" s="67"/>
      <c r="Y41" s="68"/>
      <c r="Z41" s="68"/>
      <c r="AA41" s="62">
        <f t="shared" si="32"/>
        <v>0</v>
      </c>
      <c r="AB41" s="63">
        <f t="shared" si="33"/>
        <v>0</v>
      </c>
      <c r="AC41" s="69"/>
      <c r="AD41" s="70"/>
      <c r="AE41" s="70"/>
      <c r="AF41" s="62">
        <f t="shared" si="34"/>
        <v>0</v>
      </c>
      <c r="AG41" s="63">
        <f t="shared" si="35"/>
        <v>0</v>
      </c>
      <c r="AH41" s="97"/>
      <c r="AI41" s="66"/>
      <c r="AJ41" s="66"/>
      <c r="AK41" s="62">
        <f t="shared" si="18"/>
        <v>0</v>
      </c>
      <c r="AL41" s="72">
        <f t="shared" si="19"/>
        <v>0</v>
      </c>
      <c r="AM41" s="73">
        <f t="shared" si="20"/>
        <v>0</v>
      </c>
      <c r="AN41" s="74">
        <f t="shared" si="21"/>
        <v>0</v>
      </c>
      <c r="AO41" s="74">
        <f t="shared" si="22"/>
        <v>0</v>
      </c>
      <c r="AP41" s="75" t="e">
        <f t="shared" si="23"/>
        <v>#DIV/0!</v>
      </c>
      <c r="AQ41" s="76">
        <f t="shared" si="24"/>
        <v>0</v>
      </c>
      <c r="AR41" s="90">
        <f t="shared" si="31"/>
        <v>0</v>
      </c>
      <c r="AS41" s="90">
        <f>SUM(J28:J41)</f>
        <v>0</v>
      </c>
      <c r="AT41" s="83">
        <f>SUM(AM28:AM41)</f>
        <v>0</v>
      </c>
      <c r="AU41" s="83">
        <f>SUM(AN28:AN41)</f>
        <v>0</v>
      </c>
      <c r="AV41" s="83">
        <f>SUM(AO28:AO41)</f>
        <v>0</v>
      </c>
      <c r="AW41" s="83">
        <f>-SUM(AQ28:AQ41)</f>
        <v>0</v>
      </c>
    </row>
    <row r="42" spans="1:49" x14ac:dyDescent="0.25">
      <c r="A42" t="str">
        <f t="shared" si="14"/>
        <v>46193M</v>
      </c>
      <c r="B42" s="51">
        <f t="shared" si="26"/>
        <v>46193</v>
      </c>
      <c r="C42" s="52" t="s">
        <v>87</v>
      </c>
      <c r="D42" s="91"/>
      <c r="E42" s="62"/>
      <c r="F42" s="62"/>
      <c r="G42" s="62">
        <f t="shared" si="29"/>
        <v>0</v>
      </c>
      <c r="H42" s="72">
        <f t="shared" si="30"/>
        <v>0</v>
      </c>
      <c r="I42" s="203"/>
      <c r="J42" s="203"/>
      <c r="K42" s="203"/>
      <c r="L42" s="203"/>
      <c r="M42" s="58"/>
      <c r="N42" s="58"/>
      <c r="O42" s="59"/>
      <c r="P42" s="56"/>
      <c r="Q42" s="60"/>
      <c r="R42" s="61">
        <f t="shared" si="15"/>
        <v>0</v>
      </c>
      <c r="S42" s="62">
        <f t="shared" si="16"/>
        <v>0</v>
      </c>
      <c r="T42" s="63">
        <f t="shared" si="17"/>
        <v>0</v>
      </c>
      <c r="U42" s="64"/>
      <c r="V42" s="65"/>
      <c r="W42" s="66"/>
      <c r="X42" s="67"/>
      <c r="Y42" s="68"/>
      <c r="Z42" s="68"/>
      <c r="AA42" s="62">
        <f t="shared" si="32"/>
        <v>0</v>
      </c>
      <c r="AB42" s="63">
        <f t="shared" si="33"/>
        <v>0</v>
      </c>
      <c r="AC42" s="69"/>
      <c r="AD42" s="70"/>
      <c r="AE42" s="70"/>
      <c r="AF42" s="62">
        <f t="shared" si="34"/>
        <v>0</v>
      </c>
      <c r="AG42" s="63">
        <f t="shared" si="35"/>
        <v>0</v>
      </c>
      <c r="AH42" s="97"/>
      <c r="AI42" s="66"/>
      <c r="AJ42" s="66"/>
      <c r="AK42" s="62">
        <f t="shared" si="18"/>
        <v>0</v>
      </c>
      <c r="AL42" s="72">
        <f t="shared" si="19"/>
        <v>0</v>
      </c>
      <c r="AM42" s="73">
        <f t="shared" si="20"/>
        <v>0</v>
      </c>
      <c r="AN42" s="74">
        <f t="shared" si="21"/>
        <v>0</v>
      </c>
      <c r="AO42" s="74">
        <f t="shared" si="22"/>
        <v>0</v>
      </c>
      <c r="AP42" s="75" t="e">
        <f t="shared" si="23"/>
        <v>#DIV/0!</v>
      </c>
      <c r="AQ42" s="76">
        <f t="shared" si="24"/>
        <v>0</v>
      </c>
      <c r="AR42" s="90">
        <f t="shared" si="31"/>
        <v>0</v>
      </c>
    </row>
    <row r="43" spans="1:49" x14ac:dyDescent="0.25">
      <c r="A43" t="str">
        <f t="shared" si="14"/>
        <v>46193E</v>
      </c>
      <c r="B43" s="51">
        <f t="shared" si="26"/>
        <v>46193</v>
      </c>
      <c r="C43" s="52" t="s">
        <v>88</v>
      </c>
      <c r="D43" s="91"/>
      <c r="E43" s="62"/>
      <c r="F43" s="62"/>
      <c r="G43" s="62">
        <f t="shared" si="29"/>
        <v>0</v>
      </c>
      <c r="H43" s="72">
        <f t="shared" si="30"/>
        <v>0</v>
      </c>
      <c r="I43" s="203"/>
      <c r="J43" s="203"/>
      <c r="K43" s="203"/>
      <c r="L43" s="203"/>
      <c r="M43" s="58"/>
      <c r="N43" s="58"/>
      <c r="O43" s="59"/>
      <c r="P43" s="56"/>
      <c r="Q43" s="60"/>
      <c r="R43" s="61">
        <f t="shared" si="15"/>
        <v>0</v>
      </c>
      <c r="S43" s="62">
        <f t="shared" si="16"/>
        <v>0</v>
      </c>
      <c r="T43" s="63">
        <f t="shared" si="17"/>
        <v>0</v>
      </c>
      <c r="U43" s="64"/>
      <c r="V43" s="65"/>
      <c r="W43" s="66"/>
      <c r="X43" s="67"/>
      <c r="Y43" s="68"/>
      <c r="Z43" s="68"/>
      <c r="AA43" s="62">
        <f t="shared" si="32"/>
        <v>0</v>
      </c>
      <c r="AB43" s="63">
        <f t="shared" si="33"/>
        <v>0</v>
      </c>
      <c r="AC43" s="69"/>
      <c r="AD43" s="70"/>
      <c r="AE43" s="70"/>
      <c r="AF43" s="62">
        <f t="shared" si="34"/>
        <v>0</v>
      </c>
      <c r="AG43" s="63">
        <f t="shared" si="35"/>
        <v>0</v>
      </c>
      <c r="AH43" s="97"/>
      <c r="AI43" s="71"/>
      <c r="AJ43" s="71"/>
      <c r="AK43" s="62">
        <f t="shared" si="18"/>
        <v>0</v>
      </c>
      <c r="AL43" s="72">
        <f t="shared" si="19"/>
        <v>0</v>
      </c>
      <c r="AM43" s="73">
        <f t="shared" si="20"/>
        <v>0</v>
      </c>
      <c r="AN43" s="74">
        <f t="shared" si="21"/>
        <v>0</v>
      </c>
      <c r="AO43" s="74">
        <f t="shared" si="22"/>
        <v>0</v>
      </c>
      <c r="AP43" s="75" t="e">
        <f t="shared" si="23"/>
        <v>#DIV/0!</v>
      </c>
      <c r="AQ43" s="76">
        <f t="shared" si="24"/>
        <v>0</v>
      </c>
      <c r="AR43" s="90">
        <f t="shared" si="31"/>
        <v>0</v>
      </c>
    </row>
    <row r="44" spans="1:49" x14ac:dyDescent="0.25">
      <c r="A44" t="str">
        <f t="shared" si="14"/>
        <v>46194M</v>
      </c>
      <c r="B44" s="51">
        <f t="shared" si="26"/>
        <v>46194</v>
      </c>
      <c r="C44" s="52" t="s">
        <v>87</v>
      </c>
      <c r="D44" s="91"/>
      <c r="E44" s="62"/>
      <c r="F44" s="62"/>
      <c r="G44" s="62">
        <f t="shared" si="29"/>
        <v>0</v>
      </c>
      <c r="H44" s="72">
        <f t="shared" si="30"/>
        <v>0</v>
      </c>
      <c r="I44" s="203"/>
      <c r="J44" s="203"/>
      <c r="K44" s="203"/>
      <c r="L44" s="203"/>
      <c r="M44" s="58"/>
      <c r="N44" s="58"/>
      <c r="O44" s="59"/>
      <c r="P44" s="56"/>
      <c r="Q44" s="60"/>
      <c r="R44" s="61">
        <f t="shared" si="15"/>
        <v>0</v>
      </c>
      <c r="S44" s="62">
        <f t="shared" si="16"/>
        <v>0</v>
      </c>
      <c r="T44" s="63">
        <f t="shared" si="17"/>
        <v>0</v>
      </c>
      <c r="U44" s="64"/>
      <c r="V44" s="65"/>
      <c r="W44" s="66"/>
      <c r="X44" s="67"/>
      <c r="Y44" s="68"/>
      <c r="Z44" s="68"/>
      <c r="AA44" s="62">
        <f t="shared" ref="AA44:AA63" si="36">X44*Y44%</f>
        <v>0</v>
      </c>
      <c r="AB44" s="63">
        <f t="shared" ref="AB44:AB63" si="37">X44*Z44%</f>
        <v>0</v>
      </c>
      <c r="AC44" s="69"/>
      <c r="AD44" s="70"/>
      <c r="AE44" s="70"/>
      <c r="AF44" s="62">
        <f t="shared" si="34"/>
        <v>0</v>
      </c>
      <c r="AG44" s="63">
        <f t="shared" si="35"/>
        <v>0</v>
      </c>
      <c r="AH44" s="97"/>
      <c r="AI44" s="66"/>
      <c r="AJ44" s="66"/>
      <c r="AK44" s="62">
        <f t="shared" si="18"/>
        <v>0</v>
      </c>
      <c r="AL44" s="72">
        <f t="shared" si="19"/>
        <v>0</v>
      </c>
      <c r="AM44" s="73">
        <f t="shared" si="20"/>
        <v>0</v>
      </c>
      <c r="AN44" s="74">
        <f t="shared" si="21"/>
        <v>0</v>
      </c>
      <c r="AO44" s="74">
        <f t="shared" si="22"/>
        <v>0</v>
      </c>
      <c r="AP44" s="75" t="e">
        <f t="shared" si="23"/>
        <v>#DIV/0!</v>
      </c>
      <c r="AQ44" s="76">
        <f t="shared" si="24"/>
        <v>0</v>
      </c>
      <c r="AR44" s="90">
        <f t="shared" si="31"/>
        <v>0</v>
      </c>
    </row>
    <row r="45" spans="1:49" x14ac:dyDescent="0.25">
      <c r="A45" t="str">
        <f t="shared" si="14"/>
        <v>46194E</v>
      </c>
      <c r="B45" s="51">
        <f t="shared" si="26"/>
        <v>46194</v>
      </c>
      <c r="C45" s="52" t="s">
        <v>88</v>
      </c>
      <c r="D45" s="91"/>
      <c r="E45" s="62"/>
      <c r="F45" s="62"/>
      <c r="G45" s="62">
        <f t="shared" si="29"/>
        <v>0</v>
      </c>
      <c r="H45" s="72">
        <f t="shared" si="30"/>
        <v>0</v>
      </c>
      <c r="I45" s="203"/>
      <c r="J45" s="203"/>
      <c r="K45" s="203"/>
      <c r="L45" s="203"/>
      <c r="M45" s="58"/>
      <c r="N45" s="58"/>
      <c r="O45" s="59"/>
      <c r="P45" s="56"/>
      <c r="Q45" s="60"/>
      <c r="R45" s="61">
        <f t="shared" si="15"/>
        <v>0</v>
      </c>
      <c r="S45" s="62">
        <f t="shared" si="16"/>
        <v>0</v>
      </c>
      <c r="T45" s="63">
        <f t="shared" si="17"/>
        <v>0</v>
      </c>
      <c r="U45" s="64"/>
      <c r="V45" s="65"/>
      <c r="W45" s="66"/>
      <c r="X45" s="67"/>
      <c r="Y45" s="68"/>
      <c r="Z45" s="68"/>
      <c r="AA45" s="62">
        <f t="shared" si="36"/>
        <v>0</v>
      </c>
      <c r="AB45" s="63">
        <f t="shared" si="37"/>
        <v>0</v>
      </c>
      <c r="AC45" s="69"/>
      <c r="AD45" s="70"/>
      <c r="AE45" s="70"/>
      <c r="AF45" s="62">
        <f t="shared" si="34"/>
        <v>0</v>
      </c>
      <c r="AG45" s="63">
        <f t="shared" si="35"/>
        <v>0</v>
      </c>
      <c r="AH45" s="97"/>
      <c r="AI45" s="66"/>
      <c r="AJ45" s="66"/>
      <c r="AK45" s="62">
        <f t="shared" si="18"/>
        <v>0</v>
      </c>
      <c r="AL45" s="72">
        <f t="shared" si="19"/>
        <v>0</v>
      </c>
      <c r="AM45" s="73">
        <f t="shared" si="20"/>
        <v>0</v>
      </c>
      <c r="AN45" s="74">
        <f t="shared" si="21"/>
        <v>0</v>
      </c>
      <c r="AO45" s="74">
        <f t="shared" si="22"/>
        <v>0</v>
      </c>
      <c r="AP45" s="75" t="e">
        <f t="shared" si="23"/>
        <v>#DIV/0!</v>
      </c>
      <c r="AQ45" s="76">
        <f t="shared" si="24"/>
        <v>0</v>
      </c>
      <c r="AR45" s="90">
        <f t="shared" si="31"/>
        <v>0</v>
      </c>
    </row>
    <row r="46" spans="1:49" x14ac:dyDescent="0.25">
      <c r="A46" t="str">
        <f t="shared" si="14"/>
        <v>46195M</v>
      </c>
      <c r="B46" s="51">
        <f t="shared" si="26"/>
        <v>46195</v>
      </c>
      <c r="C46" s="52" t="s">
        <v>87</v>
      </c>
      <c r="D46" s="91"/>
      <c r="E46" s="62"/>
      <c r="F46" s="62"/>
      <c r="G46" s="62">
        <f t="shared" si="29"/>
        <v>0</v>
      </c>
      <c r="H46" s="72">
        <f t="shared" si="30"/>
        <v>0</v>
      </c>
      <c r="I46" s="203"/>
      <c r="J46" s="203"/>
      <c r="K46" s="203"/>
      <c r="L46" s="203"/>
      <c r="M46" s="58"/>
      <c r="N46" s="58"/>
      <c r="O46" s="59"/>
      <c r="P46" s="56"/>
      <c r="Q46" s="60"/>
      <c r="R46" s="61">
        <f t="shared" si="15"/>
        <v>0</v>
      </c>
      <c r="S46" s="62">
        <f t="shared" si="16"/>
        <v>0</v>
      </c>
      <c r="T46" s="63">
        <f t="shared" si="17"/>
        <v>0</v>
      </c>
      <c r="U46" s="64"/>
      <c r="V46" s="65"/>
      <c r="W46" s="66"/>
      <c r="X46" s="67"/>
      <c r="Y46" s="68"/>
      <c r="Z46" s="68"/>
      <c r="AA46" s="62">
        <f t="shared" si="36"/>
        <v>0</v>
      </c>
      <c r="AB46" s="63">
        <f t="shared" si="37"/>
        <v>0</v>
      </c>
      <c r="AC46" s="69"/>
      <c r="AD46" s="70"/>
      <c r="AE46" s="70"/>
      <c r="AF46" s="62">
        <f t="shared" si="34"/>
        <v>0</v>
      </c>
      <c r="AG46" s="63">
        <f t="shared" si="35"/>
        <v>0</v>
      </c>
      <c r="AH46" s="97"/>
      <c r="AI46" s="66"/>
      <c r="AJ46" s="66"/>
      <c r="AK46" s="62">
        <f t="shared" si="18"/>
        <v>0</v>
      </c>
      <c r="AL46" s="72">
        <f t="shared" si="19"/>
        <v>0</v>
      </c>
      <c r="AM46" s="73">
        <f t="shared" si="20"/>
        <v>0</v>
      </c>
      <c r="AN46" s="74">
        <f t="shared" si="21"/>
        <v>0</v>
      </c>
      <c r="AO46" s="74">
        <f t="shared" si="22"/>
        <v>0</v>
      </c>
      <c r="AP46" s="75" t="e">
        <f t="shared" si="23"/>
        <v>#DIV/0!</v>
      </c>
      <c r="AQ46" s="76">
        <f t="shared" si="24"/>
        <v>0</v>
      </c>
      <c r="AR46" s="90">
        <f t="shared" si="31"/>
        <v>0</v>
      </c>
    </row>
    <row r="47" spans="1:49" x14ac:dyDescent="0.25">
      <c r="A47" t="str">
        <f t="shared" si="14"/>
        <v>46195E</v>
      </c>
      <c r="B47" s="51">
        <f t="shared" si="26"/>
        <v>46195</v>
      </c>
      <c r="C47" s="52" t="s">
        <v>88</v>
      </c>
      <c r="D47" s="91"/>
      <c r="E47" s="62"/>
      <c r="F47" s="62"/>
      <c r="G47" s="62">
        <f t="shared" si="29"/>
        <v>0</v>
      </c>
      <c r="H47" s="72">
        <f t="shared" si="30"/>
        <v>0</v>
      </c>
      <c r="I47" s="203"/>
      <c r="J47" s="203"/>
      <c r="K47" s="203"/>
      <c r="L47" s="203"/>
      <c r="M47" s="58"/>
      <c r="N47" s="58"/>
      <c r="O47" s="59"/>
      <c r="P47" s="56"/>
      <c r="Q47" s="60"/>
      <c r="R47" s="61">
        <f t="shared" si="15"/>
        <v>0</v>
      </c>
      <c r="S47" s="62">
        <f t="shared" si="16"/>
        <v>0</v>
      </c>
      <c r="T47" s="63">
        <f t="shared" si="17"/>
        <v>0</v>
      </c>
      <c r="U47" s="64"/>
      <c r="V47" s="65"/>
      <c r="W47" s="66"/>
      <c r="X47" s="67"/>
      <c r="Y47" s="68"/>
      <c r="Z47" s="68"/>
      <c r="AA47" s="62">
        <f t="shared" si="36"/>
        <v>0</v>
      </c>
      <c r="AB47" s="63">
        <f t="shared" si="37"/>
        <v>0</v>
      </c>
      <c r="AC47" s="69"/>
      <c r="AD47" s="70"/>
      <c r="AE47" s="70"/>
      <c r="AF47" s="62">
        <f t="shared" si="34"/>
        <v>0</v>
      </c>
      <c r="AG47" s="63">
        <f t="shared" si="35"/>
        <v>0</v>
      </c>
      <c r="AH47" s="97"/>
      <c r="AI47" s="66"/>
      <c r="AJ47" s="66"/>
      <c r="AK47" s="62">
        <f t="shared" si="18"/>
        <v>0</v>
      </c>
      <c r="AL47" s="72">
        <f t="shared" si="19"/>
        <v>0</v>
      </c>
      <c r="AM47" s="73">
        <f t="shared" si="20"/>
        <v>0</v>
      </c>
      <c r="AN47" s="74">
        <f t="shared" si="21"/>
        <v>0</v>
      </c>
      <c r="AO47" s="74">
        <f t="shared" si="22"/>
        <v>0</v>
      </c>
      <c r="AP47" s="75" t="e">
        <f t="shared" si="23"/>
        <v>#DIV/0!</v>
      </c>
      <c r="AQ47" s="76">
        <f t="shared" si="24"/>
        <v>0</v>
      </c>
      <c r="AR47" s="90">
        <f t="shared" si="31"/>
        <v>0</v>
      </c>
    </row>
    <row r="48" spans="1:49" x14ac:dyDescent="0.25">
      <c r="A48" t="str">
        <f t="shared" si="14"/>
        <v>46196M</v>
      </c>
      <c r="B48" s="51">
        <f t="shared" si="26"/>
        <v>46196</v>
      </c>
      <c r="C48" s="52" t="s">
        <v>87</v>
      </c>
      <c r="D48" s="91"/>
      <c r="E48" s="62"/>
      <c r="F48" s="62"/>
      <c r="G48" s="62">
        <f t="shared" si="29"/>
        <v>0</v>
      </c>
      <c r="H48" s="72">
        <f t="shared" si="30"/>
        <v>0</v>
      </c>
      <c r="I48" s="203"/>
      <c r="J48" s="203"/>
      <c r="K48" s="203"/>
      <c r="L48" s="203"/>
      <c r="M48" s="58"/>
      <c r="N48" s="58"/>
      <c r="O48" s="59"/>
      <c r="P48" s="56"/>
      <c r="Q48" s="60"/>
      <c r="R48" s="61">
        <f t="shared" si="15"/>
        <v>0</v>
      </c>
      <c r="S48" s="62">
        <f t="shared" si="16"/>
        <v>0</v>
      </c>
      <c r="T48" s="63">
        <f t="shared" si="17"/>
        <v>0</v>
      </c>
      <c r="U48" s="64"/>
      <c r="V48" s="65"/>
      <c r="W48" s="66"/>
      <c r="X48" s="67"/>
      <c r="Y48" s="68"/>
      <c r="Z48" s="68"/>
      <c r="AA48" s="62">
        <f t="shared" si="36"/>
        <v>0</v>
      </c>
      <c r="AB48" s="63">
        <f t="shared" si="37"/>
        <v>0</v>
      </c>
      <c r="AC48" s="69"/>
      <c r="AD48" s="70"/>
      <c r="AE48" s="70"/>
      <c r="AF48" s="62">
        <f t="shared" si="34"/>
        <v>0</v>
      </c>
      <c r="AG48" s="63">
        <f t="shared" si="35"/>
        <v>0</v>
      </c>
      <c r="AH48" s="97"/>
      <c r="AI48" s="66"/>
      <c r="AJ48" s="66"/>
      <c r="AK48" s="62">
        <f t="shared" si="18"/>
        <v>0</v>
      </c>
      <c r="AL48" s="72">
        <f t="shared" si="19"/>
        <v>0</v>
      </c>
      <c r="AM48" s="73">
        <f t="shared" si="20"/>
        <v>0</v>
      </c>
      <c r="AN48" s="74">
        <f t="shared" si="21"/>
        <v>0</v>
      </c>
      <c r="AO48" s="74">
        <f t="shared" si="22"/>
        <v>0</v>
      </c>
      <c r="AP48" s="75" t="e">
        <f t="shared" si="23"/>
        <v>#DIV/0!</v>
      </c>
      <c r="AQ48" s="76">
        <f t="shared" si="24"/>
        <v>0</v>
      </c>
      <c r="AR48" s="90">
        <f t="shared" si="31"/>
        <v>0</v>
      </c>
    </row>
    <row r="49" spans="1:49" x14ac:dyDescent="0.25">
      <c r="A49" t="str">
        <f t="shared" si="14"/>
        <v>46196E</v>
      </c>
      <c r="B49" s="51">
        <f t="shared" si="26"/>
        <v>46196</v>
      </c>
      <c r="C49" s="52" t="s">
        <v>88</v>
      </c>
      <c r="D49" s="91"/>
      <c r="E49" s="62"/>
      <c r="F49" s="62"/>
      <c r="G49" s="62">
        <f t="shared" si="29"/>
        <v>0</v>
      </c>
      <c r="H49" s="72">
        <f t="shared" si="30"/>
        <v>0</v>
      </c>
      <c r="I49" s="203"/>
      <c r="J49" s="203"/>
      <c r="K49" s="203"/>
      <c r="L49" s="203"/>
      <c r="M49" s="58"/>
      <c r="N49" s="58"/>
      <c r="O49" s="59"/>
      <c r="P49" s="56"/>
      <c r="Q49" s="60"/>
      <c r="R49" s="61">
        <f t="shared" si="15"/>
        <v>0</v>
      </c>
      <c r="S49" s="62">
        <f t="shared" si="16"/>
        <v>0</v>
      </c>
      <c r="T49" s="63">
        <f t="shared" si="17"/>
        <v>0</v>
      </c>
      <c r="U49" s="64"/>
      <c r="V49" s="65"/>
      <c r="W49" s="66"/>
      <c r="X49" s="67"/>
      <c r="Y49" s="68"/>
      <c r="Z49" s="68"/>
      <c r="AA49" s="62">
        <f t="shared" si="36"/>
        <v>0</v>
      </c>
      <c r="AB49" s="63">
        <f t="shared" si="37"/>
        <v>0</v>
      </c>
      <c r="AC49" s="69"/>
      <c r="AD49" s="70"/>
      <c r="AE49" s="70"/>
      <c r="AF49" s="62">
        <f t="shared" si="34"/>
        <v>0</v>
      </c>
      <c r="AG49" s="63">
        <f t="shared" si="35"/>
        <v>0</v>
      </c>
      <c r="AH49" s="97"/>
      <c r="AI49" s="66"/>
      <c r="AJ49" s="66"/>
      <c r="AK49" s="62">
        <f t="shared" si="18"/>
        <v>0</v>
      </c>
      <c r="AL49" s="72">
        <f t="shared" si="19"/>
        <v>0</v>
      </c>
      <c r="AM49" s="73">
        <f t="shared" si="20"/>
        <v>0</v>
      </c>
      <c r="AN49" s="74">
        <f t="shared" si="21"/>
        <v>0</v>
      </c>
      <c r="AO49" s="74">
        <f t="shared" si="22"/>
        <v>0</v>
      </c>
      <c r="AP49" s="75" t="e">
        <f t="shared" si="23"/>
        <v>#DIV/0!</v>
      </c>
      <c r="AQ49" s="76">
        <f t="shared" si="24"/>
        <v>0</v>
      </c>
      <c r="AR49" s="90">
        <f t="shared" si="13"/>
        <v>0</v>
      </c>
      <c r="AS49" s="90">
        <f>SUM(J36:J49)</f>
        <v>0</v>
      </c>
      <c r="AT49" s="83">
        <f>SUM(AM36:AM49)</f>
        <v>0</v>
      </c>
      <c r="AU49" s="83">
        <f>SUM(AN36:AN49)</f>
        <v>0</v>
      </c>
      <c r="AV49" s="83">
        <f>SUM(AO36:AO49)</f>
        <v>0</v>
      </c>
      <c r="AW49" s="83">
        <f>-SUM(AQ36:AQ49)</f>
        <v>0</v>
      </c>
    </row>
    <row r="50" spans="1:49" x14ac:dyDescent="0.25">
      <c r="A50" t="str">
        <f t="shared" si="14"/>
        <v>46197M</v>
      </c>
      <c r="B50" s="51">
        <f t="shared" si="26"/>
        <v>46197</v>
      </c>
      <c r="C50" s="52" t="s">
        <v>87</v>
      </c>
      <c r="D50" s="91"/>
      <c r="E50" s="62"/>
      <c r="F50" s="62"/>
      <c r="G50" s="62">
        <f t="shared" si="29"/>
        <v>0</v>
      </c>
      <c r="H50" s="72">
        <f t="shared" si="30"/>
        <v>0</v>
      </c>
      <c r="I50" s="203"/>
      <c r="J50" s="203"/>
      <c r="K50" s="203"/>
      <c r="L50" s="203"/>
      <c r="M50" s="58"/>
      <c r="N50" s="58"/>
      <c r="O50" s="59"/>
      <c r="P50" s="56"/>
      <c r="Q50" s="60"/>
      <c r="R50" s="61">
        <f t="shared" si="15"/>
        <v>0</v>
      </c>
      <c r="S50" s="62">
        <f t="shared" si="16"/>
        <v>0</v>
      </c>
      <c r="T50" s="63">
        <f t="shared" si="17"/>
        <v>0</v>
      </c>
      <c r="U50" s="64"/>
      <c r="V50" s="65"/>
      <c r="W50" s="66"/>
      <c r="X50" s="67"/>
      <c r="Y50" s="68"/>
      <c r="Z50" s="68"/>
      <c r="AA50" s="62">
        <f t="shared" si="36"/>
        <v>0</v>
      </c>
      <c r="AB50" s="63">
        <f t="shared" si="37"/>
        <v>0</v>
      </c>
      <c r="AC50" s="69"/>
      <c r="AD50" s="70"/>
      <c r="AE50" s="70"/>
      <c r="AF50" s="62">
        <f t="shared" ref="AF50:AF63" si="38">AC50*AD50%</f>
        <v>0</v>
      </c>
      <c r="AG50" s="63">
        <f t="shared" ref="AG50:AG63" si="39">AC50*AE50%</f>
        <v>0</v>
      </c>
      <c r="AH50" s="97"/>
      <c r="AI50" s="66"/>
      <c r="AJ50" s="66"/>
      <c r="AK50" s="62">
        <f t="shared" si="18"/>
        <v>0</v>
      </c>
      <c r="AL50" s="72">
        <f t="shared" si="19"/>
        <v>0</v>
      </c>
      <c r="AM50" s="73">
        <f t="shared" si="20"/>
        <v>0</v>
      </c>
      <c r="AN50" s="74">
        <f t="shared" si="21"/>
        <v>0</v>
      </c>
      <c r="AO50" s="74">
        <f t="shared" si="22"/>
        <v>0</v>
      </c>
      <c r="AP50" s="75" t="e">
        <f t="shared" si="23"/>
        <v>#DIV/0!</v>
      </c>
      <c r="AQ50" s="76">
        <f t="shared" si="24"/>
        <v>0</v>
      </c>
      <c r="AR50" s="90">
        <v>0.40899999999965075</v>
      </c>
    </row>
    <row r="51" spans="1:49" x14ac:dyDescent="0.25">
      <c r="A51" t="str">
        <f t="shared" si="14"/>
        <v>46197E</v>
      </c>
      <c r="B51" s="51">
        <f t="shared" si="26"/>
        <v>46197</v>
      </c>
      <c r="C51" s="52" t="s">
        <v>88</v>
      </c>
      <c r="D51" s="91"/>
      <c r="E51" s="62"/>
      <c r="F51" s="62"/>
      <c r="G51" s="62">
        <f t="shared" si="29"/>
        <v>0</v>
      </c>
      <c r="H51" s="72">
        <f t="shared" si="30"/>
        <v>0</v>
      </c>
      <c r="I51" s="203"/>
      <c r="J51" s="203"/>
      <c r="K51" s="203"/>
      <c r="L51" s="203"/>
      <c r="M51" s="58"/>
      <c r="N51" s="58"/>
      <c r="O51" s="59"/>
      <c r="P51" s="56"/>
      <c r="Q51" s="60"/>
      <c r="R51" s="61">
        <f t="shared" si="15"/>
        <v>0</v>
      </c>
      <c r="S51" s="62">
        <f t="shared" si="16"/>
        <v>0</v>
      </c>
      <c r="T51" s="63">
        <f t="shared" si="17"/>
        <v>0</v>
      </c>
      <c r="U51" s="64"/>
      <c r="V51" s="85"/>
      <c r="W51" s="66"/>
      <c r="X51" s="67"/>
      <c r="Y51" s="68"/>
      <c r="Z51" s="68"/>
      <c r="AA51" s="62">
        <f t="shared" si="36"/>
        <v>0</v>
      </c>
      <c r="AB51" s="63">
        <f t="shared" si="37"/>
        <v>0</v>
      </c>
      <c r="AC51" s="69"/>
      <c r="AD51" s="70"/>
      <c r="AE51" s="70"/>
      <c r="AF51" s="62">
        <f t="shared" si="38"/>
        <v>0</v>
      </c>
      <c r="AG51" s="63">
        <f t="shared" si="39"/>
        <v>0</v>
      </c>
      <c r="AH51" s="97"/>
      <c r="AI51" s="66"/>
      <c r="AJ51" s="66"/>
      <c r="AK51" s="62">
        <f t="shared" si="18"/>
        <v>0</v>
      </c>
      <c r="AL51" s="72">
        <f t="shared" si="19"/>
        <v>0</v>
      </c>
      <c r="AM51" s="73">
        <f t="shared" si="20"/>
        <v>0</v>
      </c>
      <c r="AN51" s="74">
        <f t="shared" si="21"/>
        <v>0</v>
      </c>
      <c r="AO51" s="74">
        <f t="shared" si="22"/>
        <v>0</v>
      </c>
      <c r="AP51" s="75" t="e">
        <f t="shared" si="23"/>
        <v>#DIV/0!</v>
      </c>
      <c r="AQ51" s="76">
        <f t="shared" si="24"/>
        <v>0</v>
      </c>
      <c r="AR51" s="90">
        <v>8.1999999998515705E-2</v>
      </c>
    </row>
    <row r="52" spans="1:49" x14ac:dyDescent="0.25">
      <c r="A52" t="str">
        <f t="shared" si="14"/>
        <v>46198M</v>
      </c>
      <c r="B52" s="51">
        <f t="shared" si="26"/>
        <v>46198</v>
      </c>
      <c r="C52" s="52" t="s">
        <v>87</v>
      </c>
      <c r="D52" s="91"/>
      <c r="E52" s="62"/>
      <c r="F52" s="62"/>
      <c r="G52" s="62">
        <f t="shared" si="29"/>
        <v>0</v>
      </c>
      <c r="H52" s="72">
        <f t="shared" si="30"/>
        <v>0</v>
      </c>
      <c r="I52" s="119"/>
      <c r="J52" s="120"/>
      <c r="K52" s="121"/>
      <c r="L52" s="193"/>
      <c r="M52" s="58"/>
      <c r="N52" s="58"/>
      <c r="O52" s="59"/>
      <c r="P52" s="56"/>
      <c r="Q52" s="60"/>
      <c r="R52" s="61">
        <f t="shared" si="15"/>
        <v>0</v>
      </c>
      <c r="S52" s="62">
        <f t="shared" si="16"/>
        <v>0</v>
      </c>
      <c r="T52" s="63">
        <f t="shared" si="17"/>
        <v>0</v>
      </c>
      <c r="U52" s="64"/>
      <c r="V52" s="65"/>
      <c r="W52" s="66"/>
      <c r="X52" s="67"/>
      <c r="Y52" s="68"/>
      <c r="Z52" s="68"/>
      <c r="AA52" s="62">
        <f t="shared" si="36"/>
        <v>0</v>
      </c>
      <c r="AB52" s="63">
        <f t="shared" si="37"/>
        <v>0</v>
      </c>
      <c r="AC52" s="69"/>
      <c r="AD52" s="70"/>
      <c r="AE52" s="70"/>
      <c r="AF52" s="62">
        <f t="shared" si="38"/>
        <v>0</v>
      </c>
      <c r="AG52" s="63">
        <f t="shared" si="39"/>
        <v>0</v>
      </c>
      <c r="AH52" s="97"/>
      <c r="AI52" s="66"/>
      <c r="AJ52" s="66"/>
      <c r="AK52" s="62">
        <f t="shared" si="18"/>
        <v>0</v>
      </c>
      <c r="AL52" s="72">
        <f t="shared" si="19"/>
        <v>0</v>
      </c>
      <c r="AM52" s="73">
        <f t="shared" si="20"/>
        <v>0</v>
      </c>
      <c r="AN52" s="74">
        <f t="shared" si="21"/>
        <v>0</v>
      </c>
      <c r="AO52" s="74">
        <f t="shared" si="22"/>
        <v>0</v>
      </c>
      <c r="AP52" s="75" t="e">
        <f t="shared" si="23"/>
        <v>#DIV/0!</v>
      </c>
      <c r="AQ52" s="76">
        <f t="shared" si="24"/>
        <v>0</v>
      </c>
      <c r="AR52" s="90">
        <v>0.85900000000037835</v>
      </c>
    </row>
    <row r="53" spans="1:49" x14ac:dyDescent="0.25">
      <c r="A53" t="str">
        <f t="shared" si="14"/>
        <v>46198E</v>
      </c>
      <c r="B53" s="51">
        <f t="shared" si="26"/>
        <v>46198</v>
      </c>
      <c r="C53" s="52" t="s">
        <v>88</v>
      </c>
      <c r="D53" s="91"/>
      <c r="E53" s="62"/>
      <c r="F53" s="62"/>
      <c r="G53" s="62">
        <f t="shared" si="29"/>
        <v>0</v>
      </c>
      <c r="H53" s="72">
        <f t="shared" si="30"/>
        <v>0</v>
      </c>
      <c r="I53" s="119"/>
      <c r="J53" s="120"/>
      <c r="K53" s="121"/>
      <c r="L53" s="193"/>
      <c r="M53" s="58"/>
      <c r="N53" s="58"/>
      <c r="O53" s="59"/>
      <c r="P53" s="56"/>
      <c r="Q53" s="60"/>
      <c r="R53" s="61">
        <f t="shared" si="15"/>
        <v>0</v>
      </c>
      <c r="S53" s="62">
        <f t="shared" si="16"/>
        <v>0</v>
      </c>
      <c r="T53" s="63">
        <f t="shared" si="17"/>
        <v>0</v>
      </c>
      <c r="U53" s="64"/>
      <c r="V53" s="65"/>
      <c r="W53" s="66"/>
      <c r="X53" s="67"/>
      <c r="Y53" s="68"/>
      <c r="Z53" s="68"/>
      <c r="AA53" s="62">
        <f t="shared" si="36"/>
        <v>0</v>
      </c>
      <c r="AB53" s="63">
        <f t="shared" si="37"/>
        <v>0</v>
      </c>
      <c r="AC53" s="69"/>
      <c r="AD53" s="70"/>
      <c r="AE53" s="70"/>
      <c r="AF53" s="62">
        <f t="shared" si="38"/>
        <v>0</v>
      </c>
      <c r="AG53" s="63">
        <f t="shared" si="39"/>
        <v>0</v>
      </c>
      <c r="AH53" s="97"/>
      <c r="AI53" s="71"/>
      <c r="AJ53" s="71"/>
      <c r="AK53" s="62">
        <f t="shared" si="18"/>
        <v>0</v>
      </c>
      <c r="AL53" s="72">
        <f t="shared" si="19"/>
        <v>0</v>
      </c>
      <c r="AM53" s="73">
        <f t="shared" si="20"/>
        <v>0</v>
      </c>
      <c r="AN53" s="74">
        <f t="shared" si="21"/>
        <v>0</v>
      </c>
      <c r="AO53" s="74">
        <f t="shared" si="22"/>
        <v>0</v>
      </c>
      <c r="AP53" s="75" t="e">
        <f t="shared" si="23"/>
        <v>#DIV/0!</v>
      </c>
      <c r="AQ53" s="76">
        <f t="shared" si="24"/>
        <v>0</v>
      </c>
      <c r="AR53" s="90">
        <v>0.88000000000101863</v>
      </c>
      <c r="AS53" s="90">
        <f>SUM(J40:J53)</f>
        <v>0</v>
      </c>
      <c r="AT53" s="83">
        <f>SUM(AM40:AM53)</f>
        <v>0</v>
      </c>
      <c r="AU53" s="83">
        <f>SUM(AN40:AN53)</f>
        <v>0</v>
      </c>
      <c r="AV53" s="83">
        <f>SUM(AO40:AO53)</f>
        <v>0</v>
      </c>
      <c r="AW53" s="83">
        <f>-SUM(AQ40:AQ53)</f>
        <v>0</v>
      </c>
    </row>
    <row r="54" spans="1:49" x14ac:dyDescent="0.25">
      <c r="A54" t="str">
        <f t="shared" si="14"/>
        <v>46199M</v>
      </c>
      <c r="B54" s="51">
        <f t="shared" si="26"/>
        <v>46199</v>
      </c>
      <c r="C54" s="52" t="s">
        <v>87</v>
      </c>
      <c r="D54" s="91"/>
      <c r="E54" s="62"/>
      <c r="F54" s="62"/>
      <c r="G54" s="62">
        <f t="shared" si="29"/>
        <v>0</v>
      </c>
      <c r="H54" s="72">
        <f t="shared" si="30"/>
        <v>0</v>
      </c>
      <c r="I54" s="119"/>
      <c r="J54" s="120"/>
      <c r="K54" s="121"/>
      <c r="L54" s="193"/>
      <c r="M54" s="58"/>
      <c r="N54" s="58"/>
      <c r="O54" s="59"/>
      <c r="P54" s="56"/>
      <c r="Q54" s="60"/>
      <c r="R54" s="61">
        <f t="shared" si="15"/>
        <v>0</v>
      </c>
      <c r="S54" s="62">
        <f t="shared" si="16"/>
        <v>0</v>
      </c>
      <c r="T54" s="63">
        <f t="shared" si="17"/>
        <v>0</v>
      </c>
      <c r="U54" s="64"/>
      <c r="V54" s="65"/>
      <c r="W54" s="66"/>
      <c r="X54" s="67"/>
      <c r="Y54" s="68"/>
      <c r="Z54" s="68"/>
      <c r="AA54" s="62">
        <f t="shared" si="36"/>
        <v>0</v>
      </c>
      <c r="AB54" s="63">
        <f t="shared" si="37"/>
        <v>0</v>
      </c>
      <c r="AC54" s="69"/>
      <c r="AD54" s="70"/>
      <c r="AE54" s="70"/>
      <c r="AF54" s="62">
        <f t="shared" si="38"/>
        <v>0</v>
      </c>
      <c r="AG54" s="63">
        <f t="shared" si="39"/>
        <v>0</v>
      </c>
      <c r="AH54" s="97"/>
      <c r="AI54" s="66"/>
      <c r="AJ54" s="66"/>
      <c r="AK54" s="62">
        <f t="shared" si="18"/>
        <v>0</v>
      </c>
      <c r="AL54" s="72">
        <f t="shared" si="19"/>
        <v>0</v>
      </c>
      <c r="AM54" s="73">
        <f t="shared" si="20"/>
        <v>0</v>
      </c>
      <c r="AN54" s="74">
        <f t="shared" si="21"/>
        <v>0</v>
      </c>
      <c r="AO54" s="74">
        <f t="shared" si="22"/>
        <v>0</v>
      </c>
      <c r="AP54" s="75" t="e">
        <f t="shared" si="23"/>
        <v>#DIV/0!</v>
      </c>
      <c r="AQ54" s="76">
        <f t="shared" si="24"/>
        <v>0</v>
      </c>
      <c r="AR54" s="90">
        <v>0.49500000000080036</v>
      </c>
    </row>
    <row r="55" spans="1:49" x14ac:dyDescent="0.25">
      <c r="A55" t="str">
        <f t="shared" si="14"/>
        <v>46199E</v>
      </c>
      <c r="B55" s="51">
        <f t="shared" si="26"/>
        <v>46199</v>
      </c>
      <c r="C55" s="52" t="s">
        <v>88</v>
      </c>
      <c r="D55" s="91"/>
      <c r="E55" s="62"/>
      <c r="F55" s="62"/>
      <c r="G55" s="62">
        <f t="shared" si="29"/>
        <v>0</v>
      </c>
      <c r="H55" s="72">
        <f t="shared" si="30"/>
        <v>0</v>
      </c>
      <c r="I55" s="119"/>
      <c r="J55" s="120"/>
      <c r="K55" s="121"/>
      <c r="L55" s="193"/>
      <c r="M55" s="58"/>
      <c r="N55" s="58"/>
      <c r="O55" s="59"/>
      <c r="P55" s="56"/>
      <c r="Q55" s="60"/>
      <c r="R55" s="61">
        <f t="shared" si="15"/>
        <v>0</v>
      </c>
      <c r="S55" s="62">
        <f t="shared" si="16"/>
        <v>0</v>
      </c>
      <c r="T55" s="63">
        <f t="shared" si="17"/>
        <v>0</v>
      </c>
      <c r="U55" s="64"/>
      <c r="V55" s="65"/>
      <c r="W55" s="66"/>
      <c r="X55" s="67"/>
      <c r="Y55" s="68"/>
      <c r="Z55" s="68"/>
      <c r="AA55" s="62">
        <f t="shared" si="36"/>
        <v>0</v>
      </c>
      <c r="AB55" s="63">
        <f t="shared" si="37"/>
        <v>0</v>
      </c>
      <c r="AC55" s="69"/>
      <c r="AD55" s="70"/>
      <c r="AE55" s="70"/>
      <c r="AF55" s="62">
        <f t="shared" si="38"/>
        <v>0</v>
      </c>
      <c r="AG55" s="63">
        <f t="shared" si="39"/>
        <v>0</v>
      </c>
      <c r="AH55" s="97"/>
      <c r="AI55" s="71"/>
      <c r="AJ55" s="71"/>
      <c r="AK55" s="62">
        <f t="shared" si="18"/>
        <v>0</v>
      </c>
      <c r="AL55" s="72">
        <f t="shared" si="19"/>
        <v>0</v>
      </c>
      <c r="AM55" s="73">
        <f t="shared" si="20"/>
        <v>0</v>
      </c>
      <c r="AN55" s="74">
        <f t="shared" si="21"/>
        <v>0</v>
      </c>
      <c r="AO55" s="74">
        <f t="shared" si="22"/>
        <v>0</v>
      </c>
      <c r="AP55" s="75" t="e">
        <f t="shared" si="23"/>
        <v>#DIV/0!</v>
      </c>
      <c r="AQ55" s="76">
        <f t="shared" si="24"/>
        <v>0</v>
      </c>
      <c r="AR55" s="90">
        <v>0.87800000000061118</v>
      </c>
    </row>
    <row r="56" spans="1:49" x14ac:dyDescent="0.25">
      <c r="A56" t="str">
        <f t="shared" si="14"/>
        <v>46200M</v>
      </c>
      <c r="B56" s="51">
        <f t="shared" si="26"/>
        <v>46200</v>
      </c>
      <c r="C56" s="52" t="s">
        <v>87</v>
      </c>
      <c r="D56" s="91"/>
      <c r="E56" s="62"/>
      <c r="F56" s="62"/>
      <c r="G56" s="62">
        <f t="shared" si="29"/>
        <v>0</v>
      </c>
      <c r="H56" s="72">
        <f t="shared" si="30"/>
        <v>0</v>
      </c>
      <c r="I56" s="119"/>
      <c r="J56" s="120"/>
      <c r="K56" s="121"/>
      <c r="L56" s="193"/>
      <c r="M56" s="58"/>
      <c r="N56" s="58"/>
      <c r="O56" s="59"/>
      <c r="P56" s="56"/>
      <c r="Q56" s="60"/>
      <c r="R56" s="61">
        <f t="shared" si="15"/>
        <v>0</v>
      </c>
      <c r="S56" s="62">
        <f t="shared" si="16"/>
        <v>0</v>
      </c>
      <c r="T56" s="63">
        <f t="shared" si="17"/>
        <v>0</v>
      </c>
      <c r="U56" s="64"/>
      <c r="V56" s="65"/>
      <c r="W56" s="66"/>
      <c r="X56" s="67"/>
      <c r="Y56" s="68"/>
      <c r="Z56" s="68"/>
      <c r="AA56" s="62">
        <f t="shared" si="36"/>
        <v>0</v>
      </c>
      <c r="AB56" s="63">
        <f t="shared" si="37"/>
        <v>0</v>
      </c>
      <c r="AC56" s="69"/>
      <c r="AD56" s="70"/>
      <c r="AE56" s="70"/>
      <c r="AF56" s="62">
        <f t="shared" si="38"/>
        <v>0</v>
      </c>
      <c r="AG56" s="63">
        <f t="shared" si="39"/>
        <v>0</v>
      </c>
      <c r="AH56" s="97"/>
      <c r="AI56" s="71"/>
      <c r="AJ56" s="71"/>
      <c r="AK56" s="62">
        <f t="shared" si="18"/>
        <v>0</v>
      </c>
      <c r="AL56" s="72">
        <f t="shared" si="19"/>
        <v>0</v>
      </c>
      <c r="AM56" s="73">
        <f t="shared" si="20"/>
        <v>0</v>
      </c>
      <c r="AN56" s="74">
        <f t="shared" si="21"/>
        <v>0</v>
      </c>
      <c r="AO56" s="74">
        <f t="shared" si="22"/>
        <v>0</v>
      </c>
      <c r="AP56" s="75" t="e">
        <f t="shared" si="23"/>
        <v>#DIV/0!</v>
      </c>
      <c r="AQ56" s="76">
        <f t="shared" si="24"/>
        <v>0</v>
      </c>
      <c r="AR56" s="90">
        <v>0.52599999999802094</v>
      </c>
    </row>
    <row r="57" spans="1:49" x14ac:dyDescent="0.25">
      <c r="A57" t="str">
        <f t="shared" si="14"/>
        <v>46200E</v>
      </c>
      <c r="B57" s="51">
        <f t="shared" si="26"/>
        <v>46200</v>
      </c>
      <c r="C57" s="52" t="s">
        <v>88</v>
      </c>
      <c r="D57" s="91"/>
      <c r="E57" s="62"/>
      <c r="F57" s="62"/>
      <c r="G57" s="62">
        <f t="shared" si="29"/>
        <v>0</v>
      </c>
      <c r="H57" s="72">
        <f t="shared" si="30"/>
        <v>0</v>
      </c>
      <c r="I57" s="119"/>
      <c r="J57" s="120"/>
      <c r="K57" s="121"/>
      <c r="L57" s="193"/>
      <c r="M57" s="58"/>
      <c r="N57" s="58"/>
      <c r="O57" s="59"/>
      <c r="P57" s="56"/>
      <c r="Q57" s="60"/>
      <c r="R57" s="61">
        <f t="shared" si="15"/>
        <v>0</v>
      </c>
      <c r="S57" s="62">
        <f t="shared" si="16"/>
        <v>0</v>
      </c>
      <c r="T57" s="63">
        <f t="shared" si="17"/>
        <v>0</v>
      </c>
      <c r="U57" s="64"/>
      <c r="V57" s="65"/>
      <c r="W57" s="66"/>
      <c r="X57" s="67"/>
      <c r="Y57" s="68"/>
      <c r="Z57" s="68"/>
      <c r="AA57" s="62">
        <f t="shared" si="36"/>
        <v>0</v>
      </c>
      <c r="AB57" s="63">
        <f t="shared" si="37"/>
        <v>0</v>
      </c>
      <c r="AC57" s="69"/>
      <c r="AD57" s="70"/>
      <c r="AE57" s="70"/>
      <c r="AF57" s="62">
        <f t="shared" si="38"/>
        <v>0</v>
      </c>
      <c r="AG57" s="63">
        <f t="shared" si="39"/>
        <v>0</v>
      </c>
      <c r="AH57" s="97"/>
      <c r="AI57" s="66"/>
      <c r="AJ57" s="66"/>
      <c r="AK57" s="62">
        <f t="shared" si="18"/>
        <v>0</v>
      </c>
      <c r="AL57" s="72">
        <f t="shared" si="19"/>
        <v>0</v>
      </c>
      <c r="AM57" s="73">
        <f t="shared" si="20"/>
        <v>0</v>
      </c>
      <c r="AN57" s="74">
        <f t="shared" si="21"/>
        <v>0</v>
      </c>
      <c r="AO57" s="74">
        <f t="shared" si="22"/>
        <v>0</v>
      </c>
      <c r="AP57" s="75" t="e">
        <f t="shared" si="23"/>
        <v>#DIV/0!</v>
      </c>
      <c r="AQ57" s="76">
        <f t="shared" si="24"/>
        <v>0</v>
      </c>
      <c r="AR57" s="90">
        <v>0.88300000000162981</v>
      </c>
    </row>
    <row r="58" spans="1:49" x14ac:dyDescent="0.25">
      <c r="A58" t="str">
        <f t="shared" si="14"/>
        <v>46201M</v>
      </c>
      <c r="B58" s="51">
        <f t="shared" si="26"/>
        <v>46201</v>
      </c>
      <c r="C58" s="52" t="s">
        <v>87</v>
      </c>
      <c r="D58" s="91"/>
      <c r="E58" s="62"/>
      <c r="F58" s="62"/>
      <c r="G58" s="62">
        <f t="shared" si="29"/>
        <v>0</v>
      </c>
      <c r="H58" s="72">
        <f t="shared" si="30"/>
        <v>0</v>
      </c>
      <c r="I58" s="119"/>
      <c r="J58" s="120"/>
      <c r="K58" s="121"/>
      <c r="L58" s="193"/>
      <c r="M58" s="58"/>
      <c r="N58" s="58"/>
      <c r="O58" s="59"/>
      <c r="P58" s="56"/>
      <c r="Q58" s="60"/>
      <c r="R58" s="61">
        <f t="shared" si="15"/>
        <v>0</v>
      </c>
      <c r="S58" s="62">
        <f t="shared" si="16"/>
        <v>0</v>
      </c>
      <c r="T58" s="63">
        <f t="shared" si="17"/>
        <v>0</v>
      </c>
      <c r="U58" s="64"/>
      <c r="V58" s="65"/>
      <c r="W58" s="66"/>
      <c r="X58" s="67"/>
      <c r="Y58" s="68"/>
      <c r="Z58" s="68"/>
      <c r="AA58" s="62">
        <f t="shared" si="36"/>
        <v>0</v>
      </c>
      <c r="AB58" s="63">
        <f t="shared" si="37"/>
        <v>0</v>
      </c>
      <c r="AC58" s="69"/>
      <c r="AD58" s="70"/>
      <c r="AE58" s="70"/>
      <c r="AF58" s="62">
        <f t="shared" si="38"/>
        <v>0</v>
      </c>
      <c r="AG58" s="63">
        <f t="shared" si="39"/>
        <v>0</v>
      </c>
      <c r="AH58" s="97"/>
      <c r="AI58" s="66"/>
      <c r="AJ58" s="66"/>
      <c r="AK58" s="62">
        <f t="shared" si="18"/>
        <v>0</v>
      </c>
      <c r="AL58" s="72">
        <f t="shared" si="19"/>
        <v>0</v>
      </c>
      <c r="AM58" s="73">
        <f t="shared" si="20"/>
        <v>0</v>
      </c>
      <c r="AN58" s="74">
        <f t="shared" si="21"/>
        <v>0</v>
      </c>
      <c r="AO58" s="74">
        <f t="shared" si="22"/>
        <v>0</v>
      </c>
      <c r="AP58" s="75" t="e">
        <f t="shared" si="23"/>
        <v>#DIV/0!</v>
      </c>
      <c r="AQ58" s="76">
        <f t="shared" si="24"/>
        <v>0</v>
      </c>
      <c r="AR58" s="90">
        <v>0.21500000000014552</v>
      </c>
    </row>
    <row r="59" spans="1:49" x14ac:dyDescent="0.25">
      <c r="A59" t="str">
        <f t="shared" si="14"/>
        <v>46201E</v>
      </c>
      <c r="B59" s="51">
        <f t="shared" si="26"/>
        <v>46201</v>
      </c>
      <c r="C59" s="52" t="s">
        <v>88</v>
      </c>
      <c r="D59" s="91"/>
      <c r="E59" s="62"/>
      <c r="F59" s="62"/>
      <c r="G59" s="62">
        <f t="shared" si="29"/>
        <v>0</v>
      </c>
      <c r="H59" s="72">
        <f t="shared" si="30"/>
        <v>0</v>
      </c>
      <c r="I59" s="119"/>
      <c r="J59" s="120"/>
      <c r="K59" s="121"/>
      <c r="L59" s="193"/>
      <c r="M59" s="58"/>
      <c r="N59" s="58"/>
      <c r="O59" s="59"/>
      <c r="P59" s="56"/>
      <c r="Q59" s="60"/>
      <c r="R59" s="61">
        <f t="shared" si="15"/>
        <v>0</v>
      </c>
      <c r="S59" s="62">
        <f t="shared" si="16"/>
        <v>0</v>
      </c>
      <c r="T59" s="63">
        <f t="shared" si="17"/>
        <v>0</v>
      </c>
      <c r="U59" s="64"/>
      <c r="V59" s="65"/>
      <c r="W59" s="66"/>
      <c r="X59" s="67"/>
      <c r="Y59" s="68"/>
      <c r="Z59" s="68"/>
      <c r="AA59" s="62">
        <f t="shared" si="36"/>
        <v>0</v>
      </c>
      <c r="AB59" s="63">
        <f t="shared" si="37"/>
        <v>0</v>
      </c>
      <c r="AC59" s="69"/>
      <c r="AD59" s="70"/>
      <c r="AE59" s="70"/>
      <c r="AF59" s="62">
        <f t="shared" si="38"/>
        <v>0</v>
      </c>
      <c r="AG59" s="63">
        <f t="shared" si="39"/>
        <v>0</v>
      </c>
      <c r="AH59" s="97"/>
      <c r="AI59" s="66"/>
      <c r="AJ59" s="66"/>
      <c r="AK59" s="62">
        <f t="shared" si="18"/>
        <v>0</v>
      </c>
      <c r="AL59" s="72">
        <f t="shared" si="19"/>
        <v>0</v>
      </c>
      <c r="AM59" s="73">
        <f t="shared" si="20"/>
        <v>0</v>
      </c>
      <c r="AN59" s="74">
        <f t="shared" si="21"/>
        <v>0</v>
      </c>
      <c r="AO59" s="74">
        <f t="shared" si="22"/>
        <v>0</v>
      </c>
      <c r="AP59" s="75" t="e">
        <f t="shared" si="23"/>
        <v>#DIV/0!</v>
      </c>
      <c r="AQ59" s="76">
        <f t="shared" si="24"/>
        <v>0</v>
      </c>
      <c r="AR59" s="90">
        <v>0.15099999999983993</v>
      </c>
    </row>
    <row r="60" spans="1:49" x14ac:dyDescent="0.25">
      <c r="A60" t="str">
        <f t="shared" si="14"/>
        <v>46202M</v>
      </c>
      <c r="B60" s="51">
        <f t="shared" si="26"/>
        <v>46202</v>
      </c>
      <c r="C60" s="52" t="s">
        <v>87</v>
      </c>
      <c r="D60" s="91"/>
      <c r="E60" s="62"/>
      <c r="F60" s="62"/>
      <c r="G60" s="62">
        <f t="shared" si="29"/>
        <v>0</v>
      </c>
      <c r="H60" s="72">
        <f t="shared" si="30"/>
        <v>0</v>
      </c>
      <c r="I60" s="119"/>
      <c r="J60" s="120"/>
      <c r="K60" s="121"/>
      <c r="L60" s="193"/>
      <c r="M60" s="58"/>
      <c r="N60" s="58"/>
      <c r="O60" s="59"/>
      <c r="P60" s="56"/>
      <c r="Q60" s="60"/>
      <c r="R60" s="61">
        <f t="shared" si="15"/>
        <v>0</v>
      </c>
      <c r="S60" s="62">
        <f t="shared" si="16"/>
        <v>0</v>
      </c>
      <c r="T60" s="63">
        <f t="shared" si="17"/>
        <v>0</v>
      </c>
      <c r="U60" s="64"/>
      <c r="V60" s="65"/>
      <c r="W60" s="66"/>
      <c r="X60" s="67"/>
      <c r="Y60" s="68"/>
      <c r="Z60" s="68"/>
      <c r="AA60" s="62">
        <f t="shared" si="36"/>
        <v>0</v>
      </c>
      <c r="AB60" s="63">
        <f t="shared" si="37"/>
        <v>0</v>
      </c>
      <c r="AC60" s="69"/>
      <c r="AD60" s="70"/>
      <c r="AE60" s="70"/>
      <c r="AF60" s="62">
        <f t="shared" si="38"/>
        <v>0</v>
      </c>
      <c r="AG60" s="63">
        <f t="shared" si="39"/>
        <v>0</v>
      </c>
      <c r="AH60" s="97"/>
      <c r="AI60" s="66"/>
      <c r="AJ60" s="66"/>
      <c r="AK60" s="62">
        <f t="shared" si="18"/>
        <v>0</v>
      </c>
      <c r="AL60" s="72">
        <f t="shared" si="19"/>
        <v>0</v>
      </c>
      <c r="AM60" s="73">
        <f t="shared" si="20"/>
        <v>0</v>
      </c>
      <c r="AN60" s="74">
        <f t="shared" si="21"/>
        <v>0</v>
      </c>
      <c r="AO60" s="74">
        <f t="shared" si="22"/>
        <v>0</v>
      </c>
      <c r="AP60" s="75" t="e">
        <f t="shared" si="23"/>
        <v>#DIV/0!</v>
      </c>
      <c r="AQ60" s="76">
        <f t="shared" si="24"/>
        <v>0</v>
      </c>
      <c r="AR60" s="90">
        <v>0.66500000000087311</v>
      </c>
    </row>
    <row r="61" spans="1:49" x14ac:dyDescent="0.25">
      <c r="A61" t="str">
        <f t="shared" si="14"/>
        <v>46202E</v>
      </c>
      <c r="B61" s="51">
        <f t="shared" si="26"/>
        <v>46202</v>
      </c>
      <c r="C61" s="52" t="s">
        <v>88</v>
      </c>
      <c r="D61" s="91"/>
      <c r="E61" s="62"/>
      <c r="F61" s="62"/>
      <c r="G61" s="62">
        <f t="shared" si="29"/>
        <v>0</v>
      </c>
      <c r="H61" s="72">
        <f t="shared" si="30"/>
        <v>0</v>
      </c>
      <c r="I61" s="119"/>
      <c r="J61" s="120"/>
      <c r="K61" s="121"/>
      <c r="L61" s="193"/>
      <c r="M61" s="58"/>
      <c r="N61" s="58"/>
      <c r="O61" s="59"/>
      <c r="P61" s="56"/>
      <c r="Q61" s="60"/>
      <c r="R61" s="61">
        <f t="shared" si="15"/>
        <v>0</v>
      </c>
      <c r="S61" s="62">
        <f t="shared" si="16"/>
        <v>0</v>
      </c>
      <c r="T61" s="63">
        <f t="shared" si="17"/>
        <v>0</v>
      </c>
      <c r="U61" s="64"/>
      <c r="V61" s="65"/>
      <c r="W61" s="66"/>
      <c r="X61" s="67"/>
      <c r="Y61" s="68"/>
      <c r="Z61" s="68"/>
      <c r="AA61" s="62">
        <f t="shared" si="36"/>
        <v>0</v>
      </c>
      <c r="AB61" s="63">
        <f t="shared" si="37"/>
        <v>0</v>
      </c>
      <c r="AC61" s="69"/>
      <c r="AD61" s="70"/>
      <c r="AE61" s="70"/>
      <c r="AF61" s="62">
        <f t="shared" si="38"/>
        <v>0</v>
      </c>
      <c r="AG61" s="63">
        <f t="shared" si="39"/>
        <v>0</v>
      </c>
      <c r="AH61" s="97"/>
      <c r="AI61" s="66"/>
      <c r="AJ61" s="66"/>
      <c r="AK61" s="62">
        <f t="shared" si="18"/>
        <v>0</v>
      </c>
      <c r="AL61" s="72">
        <f t="shared" si="19"/>
        <v>0</v>
      </c>
      <c r="AM61" s="73">
        <f t="shared" si="20"/>
        <v>0</v>
      </c>
      <c r="AN61" s="74">
        <f t="shared" si="21"/>
        <v>0</v>
      </c>
      <c r="AO61" s="74">
        <f t="shared" si="22"/>
        <v>0</v>
      </c>
      <c r="AP61" s="75" t="e">
        <f t="shared" si="23"/>
        <v>#DIV/0!</v>
      </c>
      <c r="AQ61" s="76">
        <f t="shared" si="24"/>
        <v>0</v>
      </c>
      <c r="AR61" s="90">
        <v>0.37300000000141154</v>
      </c>
      <c r="AS61" s="90">
        <f>SUM(J48:J61)</f>
        <v>0</v>
      </c>
      <c r="AT61" s="83">
        <f>SUM(AM48:AM61)</f>
        <v>0</v>
      </c>
      <c r="AU61" s="83">
        <f>SUM(AN48:AN61)</f>
        <v>0</v>
      </c>
      <c r="AV61" s="83">
        <f>SUM(AO48:AO61)</f>
        <v>0</v>
      </c>
      <c r="AW61" s="83">
        <f>-SUM(AQ48:AQ61)</f>
        <v>0</v>
      </c>
    </row>
    <row r="62" spans="1:49" x14ac:dyDescent="0.25">
      <c r="A62" t="str">
        <f t="shared" si="14"/>
        <v>46203M</v>
      </c>
      <c r="B62" s="51">
        <f t="shared" si="26"/>
        <v>46203</v>
      </c>
      <c r="C62" s="52" t="s">
        <v>87</v>
      </c>
      <c r="D62" s="91"/>
      <c r="E62" s="62"/>
      <c r="F62" s="62"/>
      <c r="G62" s="62">
        <f t="shared" si="29"/>
        <v>0</v>
      </c>
      <c r="H62" s="72">
        <f t="shared" si="30"/>
        <v>0</v>
      </c>
      <c r="I62" s="119"/>
      <c r="J62" s="120"/>
      <c r="K62" s="121"/>
      <c r="L62" s="193"/>
      <c r="M62" s="58"/>
      <c r="N62" s="58"/>
      <c r="O62" s="59"/>
      <c r="P62" s="56"/>
      <c r="Q62" s="60"/>
      <c r="R62" s="61">
        <f t="shared" si="15"/>
        <v>0</v>
      </c>
      <c r="S62" s="62">
        <f t="shared" si="16"/>
        <v>0</v>
      </c>
      <c r="T62" s="63">
        <f t="shared" si="17"/>
        <v>0</v>
      </c>
      <c r="U62" s="64"/>
      <c r="V62" s="65"/>
      <c r="W62" s="66"/>
      <c r="X62" s="67"/>
      <c r="Y62" s="68"/>
      <c r="Z62" s="68"/>
      <c r="AA62" s="62">
        <f t="shared" si="36"/>
        <v>0</v>
      </c>
      <c r="AB62" s="63">
        <f t="shared" si="37"/>
        <v>0</v>
      </c>
      <c r="AC62" s="69"/>
      <c r="AD62" s="70"/>
      <c r="AE62" s="70"/>
      <c r="AF62" s="62">
        <f t="shared" si="38"/>
        <v>0</v>
      </c>
      <c r="AG62" s="63">
        <f t="shared" si="39"/>
        <v>0</v>
      </c>
      <c r="AH62" s="97"/>
      <c r="AI62" s="66"/>
      <c r="AJ62" s="66"/>
      <c r="AK62" s="62">
        <f t="shared" si="18"/>
        <v>0</v>
      </c>
      <c r="AL62" s="72">
        <f t="shared" si="19"/>
        <v>0</v>
      </c>
      <c r="AM62" s="73">
        <f t="shared" si="20"/>
        <v>0</v>
      </c>
      <c r="AN62" s="74">
        <f t="shared" si="21"/>
        <v>0</v>
      </c>
      <c r="AO62" s="74">
        <f t="shared" si="22"/>
        <v>0</v>
      </c>
      <c r="AP62" s="75" t="e">
        <f t="shared" si="23"/>
        <v>#DIV/0!</v>
      </c>
      <c r="AQ62" s="76">
        <f t="shared" si="24"/>
        <v>0</v>
      </c>
      <c r="AR62" s="90">
        <v>0.79000000000087311</v>
      </c>
    </row>
    <row r="63" spans="1:49" x14ac:dyDescent="0.25">
      <c r="A63" t="str">
        <f t="shared" si="14"/>
        <v>46203E</v>
      </c>
      <c r="B63" s="51">
        <f t="shared" si="26"/>
        <v>46203</v>
      </c>
      <c r="C63" s="52" t="s">
        <v>88</v>
      </c>
      <c r="D63" s="91"/>
      <c r="E63" s="62"/>
      <c r="F63" s="62"/>
      <c r="G63" s="62">
        <f t="shared" si="29"/>
        <v>0</v>
      </c>
      <c r="H63" s="72">
        <f t="shared" si="30"/>
        <v>0</v>
      </c>
      <c r="I63" s="119"/>
      <c r="J63" s="120"/>
      <c r="K63" s="121"/>
      <c r="L63" s="193"/>
      <c r="M63" s="58"/>
      <c r="N63" s="58"/>
      <c r="O63" s="59"/>
      <c r="P63" s="56"/>
      <c r="Q63" s="60"/>
      <c r="R63" s="61">
        <f t="shared" si="15"/>
        <v>0</v>
      </c>
      <c r="S63" s="62">
        <f t="shared" si="16"/>
        <v>0</v>
      </c>
      <c r="T63" s="63">
        <f t="shared" si="17"/>
        <v>0</v>
      </c>
      <c r="U63" s="64"/>
      <c r="V63" s="65"/>
      <c r="W63" s="66"/>
      <c r="X63" s="67"/>
      <c r="Y63" s="68"/>
      <c r="Z63" s="68"/>
      <c r="AA63" s="62">
        <f t="shared" si="36"/>
        <v>0</v>
      </c>
      <c r="AB63" s="63">
        <f t="shared" si="37"/>
        <v>0</v>
      </c>
      <c r="AC63" s="69"/>
      <c r="AD63" s="70"/>
      <c r="AE63" s="70"/>
      <c r="AF63" s="62">
        <f t="shared" si="38"/>
        <v>0</v>
      </c>
      <c r="AG63" s="63">
        <f t="shared" si="39"/>
        <v>0</v>
      </c>
      <c r="AH63" s="97"/>
      <c r="AI63" s="66"/>
      <c r="AJ63" s="66"/>
      <c r="AK63" s="62">
        <f t="shared" si="18"/>
        <v>0</v>
      </c>
      <c r="AL63" s="72">
        <f t="shared" si="19"/>
        <v>0</v>
      </c>
      <c r="AM63" s="73">
        <f t="shared" si="20"/>
        <v>0</v>
      </c>
      <c r="AN63" s="74">
        <f t="shared" si="21"/>
        <v>0</v>
      </c>
      <c r="AO63" s="74">
        <f t="shared" si="22"/>
        <v>0</v>
      </c>
      <c r="AP63" s="75" t="e">
        <f t="shared" si="23"/>
        <v>#DIV/0!</v>
      </c>
      <c r="AQ63" s="76">
        <f t="shared" si="24"/>
        <v>0</v>
      </c>
      <c r="AR63" s="90">
        <v>1200.5440000000017</v>
      </c>
    </row>
    <row r="64" spans="1:49" x14ac:dyDescent="0.25">
      <c r="A64" t="str">
        <f t="shared" si="14"/>
        <v>46204M</v>
      </c>
      <c r="B64" s="51">
        <f t="shared" si="26"/>
        <v>46204</v>
      </c>
      <c r="C64" s="52" t="s">
        <v>87</v>
      </c>
      <c r="D64" s="91"/>
      <c r="E64" s="62"/>
      <c r="F64" s="62"/>
      <c r="G64" s="62">
        <f t="shared" si="29"/>
        <v>0</v>
      </c>
      <c r="H64" s="72">
        <f t="shared" si="30"/>
        <v>0</v>
      </c>
      <c r="I64" s="119"/>
      <c r="J64" s="120"/>
      <c r="K64" s="121"/>
      <c r="L64" s="193"/>
      <c r="M64" s="58"/>
      <c r="N64" s="58"/>
      <c r="O64" s="59"/>
      <c r="P64" s="56"/>
      <c r="Q64" s="60"/>
      <c r="R64" s="61">
        <f t="shared" si="15"/>
        <v>0</v>
      </c>
      <c r="S64" s="62">
        <f t="shared" si="16"/>
        <v>0</v>
      </c>
      <c r="T64" s="63">
        <f t="shared" si="17"/>
        <v>0</v>
      </c>
      <c r="U64" s="64"/>
      <c r="V64" s="65"/>
      <c r="W64" s="66"/>
      <c r="X64" s="67"/>
      <c r="Y64" s="68"/>
      <c r="Z64" s="68"/>
      <c r="AA64" s="62">
        <f t="shared" ref="AA64" si="40">X64*Y64%</f>
        <v>0</v>
      </c>
      <c r="AB64" s="63">
        <f t="shared" ref="AB64" si="41">X64*Z64%</f>
        <v>0</v>
      </c>
      <c r="AC64" s="69"/>
      <c r="AD64" s="70"/>
      <c r="AE64" s="70"/>
      <c r="AF64" s="62">
        <f t="shared" ref="AF64:AF65" si="42">AC64*AD64%</f>
        <v>0</v>
      </c>
      <c r="AG64" s="63">
        <f t="shared" ref="AG64:AG65" si="43">AC64*AE64%</f>
        <v>0</v>
      </c>
      <c r="AH64" s="97"/>
      <c r="AI64" s="66"/>
      <c r="AJ64" s="66"/>
      <c r="AK64" s="62">
        <f t="shared" si="18"/>
        <v>0</v>
      </c>
      <c r="AL64" s="72">
        <f t="shared" si="19"/>
        <v>0</v>
      </c>
      <c r="AM64" s="73">
        <f t="shared" si="20"/>
        <v>0</v>
      </c>
      <c r="AN64" s="74">
        <f t="shared" si="21"/>
        <v>0</v>
      </c>
      <c r="AO64" s="74">
        <f t="shared" si="22"/>
        <v>0</v>
      </c>
      <c r="AP64" s="75" t="e">
        <f t="shared" si="23"/>
        <v>#DIV/0!</v>
      </c>
      <c r="AQ64" s="76">
        <f t="shared" si="24"/>
        <v>0</v>
      </c>
      <c r="AR64" s="90">
        <f t="shared" si="13"/>
        <v>0</v>
      </c>
    </row>
    <row r="65" spans="1:44" x14ac:dyDescent="0.25">
      <c r="A65" t="str">
        <f t="shared" si="14"/>
        <v>46204E</v>
      </c>
      <c r="B65" s="51">
        <f t="shared" si="26"/>
        <v>46204</v>
      </c>
      <c r="C65" s="52" t="s">
        <v>88</v>
      </c>
      <c r="D65" s="91"/>
      <c r="E65" s="62"/>
      <c r="F65" s="62"/>
      <c r="G65" s="62">
        <f t="shared" si="29"/>
        <v>0</v>
      </c>
      <c r="H65" s="72">
        <f t="shared" si="30"/>
        <v>0</v>
      </c>
      <c r="I65" s="119"/>
      <c r="J65" s="120"/>
      <c r="K65" s="121"/>
      <c r="L65" s="193"/>
      <c r="M65" s="58"/>
      <c r="N65" s="58"/>
      <c r="O65" s="59"/>
      <c r="P65" s="56"/>
      <c r="Q65" s="60"/>
      <c r="R65" s="61">
        <f t="shared" si="15"/>
        <v>0</v>
      </c>
      <c r="S65" s="62">
        <f t="shared" si="16"/>
        <v>0</v>
      </c>
      <c r="T65" s="63">
        <f t="shared" si="17"/>
        <v>0</v>
      </c>
      <c r="U65" s="64"/>
      <c r="V65" s="65"/>
      <c r="W65" s="66"/>
      <c r="X65" s="67"/>
      <c r="Y65" s="68"/>
      <c r="Z65" s="68"/>
      <c r="AA65" s="62">
        <f t="shared" ref="AA65" si="44">X65*Y65%</f>
        <v>0</v>
      </c>
      <c r="AB65" s="63">
        <f t="shared" ref="AB65" si="45">X65*Z65%</f>
        <v>0</v>
      </c>
      <c r="AC65" s="69"/>
      <c r="AD65" s="70"/>
      <c r="AE65" s="70"/>
      <c r="AF65" s="62">
        <f t="shared" si="42"/>
        <v>0</v>
      </c>
      <c r="AG65" s="63">
        <f t="shared" si="43"/>
        <v>0</v>
      </c>
      <c r="AH65" s="97"/>
      <c r="AI65" s="66"/>
      <c r="AJ65" s="66"/>
      <c r="AK65" s="62">
        <f t="shared" si="18"/>
        <v>0</v>
      </c>
      <c r="AL65" s="72">
        <f t="shared" si="19"/>
        <v>0</v>
      </c>
      <c r="AM65" s="73">
        <f t="shared" si="20"/>
        <v>0</v>
      </c>
      <c r="AN65" s="74">
        <f t="shared" si="21"/>
        <v>0</v>
      </c>
      <c r="AO65" s="74">
        <f t="shared" si="22"/>
        <v>0</v>
      </c>
      <c r="AP65" s="75" t="e">
        <f t="shared" si="23"/>
        <v>#DIV/0!</v>
      </c>
      <c r="AQ65" s="76">
        <f t="shared" si="24"/>
        <v>0</v>
      </c>
      <c r="AR65" s="90">
        <f t="shared" si="13"/>
        <v>0</v>
      </c>
    </row>
    <row r="66" spans="1:44" ht="15.75" thickBot="1" x14ac:dyDescent="0.3">
      <c r="J66" s="83">
        <f>SUM(J4:J65)</f>
        <v>128432.19350000001</v>
      </c>
      <c r="AM66" s="94">
        <f>-SUM(AM4:AM65)</f>
        <v>-670.19350000000122</v>
      </c>
      <c r="AN66" s="94">
        <f>-SUM(AN4:AN65)</f>
        <v>39.390461899999714</v>
      </c>
      <c r="AO66" s="94">
        <f>-SUM(AO4:AO65)</f>
        <v>-128.06078229999969</v>
      </c>
      <c r="AP66" s="95"/>
      <c r="AQ66" s="128">
        <f>-SUM(AQ4:AQ65)</f>
        <v>-20642.404936666382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44" priority="2" operator="lessThan">
      <formula>0.1</formula>
    </cfRule>
    <cfRule type="cellIs" dxfId="43" priority="3" operator="greaterThan">
      <formula>0.1</formula>
    </cfRule>
  </conditionalFormatting>
  <conditionalFormatting sqref="AP1:AQ1">
    <cfRule type="cellIs" dxfId="42" priority="1" operator="lessThan">
      <formula>1</formula>
    </cfRule>
  </conditionalFormatting>
  <conditionalFormatting sqref="AQ4:AQ65">
    <cfRule type="cellIs" dxfId="41" priority="8" operator="lessThan">
      <formula>0</formula>
    </cfRule>
    <cfRule type="cellIs" dxfId="40" priority="9" operator="greaterThan">
      <formula>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W66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C23" sqref="AC23:AE23"/>
    </sheetView>
  </sheetViews>
  <sheetFormatPr defaultRowHeight="15" x14ac:dyDescent="0.25"/>
  <cols>
    <col min="1" max="1" width="2.5703125" customWidth="1"/>
    <col min="2" max="2" width="9.710937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10" width="8.140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11.5703125" bestFit="1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7.28515625" bestFit="1" customWidth="1"/>
    <col min="35" max="36" width="5.85546875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5.140625" bestFit="1" customWidth="1"/>
    <col min="45" max="45" width="6.5703125" bestFit="1" customWidth="1"/>
    <col min="46" max="46" width="6.7109375" bestFit="1" customWidth="1"/>
    <col min="47" max="48" width="5.7109375" bestFit="1" customWidth="1"/>
    <col min="49" max="49" width="8.140625" bestFit="1" customWidth="1"/>
  </cols>
  <sheetData>
    <row r="1" spans="1:44" ht="15.75" thickBot="1" x14ac:dyDescent="0.3">
      <c r="B1" s="111" t="s">
        <v>155</v>
      </c>
      <c r="C1" s="44"/>
      <c r="I1" t="s">
        <v>94</v>
      </c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59" t="s">
        <v>64</v>
      </c>
      <c r="C2" s="261" t="s">
        <v>65</v>
      </c>
      <c r="D2" s="263" t="s">
        <v>66</v>
      </c>
      <c r="E2" s="263"/>
      <c r="F2" s="263"/>
      <c r="G2" s="263"/>
      <c r="H2" s="264"/>
      <c r="I2" s="255" t="s">
        <v>67</v>
      </c>
      <c r="J2" s="256"/>
      <c r="K2" s="256"/>
      <c r="L2" s="257"/>
      <c r="M2" s="242" t="s">
        <v>68</v>
      </c>
      <c r="N2" s="243"/>
      <c r="O2" s="243"/>
      <c r="P2" s="243"/>
      <c r="Q2" s="244"/>
      <c r="R2" s="265" t="s">
        <v>69</v>
      </c>
      <c r="S2" s="256"/>
      <c r="T2" s="257"/>
      <c r="U2" s="252" t="s">
        <v>70</v>
      </c>
      <c r="V2" s="253"/>
      <c r="W2" s="253"/>
      <c r="X2" s="253"/>
      <c r="Y2" s="253"/>
      <c r="Z2" s="253"/>
      <c r="AA2" s="253"/>
      <c r="AB2" s="254"/>
      <c r="AC2" s="255" t="s">
        <v>71</v>
      </c>
      <c r="AD2" s="256"/>
      <c r="AE2" s="256"/>
      <c r="AF2" s="256"/>
      <c r="AG2" s="257"/>
      <c r="AH2" s="255" t="s">
        <v>72</v>
      </c>
      <c r="AI2" s="256"/>
      <c r="AJ2" s="256"/>
      <c r="AK2" s="256"/>
      <c r="AL2" s="258"/>
      <c r="AM2" s="252" t="s">
        <v>73</v>
      </c>
      <c r="AN2" s="253"/>
      <c r="AO2" s="253"/>
      <c r="AP2" s="253"/>
      <c r="AQ2" s="254"/>
    </row>
    <row r="3" spans="1:44" x14ac:dyDescent="0.25">
      <c r="B3" s="260"/>
      <c r="C3" s="26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112" t="s">
        <v>11</v>
      </c>
    </row>
    <row r="4" spans="1:44" ht="15.75" x14ac:dyDescent="0.25">
      <c r="A4" t="str">
        <f>CONCATENATE(B4,C4)</f>
        <v>46174M</v>
      </c>
      <c r="B4" s="51">
        <v>46174</v>
      </c>
      <c r="C4" s="100" t="s">
        <v>87</v>
      </c>
      <c r="D4" s="101">
        <v>5260</v>
      </c>
      <c r="E4" s="102">
        <v>4.68</v>
      </c>
      <c r="F4" s="102">
        <v>8.14</v>
      </c>
      <c r="G4" s="62">
        <f t="shared" ref="G4:G65" si="0">+D4*E4%</f>
        <v>246.16799999999998</v>
      </c>
      <c r="H4" s="72">
        <f t="shared" ref="H4:H65" si="1">+D4*F4%</f>
        <v>428.16399999999999</v>
      </c>
      <c r="I4" s="121">
        <v>7723.2000000000007</v>
      </c>
      <c r="J4" s="121">
        <v>7954.8960000000006</v>
      </c>
      <c r="K4" s="121">
        <v>4.2865159519370213</v>
      </c>
      <c r="L4" s="121">
        <v>8.0192951108348876</v>
      </c>
      <c r="M4" s="58" t="s">
        <v>151</v>
      </c>
      <c r="N4" s="58" t="s">
        <v>295</v>
      </c>
      <c r="O4" s="59">
        <v>10000</v>
      </c>
      <c r="P4" s="56">
        <v>4.68</v>
      </c>
      <c r="Q4" s="60">
        <v>8.35</v>
      </c>
      <c r="R4" s="61">
        <f t="shared" ref="R4:R65" si="2">+J4+O4</f>
        <v>17954.896000000001</v>
      </c>
      <c r="S4" s="62">
        <f t="shared" ref="S4:S65" si="3">+J4*K4%+O4*P4%</f>
        <v>808.987886</v>
      </c>
      <c r="T4" s="63">
        <f t="shared" ref="T4:T65" si="4">+J4*L4%+O4*Q4%</f>
        <v>1472.926586</v>
      </c>
      <c r="U4" s="137" t="s">
        <v>296</v>
      </c>
      <c r="V4" s="138" t="s">
        <v>297</v>
      </c>
      <c r="W4" s="139" t="s">
        <v>191</v>
      </c>
      <c r="X4" s="140">
        <v>19870</v>
      </c>
      <c r="Y4" s="141">
        <v>4.58</v>
      </c>
      <c r="Z4" s="141">
        <v>8.35</v>
      </c>
      <c r="AA4" s="62">
        <f t="shared" ref="AA4:AA65" si="5">X4*Y4%</f>
        <v>910.04600000000005</v>
      </c>
      <c r="AB4" s="63">
        <f t="shared" ref="AB4:AB65" si="6">X4*Z4%</f>
        <v>1659.1449999999998</v>
      </c>
      <c r="AC4" s="69">
        <v>19750</v>
      </c>
      <c r="AD4" s="70">
        <v>4.5016202531645577</v>
      </c>
      <c r="AE4" s="70">
        <v>8.1829772151898723</v>
      </c>
      <c r="AF4" s="62">
        <f t="shared" ref="AF4:AF65" si="7">AC4*AD4%</f>
        <v>889.07000000000016</v>
      </c>
      <c r="AG4" s="63">
        <f t="shared" ref="AG4:AG65" si="8">AC4*AE4%</f>
        <v>1616.1379999999999</v>
      </c>
      <c r="AH4" s="142">
        <v>3345</v>
      </c>
      <c r="AI4" s="139">
        <v>4.5599999999999996</v>
      </c>
      <c r="AJ4" s="139">
        <v>8.18</v>
      </c>
      <c r="AK4" s="62">
        <f t="shared" ref="AK4:AK65" si="9">AH4*AI4%</f>
        <v>152.53199999999998</v>
      </c>
      <c r="AL4" s="72">
        <f t="shared" ref="AL4:AL65" si="10">AH4*AJ4%</f>
        <v>273.62099999999998</v>
      </c>
      <c r="AM4" s="81">
        <f>+D4+R4-AC4-AH4</f>
        <v>119.89600000000064</v>
      </c>
      <c r="AN4" s="80">
        <f t="shared" ref="AN4:AO19" si="11">+G4+S4-AF4-AK4</f>
        <v>13.553885999999864</v>
      </c>
      <c r="AO4" s="80">
        <f t="shared" si="11"/>
        <v>11.331586000000129</v>
      </c>
      <c r="AP4" s="115">
        <f>(AN4+AO4)/(S4+T4)</f>
        <v>1.0905523544091881E-2</v>
      </c>
      <c r="AQ4" s="116">
        <f t="shared" ref="AQ4:AQ65" si="12">($AP$1*AN4+$AQ$1*AO4)</f>
        <v>9475.7164784333108</v>
      </c>
      <c r="AR4" s="90">
        <f>(D4+J4+O4)-(X4+AH4)</f>
        <v>-0.10399999999935972</v>
      </c>
    </row>
    <row r="5" spans="1:44" ht="15.75" x14ac:dyDescent="0.25">
      <c r="A5" t="str">
        <f t="shared" ref="A5:A65" si="13">CONCATENATE(B5,C5)</f>
        <v>46174E</v>
      </c>
      <c r="B5" s="51">
        <f>+B4</f>
        <v>46174</v>
      </c>
      <c r="C5" s="100" t="s">
        <v>88</v>
      </c>
      <c r="D5" s="106">
        <v>3345</v>
      </c>
      <c r="E5" s="107">
        <v>4.5599999999999996</v>
      </c>
      <c r="F5" s="107">
        <v>8.18</v>
      </c>
      <c r="G5" s="62">
        <f t="shared" si="0"/>
        <v>152.53199999999998</v>
      </c>
      <c r="H5" s="72">
        <f t="shared" si="1"/>
        <v>273.62099999999998</v>
      </c>
      <c r="I5" s="121">
        <v>3243.5</v>
      </c>
      <c r="J5" s="121">
        <v>3340.8050000000003</v>
      </c>
      <c r="K5" s="121">
        <v>4.4029227686141521</v>
      </c>
      <c r="L5" s="121">
        <v>8.1104208416833696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si="2"/>
        <v>3340.8050000000003</v>
      </c>
      <c r="S5" s="62">
        <f t="shared" si="3"/>
        <v>147.09306400000006</v>
      </c>
      <c r="T5" s="63">
        <f t="shared" si="4"/>
        <v>270.95334500000007</v>
      </c>
      <c r="U5" s="103" t="s">
        <v>167</v>
      </c>
      <c r="V5" s="104" t="s">
        <v>167</v>
      </c>
      <c r="W5" s="105">
        <v>0</v>
      </c>
      <c r="X5" s="113">
        <v>0</v>
      </c>
      <c r="Y5" s="114">
        <v>0</v>
      </c>
      <c r="Z5" s="114">
        <v>0</v>
      </c>
      <c r="AA5" s="62">
        <f t="shared" si="5"/>
        <v>0</v>
      </c>
      <c r="AB5" s="63">
        <f t="shared" si="6"/>
        <v>0</v>
      </c>
      <c r="AC5" s="69"/>
      <c r="AD5" s="70"/>
      <c r="AE5" s="70"/>
      <c r="AF5" s="62">
        <f t="shared" si="7"/>
        <v>0</v>
      </c>
      <c r="AG5" s="63">
        <f t="shared" si="8"/>
        <v>0</v>
      </c>
      <c r="AH5" s="142">
        <v>6685</v>
      </c>
      <c r="AI5" s="139">
        <v>4.4800000000000004</v>
      </c>
      <c r="AJ5" s="139">
        <v>8.14</v>
      </c>
      <c r="AK5" s="62">
        <f t="shared" si="9"/>
        <v>299.48800000000006</v>
      </c>
      <c r="AL5" s="72">
        <f t="shared" si="10"/>
        <v>544.15899999999999</v>
      </c>
      <c r="AM5" s="81">
        <f t="shared" ref="AM5:AM65" si="14">+D5+R5-AC5-AH5</f>
        <v>0.80500000000029104</v>
      </c>
      <c r="AN5" s="80">
        <f t="shared" si="11"/>
        <v>0.1370640000000094</v>
      </c>
      <c r="AO5" s="80">
        <f t="shared" si="11"/>
        <v>0.41534500000000207</v>
      </c>
      <c r="AP5" s="115">
        <f t="shared" ref="AP5:AP65" si="15">(AN5+AO5)/(S5+T5)</f>
        <v>1.3214059207479313E-3</v>
      </c>
      <c r="AQ5" s="116">
        <f t="shared" si="12"/>
        <v>185.83108287333818</v>
      </c>
      <c r="AR5" s="90">
        <f t="shared" ref="AR5:AR19" si="16">(D5+J5+O5)-(X5+AH5)</f>
        <v>0.80500000000029104</v>
      </c>
    </row>
    <row r="6" spans="1:44" ht="15.75" x14ac:dyDescent="0.25">
      <c r="A6" t="str">
        <f t="shared" si="13"/>
        <v>46175M</v>
      </c>
      <c r="B6" s="51">
        <f>+B4+1</f>
        <v>46175</v>
      </c>
      <c r="C6" s="100" t="s">
        <v>87</v>
      </c>
      <c r="D6" s="106">
        <v>6685</v>
      </c>
      <c r="E6" s="107">
        <v>4.4800000000000004</v>
      </c>
      <c r="F6" s="107">
        <v>8.14</v>
      </c>
      <c r="G6" s="62">
        <f t="shared" si="0"/>
        <v>299.48800000000006</v>
      </c>
      <c r="H6" s="72">
        <f t="shared" si="1"/>
        <v>544.15899999999999</v>
      </c>
      <c r="I6" s="121">
        <v>5114.7</v>
      </c>
      <c r="J6" s="121">
        <v>5268.1409999999996</v>
      </c>
      <c r="K6" s="121">
        <v>4.2545193266467249</v>
      </c>
      <c r="L6" s="121">
        <v>7.9609869591569407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2"/>
        <v>5268.1409999999996</v>
      </c>
      <c r="S6" s="62">
        <f t="shared" si="3"/>
        <v>224.13407700000002</v>
      </c>
      <c r="T6" s="63">
        <f t="shared" si="4"/>
        <v>419.39601800000003</v>
      </c>
      <c r="U6" s="103" t="s">
        <v>232</v>
      </c>
      <c r="V6" s="104" t="s">
        <v>298</v>
      </c>
      <c r="W6" s="105" t="s">
        <v>159</v>
      </c>
      <c r="X6" s="113">
        <v>5000</v>
      </c>
      <c r="Y6" s="114">
        <v>4.3499999999999996</v>
      </c>
      <c r="Z6" s="114">
        <v>8.15</v>
      </c>
      <c r="AA6" s="62">
        <f t="shared" si="5"/>
        <v>217.49999999999997</v>
      </c>
      <c r="AB6" s="63">
        <f t="shared" si="6"/>
        <v>407.5</v>
      </c>
      <c r="AC6" s="69">
        <v>5000</v>
      </c>
      <c r="AD6" s="70">
        <v>4.1500000000000004</v>
      </c>
      <c r="AE6" s="70">
        <v>7.99</v>
      </c>
      <c r="AF6" s="62">
        <f t="shared" si="7"/>
        <v>207.5</v>
      </c>
      <c r="AG6" s="63">
        <f t="shared" si="8"/>
        <v>399.5</v>
      </c>
      <c r="AH6" s="142">
        <v>6953</v>
      </c>
      <c r="AI6" s="139">
        <v>4.4000000000000004</v>
      </c>
      <c r="AJ6" s="139">
        <v>8.08</v>
      </c>
      <c r="AK6" s="62">
        <f t="shared" si="9"/>
        <v>305.93200000000002</v>
      </c>
      <c r="AL6" s="72">
        <f t="shared" si="10"/>
        <v>561.80240000000003</v>
      </c>
      <c r="AM6" s="81">
        <f t="shared" si="14"/>
        <v>0.14099999999962165</v>
      </c>
      <c r="AN6" s="80">
        <f t="shared" si="11"/>
        <v>10.190077000000088</v>
      </c>
      <c r="AO6" s="80">
        <f t="shared" si="11"/>
        <v>2.252617999999984</v>
      </c>
      <c r="AP6" s="115">
        <f t="shared" si="15"/>
        <v>1.9335063109985666E-2</v>
      </c>
      <c r="AQ6" s="116">
        <f t="shared" si="12"/>
        <v>5248.5759636567018</v>
      </c>
      <c r="AR6" s="90">
        <f t="shared" si="16"/>
        <v>0.14099999999962165</v>
      </c>
    </row>
    <row r="7" spans="1:44" ht="15.75" x14ac:dyDescent="0.25">
      <c r="A7" t="str">
        <f t="shared" si="13"/>
        <v>46175E</v>
      </c>
      <c r="B7" s="51">
        <f>+B5+1</f>
        <v>46175</v>
      </c>
      <c r="C7" s="100" t="s">
        <v>88</v>
      </c>
      <c r="D7" s="106">
        <v>6953</v>
      </c>
      <c r="E7" s="107">
        <v>4.4000000000000004</v>
      </c>
      <c r="F7" s="107">
        <v>8.08</v>
      </c>
      <c r="G7" s="62">
        <f t="shared" si="0"/>
        <v>305.93200000000002</v>
      </c>
      <c r="H7" s="72">
        <f t="shared" si="1"/>
        <v>561.80240000000003</v>
      </c>
      <c r="I7" s="121">
        <v>1942.8000000000002</v>
      </c>
      <c r="J7" s="121">
        <v>2001.0840000000003</v>
      </c>
      <c r="K7" s="121">
        <v>4.5810428247889643</v>
      </c>
      <c r="L7" s="121">
        <v>8.1312023883055389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2"/>
        <v>2001.0840000000003</v>
      </c>
      <c r="S7" s="62">
        <f t="shared" si="3"/>
        <v>91.670515000000009</v>
      </c>
      <c r="T7" s="63">
        <f t="shared" si="4"/>
        <v>162.71219000000002</v>
      </c>
      <c r="U7" s="103" t="s">
        <v>167</v>
      </c>
      <c r="V7" s="104" t="s">
        <v>167</v>
      </c>
      <c r="W7" s="139">
        <v>0</v>
      </c>
      <c r="X7" s="113">
        <v>0</v>
      </c>
      <c r="Y7" s="114">
        <v>0</v>
      </c>
      <c r="Z7" s="114">
        <v>0</v>
      </c>
      <c r="AA7" s="62">
        <f t="shared" si="5"/>
        <v>0</v>
      </c>
      <c r="AB7" s="63">
        <f t="shared" si="6"/>
        <v>0</v>
      </c>
      <c r="AC7" s="69"/>
      <c r="AD7" s="70"/>
      <c r="AE7" s="70"/>
      <c r="AF7" s="62">
        <f t="shared" si="7"/>
        <v>0</v>
      </c>
      <c r="AG7" s="63">
        <f t="shared" si="8"/>
        <v>0</v>
      </c>
      <c r="AH7" s="142">
        <v>8954</v>
      </c>
      <c r="AI7" s="139">
        <v>4.4400000000000004</v>
      </c>
      <c r="AJ7" s="139">
        <v>8.08</v>
      </c>
      <c r="AK7" s="62">
        <f t="shared" si="9"/>
        <v>397.55760000000004</v>
      </c>
      <c r="AL7" s="72">
        <f t="shared" si="10"/>
        <v>723.48320000000001</v>
      </c>
      <c r="AM7" s="81">
        <f t="shared" si="14"/>
        <v>8.4000000000742148E-2</v>
      </c>
      <c r="AN7" s="80">
        <f t="shared" si="11"/>
        <v>4.4915000000003147E-2</v>
      </c>
      <c r="AO7" s="80">
        <f t="shared" si="11"/>
        <v>1.0313899999999876</v>
      </c>
      <c r="AP7" s="115">
        <f t="shared" si="15"/>
        <v>4.2310462890941839E-3</v>
      </c>
      <c r="AQ7" s="116">
        <f t="shared" si="12"/>
        <v>328.8303159166644</v>
      </c>
      <c r="AR7" s="90">
        <f t="shared" si="16"/>
        <v>8.4000000000742148E-2</v>
      </c>
    </row>
    <row r="8" spans="1:44" ht="15.75" x14ac:dyDescent="0.25">
      <c r="A8" t="str">
        <f t="shared" si="13"/>
        <v>46176M</v>
      </c>
      <c r="B8" s="51">
        <f>+B6+1</f>
        <v>46176</v>
      </c>
      <c r="C8" s="100" t="s">
        <v>87</v>
      </c>
      <c r="D8" s="106">
        <v>8954</v>
      </c>
      <c r="E8" s="107">
        <v>4.4400000000000004</v>
      </c>
      <c r="F8" s="107">
        <v>8.08</v>
      </c>
      <c r="G8" s="62">
        <f t="shared" si="0"/>
        <v>397.55760000000004</v>
      </c>
      <c r="H8" s="72">
        <f t="shared" si="1"/>
        <v>723.48320000000001</v>
      </c>
      <c r="I8" s="121">
        <v>4458</v>
      </c>
      <c r="J8" s="121">
        <v>4591.74</v>
      </c>
      <c r="K8" s="121">
        <v>4.2010812023328858</v>
      </c>
      <c r="L8" s="121">
        <v>7.9013705697622258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2"/>
        <v>4591.74</v>
      </c>
      <c r="S8" s="62">
        <f t="shared" si="3"/>
        <v>192.90272600000006</v>
      </c>
      <c r="T8" s="63">
        <f t="shared" si="4"/>
        <v>362.81039299999998</v>
      </c>
      <c r="U8" s="103" t="s">
        <v>170</v>
      </c>
      <c r="V8" s="104" t="s">
        <v>299</v>
      </c>
      <c r="W8" s="105" t="s">
        <v>191</v>
      </c>
      <c r="X8" s="113">
        <v>10050</v>
      </c>
      <c r="Y8" s="114">
        <v>4.3499999999999996</v>
      </c>
      <c r="Z8" s="114">
        <v>8.2799999999999994</v>
      </c>
      <c r="AA8" s="62">
        <f t="shared" si="5"/>
        <v>437.17499999999995</v>
      </c>
      <c r="AB8" s="63">
        <f t="shared" si="6"/>
        <v>832.14</v>
      </c>
      <c r="AC8" s="69">
        <v>10020</v>
      </c>
      <c r="AD8" s="70">
        <v>4.2970059880239528</v>
      </c>
      <c r="AE8" s="70">
        <v>8.2024550898203579</v>
      </c>
      <c r="AF8" s="62">
        <f t="shared" si="7"/>
        <v>430.56000000000006</v>
      </c>
      <c r="AG8" s="63">
        <f t="shared" si="8"/>
        <v>821.88599999999985</v>
      </c>
      <c r="AH8" s="142">
        <v>3496</v>
      </c>
      <c r="AI8" s="139">
        <v>4.3600000000000003</v>
      </c>
      <c r="AJ8" s="139">
        <v>8.02</v>
      </c>
      <c r="AK8" s="62">
        <f t="shared" si="9"/>
        <v>152.4256</v>
      </c>
      <c r="AL8" s="72">
        <f t="shared" si="10"/>
        <v>280.37919999999997</v>
      </c>
      <c r="AM8" s="81">
        <f t="shared" si="14"/>
        <v>29.739999999999782</v>
      </c>
      <c r="AN8" s="80">
        <f t="shared" si="11"/>
        <v>7.4747260000000608</v>
      </c>
      <c r="AO8" s="80">
        <f t="shared" si="11"/>
        <v>-15.971606999999949</v>
      </c>
      <c r="AP8" s="115">
        <f t="shared" si="15"/>
        <v>-1.5290049324892559E-2</v>
      </c>
      <c r="AQ8" s="116">
        <f t="shared" si="12"/>
        <v>-1424.3968169199575</v>
      </c>
      <c r="AR8" s="90">
        <f t="shared" si="16"/>
        <v>-0.26000000000021828</v>
      </c>
    </row>
    <row r="9" spans="1:44" ht="15.75" x14ac:dyDescent="0.25">
      <c r="A9" t="str">
        <f t="shared" si="13"/>
        <v>46176E</v>
      </c>
      <c r="B9" s="51">
        <f t="shared" ref="B9:B65" si="17">+B7+1</f>
        <v>46176</v>
      </c>
      <c r="C9" s="100" t="s">
        <v>88</v>
      </c>
      <c r="D9" s="106">
        <v>3496</v>
      </c>
      <c r="E9" s="107">
        <v>4.3600000000000003</v>
      </c>
      <c r="F9" s="107">
        <v>8.02</v>
      </c>
      <c r="G9" s="62">
        <f t="shared" si="0"/>
        <v>152.4256</v>
      </c>
      <c r="H9" s="72">
        <f t="shared" si="1"/>
        <v>280.37919999999997</v>
      </c>
      <c r="I9" s="121">
        <v>1967.5</v>
      </c>
      <c r="J9" s="121">
        <v>2026.5250000000001</v>
      </c>
      <c r="K9" s="121">
        <v>4.5361880559085144</v>
      </c>
      <c r="L9" s="121">
        <v>8.116289707750953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2"/>
        <v>2026.5250000000001</v>
      </c>
      <c r="S9" s="62">
        <f t="shared" si="3"/>
        <v>91.92698500000003</v>
      </c>
      <c r="T9" s="63">
        <f t="shared" si="4"/>
        <v>164.47863999999998</v>
      </c>
      <c r="U9" s="103" t="s">
        <v>167</v>
      </c>
      <c r="V9" s="104" t="s">
        <v>167</v>
      </c>
      <c r="W9" s="139">
        <v>0</v>
      </c>
      <c r="X9" s="113">
        <v>0</v>
      </c>
      <c r="Y9" s="114">
        <v>0</v>
      </c>
      <c r="Z9" s="114">
        <v>0</v>
      </c>
      <c r="AA9" s="62">
        <f t="shared" si="5"/>
        <v>0</v>
      </c>
      <c r="AB9" s="63">
        <f t="shared" si="6"/>
        <v>0</v>
      </c>
      <c r="AC9" s="69"/>
      <c r="AD9" s="70"/>
      <c r="AE9" s="70"/>
      <c r="AF9" s="62">
        <f t="shared" si="7"/>
        <v>0</v>
      </c>
      <c r="AG9" s="63">
        <f t="shared" si="8"/>
        <v>0</v>
      </c>
      <c r="AH9" s="142">
        <v>5522</v>
      </c>
      <c r="AI9" s="139">
        <v>4.41</v>
      </c>
      <c r="AJ9" s="139">
        <v>8.0500000000000007</v>
      </c>
      <c r="AK9" s="62">
        <f t="shared" si="9"/>
        <v>243.52019999999999</v>
      </c>
      <c r="AL9" s="72">
        <f t="shared" si="10"/>
        <v>444.52100000000002</v>
      </c>
      <c r="AM9" s="81">
        <f t="shared" si="14"/>
        <v>0.5249999999996362</v>
      </c>
      <c r="AN9" s="80">
        <f t="shared" si="11"/>
        <v>0.83238500000004478</v>
      </c>
      <c r="AO9" s="80">
        <f t="shared" si="11"/>
        <v>0.3368399999999383</v>
      </c>
      <c r="AP9" s="115">
        <f t="shared" si="15"/>
        <v>4.5600598660812657E-3</v>
      </c>
      <c r="AQ9" s="116">
        <f t="shared" si="12"/>
        <v>474.47317995000168</v>
      </c>
      <c r="AR9" s="90">
        <f t="shared" si="16"/>
        <v>0.5249999999996362</v>
      </c>
    </row>
    <row r="10" spans="1:44" ht="15.75" x14ac:dyDescent="0.25">
      <c r="A10" t="str">
        <f t="shared" si="13"/>
        <v>46177M</v>
      </c>
      <c r="B10" s="51">
        <f t="shared" si="17"/>
        <v>46177</v>
      </c>
      <c r="C10" s="100" t="s">
        <v>87</v>
      </c>
      <c r="D10" s="106">
        <v>5522</v>
      </c>
      <c r="E10" s="107">
        <v>4.41</v>
      </c>
      <c r="F10" s="107">
        <v>8.0500000000000007</v>
      </c>
      <c r="G10" s="62">
        <f t="shared" si="0"/>
        <v>243.52019999999999</v>
      </c>
      <c r="H10" s="72">
        <f t="shared" si="1"/>
        <v>444.52100000000002</v>
      </c>
      <c r="I10" s="121">
        <v>6459.8</v>
      </c>
      <c r="J10" s="121">
        <v>6653.5940000000001</v>
      </c>
      <c r="K10" s="121">
        <v>4.0706229295024627</v>
      </c>
      <c r="L10" s="121">
        <v>7.9617387535217814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2"/>
        <v>6653.5940000000001</v>
      </c>
      <c r="S10" s="62">
        <f t="shared" si="3"/>
        <v>270.84272300000009</v>
      </c>
      <c r="T10" s="63">
        <f t="shared" si="4"/>
        <v>529.74177200000008</v>
      </c>
      <c r="U10" s="103" t="s">
        <v>170</v>
      </c>
      <c r="V10" s="104" t="s">
        <v>300</v>
      </c>
      <c r="W10" s="105" t="s">
        <v>191</v>
      </c>
      <c r="X10" s="113">
        <v>10050</v>
      </c>
      <c r="Y10" s="114">
        <v>4.2699999999999996</v>
      </c>
      <c r="Z10" s="114">
        <v>8.26</v>
      </c>
      <c r="AA10" s="62">
        <f t="shared" si="5"/>
        <v>429.13499999999993</v>
      </c>
      <c r="AB10" s="63">
        <f t="shared" si="6"/>
        <v>830.12999999999988</v>
      </c>
      <c r="AC10" s="69">
        <v>10080</v>
      </c>
      <c r="AD10" s="70">
        <v>4.2242063492063497</v>
      </c>
      <c r="AE10" s="70">
        <v>8.1248412698412693</v>
      </c>
      <c r="AF10" s="62">
        <f t="shared" si="7"/>
        <v>425.80000000000007</v>
      </c>
      <c r="AG10" s="63">
        <f t="shared" si="8"/>
        <v>818.98399999999992</v>
      </c>
      <c r="AH10" s="142">
        <v>2125</v>
      </c>
      <c r="AI10" s="139">
        <v>4.24</v>
      </c>
      <c r="AJ10" s="139">
        <v>8.02</v>
      </c>
      <c r="AK10" s="62">
        <f t="shared" si="9"/>
        <v>90.1</v>
      </c>
      <c r="AL10" s="72">
        <f t="shared" si="10"/>
        <v>170.42499999999998</v>
      </c>
      <c r="AM10" s="81">
        <f t="shared" si="14"/>
        <v>-29.40599999999904</v>
      </c>
      <c r="AN10" s="80">
        <f t="shared" si="11"/>
        <v>-1.5370769999999254</v>
      </c>
      <c r="AO10" s="80">
        <f t="shared" si="11"/>
        <v>-15.146227999999866</v>
      </c>
      <c r="AP10" s="115">
        <f t="shared" si="15"/>
        <v>-2.0838905954579833E-2</v>
      </c>
      <c r="AQ10" s="116">
        <f t="shared" si="12"/>
        <v>-5222.8713770565937</v>
      </c>
      <c r="AR10" s="90">
        <f t="shared" si="16"/>
        <v>0.59400000000096043</v>
      </c>
    </row>
    <row r="11" spans="1:44" ht="15.75" x14ac:dyDescent="0.25">
      <c r="A11" t="str">
        <f t="shared" si="13"/>
        <v>46177E</v>
      </c>
      <c r="B11" s="51">
        <f t="shared" si="17"/>
        <v>46177</v>
      </c>
      <c r="C11" s="100" t="s">
        <v>88</v>
      </c>
      <c r="D11" s="106">
        <v>2125</v>
      </c>
      <c r="E11" s="107">
        <v>4.24</v>
      </c>
      <c r="F11" s="107">
        <v>8.02</v>
      </c>
      <c r="G11" s="62">
        <f t="shared" si="0"/>
        <v>90.1</v>
      </c>
      <c r="H11" s="72">
        <f t="shared" si="1"/>
        <v>170.42499999999998</v>
      </c>
      <c r="I11" s="121">
        <v>2168.6999999999998</v>
      </c>
      <c r="J11" s="121">
        <v>2233.761</v>
      </c>
      <c r="K11" s="121">
        <v>4.7224051274957342</v>
      </c>
      <c r="L11" s="121">
        <v>8.2082814589385329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2"/>
        <v>2233.761</v>
      </c>
      <c r="S11" s="62">
        <f t="shared" si="3"/>
        <v>105.48724399999999</v>
      </c>
      <c r="T11" s="63">
        <f t="shared" si="4"/>
        <v>183.35338999999993</v>
      </c>
      <c r="U11" s="103" t="s">
        <v>167</v>
      </c>
      <c r="V11" s="104" t="s">
        <v>167</v>
      </c>
      <c r="W11" s="139" t="s">
        <v>167</v>
      </c>
      <c r="X11" s="113">
        <v>0</v>
      </c>
      <c r="Y11" s="114">
        <v>0</v>
      </c>
      <c r="Z11" s="114">
        <v>0</v>
      </c>
      <c r="AA11" s="62">
        <f t="shared" si="5"/>
        <v>0</v>
      </c>
      <c r="AB11" s="63">
        <f t="shared" si="6"/>
        <v>0</v>
      </c>
      <c r="AC11" s="69"/>
      <c r="AD11" s="70"/>
      <c r="AE11" s="70"/>
      <c r="AF11" s="62">
        <f t="shared" si="7"/>
        <v>0</v>
      </c>
      <c r="AG11" s="63">
        <f t="shared" si="8"/>
        <v>0</v>
      </c>
      <c r="AH11" s="142">
        <v>4540</v>
      </c>
      <c r="AI11" s="139">
        <v>4.4800000000000004</v>
      </c>
      <c r="AJ11" s="139">
        <v>8.11</v>
      </c>
      <c r="AK11" s="62">
        <f t="shared" si="9"/>
        <v>203.39200000000002</v>
      </c>
      <c r="AL11" s="72">
        <f t="shared" si="10"/>
        <v>368.19399999999996</v>
      </c>
      <c r="AM11" s="81">
        <f t="shared" si="14"/>
        <v>-181.23899999999958</v>
      </c>
      <c r="AN11" s="80">
        <f t="shared" si="11"/>
        <v>-7.804756000000026</v>
      </c>
      <c r="AO11" s="80">
        <f t="shared" si="11"/>
        <v>-14.415610000000015</v>
      </c>
      <c r="AP11" s="115">
        <f t="shared" si="15"/>
        <v>-7.6929501546517343E-2</v>
      </c>
      <c r="AQ11" s="116">
        <f t="shared" si="12"/>
        <v>-7817.8406726933508</v>
      </c>
      <c r="AR11" s="90">
        <f t="shared" si="16"/>
        <v>-181.23899999999958</v>
      </c>
    </row>
    <row r="12" spans="1:44" ht="15.75" x14ac:dyDescent="0.25">
      <c r="A12" t="str">
        <f t="shared" si="13"/>
        <v>46178M</v>
      </c>
      <c r="B12" s="51">
        <f t="shared" si="17"/>
        <v>46178</v>
      </c>
      <c r="C12" s="100" t="s">
        <v>87</v>
      </c>
      <c r="D12" s="106">
        <v>4540</v>
      </c>
      <c r="E12" s="107">
        <v>4.4800000000000004</v>
      </c>
      <c r="F12" s="107">
        <v>8.11</v>
      </c>
      <c r="G12" s="62">
        <f t="shared" si="0"/>
        <v>203.39200000000002</v>
      </c>
      <c r="H12" s="72">
        <f t="shared" si="1"/>
        <v>368.19399999999996</v>
      </c>
      <c r="I12" s="121">
        <v>2036</v>
      </c>
      <c r="J12" s="121">
        <v>2097.08</v>
      </c>
      <c r="K12" s="121">
        <v>5.2</v>
      </c>
      <c r="L12" s="121">
        <v>8.4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2"/>
        <v>2097.08</v>
      </c>
      <c r="S12" s="62">
        <f t="shared" si="3"/>
        <v>109.04816000000001</v>
      </c>
      <c r="T12" s="63">
        <f t="shared" si="4"/>
        <v>176.15472</v>
      </c>
      <c r="U12" s="103" t="s">
        <v>167</v>
      </c>
      <c r="V12" s="104" t="s">
        <v>167</v>
      </c>
      <c r="W12" s="105">
        <v>0</v>
      </c>
      <c r="X12" s="113">
        <v>0</v>
      </c>
      <c r="Y12" s="114">
        <v>0</v>
      </c>
      <c r="Z12" s="114">
        <v>0</v>
      </c>
      <c r="AA12" s="62">
        <f t="shared" si="5"/>
        <v>0</v>
      </c>
      <c r="AB12" s="63">
        <f t="shared" si="6"/>
        <v>0</v>
      </c>
      <c r="AC12" s="69"/>
      <c r="AD12" s="70"/>
      <c r="AE12" s="70"/>
      <c r="AF12" s="62">
        <f t="shared" si="7"/>
        <v>0</v>
      </c>
      <c r="AG12" s="63">
        <f t="shared" si="8"/>
        <v>0</v>
      </c>
      <c r="AH12" s="142">
        <v>6637</v>
      </c>
      <c r="AI12" s="139">
        <v>4.7</v>
      </c>
      <c r="AJ12" s="139">
        <v>8.1999999999999993</v>
      </c>
      <c r="AK12" s="62">
        <f t="shared" si="9"/>
        <v>311.93900000000002</v>
      </c>
      <c r="AL12" s="72">
        <f t="shared" si="10"/>
        <v>544.23399999999992</v>
      </c>
      <c r="AM12" s="81">
        <f t="shared" si="14"/>
        <v>7.999999999992724E-2</v>
      </c>
      <c r="AN12" s="80">
        <f t="shared" si="11"/>
        <v>0.50116000000002714</v>
      </c>
      <c r="AO12" s="80">
        <f t="shared" si="11"/>
        <v>0.11472000000003391</v>
      </c>
      <c r="AP12" s="115">
        <f t="shared" si="15"/>
        <v>2.1594452342138378E-3</v>
      </c>
      <c r="AQ12" s="116">
        <f t="shared" si="12"/>
        <v>259.30837240002234</v>
      </c>
      <c r="AR12" s="90">
        <f t="shared" si="16"/>
        <v>7.999999999992724E-2</v>
      </c>
    </row>
    <row r="13" spans="1:44" ht="15.75" x14ac:dyDescent="0.25">
      <c r="A13" t="str">
        <f t="shared" si="13"/>
        <v>46178E</v>
      </c>
      <c r="B13" s="51">
        <f t="shared" si="17"/>
        <v>46178</v>
      </c>
      <c r="C13" s="100" t="s">
        <v>88</v>
      </c>
      <c r="D13" s="106">
        <v>6637</v>
      </c>
      <c r="E13" s="107">
        <v>4.7</v>
      </c>
      <c r="F13" s="107">
        <v>8.1999999999999993</v>
      </c>
      <c r="G13" s="62">
        <f t="shared" si="0"/>
        <v>311.93900000000002</v>
      </c>
      <c r="H13" s="72">
        <f t="shared" si="1"/>
        <v>544.23399999999992</v>
      </c>
      <c r="I13" s="121">
        <v>1775.8</v>
      </c>
      <c r="J13" s="121">
        <v>1829.0740000000001</v>
      </c>
      <c r="K13" s="121">
        <v>4.5</v>
      </c>
      <c r="L13" s="121">
        <v>8.1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2"/>
        <v>1829.0740000000001</v>
      </c>
      <c r="S13" s="62">
        <f t="shared" si="3"/>
        <v>82.308329999999998</v>
      </c>
      <c r="T13" s="63">
        <f t="shared" si="4"/>
        <v>148.15499400000002</v>
      </c>
      <c r="U13" s="103" t="s">
        <v>167</v>
      </c>
      <c r="V13" s="104" t="s">
        <v>167</v>
      </c>
      <c r="W13" s="139" t="s">
        <v>167</v>
      </c>
      <c r="X13" s="113">
        <v>0</v>
      </c>
      <c r="Y13" s="114">
        <v>0</v>
      </c>
      <c r="Z13" s="114">
        <v>0</v>
      </c>
      <c r="AA13" s="62">
        <f t="shared" si="5"/>
        <v>0</v>
      </c>
      <c r="AB13" s="63">
        <f t="shared" si="6"/>
        <v>0</v>
      </c>
      <c r="AC13" s="69"/>
      <c r="AD13" s="70"/>
      <c r="AE13" s="70"/>
      <c r="AF13" s="62">
        <f t="shared" si="7"/>
        <v>0</v>
      </c>
      <c r="AG13" s="63">
        <f t="shared" si="8"/>
        <v>0</v>
      </c>
      <c r="AH13" s="142">
        <v>8466</v>
      </c>
      <c r="AI13" s="139">
        <v>4.66</v>
      </c>
      <c r="AJ13" s="139">
        <v>8.18</v>
      </c>
      <c r="AK13" s="62">
        <f t="shared" si="9"/>
        <v>394.51560000000001</v>
      </c>
      <c r="AL13" s="72">
        <f t="shared" si="10"/>
        <v>692.51879999999994</v>
      </c>
      <c r="AM13" s="81">
        <f t="shared" si="14"/>
        <v>7.4000000000523869E-2</v>
      </c>
      <c r="AN13" s="80">
        <f t="shared" si="11"/>
        <v>-0.2682699999999727</v>
      </c>
      <c r="AO13" s="80">
        <f t="shared" si="11"/>
        <v>-0.12980600000003051</v>
      </c>
      <c r="AP13" s="115">
        <f t="shared" si="15"/>
        <v>-1.7272856829922457E-3</v>
      </c>
      <c r="AQ13" s="116">
        <f t="shared" si="12"/>
        <v>-159.27656000666354</v>
      </c>
      <c r="AR13" s="90">
        <f t="shared" si="16"/>
        <v>7.4000000000523869E-2</v>
      </c>
    </row>
    <row r="14" spans="1:44" ht="15.75" x14ac:dyDescent="0.25">
      <c r="A14" t="str">
        <f t="shared" si="13"/>
        <v>46179M</v>
      </c>
      <c r="B14" s="51">
        <f t="shared" si="17"/>
        <v>46179</v>
      </c>
      <c r="C14" s="100" t="s">
        <v>87</v>
      </c>
      <c r="D14" s="91">
        <v>8466</v>
      </c>
      <c r="E14" s="62">
        <v>4.66</v>
      </c>
      <c r="F14" s="62">
        <v>8.18</v>
      </c>
      <c r="G14" s="62">
        <f t="shared" si="0"/>
        <v>394.51560000000001</v>
      </c>
      <c r="H14" s="72">
        <f t="shared" si="1"/>
        <v>692.51879999999994</v>
      </c>
      <c r="I14" s="121">
        <v>5758.4</v>
      </c>
      <c r="J14" s="121">
        <v>5931.152</v>
      </c>
      <c r="K14" s="121">
        <v>4.3</v>
      </c>
      <c r="L14" s="121">
        <v>8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2"/>
        <v>5931.152</v>
      </c>
      <c r="S14" s="62">
        <f t="shared" si="3"/>
        <v>255.03953599999997</v>
      </c>
      <c r="T14" s="63">
        <f t="shared" si="4"/>
        <v>474.49216000000001</v>
      </c>
      <c r="U14" s="64" t="s">
        <v>232</v>
      </c>
      <c r="V14" s="65" t="s">
        <v>454</v>
      </c>
      <c r="W14" s="139" t="s">
        <v>225</v>
      </c>
      <c r="X14" s="67">
        <v>10000</v>
      </c>
      <c r="Y14" s="68">
        <v>4.4000000000000004</v>
      </c>
      <c r="Z14" s="68">
        <v>8.2899999999999991</v>
      </c>
      <c r="AA14" s="62">
        <f t="shared" si="5"/>
        <v>440.00000000000006</v>
      </c>
      <c r="AB14" s="63">
        <f t="shared" si="6"/>
        <v>828.99999999999989</v>
      </c>
      <c r="AC14" s="69">
        <v>9910</v>
      </c>
      <c r="AD14" s="70">
        <v>4.3250756811301718</v>
      </c>
      <c r="AE14" s="70">
        <v>8.0898183652875897</v>
      </c>
      <c r="AF14" s="62">
        <f t="shared" si="7"/>
        <v>428.61500000000007</v>
      </c>
      <c r="AG14" s="63">
        <f t="shared" si="8"/>
        <v>801.70100000000002</v>
      </c>
      <c r="AH14" s="142">
        <v>4397</v>
      </c>
      <c r="AI14" s="139">
        <v>4.5</v>
      </c>
      <c r="AJ14" s="139">
        <v>8.11</v>
      </c>
      <c r="AK14" s="62">
        <f t="shared" si="9"/>
        <v>197.86499999999998</v>
      </c>
      <c r="AL14" s="72">
        <f t="shared" si="10"/>
        <v>356.59669999999994</v>
      </c>
      <c r="AM14" s="81">
        <f t="shared" si="14"/>
        <v>90.152000000000044</v>
      </c>
      <c r="AN14" s="80">
        <f t="shared" si="11"/>
        <v>23.075135999999901</v>
      </c>
      <c r="AO14" s="80">
        <f t="shared" si="11"/>
        <v>8.7132600000001048</v>
      </c>
      <c r="AP14" s="115">
        <f t="shared" si="15"/>
        <v>4.3573701011614452E-2</v>
      </c>
      <c r="AQ14" s="116">
        <f t="shared" si="12"/>
        <v>12966.305666159988</v>
      </c>
      <c r="AR14" s="90">
        <f t="shared" si="16"/>
        <v>0.15200000000004366</v>
      </c>
    </row>
    <row r="15" spans="1:44" ht="15.75" x14ac:dyDescent="0.25">
      <c r="A15" t="str">
        <f t="shared" si="13"/>
        <v>46179E</v>
      </c>
      <c r="B15" s="51">
        <f t="shared" si="17"/>
        <v>46179</v>
      </c>
      <c r="C15" s="100" t="s">
        <v>88</v>
      </c>
      <c r="D15" s="91">
        <v>4397</v>
      </c>
      <c r="E15" s="62">
        <v>4.5</v>
      </c>
      <c r="F15" s="62">
        <v>8.11</v>
      </c>
      <c r="G15" s="62">
        <f t="shared" si="0"/>
        <v>197.86499999999998</v>
      </c>
      <c r="H15" s="72">
        <f t="shared" si="1"/>
        <v>356.59669999999994</v>
      </c>
      <c r="I15" s="121">
        <v>1968.6</v>
      </c>
      <c r="J15" s="121">
        <v>2027.6579999999999</v>
      </c>
      <c r="K15" s="121">
        <v>4.7</v>
      </c>
      <c r="L15" s="121">
        <v>8.1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2"/>
        <v>2027.6579999999999</v>
      </c>
      <c r="S15" s="62">
        <f t="shared" si="3"/>
        <v>95.299925999999999</v>
      </c>
      <c r="T15" s="63">
        <f t="shared" si="4"/>
        <v>164.240298</v>
      </c>
      <c r="U15" s="64" t="s">
        <v>167</v>
      </c>
      <c r="V15" s="65" t="s">
        <v>167</v>
      </c>
      <c r="W15" s="139">
        <v>0</v>
      </c>
      <c r="X15" s="67">
        <v>0</v>
      </c>
      <c r="Y15" s="68">
        <v>0</v>
      </c>
      <c r="Z15" s="68">
        <v>0</v>
      </c>
      <c r="AA15" s="62">
        <f t="shared" si="5"/>
        <v>0</v>
      </c>
      <c r="AB15" s="63">
        <f t="shared" si="6"/>
        <v>0</v>
      </c>
      <c r="AC15" s="69"/>
      <c r="AD15" s="70"/>
      <c r="AE15" s="70"/>
      <c r="AF15" s="62">
        <f t="shared" si="7"/>
        <v>0</v>
      </c>
      <c r="AG15" s="63">
        <f t="shared" si="8"/>
        <v>0</v>
      </c>
      <c r="AH15" s="142">
        <v>6425</v>
      </c>
      <c r="AI15" s="139">
        <v>4.5599999999999996</v>
      </c>
      <c r="AJ15" s="139">
        <v>8.11</v>
      </c>
      <c r="AK15" s="62">
        <f t="shared" si="9"/>
        <v>292.97999999999996</v>
      </c>
      <c r="AL15" s="72">
        <f t="shared" si="10"/>
        <v>521.0675</v>
      </c>
      <c r="AM15" s="81">
        <f t="shared" si="14"/>
        <v>-0.34200000000055297</v>
      </c>
      <c r="AN15" s="80">
        <f t="shared" si="11"/>
        <v>0.18492600000001858</v>
      </c>
      <c r="AO15" s="80">
        <f t="shared" si="11"/>
        <v>-0.23050200000000132</v>
      </c>
      <c r="AP15" s="115">
        <f t="shared" si="15"/>
        <v>-1.7560283834841241E-4</v>
      </c>
      <c r="AQ15" s="116">
        <f t="shared" si="12"/>
        <v>14.032028780007934</v>
      </c>
      <c r="AR15" s="90">
        <f t="shared" si="16"/>
        <v>-0.34200000000055297</v>
      </c>
    </row>
    <row r="16" spans="1:44" ht="15.75" x14ac:dyDescent="0.25">
      <c r="A16" t="str">
        <f t="shared" si="13"/>
        <v>46180M</v>
      </c>
      <c r="B16" s="51">
        <f t="shared" si="17"/>
        <v>46180</v>
      </c>
      <c r="C16" s="100" t="s">
        <v>87</v>
      </c>
      <c r="D16" s="91">
        <v>6425</v>
      </c>
      <c r="E16" s="62">
        <v>4.5599999999999996</v>
      </c>
      <c r="F16" s="62">
        <v>8.11</v>
      </c>
      <c r="G16" s="62">
        <f t="shared" si="0"/>
        <v>292.97999999999996</v>
      </c>
      <c r="H16" s="72">
        <f t="shared" si="1"/>
        <v>521.0675</v>
      </c>
      <c r="I16" s="121">
        <v>4349.7</v>
      </c>
      <c r="J16" s="121">
        <v>4480.1909999999998</v>
      </c>
      <c r="K16" s="121">
        <v>4.7</v>
      </c>
      <c r="L16" s="121">
        <v>8.1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2"/>
        <v>4480.1909999999998</v>
      </c>
      <c r="S16" s="62">
        <f t="shared" si="3"/>
        <v>210.56897699999999</v>
      </c>
      <c r="T16" s="63">
        <f t="shared" si="4"/>
        <v>362.89547099999999</v>
      </c>
      <c r="U16" s="64" t="s">
        <v>170</v>
      </c>
      <c r="V16" s="65" t="s">
        <v>455</v>
      </c>
      <c r="W16" s="139" t="s">
        <v>191</v>
      </c>
      <c r="X16" s="67">
        <v>4850</v>
      </c>
      <c r="Y16" s="68">
        <v>4.5999999999999996</v>
      </c>
      <c r="Z16" s="68">
        <v>8.25</v>
      </c>
      <c r="AA16" s="62">
        <f t="shared" si="5"/>
        <v>223.1</v>
      </c>
      <c r="AB16" s="63">
        <f t="shared" si="6"/>
        <v>400.125</v>
      </c>
      <c r="AC16" s="69">
        <v>4850</v>
      </c>
      <c r="AD16" s="70">
        <v>4.5</v>
      </c>
      <c r="AE16" s="70">
        <v>8.18</v>
      </c>
      <c r="AF16" s="62">
        <f t="shared" si="7"/>
        <v>218.25</v>
      </c>
      <c r="AG16" s="63">
        <f t="shared" si="8"/>
        <v>396.72999999999996</v>
      </c>
      <c r="AH16" s="142">
        <v>6055</v>
      </c>
      <c r="AI16" s="139">
        <v>4.62</v>
      </c>
      <c r="AJ16" s="139">
        <v>8.11</v>
      </c>
      <c r="AK16" s="62">
        <f t="shared" si="9"/>
        <v>279.74099999999999</v>
      </c>
      <c r="AL16" s="72">
        <f t="shared" si="10"/>
        <v>491.06049999999993</v>
      </c>
      <c r="AM16" s="81">
        <f t="shared" si="14"/>
        <v>0.19099999999889405</v>
      </c>
      <c r="AN16" s="80">
        <f t="shared" si="11"/>
        <v>5.5579769999999371</v>
      </c>
      <c r="AO16" s="80">
        <f t="shared" si="11"/>
        <v>-3.82752899999997</v>
      </c>
      <c r="AP16" s="115">
        <f t="shared" si="15"/>
        <v>3.0175331810629825E-3</v>
      </c>
      <c r="AQ16" s="116">
        <f t="shared" si="12"/>
        <v>1349.5540928099806</v>
      </c>
      <c r="AR16" s="90">
        <f t="shared" si="16"/>
        <v>0.19099999999889405</v>
      </c>
    </row>
    <row r="17" spans="1:49" ht="15.75" x14ac:dyDescent="0.25">
      <c r="A17" t="str">
        <f t="shared" si="13"/>
        <v>46180E</v>
      </c>
      <c r="B17" s="51">
        <f t="shared" si="17"/>
        <v>46180</v>
      </c>
      <c r="C17" s="100" t="s">
        <v>88</v>
      </c>
      <c r="D17" s="91">
        <v>6055</v>
      </c>
      <c r="E17" s="62">
        <v>4.62</v>
      </c>
      <c r="F17" s="62">
        <v>8.11</v>
      </c>
      <c r="G17" s="62">
        <f t="shared" si="0"/>
        <v>279.74099999999999</v>
      </c>
      <c r="H17" s="72">
        <f t="shared" si="1"/>
        <v>491.06049999999993</v>
      </c>
      <c r="I17" s="121">
        <v>1926.7</v>
      </c>
      <c r="J17" s="121">
        <v>1984.5010000000002</v>
      </c>
      <c r="K17" s="121">
        <v>4.5999999999999996</v>
      </c>
      <c r="L17" s="121">
        <v>8.1999999999999993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2"/>
        <v>1984.5010000000002</v>
      </c>
      <c r="S17" s="62">
        <f t="shared" si="3"/>
        <v>91.287046000000004</v>
      </c>
      <c r="T17" s="63">
        <f t="shared" si="4"/>
        <v>162.72908200000001</v>
      </c>
      <c r="U17" s="64" t="s">
        <v>167</v>
      </c>
      <c r="V17" s="65" t="s">
        <v>167</v>
      </c>
      <c r="W17" s="66" t="s">
        <v>167</v>
      </c>
      <c r="X17" s="67">
        <v>0</v>
      </c>
      <c r="Y17" s="68">
        <v>0</v>
      </c>
      <c r="Z17" s="68">
        <v>0</v>
      </c>
      <c r="AA17" s="62">
        <f t="shared" si="5"/>
        <v>0</v>
      </c>
      <c r="AB17" s="63">
        <f t="shared" si="6"/>
        <v>0</v>
      </c>
      <c r="AC17" s="69"/>
      <c r="AD17" s="70"/>
      <c r="AE17" s="70"/>
      <c r="AF17" s="62">
        <f t="shared" si="7"/>
        <v>0</v>
      </c>
      <c r="AG17" s="63">
        <f t="shared" si="8"/>
        <v>0</v>
      </c>
      <c r="AH17" s="142">
        <v>8039</v>
      </c>
      <c r="AI17" s="139">
        <v>4.62</v>
      </c>
      <c r="AJ17" s="139">
        <v>8.1300000000000008</v>
      </c>
      <c r="AK17" s="62">
        <f t="shared" si="9"/>
        <v>371.40179999999998</v>
      </c>
      <c r="AL17" s="72">
        <f t="shared" si="10"/>
        <v>653.5707000000001</v>
      </c>
      <c r="AM17" s="81">
        <f t="shared" si="14"/>
        <v>0.50100000000020373</v>
      </c>
      <c r="AN17" s="80">
        <f t="shared" si="11"/>
        <v>-0.37375399999996262</v>
      </c>
      <c r="AO17" s="80">
        <f t="shared" si="11"/>
        <v>0.21888199999978042</v>
      </c>
      <c r="AP17" s="115">
        <f t="shared" si="15"/>
        <v>-6.0969357032393708E-4</v>
      </c>
      <c r="AQ17" s="116">
        <f t="shared" si="12"/>
        <v>-102.27636239338226</v>
      </c>
      <c r="AR17" s="90">
        <f t="shared" si="16"/>
        <v>0.50100000000020373</v>
      </c>
    </row>
    <row r="18" spans="1:49" ht="15.75" x14ac:dyDescent="0.25">
      <c r="A18" t="str">
        <f t="shared" si="13"/>
        <v>46181M</v>
      </c>
      <c r="B18" s="51">
        <f t="shared" si="17"/>
        <v>46181</v>
      </c>
      <c r="C18" s="100" t="s">
        <v>87</v>
      </c>
      <c r="D18" s="91">
        <v>8039</v>
      </c>
      <c r="E18" s="62">
        <v>4.62</v>
      </c>
      <c r="F18" s="62">
        <v>8.1300000000000008</v>
      </c>
      <c r="G18" s="62">
        <f t="shared" si="0"/>
        <v>371.40179999999998</v>
      </c>
      <c r="H18" s="72">
        <f t="shared" si="1"/>
        <v>653.5707000000001</v>
      </c>
      <c r="I18" s="121">
        <v>7121.6</v>
      </c>
      <c r="J18" s="121">
        <v>7335.2480000000005</v>
      </c>
      <c r="K18" s="121">
        <v>4.4000000000000004</v>
      </c>
      <c r="L18" s="121">
        <v>7.9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2"/>
        <v>7335.2480000000005</v>
      </c>
      <c r="S18" s="62">
        <f t="shared" si="3"/>
        <v>322.75091200000003</v>
      </c>
      <c r="T18" s="63">
        <f t="shared" si="4"/>
        <v>579.48459200000002</v>
      </c>
      <c r="U18" s="64" t="s">
        <v>232</v>
      </c>
      <c r="V18" s="65" t="s">
        <v>456</v>
      </c>
      <c r="W18" s="139" t="s">
        <v>191</v>
      </c>
      <c r="X18" s="67">
        <v>10000</v>
      </c>
      <c r="Y18" s="68">
        <v>4.3499999999999996</v>
      </c>
      <c r="Z18" s="68">
        <v>8.2100000000000009</v>
      </c>
      <c r="AA18" s="62">
        <f t="shared" si="5"/>
        <v>434.99999999999994</v>
      </c>
      <c r="AB18" s="63">
        <f t="shared" si="6"/>
        <v>821.00000000000011</v>
      </c>
      <c r="AC18" s="69">
        <v>9980</v>
      </c>
      <c r="AD18" s="70">
        <v>4.2997995991983968</v>
      </c>
      <c r="AE18" s="70">
        <v>8.0100000000000016</v>
      </c>
      <c r="AF18" s="62">
        <f t="shared" si="7"/>
        <v>429.12000000000006</v>
      </c>
      <c r="AG18" s="63">
        <f t="shared" si="8"/>
        <v>799.39800000000014</v>
      </c>
      <c r="AH18" s="142">
        <v>5374</v>
      </c>
      <c r="AI18" s="139">
        <v>4.5199999999999996</v>
      </c>
      <c r="AJ18" s="139">
        <v>8.02</v>
      </c>
      <c r="AK18" s="62">
        <f t="shared" si="9"/>
        <v>242.90479999999999</v>
      </c>
      <c r="AL18" s="72">
        <f t="shared" si="10"/>
        <v>430.99479999999994</v>
      </c>
      <c r="AM18" s="81">
        <f t="shared" si="14"/>
        <v>20.247999999999593</v>
      </c>
      <c r="AN18" s="80">
        <f t="shared" si="11"/>
        <v>22.127912000000009</v>
      </c>
      <c r="AO18" s="80">
        <f t="shared" si="11"/>
        <v>2.6624919999999292</v>
      </c>
      <c r="AP18" s="115">
        <f t="shared" si="15"/>
        <v>2.7476644279784336E-2</v>
      </c>
      <c r="AQ18" s="116">
        <f t="shared" si="12"/>
        <v>10730.253831733316</v>
      </c>
      <c r="AR18" s="90">
        <f t="shared" si="16"/>
        <v>0.24799999999959255</v>
      </c>
    </row>
    <row r="19" spans="1:49" ht="15.75" x14ac:dyDescent="0.25">
      <c r="A19" t="str">
        <f t="shared" si="13"/>
        <v>46181E</v>
      </c>
      <c r="B19" s="51">
        <f t="shared" si="17"/>
        <v>46181</v>
      </c>
      <c r="C19" s="100" t="s">
        <v>88</v>
      </c>
      <c r="D19" s="91">
        <v>5374</v>
      </c>
      <c r="E19" s="62">
        <v>4.5199999999999996</v>
      </c>
      <c r="F19" s="62">
        <v>8.02</v>
      </c>
      <c r="G19" s="62">
        <f t="shared" si="0"/>
        <v>242.90479999999999</v>
      </c>
      <c r="H19" s="72">
        <f t="shared" si="1"/>
        <v>430.99479999999994</v>
      </c>
      <c r="I19" s="121">
        <v>4568.3</v>
      </c>
      <c r="J19" s="121">
        <v>4705.3490000000002</v>
      </c>
      <c r="K19" s="121">
        <v>4.3</v>
      </c>
      <c r="L19" s="121">
        <v>7.9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2"/>
        <v>4705.3490000000002</v>
      </c>
      <c r="S19" s="62">
        <f t="shared" si="3"/>
        <v>202.33000699999999</v>
      </c>
      <c r="T19" s="63">
        <f t="shared" si="4"/>
        <v>371.72257100000002</v>
      </c>
      <c r="U19" s="64" t="s">
        <v>175</v>
      </c>
      <c r="V19" s="65" t="s">
        <v>457</v>
      </c>
      <c r="W19" s="66" t="s">
        <v>191</v>
      </c>
      <c r="X19" s="67">
        <v>7100</v>
      </c>
      <c r="Y19" s="68">
        <v>4.4000000000000004</v>
      </c>
      <c r="Z19" s="68">
        <v>8.16</v>
      </c>
      <c r="AA19" s="62">
        <f t="shared" si="5"/>
        <v>312.40000000000003</v>
      </c>
      <c r="AB19" s="63">
        <f t="shared" si="6"/>
        <v>579.36</v>
      </c>
      <c r="AC19" s="69">
        <v>7070</v>
      </c>
      <c r="AD19" s="70">
        <v>4.351060820367751</v>
      </c>
      <c r="AE19" s="70">
        <v>8.0302121640735482</v>
      </c>
      <c r="AF19" s="62">
        <f t="shared" si="7"/>
        <v>307.62</v>
      </c>
      <c r="AG19" s="63">
        <f t="shared" si="8"/>
        <v>567.73599999999988</v>
      </c>
      <c r="AH19" s="142">
        <v>2979</v>
      </c>
      <c r="AI19" s="139">
        <v>4.42</v>
      </c>
      <c r="AJ19" s="139">
        <v>8</v>
      </c>
      <c r="AK19" s="62">
        <f t="shared" si="9"/>
        <v>131.67179999999999</v>
      </c>
      <c r="AL19" s="72">
        <f t="shared" si="10"/>
        <v>238.32</v>
      </c>
      <c r="AM19" s="81">
        <f t="shared" si="14"/>
        <v>30.34900000000016</v>
      </c>
      <c r="AN19" s="80">
        <f t="shared" si="11"/>
        <v>5.9430069999999944</v>
      </c>
      <c r="AO19" s="80">
        <f t="shared" si="11"/>
        <v>-3.3386289999999121</v>
      </c>
      <c r="AP19" s="115">
        <f t="shared" si="15"/>
        <v>4.5368283321254978E-3</v>
      </c>
      <c r="AQ19" s="116">
        <f t="shared" si="12"/>
        <v>1668.7126427766905</v>
      </c>
      <c r="AR19" s="90">
        <f t="shared" si="16"/>
        <v>0.34900000000016007</v>
      </c>
    </row>
    <row r="20" spans="1:49" ht="15.75" x14ac:dyDescent="0.25">
      <c r="A20" t="str">
        <f t="shared" si="13"/>
        <v>46182M</v>
      </c>
      <c r="B20" s="51">
        <f t="shared" si="17"/>
        <v>46182</v>
      </c>
      <c r="C20" s="100" t="s">
        <v>87</v>
      </c>
      <c r="D20" s="91">
        <v>2979</v>
      </c>
      <c r="E20" s="62">
        <v>4.42</v>
      </c>
      <c r="F20" s="62">
        <v>8</v>
      </c>
      <c r="G20" s="62">
        <f t="shared" si="0"/>
        <v>131.67179999999999</v>
      </c>
      <c r="H20" s="72">
        <f t="shared" si="1"/>
        <v>238.32</v>
      </c>
      <c r="I20" s="121">
        <v>2344.1</v>
      </c>
      <c r="J20" s="121">
        <v>2414.4229999999998</v>
      </c>
      <c r="K20" s="121">
        <v>5.2</v>
      </c>
      <c r="L20" s="121">
        <v>8.5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2"/>
        <v>2414.4229999999998</v>
      </c>
      <c r="S20" s="62">
        <f t="shared" si="3"/>
        <v>125.54999599999999</v>
      </c>
      <c r="T20" s="63">
        <f t="shared" si="4"/>
        <v>205.225955</v>
      </c>
      <c r="U20" s="64" t="s">
        <v>167</v>
      </c>
      <c r="V20" s="65" t="s">
        <v>167</v>
      </c>
      <c r="W20" s="139">
        <v>0</v>
      </c>
      <c r="X20" s="67">
        <v>0</v>
      </c>
      <c r="Y20" s="68">
        <v>0</v>
      </c>
      <c r="Z20" s="68">
        <v>0</v>
      </c>
      <c r="AA20" s="62">
        <f t="shared" si="5"/>
        <v>0</v>
      </c>
      <c r="AB20" s="63">
        <f t="shared" si="6"/>
        <v>0</v>
      </c>
      <c r="AC20" s="69"/>
      <c r="AD20" s="70"/>
      <c r="AE20" s="70"/>
      <c r="AF20" s="62">
        <f t="shared" si="7"/>
        <v>0</v>
      </c>
      <c r="AG20" s="63">
        <f t="shared" si="8"/>
        <v>0</v>
      </c>
      <c r="AH20" s="142">
        <v>5393</v>
      </c>
      <c r="AI20" s="139">
        <v>4.7699999999999996</v>
      </c>
      <c r="AJ20" s="139">
        <v>8.2200000000000006</v>
      </c>
      <c r="AK20" s="62">
        <f t="shared" si="9"/>
        <v>257.24609999999996</v>
      </c>
      <c r="AL20" s="72">
        <f t="shared" si="10"/>
        <v>443.30460000000005</v>
      </c>
      <c r="AM20" s="81">
        <f t="shared" si="14"/>
        <v>0.42299999999977445</v>
      </c>
      <c r="AN20" s="80">
        <f t="shared" ref="AN20:AO65" si="18">+G20+S20-AF20-AK20</f>
        <v>-2.4303999999972348E-2</v>
      </c>
      <c r="AO20" s="80">
        <f t="shared" si="18"/>
        <v>0.24135499999994181</v>
      </c>
      <c r="AP20" s="115">
        <f t="shared" si="15"/>
        <v>6.5618736593087287E-4</v>
      </c>
      <c r="AQ20" s="116">
        <f t="shared" si="12"/>
        <v>61.320806726661672</v>
      </c>
      <c r="AR20" s="90">
        <f>(D20+J20+O20)-(X20+AH20)</f>
        <v>0.42299999999977445</v>
      </c>
    </row>
    <row r="21" spans="1:49" ht="15.75" x14ac:dyDescent="0.25">
      <c r="A21" t="str">
        <f t="shared" si="13"/>
        <v>46182E</v>
      </c>
      <c r="B21" s="51">
        <f t="shared" si="17"/>
        <v>46182</v>
      </c>
      <c r="C21" s="100" t="s">
        <v>88</v>
      </c>
      <c r="D21" s="91">
        <v>5393</v>
      </c>
      <c r="E21" s="62">
        <v>4.7699999999999996</v>
      </c>
      <c r="F21" s="62">
        <v>8.2200000000000006</v>
      </c>
      <c r="G21" s="62">
        <f t="shared" si="0"/>
        <v>257.24609999999996</v>
      </c>
      <c r="H21" s="72">
        <f t="shared" si="1"/>
        <v>443.30460000000005</v>
      </c>
      <c r="I21" s="121">
        <v>1986.4</v>
      </c>
      <c r="J21" s="121">
        <v>2045.9920000000002</v>
      </c>
      <c r="K21" s="121">
        <v>4.7</v>
      </c>
      <c r="L21" s="121">
        <v>8.1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2"/>
        <v>2045.9920000000002</v>
      </c>
      <c r="S21" s="62">
        <f t="shared" si="3"/>
        <v>96.161624000000003</v>
      </c>
      <c r="T21" s="63">
        <f t="shared" si="4"/>
        <v>165.72535200000002</v>
      </c>
      <c r="U21" s="64" t="s">
        <v>170</v>
      </c>
      <c r="V21" s="65" t="s">
        <v>458</v>
      </c>
      <c r="W21" s="105" t="s">
        <v>191</v>
      </c>
      <c r="X21" s="67">
        <v>4850</v>
      </c>
      <c r="Y21" s="68">
        <v>4.4000000000000004</v>
      </c>
      <c r="Z21" s="68">
        <v>8.16</v>
      </c>
      <c r="AA21" s="62">
        <f t="shared" si="5"/>
        <v>213.40000000000003</v>
      </c>
      <c r="AB21" s="63">
        <f t="shared" si="6"/>
        <v>395.76000000000005</v>
      </c>
      <c r="AC21" s="69">
        <v>4860</v>
      </c>
      <c r="AD21" s="70">
        <v>4.3</v>
      </c>
      <c r="AE21" s="70">
        <v>8.02</v>
      </c>
      <c r="AF21" s="62">
        <f t="shared" si="7"/>
        <v>208.98</v>
      </c>
      <c r="AG21" s="63">
        <f t="shared" si="8"/>
        <v>389.77199999999999</v>
      </c>
      <c r="AH21" s="142">
        <v>2589</v>
      </c>
      <c r="AI21" s="139">
        <v>4.75</v>
      </c>
      <c r="AJ21" s="139">
        <v>8.19</v>
      </c>
      <c r="AK21" s="62">
        <f t="shared" si="9"/>
        <v>122.97750000000001</v>
      </c>
      <c r="AL21" s="72">
        <f t="shared" si="10"/>
        <v>212.03909999999999</v>
      </c>
      <c r="AM21" s="81">
        <f t="shared" si="14"/>
        <v>-10.007999999999811</v>
      </c>
      <c r="AN21" s="80">
        <f t="shared" si="18"/>
        <v>21.450223999999977</v>
      </c>
      <c r="AO21" s="80">
        <f t="shared" si="18"/>
        <v>7.218852000000112</v>
      </c>
      <c r="AP21" s="115">
        <f t="shared" si="15"/>
        <v>0.10947117889512799</v>
      </c>
      <c r="AQ21" s="116">
        <f t="shared" si="12"/>
        <v>11789.629956720024</v>
      </c>
      <c r="AR21" s="90">
        <f>(D21+J21+O21)-(X21+AH21)</f>
        <v>-7.9999999998108251E-3</v>
      </c>
      <c r="AS21" s="90">
        <f>SUM(J8:J21)</f>
        <v>50356.288</v>
      </c>
      <c r="AT21" s="83">
        <f>SUM(AM8:AM21)</f>
        <v>-48.712000000000444</v>
      </c>
      <c r="AU21" s="83">
        <f>SUM(AN8:AN21)</f>
        <v>77.139292000000111</v>
      </c>
      <c r="AV21" s="83">
        <f>SUM(AO8:AO21)</f>
        <v>-33.553509999999903</v>
      </c>
      <c r="AW21" s="83">
        <f>-SUM(AQ8:AQ21)</f>
        <v>-24586.928788986748</v>
      </c>
    </row>
    <row r="22" spans="1:49" ht="15.75" x14ac:dyDescent="0.25">
      <c r="A22" t="str">
        <f t="shared" si="13"/>
        <v>46183M</v>
      </c>
      <c r="B22" s="51">
        <f t="shared" si="17"/>
        <v>46183</v>
      </c>
      <c r="C22" s="100" t="s">
        <v>87</v>
      </c>
      <c r="D22" s="91">
        <v>2589</v>
      </c>
      <c r="E22" s="62">
        <v>4.75</v>
      </c>
      <c r="F22" s="62">
        <v>8.19</v>
      </c>
      <c r="G22" s="62">
        <f t="shared" si="0"/>
        <v>122.97750000000001</v>
      </c>
      <c r="H22" s="72">
        <f t="shared" si="1"/>
        <v>212.03909999999999</v>
      </c>
      <c r="I22" s="121">
        <v>3860.3</v>
      </c>
      <c r="J22" s="121">
        <v>3976.1090000000004</v>
      </c>
      <c r="K22" s="121">
        <v>4.5</v>
      </c>
      <c r="L22" s="121">
        <v>8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2"/>
        <v>3976.1090000000004</v>
      </c>
      <c r="S22" s="62">
        <f t="shared" si="3"/>
        <v>178.92490500000002</v>
      </c>
      <c r="T22" s="63">
        <f t="shared" si="4"/>
        <v>318.08872000000002</v>
      </c>
      <c r="U22" s="64" t="s">
        <v>167</v>
      </c>
      <c r="V22" s="65" t="s">
        <v>167</v>
      </c>
      <c r="W22" s="139">
        <v>0</v>
      </c>
      <c r="X22" s="67">
        <v>0</v>
      </c>
      <c r="Y22" s="68">
        <v>0</v>
      </c>
      <c r="Z22" s="68">
        <v>0</v>
      </c>
      <c r="AA22" s="62">
        <f t="shared" si="5"/>
        <v>0</v>
      </c>
      <c r="AB22" s="63">
        <f t="shared" si="6"/>
        <v>0</v>
      </c>
      <c r="AC22" s="69"/>
      <c r="AD22" s="70"/>
      <c r="AE22" s="70"/>
      <c r="AF22" s="62">
        <f t="shared" si="7"/>
        <v>0</v>
      </c>
      <c r="AG22" s="63">
        <f t="shared" si="8"/>
        <v>0</v>
      </c>
      <c r="AH22" s="142">
        <v>6565</v>
      </c>
      <c r="AI22" s="139">
        <v>4.5999999999999996</v>
      </c>
      <c r="AJ22" s="139">
        <v>8.07</v>
      </c>
      <c r="AK22" s="62">
        <f t="shared" si="9"/>
        <v>301.99</v>
      </c>
      <c r="AL22" s="72">
        <f t="shared" si="10"/>
        <v>529.79550000000006</v>
      </c>
      <c r="AM22" s="81">
        <f t="shared" si="14"/>
        <v>0.10900000000037835</v>
      </c>
      <c r="AN22" s="80">
        <f t="shared" si="18"/>
        <v>-8.7594999999964784E-2</v>
      </c>
      <c r="AO22" s="80">
        <f t="shared" si="18"/>
        <v>0.33231999999998152</v>
      </c>
      <c r="AP22" s="115">
        <f t="shared" si="15"/>
        <v>4.9239092791473614E-4</v>
      </c>
      <c r="AQ22" s="116">
        <f t="shared" si="12"/>
        <v>60.132242683343627</v>
      </c>
      <c r="AR22" s="90">
        <f t="shared" ref="AR22:AR63" si="19">(D22+J22+O22)-(X22+AH22)</f>
        <v>0.10900000000037835</v>
      </c>
    </row>
    <row r="23" spans="1:49" ht="15.75" x14ac:dyDescent="0.25">
      <c r="A23" t="str">
        <f t="shared" si="13"/>
        <v>46183E</v>
      </c>
      <c r="B23" s="51">
        <f t="shared" si="17"/>
        <v>46183</v>
      </c>
      <c r="C23" s="100" t="s">
        <v>88</v>
      </c>
      <c r="D23" s="91">
        <v>6565</v>
      </c>
      <c r="E23" s="62">
        <v>4.5999999999999996</v>
      </c>
      <c r="F23" s="62">
        <v>8.07</v>
      </c>
      <c r="G23" s="62">
        <f t="shared" si="0"/>
        <v>301.99</v>
      </c>
      <c r="H23" s="72">
        <f t="shared" si="1"/>
        <v>529.79550000000006</v>
      </c>
      <c r="I23" s="121">
        <v>5755.2</v>
      </c>
      <c r="J23" s="121">
        <v>5927.8559999999998</v>
      </c>
      <c r="K23" s="121">
        <v>4</v>
      </c>
      <c r="L23" s="121">
        <v>7.9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2"/>
        <v>5927.8559999999998</v>
      </c>
      <c r="S23" s="62">
        <f t="shared" si="3"/>
        <v>237.11424</v>
      </c>
      <c r="T23" s="63">
        <f t="shared" si="4"/>
        <v>468.30062399999997</v>
      </c>
      <c r="U23" s="64" t="s">
        <v>232</v>
      </c>
      <c r="V23" s="65" t="s">
        <v>459</v>
      </c>
      <c r="W23" s="105" t="s">
        <v>191</v>
      </c>
      <c r="X23" s="67">
        <v>10000</v>
      </c>
      <c r="Y23" s="68">
        <v>4.4000000000000004</v>
      </c>
      <c r="Z23" s="68">
        <v>8.2200000000000006</v>
      </c>
      <c r="AA23" s="62">
        <f t="shared" si="5"/>
        <v>440.00000000000006</v>
      </c>
      <c r="AB23" s="63">
        <f t="shared" si="6"/>
        <v>822.00000000000011</v>
      </c>
      <c r="AC23" s="226">
        <v>10000</v>
      </c>
      <c r="AD23" s="227">
        <v>4.4000000000000004</v>
      </c>
      <c r="AE23" s="227">
        <v>8.2200000000000006</v>
      </c>
      <c r="AF23" s="62">
        <f t="shared" si="7"/>
        <v>440.00000000000006</v>
      </c>
      <c r="AG23" s="63">
        <f t="shared" si="8"/>
        <v>822.00000000000011</v>
      </c>
      <c r="AH23" s="142">
        <v>2493</v>
      </c>
      <c r="AI23" s="139">
        <v>4.32</v>
      </c>
      <c r="AJ23" s="139">
        <v>8</v>
      </c>
      <c r="AK23" s="62">
        <f t="shared" si="9"/>
        <v>107.69760000000001</v>
      </c>
      <c r="AL23" s="72">
        <f t="shared" si="10"/>
        <v>199.44</v>
      </c>
      <c r="AM23" s="81">
        <f t="shared" si="14"/>
        <v>-0.14400000000023283</v>
      </c>
      <c r="AN23" s="80">
        <f t="shared" si="18"/>
        <v>-8.5933600000000609</v>
      </c>
      <c r="AO23" s="80">
        <f t="shared" si="18"/>
        <v>-23.34387600000008</v>
      </c>
      <c r="AP23" s="115">
        <f t="shared" si="15"/>
        <v>-4.5274401816404228E-2</v>
      </c>
      <c r="AQ23" s="116">
        <f t="shared" si="12"/>
        <v>-10843.844821040053</v>
      </c>
      <c r="AR23" s="90">
        <f t="shared" si="19"/>
        <v>-0.14400000000023283</v>
      </c>
    </row>
    <row r="24" spans="1:49" ht="15.75" x14ac:dyDescent="0.25">
      <c r="A24" t="str">
        <f t="shared" si="13"/>
        <v>46184M</v>
      </c>
      <c r="B24" s="51">
        <f t="shared" si="17"/>
        <v>46184</v>
      </c>
      <c r="C24" s="100" t="s">
        <v>87</v>
      </c>
      <c r="D24" s="91"/>
      <c r="E24" s="62"/>
      <c r="F24" s="62"/>
      <c r="G24" s="62">
        <f t="shared" si="0"/>
        <v>0</v>
      </c>
      <c r="H24" s="72">
        <f t="shared" si="1"/>
        <v>0</v>
      </c>
      <c r="I24" s="121"/>
      <c r="J24" s="121"/>
      <c r="K24" s="121"/>
      <c r="L24" s="121"/>
      <c r="M24" s="58"/>
      <c r="N24" s="58"/>
      <c r="O24" s="59"/>
      <c r="P24" s="56"/>
      <c r="Q24" s="60"/>
      <c r="R24" s="61">
        <f t="shared" si="2"/>
        <v>0</v>
      </c>
      <c r="S24" s="62">
        <f t="shared" si="3"/>
        <v>0</v>
      </c>
      <c r="T24" s="63">
        <f t="shared" si="4"/>
        <v>0</v>
      </c>
      <c r="U24" s="64"/>
      <c r="V24" s="65"/>
      <c r="W24" s="105"/>
      <c r="X24" s="67"/>
      <c r="Y24" s="68"/>
      <c r="Z24" s="68"/>
      <c r="AA24" s="62">
        <f t="shared" si="5"/>
        <v>0</v>
      </c>
      <c r="AB24" s="63">
        <f t="shared" si="6"/>
        <v>0</v>
      </c>
      <c r="AC24" s="69"/>
      <c r="AD24" s="70"/>
      <c r="AE24" s="70"/>
      <c r="AF24" s="62">
        <f t="shared" si="7"/>
        <v>0</v>
      </c>
      <c r="AG24" s="63">
        <f t="shared" si="8"/>
        <v>0</v>
      </c>
      <c r="AH24" s="142"/>
      <c r="AI24" s="139"/>
      <c r="AJ24" s="139"/>
      <c r="AK24" s="62">
        <f t="shared" si="9"/>
        <v>0</v>
      </c>
      <c r="AL24" s="72">
        <f t="shared" si="10"/>
        <v>0</v>
      </c>
      <c r="AM24" s="81">
        <f t="shared" si="14"/>
        <v>0</v>
      </c>
      <c r="AN24" s="80">
        <f t="shared" si="18"/>
        <v>0</v>
      </c>
      <c r="AO24" s="80">
        <f t="shared" si="18"/>
        <v>0</v>
      </c>
      <c r="AP24" s="115" t="e">
        <f t="shared" si="15"/>
        <v>#DIV/0!</v>
      </c>
      <c r="AQ24" s="116">
        <f t="shared" si="12"/>
        <v>0</v>
      </c>
      <c r="AR24" s="90">
        <f t="shared" si="19"/>
        <v>0</v>
      </c>
    </row>
    <row r="25" spans="1:49" ht="15.75" x14ac:dyDescent="0.25">
      <c r="A25" t="str">
        <f t="shared" si="13"/>
        <v>46184E</v>
      </c>
      <c r="B25" s="51">
        <f t="shared" si="17"/>
        <v>46184</v>
      </c>
      <c r="C25" s="100" t="s">
        <v>88</v>
      </c>
      <c r="D25" s="91"/>
      <c r="E25" s="62"/>
      <c r="F25" s="62"/>
      <c r="G25" s="62">
        <f t="shared" si="0"/>
        <v>0</v>
      </c>
      <c r="H25" s="72">
        <f t="shared" si="1"/>
        <v>0</v>
      </c>
      <c r="I25" s="121"/>
      <c r="J25" s="121"/>
      <c r="K25" s="121"/>
      <c r="L25" s="121"/>
      <c r="M25" s="58"/>
      <c r="N25" s="58"/>
      <c r="O25" s="59"/>
      <c r="P25" s="56"/>
      <c r="Q25" s="60"/>
      <c r="R25" s="61">
        <f t="shared" si="2"/>
        <v>0</v>
      </c>
      <c r="S25" s="62">
        <f t="shared" si="3"/>
        <v>0</v>
      </c>
      <c r="T25" s="63">
        <f t="shared" si="4"/>
        <v>0</v>
      </c>
      <c r="U25" s="64"/>
      <c r="V25" s="65"/>
      <c r="W25" s="66"/>
      <c r="X25" s="67"/>
      <c r="Y25" s="68"/>
      <c r="Z25" s="68"/>
      <c r="AA25" s="62">
        <f t="shared" si="5"/>
        <v>0</v>
      </c>
      <c r="AB25" s="63">
        <f t="shared" si="6"/>
        <v>0</v>
      </c>
      <c r="AC25" s="69"/>
      <c r="AD25" s="70"/>
      <c r="AE25" s="70"/>
      <c r="AF25" s="62">
        <f t="shared" si="7"/>
        <v>0</v>
      </c>
      <c r="AG25" s="63">
        <f t="shared" si="8"/>
        <v>0</v>
      </c>
      <c r="AH25" s="142"/>
      <c r="AI25" s="139"/>
      <c r="AJ25" s="139"/>
      <c r="AK25" s="62">
        <f t="shared" si="9"/>
        <v>0</v>
      </c>
      <c r="AL25" s="72">
        <f t="shared" si="10"/>
        <v>0</v>
      </c>
      <c r="AM25" s="81">
        <f t="shared" si="14"/>
        <v>0</v>
      </c>
      <c r="AN25" s="80">
        <f t="shared" si="18"/>
        <v>0</v>
      </c>
      <c r="AO25" s="80">
        <f t="shared" si="18"/>
        <v>0</v>
      </c>
      <c r="AP25" s="115" t="e">
        <f t="shared" si="15"/>
        <v>#DIV/0!</v>
      </c>
      <c r="AQ25" s="116">
        <f t="shared" si="12"/>
        <v>0</v>
      </c>
      <c r="AR25" s="90">
        <f t="shared" si="19"/>
        <v>0</v>
      </c>
    </row>
    <row r="26" spans="1:49" ht="15.75" x14ac:dyDescent="0.25">
      <c r="A26" t="str">
        <f t="shared" si="13"/>
        <v>46185M</v>
      </c>
      <c r="B26" s="51">
        <f t="shared" si="17"/>
        <v>46185</v>
      </c>
      <c r="C26" s="100" t="s">
        <v>87</v>
      </c>
      <c r="D26" s="91"/>
      <c r="E26" s="62"/>
      <c r="F26" s="62"/>
      <c r="G26" s="62">
        <f t="shared" si="0"/>
        <v>0</v>
      </c>
      <c r="H26" s="72">
        <f t="shared" si="1"/>
        <v>0</v>
      </c>
      <c r="I26" s="121"/>
      <c r="J26" s="121"/>
      <c r="K26" s="121"/>
      <c r="L26" s="121"/>
      <c r="M26" s="58"/>
      <c r="N26" s="58"/>
      <c r="O26" s="59"/>
      <c r="P26" s="56"/>
      <c r="Q26" s="60"/>
      <c r="R26" s="61">
        <f t="shared" si="2"/>
        <v>0</v>
      </c>
      <c r="S26" s="62">
        <f t="shared" si="3"/>
        <v>0</v>
      </c>
      <c r="T26" s="63">
        <f t="shared" si="4"/>
        <v>0</v>
      </c>
      <c r="U26" s="64"/>
      <c r="V26" s="65"/>
      <c r="W26" s="139"/>
      <c r="X26" s="67"/>
      <c r="Y26" s="68"/>
      <c r="Z26" s="68"/>
      <c r="AA26" s="62">
        <f t="shared" si="5"/>
        <v>0</v>
      </c>
      <c r="AB26" s="63">
        <f t="shared" si="6"/>
        <v>0</v>
      </c>
      <c r="AC26" s="69"/>
      <c r="AD26" s="70"/>
      <c r="AE26" s="70"/>
      <c r="AF26" s="62">
        <f t="shared" si="7"/>
        <v>0</v>
      </c>
      <c r="AG26" s="63">
        <f t="shared" si="8"/>
        <v>0</v>
      </c>
      <c r="AH26" s="142"/>
      <c r="AI26" s="139"/>
      <c r="AJ26" s="139"/>
      <c r="AK26" s="62">
        <f t="shared" si="9"/>
        <v>0</v>
      </c>
      <c r="AL26" s="72">
        <f t="shared" si="10"/>
        <v>0</v>
      </c>
      <c r="AM26" s="81">
        <f t="shared" si="14"/>
        <v>0</v>
      </c>
      <c r="AN26" s="80">
        <f t="shared" si="18"/>
        <v>0</v>
      </c>
      <c r="AO26" s="80">
        <f t="shared" si="18"/>
        <v>0</v>
      </c>
      <c r="AP26" s="115" t="e">
        <f t="shared" si="15"/>
        <v>#DIV/0!</v>
      </c>
      <c r="AQ26" s="116">
        <f t="shared" si="12"/>
        <v>0</v>
      </c>
      <c r="AR26" s="90">
        <f t="shared" si="19"/>
        <v>0</v>
      </c>
    </row>
    <row r="27" spans="1:49" ht="15.75" x14ac:dyDescent="0.25">
      <c r="A27" t="str">
        <f t="shared" si="13"/>
        <v>46185E</v>
      </c>
      <c r="B27" s="51">
        <f t="shared" si="17"/>
        <v>46185</v>
      </c>
      <c r="C27" s="100" t="s">
        <v>88</v>
      </c>
      <c r="D27" s="91"/>
      <c r="E27" s="62"/>
      <c r="F27" s="62"/>
      <c r="G27" s="62">
        <f t="shared" si="0"/>
        <v>0</v>
      </c>
      <c r="H27" s="72">
        <f t="shared" si="1"/>
        <v>0</v>
      </c>
      <c r="I27" s="121"/>
      <c r="J27" s="121"/>
      <c r="K27" s="121"/>
      <c r="L27" s="121"/>
      <c r="M27" s="58"/>
      <c r="N27" s="58"/>
      <c r="O27" s="59"/>
      <c r="P27" s="56"/>
      <c r="Q27" s="60"/>
      <c r="R27" s="61">
        <f t="shared" si="2"/>
        <v>0</v>
      </c>
      <c r="S27" s="62">
        <f t="shared" si="3"/>
        <v>0</v>
      </c>
      <c r="T27" s="63">
        <f t="shared" si="4"/>
        <v>0</v>
      </c>
      <c r="U27" s="64"/>
      <c r="V27" s="65"/>
      <c r="W27" s="105"/>
      <c r="X27" s="67"/>
      <c r="Y27" s="68"/>
      <c r="Z27" s="68"/>
      <c r="AA27" s="62">
        <f t="shared" si="5"/>
        <v>0</v>
      </c>
      <c r="AB27" s="63">
        <f t="shared" si="6"/>
        <v>0</v>
      </c>
      <c r="AC27" s="69"/>
      <c r="AD27" s="70"/>
      <c r="AE27" s="70"/>
      <c r="AF27" s="62">
        <f t="shared" si="7"/>
        <v>0</v>
      </c>
      <c r="AG27" s="63">
        <f t="shared" si="8"/>
        <v>0</v>
      </c>
      <c r="AH27" s="142"/>
      <c r="AI27" s="139"/>
      <c r="AJ27" s="139"/>
      <c r="AK27" s="62">
        <f t="shared" si="9"/>
        <v>0</v>
      </c>
      <c r="AL27" s="72">
        <f t="shared" si="10"/>
        <v>0</v>
      </c>
      <c r="AM27" s="81">
        <f t="shared" si="14"/>
        <v>0</v>
      </c>
      <c r="AN27" s="80">
        <f t="shared" si="18"/>
        <v>0</v>
      </c>
      <c r="AO27" s="80">
        <f t="shared" si="18"/>
        <v>0</v>
      </c>
      <c r="AP27" s="115" t="e">
        <f t="shared" si="15"/>
        <v>#DIV/0!</v>
      </c>
      <c r="AQ27" s="116">
        <f t="shared" si="12"/>
        <v>0</v>
      </c>
      <c r="AR27" s="90">
        <f>(D27+J27+O27)-(X27+AH27)</f>
        <v>0</v>
      </c>
    </row>
    <row r="28" spans="1:49" ht="15.75" x14ac:dyDescent="0.25">
      <c r="A28" t="str">
        <f t="shared" si="13"/>
        <v>46186M</v>
      </c>
      <c r="B28" s="51">
        <f t="shared" si="17"/>
        <v>46186</v>
      </c>
      <c r="C28" s="100" t="s">
        <v>87</v>
      </c>
      <c r="D28" s="91"/>
      <c r="E28" s="62"/>
      <c r="F28" s="62"/>
      <c r="G28" s="62">
        <f t="shared" si="0"/>
        <v>0</v>
      </c>
      <c r="H28" s="72">
        <f t="shared" si="1"/>
        <v>0</v>
      </c>
      <c r="I28" s="121"/>
      <c r="J28" s="121"/>
      <c r="K28" s="121"/>
      <c r="L28" s="121"/>
      <c r="M28" s="58"/>
      <c r="N28" s="58"/>
      <c r="O28" s="59"/>
      <c r="P28" s="56"/>
      <c r="Q28" s="60"/>
      <c r="R28" s="61">
        <f t="shared" si="2"/>
        <v>0</v>
      </c>
      <c r="S28" s="62">
        <f t="shared" si="3"/>
        <v>0</v>
      </c>
      <c r="T28" s="63">
        <f t="shared" si="4"/>
        <v>0</v>
      </c>
      <c r="U28" s="64"/>
      <c r="V28" s="65"/>
      <c r="W28" s="139"/>
      <c r="X28" s="67"/>
      <c r="Y28" s="68"/>
      <c r="Z28" s="68"/>
      <c r="AA28" s="62">
        <f t="shared" si="5"/>
        <v>0</v>
      </c>
      <c r="AB28" s="63">
        <f t="shared" si="6"/>
        <v>0</v>
      </c>
      <c r="AC28" s="69"/>
      <c r="AD28" s="70"/>
      <c r="AE28" s="70"/>
      <c r="AF28" s="62">
        <f t="shared" si="7"/>
        <v>0</v>
      </c>
      <c r="AG28" s="63">
        <f t="shared" si="8"/>
        <v>0</v>
      </c>
      <c r="AH28" s="142"/>
      <c r="AI28" s="139"/>
      <c r="AJ28" s="139"/>
      <c r="AK28" s="62">
        <f t="shared" si="9"/>
        <v>0</v>
      </c>
      <c r="AL28" s="72">
        <f t="shared" si="10"/>
        <v>0</v>
      </c>
      <c r="AM28" s="81">
        <f t="shared" si="14"/>
        <v>0</v>
      </c>
      <c r="AN28" s="80">
        <f t="shared" si="18"/>
        <v>0</v>
      </c>
      <c r="AO28" s="80">
        <f t="shared" si="18"/>
        <v>0</v>
      </c>
      <c r="AP28" s="115" t="e">
        <f t="shared" si="15"/>
        <v>#DIV/0!</v>
      </c>
      <c r="AQ28" s="116">
        <f t="shared" si="12"/>
        <v>0</v>
      </c>
      <c r="AR28" s="90">
        <f>(D28+J28+O28)-(X28+AH28)</f>
        <v>0</v>
      </c>
    </row>
    <row r="29" spans="1:49" ht="15.75" x14ac:dyDescent="0.25">
      <c r="A29" t="str">
        <f t="shared" si="13"/>
        <v>46186E</v>
      </c>
      <c r="B29" s="51">
        <f t="shared" si="17"/>
        <v>46186</v>
      </c>
      <c r="C29" s="100" t="s">
        <v>88</v>
      </c>
      <c r="D29" s="91"/>
      <c r="E29" s="62"/>
      <c r="F29" s="62"/>
      <c r="G29" s="62">
        <f t="shared" si="0"/>
        <v>0</v>
      </c>
      <c r="H29" s="72">
        <f t="shared" si="1"/>
        <v>0</v>
      </c>
      <c r="I29" s="121"/>
      <c r="J29" s="121"/>
      <c r="K29" s="121"/>
      <c r="L29" s="121"/>
      <c r="M29" s="58"/>
      <c r="N29" s="58"/>
      <c r="O29" s="59"/>
      <c r="P29" s="56"/>
      <c r="Q29" s="60"/>
      <c r="R29" s="61">
        <f t="shared" si="2"/>
        <v>0</v>
      </c>
      <c r="S29" s="62">
        <f t="shared" si="3"/>
        <v>0</v>
      </c>
      <c r="T29" s="63">
        <f t="shared" si="4"/>
        <v>0</v>
      </c>
      <c r="U29" s="64"/>
      <c r="V29" s="65"/>
      <c r="W29" s="66"/>
      <c r="X29" s="67"/>
      <c r="Y29" s="68"/>
      <c r="Z29" s="68"/>
      <c r="AA29" s="62">
        <f t="shared" si="5"/>
        <v>0</v>
      </c>
      <c r="AB29" s="63">
        <f t="shared" si="6"/>
        <v>0</v>
      </c>
      <c r="AC29" s="69"/>
      <c r="AD29" s="70"/>
      <c r="AE29" s="70"/>
      <c r="AF29" s="62">
        <f t="shared" si="7"/>
        <v>0</v>
      </c>
      <c r="AG29" s="63">
        <f t="shared" si="8"/>
        <v>0</v>
      </c>
      <c r="AH29" s="142"/>
      <c r="AI29" s="139"/>
      <c r="AJ29" s="139"/>
      <c r="AK29" s="62">
        <f t="shared" si="9"/>
        <v>0</v>
      </c>
      <c r="AL29" s="72">
        <f t="shared" si="10"/>
        <v>0</v>
      </c>
      <c r="AM29" s="81">
        <f t="shared" si="14"/>
        <v>0</v>
      </c>
      <c r="AN29" s="80">
        <f t="shared" si="18"/>
        <v>0</v>
      </c>
      <c r="AO29" s="80">
        <f t="shared" si="18"/>
        <v>0</v>
      </c>
      <c r="AP29" s="115" t="e">
        <f t="shared" si="15"/>
        <v>#DIV/0!</v>
      </c>
      <c r="AQ29" s="116">
        <f t="shared" si="12"/>
        <v>0</v>
      </c>
      <c r="AR29" s="90">
        <f t="shared" si="19"/>
        <v>0</v>
      </c>
    </row>
    <row r="30" spans="1:49" ht="15.75" x14ac:dyDescent="0.25">
      <c r="A30" t="str">
        <f t="shared" si="13"/>
        <v>46187M</v>
      </c>
      <c r="B30" s="51">
        <f t="shared" si="17"/>
        <v>46187</v>
      </c>
      <c r="C30" s="100" t="s">
        <v>87</v>
      </c>
      <c r="D30" s="91"/>
      <c r="E30" s="62"/>
      <c r="F30" s="62"/>
      <c r="G30" s="62">
        <f t="shared" si="0"/>
        <v>0</v>
      </c>
      <c r="H30" s="72">
        <f t="shared" si="1"/>
        <v>0</v>
      </c>
      <c r="I30" s="121"/>
      <c r="J30" s="121"/>
      <c r="K30" s="121"/>
      <c r="L30" s="121"/>
      <c r="M30" s="58"/>
      <c r="N30" s="58"/>
      <c r="O30" s="59"/>
      <c r="P30" s="56"/>
      <c r="Q30" s="60"/>
      <c r="R30" s="61">
        <f t="shared" si="2"/>
        <v>0</v>
      </c>
      <c r="S30" s="62">
        <f t="shared" si="3"/>
        <v>0</v>
      </c>
      <c r="T30" s="63">
        <f t="shared" si="4"/>
        <v>0</v>
      </c>
      <c r="U30" s="64"/>
      <c r="V30" s="65"/>
      <c r="W30" s="139"/>
      <c r="X30" s="67"/>
      <c r="Y30" s="68"/>
      <c r="Z30" s="68"/>
      <c r="AA30" s="62">
        <f t="shared" si="5"/>
        <v>0</v>
      </c>
      <c r="AB30" s="63">
        <f t="shared" si="6"/>
        <v>0</v>
      </c>
      <c r="AC30" s="69"/>
      <c r="AD30" s="70"/>
      <c r="AE30" s="70"/>
      <c r="AF30" s="62">
        <f t="shared" si="7"/>
        <v>0</v>
      </c>
      <c r="AG30" s="63">
        <f t="shared" si="8"/>
        <v>0</v>
      </c>
      <c r="AH30" s="142"/>
      <c r="AI30" s="139"/>
      <c r="AJ30" s="139"/>
      <c r="AK30" s="62">
        <f t="shared" si="9"/>
        <v>0</v>
      </c>
      <c r="AL30" s="72">
        <f t="shared" si="10"/>
        <v>0</v>
      </c>
      <c r="AM30" s="81">
        <f t="shared" si="14"/>
        <v>0</v>
      </c>
      <c r="AN30" s="80">
        <f t="shared" si="18"/>
        <v>0</v>
      </c>
      <c r="AO30" s="80">
        <f t="shared" si="18"/>
        <v>0</v>
      </c>
      <c r="AP30" s="115" t="e">
        <f t="shared" si="15"/>
        <v>#DIV/0!</v>
      </c>
      <c r="AQ30" s="116">
        <f t="shared" si="12"/>
        <v>0</v>
      </c>
      <c r="AR30" s="90">
        <f t="shared" si="19"/>
        <v>0</v>
      </c>
    </row>
    <row r="31" spans="1:49" ht="15.75" x14ac:dyDescent="0.25">
      <c r="A31" t="str">
        <f t="shared" si="13"/>
        <v>46187E</v>
      </c>
      <c r="B31" s="51">
        <f t="shared" si="17"/>
        <v>46187</v>
      </c>
      <c r="C31" s="100" t="s">
        <v>88</v>
      </c>
      <c r="D31" s="91"/>
      <c r="E31" s="62"/>
      <c r="F31" s="62"/>
      <c r="G31" s="62">
        <f t="shared" si="0"/>
        <v>0</v>
      </c>
      <c r="H31" s="72">
        <f t="shared" si="1"/>
        <v>0</v>
      </c>
      <c r="I31" s="121"/>
      <c r="J31" s="121"/>
      <c r="K31" s="121"/>
      <c r="L31" s="121"/>
      <c r="M31" s="58"/>
      <c r="N31" s="58"/>
      <c r="O31" s="59"/>
      <c r="P31" s="56"/>
      <c r="Q31" s="60"/>
      <c r="R31" s="61">
        <f t="shared" si="2"/>
        <v>0</v>
      </c>
      <c r="S31" s="62">
        <f t="shared" si="3"/>
        <v>0</v>
      </c>
      <c r="T31" s="63">
        <f t="shared" si="4"/>
        <v>0</v>
      </c>
      <c r="U31" s="64"/>
      <c r="V31" s="85"/>
      <c r="W31" s="66"/>
      <c r="X31" s="67"/>
      <c r="Y31" s="68"/>
      <c r="Z31" s="68"/>
      <c r="AA31" s="62">
        <f t="shared" si="5"/>
        <v>0</v>
      </c>
      <c r="AB31" s="63">
        <f t="shared" si="6"/>
        <v>0</v>
      </c>
      <c r="AC31" s="69"/>
      <c r="AD31" s="70"/>
      <c r="AE31" s="70"/>
      <c r="AF31" s="62">
        <f t="shared" si="7"/>
        <v>0</v>
      </c>
      <c r="AG31" s="63">
        <f t="shared" si="8"/>
        <v>0</v>
      </c>
      <c r="AH31" s="142"/>
      <c r="AI31" s="139"/>
      <c r="AJ31" s="139"/>
      <c r="AK31" s="62">
        <f t="shared" si="9"/>
        <v>0</v>
      </c>
      <c r="AL31" s="72">
        <f t="shared" si="10"/>
        <v>0</v>
      </c>
      <c r="AM31" s="81">
        <f t="shared" si="14"/>
        <v>0</v>
      </c>
      <c r="AN31" s="80">
        <f t="shared" si="18"/>
        <v>0</v>
      </c>
      <c r="AO31" s="80">
        <f t="shared" si="18"/>
        <v>0</v>
      </c>
      <c r="AP31" s="115" t="e">
        <f t="shared" si="15"/>
        <v>#DIV/0!</v>
      </c>
      <c r="AQ31" s="116">
        <f t="shared" si="12"/>
        <v>0</v>
      </c>
      <c r="AR31" s="90">
        <f t="shared" si="19"/>
        <v>0</v>
      </c>
    </row>
    <row r="32" spans="1:49" ht="15.75" x14ac:dyDescent="0.25">
      <c r="A32" t="str">
        <f t="shared" si="13"/>
        <v>46188M</v>
      </c>
      <c r="B32" s="51">
        <f t="shared" si="17"/>
        <v>46188</v>
      </c>
      <c r="C32" s="100" t="s">
        <v>87</v>
      </c>
      <c r="D32" s="91"/>
      <c r="E32" s="62"/>
      <c r="F32" s="62"/>
      <c r="G32" s="62">
        <f t="shared" si="0"/>
        <v>0</v>
      </c>
      <c r="H32" s="72">
        <f t="shared" si="1"/>
        <v>0</v>
      </c>
      <c r="I32" s="121"/>
      <c r="J32" s="121"/>
      <c r="K32" s="121"/>
      <c r="L32" s="121"/>
      <c r="M32" s="58"/>
      <c r="N32" s="58"/>
      <c r="O32" s="59"/>
      <c r="P32" s="56"/>
      <c r="Q32" s="60"/>
      <c r="R32" s="61">
        <f t="shared" si="2"/>
        <v>0</v>
      </c>
      <c r="S32" s="62">
        <f t="shared" si="3"/>
        <v>0</v>
      </c>
      <c r="T32" s="63">
        <f t="shared" si="4"/>
        <v>0</v>
      </c>
      <c r="U32" s="64"/>
      <c r="V32" s="65"/>
      <c r="W32" s="105"/>
      <c r="X32" s="67"/>
      <c r="Y32" s="68"/>
      <c r="Z32" s="68"/>
      <c r="AA32" s="62">
        <f t="shared" si="5"/>
        <v>0</v>
      </c>
      <c r="AB32" s="63">
        <f t="shared" si="6"/>
        <v>0</v>
      </c>
      <c r="AC32" s="69"/>
      <c r="AD32" s="70"/>
      <c r="AE32" s="70"/>
      <c r="AF32" s="62">
        <f t="shared" si="7"/>
        <v>0</v>
      </c>
      <c r="AG32" s="63">
        <f t="shared" si="8"/>
        <v>0</v>
      </c>
      <c r="AH32" s="142"/>
      <c r="AI32" s="139"/>
      <c r="AJ32" s="139"/>
      <c r="AK32" s="62">
        <f t="shared" si="9"/>
        <v>0</v>
      </c>
      <c r="AL32" s="72">
        <f t="shared" si="10"/>
        <v>0</v>
      </c>
      <c r="AM32" s="81">
        <f t="shared" si="14"/>
        <v>0</v>
      </c>
      <c r="AN32" s="80">
        <f t="shared" si="18"/>
        <v>0</v>
      </c>
      <c r="AO32" s="80">
        <f t="shared" si="18"/>
        <v>0</v>
      </c>
      <c r="AP32" s="115" t="e">
        <f t="shared" si="15"/>
        <v>#DIV/0!</v>
      </c>
      <c r="AQ32" s="116">
        <f t="shared" si="12"/>
        <v>0</v>
      </c>
      <c r="AR32" s="90">
        <f t="shared" si="19"/>
        <v>0</v>
      </c>
    </row>
    <row r="33" spans="1:49" ht="15.75" x14ac:dyDescent="0.25">
      <c r="A33" t="str">
        <f t="shared" si="13"/>
        <v>46188E</v>
      </c>
      <c r="B33" s="51">
        <f t="shared" si="17"/>
        <v>46188</v>
      </c>
      <c r="C33" s="100" t="s">
        <v>88</v>
      </c>
      <c r="D33" s="91"/>
      <c r="E33" s="62"/>
      <c r="F33" s="62"/>
      <c r="G33" s="62">
        <f t="shared" si="0"/>
        <v>0</v>
      </c>
      <c r="H33" s="72">
        <f t="shared" si="1"/>
        <v>0</v>
      </c>
      <c r="I33" s="121"/>
      <c r="J33" s="121"/>
      <c r="K33" s="121"/>
      <c r="L33" s="121"/>
      <c r="M33" s="58"/>
      <c r="N33" s="58"/>
      <c r="O33" s="59"/>
      <c r="P33" s="56"/>
      <c r="Q33" s="60"/>
      <c r="R33" s="61">
        <f t="shared" si="2"/>
        <v>0</v>
      </c>
      <c r="S33" s="62">
        <f t="shared" si="3"/>
        <v>0</v>
      </c>
      <c r="T33" s="63">
        <f t="shared" si="4"/>
        <v>0</v>
      </c>
      <c r="U33" s="64"/>
      <c r="V33" s="65"/>
      <c r="W33" s="139"/>
      <c r="X33" s="67"/>
      <c r="Y33" s="68"/>
      <c r="Z33" s="68"/>
      <c r="AA33" s="62">
        <f t="shared" si="5"/>
        <v>0</v>
      </c>
      <c r="AB33" s="63">
        <f t="shared" si="6"/>
        <v>0</v>
      </c>
      <c r="AC33" s="69"/>
      <c r="AD33" s="70"/>
      <c r="AE33" s="70"/>
      <c r="AF33" s="62">
        <f t="shared" si="7"/>
        <v>0</v>
      </c>
      <c r="AG33" s="63">
        <f t="shared" si="8"/>
        <v>0</v>
      </c>
      <c r="AH33" s="142"/>
      <c r="AI33" s="139"/>
      <c r="AJ33" s="139"/>
      <c r="AK33" s="62">
        <f t="shared" si="9"/>
        <v>0</v>
      </c>
      <c r="AL33" s="72">
        <f t="shared" si="10"/>
        <v>0</v>
      </c>
      <c r="AM33" s="81">
        <f t="shared" si="14"/>
        <v>0</v>
      </c>
      <c r="AN33" s="80">
        <f t="shared" si="18"/>
        <v>0</v>
      </c>
      <c r="AO33" s="80">
        <f t="shared" si="18"/>
        <v>0</v>
      </c>
      <c r="AP33" s="115" t="e">
        <f t="shared" si="15"/>
        <v>#DIV/0!</v>
      </c>
      <c r="AQ33" s="116">
        <f t="shared" si="12"/>
        <v>0</v>
      </c>
      <c r="AR33" s="90">
        <f t="shared" si="19"/>
        <v>0</v>
      </c>
    </row>
    <row r="34" spans="1:49" ht="15.75" x14ac:dyDescent="0.25">
      <c r="A34" t="str">
        <f t="shared" si="13"/>
        <v>46189M</v>
      </c>
      <c r="B34" s="51">
        <f t="shared" si="17"/>
        <v>46189</v>
      </c>
      <c r="C34" s="100" t="s">
        <v>87</v>
      </c>
      <c r="D34" s="91"/>
      <c r="E34" s="62"/>
      <c r="F34" s="62"/>
      <c r="G34" s="62">
        <f t="shared" si="0"/>
        <v>0</v>
      </c>
      <c r="H34" s="72">
        <f t="shared" si="1"/>
        <v>0</v>
      </c>
      <c r="I34" s="121"/>
      <c r="J34" s="121"/>
      <c r="K34" s="121"/>
      <c r="L34" s="121"/>
      <c r="M34" s="58"/>
      <c r="N34" s="58"/>
      <c r="O34" s="59"/>
      <c r="P34" s="56"/>
      <c r="Q34" s="60"/>
      <c r="R34" s="61">
        <f t="shared" si="2"/>
        <v>0</v>
      </c>
      <c r="S34" s="62">
        <f t="shared" si="3"/>
        <v>0</v>
      </c>
      <c r="T34" s="63">
        <f t="shared" si="4"/>
        <v>0</v>
      </c>
      <c r="U34" s="64"/>
      <c r="V34" s="65"/>
      <c r="W34" s="105"/>
      <c r="X34" s="67"/>
      <c r="Y34" s="68"/>
      <c r="Z34" s="68"/>
      <c r="AA34" s="62">
        <f t="shared" si="5"/>
        <v>0</v>
      </c>
      <c r="AB34" s="63">
        <f t="shared" si="6"/>
        <v>0</v>
      </c>
      <c r="AC34" s="69"/>
      <c r="AD34" s="70"/>
      <c r="AE34" s="70"/>
      <c r="AF34" s="62">
        <f t="shared" si="7"/>
        <v>0</v>
      </c>
      <c r="AG34" s="63">
        <f t="shared" si="8"/>
        <v>0</v>
      </c>
      <c r="AH34" s="142"/>
      <c r="AI34" s="139"/>
      <c r="AJ34" s="139"/>
      <c r="AK34" s="62">
        <f t="shared" si="9"/>
        <v>0</v>
      </c>
      <c r="AL34" s="72">
        <f t="shared" si="10"/>
        <v>0</v>
      </c>
      <c r="AM34" s="81">
        <f t="shared" si="14"/>
        <v>0</v>
      </c>
      <c r="AN34" s="80">
        <f t="shared" si="18"/>
        <v>0</v>
      </c>
      <c r="AO34" s="80">
        <f t="shared" si="18"/>
        <v>0</v>
      </c>
      <c r="AP34" s="115" t="e">
        <f t="shared" si="15"/>
        <v>#DIV/0!</v>
      </c>
      <c r="AQ34" s="116">
        <f t="shared" si="12"/>
        <v>0</v>
      </c>
      <c r="AR34" s="90">
        <f t="shared" si="19"/>
        <v>0</v>
      </c>
    </row>
    <row r="35" spans="1:49" ht="15.75" x14ac:dyDescent="0.25">
      <c r="A35" t="str">
        <f t="shared" si="13"/>
        <v>46189E</v>
      </c>
      <c r="B35" s="51">
        <f t="shared" si="17"/>
        <v>46189</v>
      </c>
      <c r="C35" s="100" t="s">
        <v>88</v>
      </c>
      <c r="D35" s="91"/>
      <c r="E35" s="62"/>
      <c r="F35" s="62"/>
      <c r="G35" s="62">
        <f t="shared" si="0"/>
        <v>0</v>
      </c>
      <c r="H35" s="72">
        <f t="shared" si="1"/>
        <v>0</v>
      </c>
      <c r="I35" s="121"/>
      <c r="J35" s="121"/>
      <c r="K35" s="121"/>
      <c r="L35" s="121"/>
      <c r="M35" s="58"/>
      <c r="N35" s="58"/>
      <c r="O35" s="59"/>
      <c r="P35" s="56"/>
      <c r="Q35" s="60"/>
      <c r="R35" s="61">
        <f t="shared" si="2"/>
        <v>0</v>
      </c>
      <c r="S35" s="62">
        <f t="shared" si="3"/>
        <v>0</v>
      </c>
      <c r="T35" s="63">
        <f t="shared" si="4"/>
        <v>0</v>
      </c>
      <c r="U35" s="64"/>
      <c r="V35" s="65"/>
      <c r="W35" s="105"/>
      <c r="X35" s="67"/>
      <c r="Y35" s="68"/>
      <c r="Z35" s="68"/>
      <c r="AA35" s="62">
        <f t="shared" si="5"/>
        <v>0</v>
      </c>
      <c r="AB35" s="63">
        <f t="shared" si="6"/>
        <v>0</v>
      </c>
      <c r="AC35" s="69"/>
      <c r="AD35" s="70"/>
      <c r="AE35" s="70"/>
      <c r="AF35" s="62">
        <f t="shared" si="7"/>
        <v>0</v>
      </c>
      <c r="AG35" s="63">
        <f t="shared" si="8"/>
        <v>0</v>
      </c>
      <c r="AH35" s="142"/>
      <c r="AI35" s="139"/>
      <c r="AJ35" s="139"/>
      <c r="AK35" s="62">
        <f t="shared" si="9"/>
        <v>0</v>
      </c>
      <c r="AL35" s="72">
        <f t="shared" si="10"/>
        <v>0</v>
      </c>
      <c r="AM35" s="81">
        <f t="shared" si="14"/>
        <v>0</v>
      </c>
      <c r="AN35" s="80">
        <f t="shared" si="18"/>
        <v>0</v>
      </c>
      <c r="AO35" s="80">
        <f t="shared" si="18"/>
        <v>0</v>
      </c>
      <c r="AP35" s="115" t="e">
        <f t="shared" si="15"/>
        <v>#DIV/0!</v>
      </c>
      <c r="AQ35" s="116">
        <f t="shared" si="12"/>
        <v>0</v>
      </c>
      <c r="AR35" s="90">
        <f t="shared" si="19"/>
        <v>0</v>
      </c>
      <c r="AS35" s="90">
        <f>SUM(J22:J35)</f>
        <v>9903.9650000000001</v>
      </c>
      <c r="AT35" s="83">
        <f>SUM(AM22:AM35)</f>
        <v>-3.4999999999854481E-2</v>
      </c>
      <c r="AU35" s="83">
        <f>SUM(AN22:AN35)</f>
        <v>-8.6809550000000257</v>
      </c>
      <c r="AV35" s="83">
        <f>SUM(AO22:AO35)</f>
        <v>-23.011556000000098</v>
      </c>
      <c r="AW35" s="83">
        <f>-SUM(AQ22:AQ35)</f>
        <v>10783.71257835671</v>
      </c>
    </row>
    <row r="36" spans="1:49" ht="15.75" x14ac:dyDescent="0.25">
      <c r="A36" t="str">
        <f t="shared" si="13"/>
        <v>46190M</v>
      </c>
      <c r="B36" s="51">
        <f t="shared" si="17"/>
        <v>46190</v>
      </c>
      <c r="C36" s="100" t="s">
        <v>87</v>
      </c>
      <c r="D36" s="91"/>
      <c r="E36" s="62"/>
      <c r="F36" s="62"/>
      <c r="G36" s="62">
        <f t="shared" si="0"/>
        <v>0</v>
      </c>
      <c r="H36" s="72">
        <f t="shared" si="1"/>
        <v>0</v>
      </c>
      <c r="I36" s="121"/>
      <c r="J36" s="121"/>
      <c r="K36" s="121"/>
      <c r="L36" s="121"/>
      <c r="M36" s="58"/>
      <c r="N36" s="58"/>
      <c r="O36" s="59"/>
      <c r="P36" s="56"/>
      <c r="Q36" s="60"/>
      <c r="R36" s="61">
        <f t="shared" si="2"/>
        <v>0</v>
      </c>
      <c r="S36" s="62">
        <f t="shared" si="3"/>
        <v>0</v>
      </c>
      <c r="T36" s="63">
        <f t="shared" si="4"/>
        <v>0</v>
      </c>
      <c r="U36" s="64"/>
      <c r="V36" s="85"/>
      <c r="W36" s="105"/>
      <c r="X36" s="67"/>
      <c r="Y36" s="68"/>
      <c r="Z36" s="68"/>
      <c r="AA36" s="62">
        <f t="shared" si="5"/>
        <v>0</v>
      </c>
      <c r="AB36" s="63">
        <f t="shared" si="6"/>
        <v>0</v>
      </c>
      <c r="AC36" s="69"/>
      <c r="AD36" s="70"/>
      <c r="AE36" s="70"/>
      <c r="AF36" s="62">
        <f t="shared" si="7"/>
        <v>0</v>
      </c>
      <c r="AG36" s="63">
        <f t="shared" si="8"/>
        <v>0</v>
      </c>
      <c r="AH36" s="142"/>
      <c r="AI36" s="139"/>
      <c r="AJ36" s="139"/>
      <c r="AK36" s="62">
        <f t="shared" si="9"/>
        <v>0</v>
      </c>
      <c r="AL36" s="72">
        <f t="shared" si="10"/>
        <v>0</v>
      </c>
      <c r="AM36" s="81">
        <f t="shared" si="14"/>
        <v>0</v>
      </c>
      <c r="AN36" s="80">
        <f t="shared" si="18"/>
        <v>0</v>
      </c>
      <c r="AO36" s="80">
        <f t="shared" si="18"/>
        <v>0</v>
      </c>
      <c r="AP36" s="115" t="e">
        <f t="shared" si="15"/>
        <v>#DIV/0!</v>
      </c>
      <c r="AQ36" s="116">
        <f t="shared" si="12"/>
        <v>0</v>
      </c>
      <c r="AR36" s="90">
        <f t="shared" si="19"/>
        <v>0</v>
      </c>
    </row>
    <row r="37" spans="1:49" ht="15.75" x14ac:dyDescent="0.25">
      <c r="A37" t="str">
        <f t="shared" si="13"/>
        <v>46190E</v>
      </c>
      <c r="B37" s="51">
        <f t="shared" si="17"/>
        <v>46190</v>
      </c>
      <c r="C37" s="100" t="s">
        <v>88</v>
      </c>
      <c r="D37" s="91"/>
      <c r="E37" s="62"/>
      <c r="F37" s="62"/>
      <c r="G37" s="62">
        <f t="shared" si="0"/>
        <v>0</v>
      </c>
      <c r="H37" s="72">
        <f t="shared" si="1"/>
        <v>0</v>
      </c>
      <c r="I37" s="121"/>
      <c r="J37" s="121"/>
      <c r="K37" s="121"/>
      <c r="L37" s="121"/>
      <c r="M37" s="58"/>
      <c r="N37" s="58"/>
      <c r="O37" s="59"/>
      <c r="P37" s="56"/>
      <c r="Q37" s="60"/>
      <c r="R37" s="61">
        <f t="shared" si="2"/>
        <v>0</v>
      </c>
      <c r="S37" s="62">
        <f t="shared" si="3"/>
        <v>0</v>
      </c>
      <c r="T37" s="63">
        <f t="shared" si="4"/>
        <v>0</v>
      </c>
      <c r="U37" s="64"/>
      <c r="V37" s="65"/>
      <c r="W37" s="66"/>
      <c r="X37" s="67"/>
      <c r="Y37" s="68"/>
      <c r="Z37" s="68"/>
      <c r="AA37" s="62">
        <f t="shared" si="5"/>
        <v>0</v>
      </c>
      <c r="AB37" s="63">
        <f t="shared" si="6"/>
        <v>0</v>
      </c>
      <c r="AC37" s="69"/>
      <c r="AD37" s="70"/>
      <c r="AE37" s="70"/>
      <c r="AF37" s="62">
        <f t="shared" si="7"/>
        <v>0</v>
      </c>
      <c r="AG37" s="63">
        <f t="shared" si="8"/>
        <v>0</v>
      </c>
      <c r="AH37" s="142"/>
      <c r="AI37" s="139"/>
      <c r="AJ37" s="139"/>
      <c r="AK37" s="62">
        <f t="shared" si="9"/>
        <v>0</v>
      </c>
      <c r="AL37" s="72">
        <f t="shared" si="10"/>
        <v>0</v>
      </c>
      <c r="AM37" s="81">
        <f t="shared" si="14"/>
        <v>0</v>
      </c>
      <c r="AN37" s="80">
        <f t="shared" si="18"/>
        <v>0</v>
      </c>
      <c r="AO37" s="80">
        <f t="shared" si="18"/>
        <v>0</v>
      </c>
      <c r="AP37" s="115" t="e">
        <f t="shared" si="15"/>
        <v>#DIV/0!</v>
      </c>
      <c r="AQ37" s="116">
        <f t="shared" si="12"/>
        <v>0</v>
      </c>
      <c r="AR37" s="90">
        <f t="shared" si="19"/>
        <v>0</v>
      </c>
    </row>
    <row r="38" spans="1:49" ht="15.75" x14ac:dyDescent="0.25">
      <c r="A38" t="str">
        <f t="shared" si="13"/>
        <v>46191M</v>
      </c>
      <c r="B38" s="51">
        <f t="shared" si="17"/>
        <v>46191</v>
      </c>
      <c r="C38" s="100" t="s">
        <v>87</v>
      </c>
      <c r="D38" s="91"/>
      <c r="E38" s="62"/>
      <c r="F38" s="62"/>
      <c r="G38" s="62">
        <f t="shared" si="0"/>
        <v>0</v>
      </c>
      <c r="H38" s="72">
        <f t="shared" si="1"/>
        <v>0</v>
      </c>
      <c r="I38" s="121"/>
      <c r="J38" s="121"/>
      <c r="K38" s="121"/>
      <c r="L38" s="121"/>
      <c r="M38" s="58"/>
      <c r="N38" s="58"/>
      <c r="O38" s="59"/>
      <c r="P38" s="56"/>
      <c r="Q38" s="60"/>
      <c r="R38" s="61">
        <f t="shared" si="2"/>
        <v>0</v>
      </c>
      <c r="S38" s="62">
        <f t="shared" si="3"/>
        <v>0</v>
      </c>
      <c r="T38" s="63">
        <f t="shared" si="4"/>
        <v>0</v>
      </c>
      <c r="U38" s="64"/>
      <c r="V38" s="65"/>
      <c r="W38" s="139"/>
      <c r="X38" s="67"/>
      <c r="Y38" s="68"/>
      <c r="Z38" s="68"/>
      <c r="AA38" s="62">
        <f t="shared" si="5"/>
        <v>0</v>
      </c>
      <c r="AB38" s="63">
        <f t="shared" si="6"/>
        <v>0</v>
      </c>
      <c r="AC38" s="69"/>
      <c r="AD38" s="70"/>
      <c r="AE38" s="70"/>
      <c r="AF38" s="62">
        <f t="shared" si="7"/>
        <v>0</v>
      </c>
      <c r="AG38" s="63">
        <f t="shared" si="8"/>
        <v>0</v>
      </c>
      <c r="AH38" s="142"/>
      <c r="AI38" s="139"/>
      <c r="AJ38" s="139"/>
      <c r="AK38" s="62">
        <f t="shared" si="9"/>
        <v>0</v>
      </c>
      <c r="AL38" s="72">
        <f t="shared" si="10"/>
        <v>0</v>
      </c>
      <c r="AM38" s="81">
        <f t="shared" si="14"/>
        <v>0</v>
      </c>
      <c r="AN38" s="80">
        <f t="shared" si="18"/>
        <v>0</v>
      </c>
      <c r="AO38" s="80">
        <f t="shared" si="18"/>
        <v>0</v>
      </c>
      <c r="AP38" s="115" t="e">
        <f t="shared" si="15"/>
        <v>#DIV/0!</v>
      </c>
      <c r="AQ38" s="116">
        <f t="shared" si="12"/>
        <v>0</v>
      </c>
      <c r="AR38" s="90">
        <f t="shared" si="19"/>
        <v>0</v>
      </c>
    </row>
    <row r="39" spans="1:49" ht="15.75" x14ac:dyDescent="0.25">
      <c r="A39" t="str">
        <f t="shared" si="13"/>
        <v>46191E</v>
      </c>
      <c r="B39" s="51">
        <f t="shared" si="17"/>
        <v>46191</v>
      </c>
      <c r="C39" s="100" t="s">
        <v>88</v>
      </c>
      <c r="D39" s="91"/>
      <c r="E39" s="62"/>
      <c r="F39" s="62"/>
      <c r="G39" s="62">
        <f t="shared" si="0"/>
        <v>0</v>
      </c>
      <c r="H39" s="72">
        <f t="shared" si="1"/>
        <v>0</v>
      </c>
      <c r="I39" s="121"/>
      <c r="J39" s="121"/>
      <c r="K39" s="121"/>
      <c r="L39" s="121"/>
      <c r="M39" s="58"/>
      <c r="N39" s="58"/>
      <c r="O39" s="59"/>
      <c r="P39" s="56"/>
      <c r="Q39" s="60"/>
      <c r="R39" s="61">
        <f t="shared" si="2"/>
        <v>0</v>
      </c>
      <c r="S39" s="62">
        <f t="shared" si="3"/>
        <v>0</v>
      </c>
      <c r="T39" s="63">
        <f t="shared" si="4"/>
        <v>0</v>
      </c>
      <c r="U39" s="64"/>
      <c r="V39" s="65"/>
      <c r="W39" s="139"/>
      <c r="X39" s="67"/>
      <c r="Y39" s="68"/>
      <c r="Z39" s="68"/>
      <c r="AA39" s="62">
        <f t="shared" si="5"/>
        <v>0</v>
      </c>
      <c r="AB39" s="63">
        <f t="shared" si="6"/>
        <v>0</v>
      </c>
      <c r="AC39" s="69"/>
      <c r="AD39" s="70"/>
      <c r="AE39" s="70"/>
      <c r="AF39" s="62">
        <f t="shared" si="7"/>
        <v>0</v>
      </c>
      <c r="AG39" s="63">
        <f t="shared" si="8"/>
        <v>0</v>
      </c>
      <c r="AH39" s="142"/>
      <c r="AI39" s="139"/>
      <c r="AJ39" s="139"/>
      <c r="AK39" s="62">
        <f t="shared" si="9"/>
        <v>0</v>
      </c>
      <c r="AL39" s="72">
        <f t="shared" si="10"/>
        <v>0</v>
      </c>
      <c r="AM39" s="81">
        <f t="shared" si="14"/>
        <v>0</v>
      </c>
      <c r="AN39" s="80">
        <f t="shared" si="18"/>
        <v>0</v>
      </c>
      <c r="AO39" s="80">
        <f t="shared" si="18"/>
        <v>0</v>
      </c>
      <c r="AP39" s="115" t="e">
        <f t="shared" si="15"/>
        <v>#DIV/0!</v>
      </c>
      <c r="AQ39" s="116">
        <f t="shared" si="12"/>
        <v>0</v>
      </c>
      <c r="AR39" s="90">
        <f t="shared" si="19"/>
        <v>0</v>
      </c>
      <c r="AS39" s="90">
        <f>SUM(J26:J39)</f>
        <v>0</v>
      </c>
      <c r="AT39" s="83">
        <f>SUM(AM26:AM39)</f>
        <v>0</v>
      </c>
      <c r="AU39" s="83">
        <f>SUM(AN26:AN39)</f>
        <v>0</v>
      </c>
      <c r="AV39" s="83">
        <f>SUM(AO26:AO39)</f>
        <v>0</v>
      </c>
      <c r="AW39" s="83">
        <f>-SUM(AQ26:AQ39)</f>
        <v>0</v>
      </c>
    </row>
    <row r="40" spans="1:49" ht="15.75" x14ac:dyDescent="0.25">
      <c r="A40" t="str">
        <f t="shared" si="13"/>
        <v>46192M</v>
      </c>
      <c r="B40" s="51">
        <f t="shared" si="17"/>
        <v>46192</v>
      </c>
      <c r="C40" s="100" t="s">
        <v>87</v>
      </c>
      <c r="D40" s="91"/>
      <c r="E40" s="62"/>
      <c r="F40" s="62"/>
      <c r="G40" s="62">
        <f t="shared" si="0"/>
        <v>0</v>
      </c>
      <c r="H40" s="72">
        <f t="shared" si="1"/>
        <v>0</v>
      </c>
      <c r="I40" s="121"/>
      <c r="J40" s="121"/>
      <c r="K40" s="121"/>
      <c r="L40" s="121"/>
      <c r="M40" s="58"/>
      <c r="N40" s="58"/>
      <c r="O40" s="59"/>
      <c r="P40" s="56"/>
      <c r="Q40" s="60"/>
      <c r="R40" s="61">
        <f t="shared" si="2"/>
        <v>0</v>
      </c>
      <c r="S40" s="62">
        <f t="shared" si="3"/>
        <v>0</v>
      </c>
      <c r="T40" s="63">
        <f t="shared" si="4"/>
        <v>0</v>
      </c>
      <c r="U40" s="64"/>
      <c r="V40" s="65"/>
      <c r="W40" s="105"/>
      <c r="X40" s="67"/>
      <c r="Y40" s="68"/>
      <c r="Z40" s="68"/>
      <c r="AA40" s="62">
        <f t="shared" si="5"/>
        <v>0</v>
      </c>
      <c r="AB40" s="63">
        <f t="shared" si="6"/>
        <v>0</v>
      </c>
      <c r="AC40" s="69"/>
      <c r="AD40" s="70"/>
      <c r="AE40" s="70"/>
      <c r="AF40" s="62">
        <f t="shared" si="7"/>
        <v>0</v>
      </c>
      <c r="AG40" s="63">
        <f t="shared" si="8"/>
        <v>0</v>
      </c>
      <c r="AH40" s="142"/>
      <c r="AI40" s="139"/>
      <c r="AJ40" s="139"/>
      <c r="AK40" s="62">
        <f t="shared" si="9"/>
        <v>0</v>
      </c>
      <c r="AL40" s="72">
        <f t="shared" si="10"/>
        <v>0</v>
      </c>
      <c r="AM40" s="81">
        <f t="shared" si="14"/>
        <v>0</v>
      </c>
      <c r="AN40" s="80">
        <f t="shared" si="18"/>
        <v>0</v>
      </c>
      <c r="AO40" s="80">
        <f t="shared" si="18"/>
        <v>0</v>
      </c>
      <c r="AP40" s="115" t="e">
        <f t="shared" si="15"/>
        <v>#DIV/0!</v>
      </c>
      <c r="AQ40" s="116">
        <f t="shared" si="12"/>
        <v>0</v>
      </c>
      <c r="AR40" s="90">
        <f t="shared" si="19"/>
        <v>0</v>
      </c>
    </row>
    <row r="41" spans="1:49" ht="15.75" x14ac:dyDescent="0.25">
      <c r="A41" t="str">
        <f t="shared" si="13"/>
        <v>46192E</v>
      </c>
      <c r="B41" s="51">
        <f t="shared" si="17"/>
        <v>46192</v>
      </c>
      <c r="C41" s="100" t="s">
        <v>88</v>
      </c>
      <c r="D41" s="91"/>
      <c r="E41" s="62"/>
      <c r="F41" s="62"/>
      <c r="G41" s="62">
        <f t="shared" si="0"/>
        <v>0</v>
      </c>
      <c r="H41" s="72">
        <f t="shared" si="1"/>
        <v>0</v>
      </c>
      <c r="I41" s="121"/>
      <c r="J41" s="121"/>
      <c r="K41" s="121"/>
      <c r="L41" s="121"/>
      <c r="M41" s="58"/>
      <c r="N41" s="58"/>
      <c r="O41" s="59"/>
      <c r="P41" s="56"/>
      <c r="Q41" s="60"/>
      <c r="R41" s="61">
        <f t="shared" si="2"/>
        <v>0</v>
      </c>
      <c r="S41" s="62">
        <f t="shared" si="3"/>
        <v>0</v>
      </c>
      <c r="T41" s="63">
        <f t="shared" si="4"/>
        <v>0</v>
      </c>
      <c r="U41" s="64"/>
      <c r="V41" s="65"/>
      <c r="W41" s="139"/>
      <c r="X41" s="67"/>
      <c r="Y41" s="68"/>
      <c r="Z41" s="68"/>
      <c r="AA41" s="62">
        <f t="shared" si="5"/>
        <v>0</v>
      </c>
      <c r="AB41" s="63">
        <f t="shared" si="6"/>
        <v>0</v>
      </c>
      <c r="AC41" s="69"/>
      <c r="AD41" s="70"/>
      <c r="AE41" s="70"/>
      <c r="AF41" s="62">
        <f t="shared" si="7"/>
        <v>0</v>
      </c>
      <c r="AG41" s="63">
        <f t="shared" si="8"/>
        <v>0</v>
      </c>
      <c r="AH41" s="142"/>
      <c r="AI41" s="139"/>
      <c r="AJ41" s="139"/>
      <c r="AK41" s="62">
        <f t="shared" si="9"/>
        <v>0</v>
      </c>
      <c r="AL41" s="72">
        <f t="shared" si="10"/>
        <v>0</v>
      </c>
      <c r="AM41" s="81">
        <f t="shared" si="14"/>
        <v>0</v>
      </c>
      <c r="AN41" s="80">
        <f t="shared" si="18"/>
        <v>0</v>
      </c>
      <c r="AO41" s="80">
        <f t="shared" si="18"/>
        <v>0</v>
      </c>
      <c r="AP41" s="115" t="e">
        <f t="shared" si="15"/>
        <v>#DIV/0!</v>
      </c>
      <c r="AQ41" s="116">
        <f t="shared" si="12"/>
        <v>0</v>
      </c>
      <c r="AR41" s="90">
        <f t="shared" si="19"/>
        <v>0</v>
      </c>
      <c r="AS41" s="90">
        <f>SUM(J28:J41)</f>
        <v>0</v>
      </c>
      <c r="AT41" s="83">
        <f>SUM(AM28:AM41)</f>
        <v>0</v>
      </c>
      <c r="AU41" s="83">
        <f>SUM(AN28:AN41)</f>
        <v>0</v>
      </c>
      <c r="AV41" s="83">
        <f>SUM(AO28:AO41)</f>
        <v>0</v>
      </c>
      <c r="AW41" s="83">
        <f>-SUM(AQ28:AQ41)</f>
        <v>0</v>
      </c>
    </row>
    <row r="42" spans="1:49" ht="15.75" x14ac:dyDescent="0.25">
      <c r="A42" t="str">
        <f t="shared" si="13"/>
        <v>46193M</v>
      </c>
      <c r="B42" s="51">
        <f t="shared" si="17"/>
        <v>46193</v>
      </c>
      <c r="C42" s="100" t="s">
        <v>87</v>
      </c>
      <c r="D42" s="91"/>
      <c r="E42" s="62"/>
      <c r="F42" s="62"/>
      <c r="G42" s="62">
        <f t="shared" si="0"/>
        <v>0</v>
      </c>
      <c r="H42" s="72">
        <f t="shared" si="1"/>
        <v>0</v>
      </c>
      <c r="I42" s="121"/>
      <c r="J42" s="121"/>
      <c r="K42" s="121"/>
      <c r="L42" s="121"/>
      <c r="M42" s="58"/>
      <c r="N42" s="58"/>
      <c r="O42" s="59"/>
      <c r="P42" s="56"/>
      <c r="Q42" s="60"/>
      <c r="R42" s="61">
        <f t="shared" si="2"/>
        <v>0</v>
      </c>
      <c r="S42" s="62">
        <f t="shared" si="3"/>
        <v>0</v>
      </c>
      <c r="T42" s="63">
        <f t="shared" si="4"/>
        <v>0</v>
      </c>
      <c r="U42" s="64"/>
      <c r="V42" s="65"/>
      <c r="W42" s="66"/>
      <c r="X42" s="67"/>
      <c r="Y42" s="68"/>
      <c r="Z42" s="68"/>
      <c r="AA42" s="62">
        <f t="shared" si="5"/>
        <v>0</v>
      </c>
      <c r="AB42" s="63">
        <f t="shared" si="6"/>
        <v>0</v>
      </c>
      <c r="AC42" s="69"/>
      <c r="AD42" s="70"/>
      <c r="AE42" s="70"/>
      <c r="AF42" s="62">
        <f t="shared" si="7"/>
        <v>0</v>
      </c>
      <c r="AG42" s="63">
        <f t="shared" si="8"/>
        <v>0</v>
      </c>
      <c r="AH42" s="142"/>
      <c r="AI42" s="139"/>
      <c r="AJ42" s="139"/>
      <c r="AK42" s="62">
        <f t="shared" si="9"/>
        <v>0</v>
      </c>
      <c r="AL42" s="72">
        <f t="shared" si="10"/>
        <v>0</v>
      </c>
      <c r="AM42" s="81">
        <f t="shared" si="14"/>
        <v>0</v>
      </c>
      <c r="AN42" s="80">
        <f t="shared" si="18"/>
        <v>0</v>
      </c>
      <c r="AO42" s="80">
        <f t="shared" si="18"/>
        <v>0</v>
      </c>
      <c r="AP42" s="115" t="e">
        <f t="shared" si="15"/>
        <v>#DIV/0!</v>
      </c>
      <c r="AQ42" s="116">
        <f t="shared" si="12"/>
        <v>0</v>
      </c>
      <c r="AR42" s="90">
        <f t="shared" si="19"/>
        <v>0</v>
      </c>
    </row>
    <row r="43" spans="1:49" ht="15.75" x14ac:dyDescent="0.25">
      <c r="A43" t="str">
        <f t="shared" si="13"/>
        <v>46193E</v>
      </c>
      <c r="B43" s="51">
        <f t="shared" si="17"/>
        <v>46193</v>
      </c>
      <c r="C43" s="100" t="s">
        <v>88</v>
      </c>
      <c r="D43" s="91"/>
      <c r="E43" s="62"/>
      <c r="F43" s="62"/>
      <c r="G43" s="62">
        <f t="shared" si="0"/>
        <v>0</v>
      </c>
      <c r="H43" s="72">
        <f t="shared" si="1"/>
        <v>0</v>
      </c>
      <c r="I43" s="121"/>
      <c r="J43" s="121"/>
      <c r="K43" s="121"/>
      <c r="L43" s="121"/>
      <c r="M43" s="58"/>
      <c r="N43" s="58"/>
      <c r="O43" s="59"/>
      <c r="P43" s="56"/>
      <c r="Q43" s="60"/>
      <c r="R43" s="61">
        <f t="shared" si="2"/>
        <v>0</v>
      </c>
      <c r="S43" s="62">
        <f t="shared" si="3"/>
        <v>0</v>
      </c>
      <c r="T43" s="63">
        <f t="shared" si="4"/>
        <v>0</v>
      </c>
      <c r="U43" s="64"/>
      <c r="V43" s="65"/>
      <c r="W43" s="139"/>
      <c r="X43" s="67"/>
      <c r="Y43" s="68"/>
      <c r="Z43" s="68"/>
      <c r="AA43" s="62">
        <f t="shared" si="5"/>
        <v>0</v>
      </c>
      <c r="AB43" s="63">
        <f t="shared" si="6"/>
        <v>0</v>
      </c>
      <c r="AC43" s="69"/>
      <c r="AD43" s="70"/>
      <c r="AE43" s="70"/>
      <c r="AF43" s="62">
        <f t="shared" si="7"/>
        <v>0</v>
      </c>
      <c r="AG43" s="63">
        <f t="shared" si="8"/>
        <v>0</v>
      </c>
      <c r="AH43" s="142"/>
      <c r="AI43" s="139"/>
      <c r="AJ43" s="139"/>
      <c r="AK43" s="62">
        <f t="shared" si="9"/>
        <v>0</v>
      </c>
      <c r="AL43" s="72">
        <f t="shared" si="10"/>
        <v>0</v>
      </c>
      <c r="AM43" s="81">
        <f t="shared" si="14"/>
        <v>0</v>
      </c>
      <c r="AN43" s="80">
        <f t="shared" si="18"/>
        <v>0</v>
      </c>
      <c r="AO43" s="80">
        <f t="shared" si="18"/>
        <v>0</v>
      </c>
      <c r="AP43" s="115" t="e">
        <f t="shared" si="15"/>
        <v>#DIV/0!</v>
      </c>
      <c r="AQ43" s="116">
        <f t="shared" si="12"/>
        <v>0</v>
      </c>
      <c r="AR43" s="90">
        <f t="shared" si="19"/>
        <v>0</v>
      </c>
    </row>
    <row r="44" spans="1:49" ht="15.75" x14ac:dyDescent="0.25">
      <c r="A44" t="str">
        <f t="shared" si="13"/>
        <v>46194M</v>
      </c>
      <c r="B44" s="51">
        <f t="shared" si="17"/>
        <v>46194</v>
      </c>
      <c r="C44" s="100" t="s">
        <v>87</v>
      </c>
      <c r="D44" s="91"/>
      <c r="E44" s="62"/>
      <c r="F44" s="62"/>
      <c r="G44" s="62">
        <f t="shared" si="0"/>
        <v>0</v>
      </c>
      <c r="H44" s="72">
        <f t="shared" si="1"/>
        <v>0</v>
      </c>
      <c r="I44" s="121"/>
      <c r="J44" s="121"/>
      <c r="K44" s="121"/>
      <c r="L44" s="121"/>
      <c r="M44" s="58"/>
      <c r="N44" s="58"/>
      <c r="O44" s="59"/>
      <c r="P44" s="56"/>
      <c r="Q44" s="60"/>
      <c r="R44" s="61">
        <f t="shared" si="2"/>
        <v>0</v>
      </c>
      <c r="S44" s="62">
        <f t="shared" si="3"/>
        <v>0</v>
      </c>
      <c r="T44" s="63">
        <f t="shared" si="4"/>
        <v>0</v>
      </c>
      <c r="U44" s="64"/>
      <c r="V44" s="65"/>
      <c r="W44" s="139"/>
      <c r="X44" s="67"/>
      <c r="Y44" s="68"/>
      <c r="Z44" s="68"/>
      <c r="AA44" s="62">
        <f t="shared" si="5"/>
        <v>0</v>
      </c>
      <c r="AB44" s="63">
        <f t="shared" si="6"/>
        <v>0</v>
      </c>
      <c r="AC44" s="69"/>
      <c r="AD44" s="70"/>
      <c r="AE44" s="70"/>
      <c r="AF44" s="62">
        <f t="shared" si="7"/>
        <v>0</v>
      </c>
      <c r="AG44" s="63">
        <f t="shared" si="8"/>
        <v>0</v>
      </c>
      <c r="AH44" s="142"/>
      <c r="AI44" s="139"/>
      <c r="AJ44" s="139"/>
      <c r="AK44" s="62">
        <f t="shared" si="9"/>
        <v>0</v>
      </c>
      <c r="AL44" s="72">
        <f t="shared" si="10"/>
        <v>0</v>
      </c>
      <c r="AM44" s="81">
        <f t="shared" si="14"/>
        <v>0</v>
      </c>
      <c r="AN44" s="80">
        <f t="shared" si="18"/>
        <v>0</v>
      </c>
      <c r="AO44" s="80">
        <f t="shared" si="18"/>
        <v>0</v>
      </c>
      <c r="AP44" s="115" t="e">
        <f t="shared" si="15"/>
        <v>#DIV/0!</v>
      </c>
      <c r="AQ44" s="116">
        <f t="shared" si="12"/>
        <v>0</v>
      </c>
      <c r="AR44" s="90">
        <f t="shared" si="19"/>
        <v>0</v>
      </c>
    </row>
    <row r="45" spans="1:49" ht="15.75" x14ac:dyDescent="0.25">
      <c r="A45" t="str">
        <f t="shared" si="13"/>
        <v>46194E</v>
      </c>
      <c r="B45" s="51">
        <f t="shared" si="17"/>
        <v>46194</v>
      </c>
      <c r="C45" s="100" t="s">
        <v>88</v>
      </c>
      <c r="D45" s="91"/>
      <c r="E45" s="62"/>
      <c r="F45" s="62"/>
      <c r="G45" s="62">
        <f t="shared" si="0"/>
        <v>0</v>
      </c>
      <c r="H45" s="72">
        <f t="shared" si="1"/>
        <v>0</v>
      </c>
      <c r="I45" s="121"/>
      <c r="J45" s="121"/>
      <c r="K45" s="121"/>
      <c r="L45" s="121"/>
      <c r="M45" s="58"/>
      <c r="N45" s="58"/>
      <c r="O45" s="59"/>
      <c r="P45" s="56"/>
      <c r="Q45" s="60"/>
      <c r="R45" s="61">
        <f t="shared" si="2"/>
        <v>0</v>
      </c>
      <c r="S45" s="62">
        <f t="shared" si="3"/>
        <v>0</v>
      </c>
      <c r="T45" s="63">
        <f t="shared" si="4"/>
        <v>0</v>
      </c>
      <c r="U45" s="64"/>
      <c r="V45" s="65"/>
      <c r="W45" s="139"/>
      <c r="X45" s="67"/>
      <c r="Y45" s="68"/>
      <c r="Z45" s="68"/>
      <c r="AA45" s="62">
        <f t="shared" si="5"/>
        <v>0</v>
      </c>
      <c r="AB45" s="63">
        <f t="shared" si="6"/>
        <v>0</v>
      </c>
      <c r="AC45" s="69"/>
      <c r="AD45" s="70"/>
      <c r="AE45" s="70"/>
      <c r="AF45" s="62">
        <f t="shared" si="7"/>
        <v>0</v>
      </c>
      <c r="AG45" s="63">
        <f t="shared" si="8"/>
        <v>0</v>
      </c>
      <c r="AH45" s="142"/>
      <c r="AI45" s="139"/>
      <c r="AJ45" s="139"/>
      <c r="AK45" s="62">
        <f t="shared" si="9"/>
        <v>0</v>
      </c>
      <c r="AL45" s="72">
        <f t="shared" si="10"/>
        <v>0</v>
      </c>
      <c r="AM45" s="81">
        <f t="shared" si="14"/>
        <v>0</v>
      </c>
      <c r="AN45" s="80">
        <f t="shared" si="18"/>
        <v>0</v>
      </c>
      <c r="AO45" s="80">
        <f t="shared" si="18"/>
        <v>0</v>
      </c>
      <c r="AP45" s="115" t="e">
        <f t="shared" si="15"/>
        <v>#DIV/0!</v>
      </c>
      <c r="AQ45" s="116">
        <f t="shared" si="12"/>
        <v>0</v>
      </c>
      <c r="AR45" s="90">
        <f t="shared" si="19"/>
        <v>0</v>
      </c>
    </row>
    <row r="46" spans="1:49" ht="15.75" x14ac:dyDescent="0.25">
      <c r="A46" t="str">
        <f t="shared" si="13"/>
        <v>46195M</v>
      </c>
      <c r="B46" s="51">
        <f t="shared" si="17"/>
        <v>46195</v>
      </c>
      <c r="C46" s="100" t="s">
        <v>87</v>
      </c>
      <c r="D46" s="91"/>
      <c r="E46" s="62"/>
      <c r="F46" s="62"/>
      <c r="G46" s="62">
        <f t="shared" si="0"/>
        <v>0</v>
      </c>
      <c r="H46" s="72">
        <f t="shared" si="1"/>
        <v>0</v>
      </c>
      <c r="I46" s="121"/>
      <c r="J46" s="121"/>
      <c r="K46" s="121"/>
      <c r="L46" s="121"/>
      <c r="M46" s="58"/>
      <c r="N46" s="58"/>
      <c r="O46" s="59"/>
      <c r="P46" s="56"/>
      <c r="Q46" s="60"/>
      <c r="R46" s="61">
        <f t="shared" si="2"/>
        <v>0</v>
      </c>
      <c r="S46" s="62">
        <f t="shared" si="3"/>
        <v>0</v>
      </c>
      <c r="T46" s="63">
        <f t="shared" si="4"/>
        <v>0</v>
      </c>
      <c r="U46" s="64"/>
      <c r="V46" s="65"/>
      <c r="W46" s="139"/>
      <c r="X46" s="67"/>
      <c r="Y46" s="68"/>
      <c r="Z46" s="68"/>
      <c r="AA46" s="62">
        <f t="shared" si="5"/>
        <v>0</v>
      </c>
      <c r="AB46" s="63">
        <f t="shared" si="6"/>
        <v>0</v>
      </c>
      <c r="AC46" s="69"/>
      <c r="AD46" s="70"/>
      <c r="AE46" s="70"/>
      <c r="AF46" s="62">
        <f t="shared" si="7"/>
        <v>0</v>
      </c>
      <c r="AG46" s="63">
        <f t="shared" si="8"/>
        <v>0</v>
      </c>
      <c r="AH46" s="142"/>
      <c r="AI46" s="139"/>
      <c r="AJ46" s="139"/>
      <c r="AK46" s="62">
        <f t="shared" si="9"/>
        <v>0</v>
      </c>
      <c r="AL46" s="72">
        <f t="shared" si="10"/>
        <v>0</v>
      </c>
      <c r="AM46" s="81">
        <f t="shared" si="14"/>
        <v>0</v>
      </c>
      <c r="AN46" s="80">
        <f t="shared" si="18"/>
        <v>0</v>
      </c>
      <c r="AO46" s="80">
        <f t="shared" si="18"/>
        <v>0</v>
      </c>
      <c r="AP46" s="115" t="e">
        <f t="shared" si="15"/>
        <v>#DIV/0!</v>
      </c>
      <c r="AQ46" s="116">
        <f t="shared" si="12"/>
        <v>0</v>
      </c>
      <c r="AR46" s="90">
        <f t="shared" si="19"/>
        <v>0</v>
      </c>
    </row>
    <row r="47" spans="1:49" ht="15.75" x14ac:dyDescent="0.25">
      <c r="A47" t="str">
        <f t="shared" si="13"/>
        <v>46195E</v>
      </c>
      <c r="B47" s="51">
        <f t="shared" si="17"/>
        <v>46195</v>
      </c>
      <c r="C47" s="100" t="s">
        <v>88</v>
      </c>
      <c r="D47" s="91"/>
      <c r="E47" s="62"/>
      <c r="F47" s="62"/>
      <c r="G47" s="62">
        <f t="shared" si="0"/>
        <v>0</v>
      </c>
      <c r="H47" s="72">
        <f t="shared" si="1"/>
        <v>0</v>
      </c>
      <c r="I47" s="121"/>
      <c r="J47" s="121"/>
      <c r="K47" s="121"/>
      <c r="L47" s="121"/>
      <c r="M47" s="58"/>
      <c r="N47" s="58"/>
      <c r="O47" s="59"/>
      <c r="P47" s="56"/>
      <c r="Q47" s="60"/>
      <c r="R47" s="61">
        <f t="shared" si="2"/>
        <v>0</v>
      </c>
      <c r="S47" s="62">
        <f t="shared" si="3"/>
        <v>0</v>
      </c>
      <c r="T47" s="63">
        <f t="shared" si="4"/>
        <v>0</v>
      </c>
      <c r="U47" s="64"/>
      <c r="V47" s="65"/>
      <c r="W47" s="66"/>
      <c r="X47" s="67"/>
      <c r="Y47" s="68"/>
      <c r="Z47" s="68"/>
      <c r="AA47" s="62">
        <f t="shared" si="5"/>
        <v>0</v>
      </c>
      <c r="AB47" s="63">
        <f t="shared" si="6"/>
        <v>0</v>
      </c>
      <c r="AC47" s="69"/>
      <c r="AD47" s="70"/>
      <c r="AE47" s="70"/>
      <c r="AF47" s="62">
        <f t="shared" si="7"/>
        <v>0</v>
      </c>
      <c r="AG47" s="63">
        <f t="shared" si="8"/>
        <v>0</v>
      </c>
      <c r="AH47" s="142"/>
      <c r="AI47" s="139"/>
      <c r="AJ47" s="139"/>
      <c r="AK47" s="62">
        <f t="shared" si="9"/>
        <v>0</v>
      </c>
      <c r="AL47" s="72">
        <f t="shared" si="10"/>
        <v>0</v>
      </c>
      <c r="AM47" s="81">
        <f t="shared" si="14"/>
        <v>0</v>
      </c>
      <c r="AN47" s="80">
        <f t="shared" si="18"/>
        <v>0</v>
      </c>
      <c r="AO47" s="80">
        <f t="shared" si="18"/>
        <v>0</v>
      </c>
      <c r="AP47" s="115" t="e">
        <f t="shared" si="15"/>
        <v>#DIV/0!</v>
      </c>
      <c r="AQ47" s="116">
        <f t="shared" si="12"/>
        <v>0</v>
      </c>
      <c r="AR47" s="90">
        <f t="shared" si="19"/>
        <v>0</v>
      </c>
      <c r="AS47" s="90"/>
      <c r="AT47" s="83"/>
      <c r="AU47" s="83"/>
      <c r="AV47" s="83"/>
      <c r="AW47" s="83"/>
    </row>
    <row r="48" spans="1:49" ht="15.75" x14ac:dyDescent="0.25">
      <c r="A48" t="str">
        <f t="shared" si="13"/>
        <v>46196M</v>
      </c>
      <c r="B48" s="51">
        <f t="shared" si="17"/>
        <v>46196</v>
      </c>
      <c r="C48" s="100" t="s">
        <v>87</v>
      </c>
      <c r="D48" s="106"/>
      <c r="E48" s="107"/>
      <c r="F48" s="107"/>
      <c r="G48" s="62">
        <f t="shared" si="0"/>
        <v>0</v>
      </c>
      <c r="H48" s="72">
        <f t="shared" si="1"/>
        <v>0</v>
      </c>
      <c r="I48" s="121"/>
      <c r="J48" s="121"/>
      <c r="K48" s="121"/>
      <c r="L48" s="121"/>
      <c r="M48" s="58"/>
      <c r="N48" s="58"/>
      <c r="O48" s="59"/>
      <c r="P48" s="56"/>
      <c r="Q48" s="60"/>
      <c r="R48" s="61">
        <f t="shared" si="2"/>
        <v>0</v>
      </c>
      <c r="S48" s="62">
        <f t="shared" si="3"/>
        <v>0</v>
      </c>
      <c r="T48" s="63">
        <f t="shared" si="4"/>
        <v>0</v>
      </c>
      <c r="U48" s="103"/>
      <c r="V48" s="85"/>
      <c r="W48" s="105"/>
      <c r="X48" s="113"/>
      <c r="Y48" s="114"/>
      <c r="Z48" s="114"/>
      <c r="AA48" s="62">
        <f t="shared" si="5"/>
        <v>0</v>
      </c>
      <c r="AB48" s="63">
        <f t="shared" si="6"/>
        <v>0</v>
      </c>
      <c r="AC48" s="69"/>
      <c r="AD48" s="70"/>
      <c r="AE48" s="70"/>
      <c r="AF48" s="62">
        <f t="shared" si="7"/>
        <v>0</v>
      </c>
      <c r="AG48" s="63">
        <f t="shared" si="8"/>
        <v>0</v>
      </c>
      <c r="AH48" s="142"/>
      <c r="AI48" s="139"/>
      <c r="AJ48" s="139"/>
      <c r="AK48" s="62">
        <f t="shared" si="9"/>
        <v>0</v>
      </c>
      <c r="AL48" s="72">
        <f t="shared" si="10"/>
        <v>0</v>
      </c>
      <c r="AM48" s="81">
        <f t="shared" si="14"/>
        <v>0</v>
      </c>
      <c r="AN48" s="80">
        <f t="shared" si="18"/>
        <v>0</v>
      </c>
      <c r="AO48" s="80">
        <f t="shared" si="18"/>
        <v>0</v>
      </c>
      <c r="AP48" s="115" t="e">
        <f t="shared" si="15"/>
        <v>#DIV/0!</v>
      </c>
      <c r="AQ48" s="116">
        <f t="shared" si="12"/>
        <v>0</v>
      </c>
      <c r="AR48" s="90">
        <f t="shared" si="19"/>
        <v>0</v>
      </c>
    </row>
    <row r="49" spans="1:49" ht="15.75" x14ac:dyDescent="0.25">
      <c r="A49" t="str">
        <f t="shared" si="13"/>
        <v>46196E</v>
      </c>
      <c r="B49" s="51">
        <f t="shared" si="17"/>
        <v>46196</v>
      </c>
      <c r="C49" s="100" t="s">
        <v>88</v>
      </c>
      <c r="D49" s="106"/>
      <c r="E49" s="107"/>
      <c r="F49" s="107"/>
      <c r="G49" s="62">
        <f t="shared" si="0"/>
        <v>0</v>
      </c>
      <c r="H49" s="72">
        <f t="shared" si="1"/>
        <v>0</v>
      </c>
      <c r="I49" s="121"/>
      <c r="J49" s="121"/>
      <c r="K49" s="121"/>
      <c r="L49" s="121"/>
      <c r="M49" s="58"/>
      <c r="N49" s="58"/>
      <c r="O49" s="59"/>
      <c r="P49" s="56"/>
      <c r="Q49" s="60"/>
      <c r="R49" s="61">
        <f t="shared" si="2"/>
        <v>0</v>
      </c>
      <c r="S49" s="62">
        <f t="shared" si="3"/>
        <v>0</v>
      </c>
      <c r="T49" s="63">
        <f t="shared" si="4"/>
        <v>0</v>
      </c>
      <c r="U49" s="103"/>
      <c r="V49" s="104"/>
      <c r="W49" s="105"/>
      <c r="X49" s="113"/>
      <c r="Y49" s="114"/>
      <c r="Z49" s="114"/>
      <c r="AA49" s="62">
        <f t="shared" si="5"/>
        <v>0</v>
      </c>
      <c r="AB49" s="63">
        <f t="shared" si="6"/>
        <v>0</v>
      </c>
      <c r="AC49" s="69"/>
      <c r="AD49" s="70"/>
      <c r="AE49" s="70"/>
      <c r="AF49" s="62">
        <f t="shared" si="7"/>
        <v>0</v>
      </c>
      <c r="AG49" s="63">
        <f t="shared" si="8"/>
        <v>0</v>
      </c>
      <c r="AH49" s="142"/>
      <c r="AI49" s="139"/>
      <c r="AJ49" s="139"/>
      <c r="AK49" s="62">
        <f t="shared" si="9"/>
        <v>0</v>
      </c>
      <c r="AL49" s="72">
        <f t="shared" si="10"/>
        <v>0</v>
      </c>
      <c r="AM49" s="81">
        <f t="shared" si="14"/>
        <v>0</v>
      </c>
      <c r="AN49" s="80">
        <f t="shared" si="18"/>
        <v>0</v>
      </c>
      <c r="AO49" s="80">
        <f t="shared" si="18"/>
        <v>0</v>
      </c>
      <c r="AP49" s="115" t="e">
        <f t="shared" si="15"/>
        <v>#DIV/0!</v>
      </c>
      <c r="AQ49" s="116">
        <f t="shared" si="12"/>
        <v>0</v>
      </c>
      <c r="AR49" s="90">
        <f t="shared" si="19"/>
        <v>0</v>
      </c>
    </row>
    <row r="50" spans="1:49" ht="15.75" x14ac:dyDescent="0.25">
      <c r="A50" t="str">
        <f t="shared" si="13"/>
        <v>46197M</v>
      </c>
      <c r="B50" s="51">
        <f t="shared" si="17"/>
        <v>46197</v>
      </c>
      <c r="C50" s="100" t="s">
        <v>87</v>
      </c>
      <c r="D50" s="91"/>
      <c r="E50" s="62"/>
      <c r="F50" s="62"/>
      <c r="G50" s="62">
        <f t="shared" si="0"/>
        <v>0</v>
      </c>
      <c r="H50" s="72">
        <f t="shared" si="1"/>
        <v>0</v>
      </c>
      <c r="I50" s="121"/>
      <c r="J50" s="121"/>
      <c r="K50" s="121"/>
      <c r="L50" s="121"/>
      <c r="M50" s="58"/>
      <c r="N50" s="58"/>
      <c r="O50" s="59"/>
      <c r="P50" s="56"/>
      <c r="Q50" s="60"/>
      <c r="R50" s="61">
        <f t="shared" si="2"/>
        <v>0</v>
      </c>
      <c r="S50" s="62">
        <f t="shared" si="3"/>
        <v>0</v>
      </c>
      <c r="T50" s="63">
        <f t="shared" si="4"/>
        <v>0</v>
      </c>
      <c r="U50" s="64"/>
      <c r="V50" s="65"/>
      <c r="W50" s="66"/>
      <c r="X50" s="67"/>
      <c r="Y50" s="68"/>
      <c r="Z50" s="68"/>
      <c r="AA50" s="62">
        <f t="shared" si="5"/>
        <v>0</v>
      </c>
      <c r="AB50" s="63">
        <f t="shared" si="6"/>
        <v>0</v>
      </c>
      <c r="AC50" s="69"/>
      <c r="AD50" s="70"/>
      <c r="AE50" s="70"/>
      <c r="AF50" s="62">
        <f t="shared" si="7"/>
        <v>0</v>
      </c>
      <c r="AG50" s="63">
        <f t="shared" si="8"/>
        <v>0</v>
      </c>
      <c r="AH50" s="142"/>
      <c r="AI50" s="139"/>
      <c r="AJ50" s="139"/>
      <c r="AK50" s="62">
        <f t="shared" si="9"/>
        <v>0</v>
      </c>
      <c r="AL50" s="72">
        <f t="shared" si="10"/>
        <v>0</v>
      </c>
      <c r="AM50" s="81">
        <f t="shared" si="14"/>
        <v>0</v>
      </c>
      <c r="AN50" s="80">
        <f t="shared" si="18"/>
        <v>0</v>
      </c>
      <c r="AO50" s="80">
        <f t="shared" si="18"/>
        <v>0</v>
      </c>
      <c r="AP50" s="115" t="e">
        <f t="shared" si="15"/>
        <v>#DIV/0!</v>
      </c>
      <c r="AQ50" s="116">
        <f t="shared" si="12"/>
        <v>0</v>
      </c>
      <c r="AR50" s="90">
        <f t="shared" si="19"/>
        <v>0</v>
      </c>
    </row>
    <row r="51" spans="1:49" ht="15.75" x14ac:dyDescent="0.25">
      <c r="A51" t="str">
        <f t="shared" si="13"/>
        <v>46197E</v>
      </c>
      <c r="B51" s="51">
        <f t="shared" si="17"/>
        <v>46197</v>
      </c>
      <c r="C51" s="100" t="s">
        <v>88</v>
      </c>
      <c r="D51" s="91"/>
      <c r="E51" s="62"/>
      <c r="F51" s="62"/>
      <c r="G51" s="62">
        <f t="shared" si="0"/>
        <v>0</v>
      </c>
      <c r="H51" s="72">
        <f t="shared" si="1"/>
        <v>0</v>
      </c>
      <c r="I51" s="121"/>
      <c r="J51" s="121"/>
      <c r="K51" s="121"/>
      <c r="L51" s="121"/>
      <c r="M51" s="58"/>
      <c r="N51" s="58"/>
      <c r="O51" s="59"/>
      <c r="P51" s="56"/>
      <c r="Q51" s="60"/>
      <c r="R51" s="61">
        <f t="shared" si="2"/>
        <v>0</v>
      </c>
      <c r="S51" s="62">
        <f t="shared" si="3"/>
        <v>0</v>
      </c>
      <c r="T51" s="63">
        <f t="shared" si="4"/>
        <v>0</v>
      </c>
      <c r="U51" s="64"/>
      <c r="V51" s="85"/>
      <c r="W51" s="66"/>
      <c r="X51" s="67"/>
      <c r="Y51" s="68"/>
      <c r="Z51" s="68"/>
      <c r="AA51" s="62">
        <f t="shared" si="5"/>
        <v>0</v>
      </c>
      <c r="AB51" s="63">
        <f t="shared" si="6"/>
        <v>0</v>
      </c>
      <c r="AC51" s="69"/>
      <c r="AD51" s="70"/>
      <c r="AE51" s="70"/>
      <c r="AF51" s="62">
        <f t="shared" si="7"/>
        <v>0</v>
      </c>
      <c r="AG51" s="63">
        <f t="shared" si="8"/>
        <v>0</v>
      </c>
      <c r="AH51" s="142"/>
      <c r="AI51" s="139"/>
      <c r="AJ51" s="139"/>
      <c r="AK51" s="62">
        <f t="shared" si="9"/>
        <v>0</v>
      </c>
      <c r="AL51" s="72">
        <f t="shared" si="10"/>
        <v>0</v>
      </c>
      <c r="AM51" s="81">
        <f t="shared" si="14"/>
        <v>0</v>
      </c>
      <c r="AN51" s="80">
        <f t="shared" si="18"/>
        <v>0</v>
      </c>
      <c r="AO51" s="80">
        <f t="shared" si="18"/>
        <v>0</v>
      </c>
      <c r="AP51" s="115" t="e">
        <f t="shared" si="15"/>
        <v>#DIV/0!</v>
      </c>
      <c r="AQ51" s="116">
        <f t="shared" si="12"/>
        <v>0</v>
      </c>
      <c r="AR51" s="90">
        <f t="shared" si="19"/>
        <v>0</v>
      </c>
    </row>
    <row r="52" spans="1:49" ht="15.75" x14ac:dyDescent="0.25">
      <c r="A52" t="str">
        <f t="shared" si="13"/>
        <v>46198M</v>
      </c>
      <c r="B52" s="51">
        <f t="shared" si="17"/>
        <v>46198</v>
      </c>
      <c r="C52" s="100" t="s">
        <v>87</v>
      </c>
      <c r="D52" s="91"/>
      <c r="E52" s="62"/>
      <c r="F52" s="62"/>
      <c r="G52" s="62">
        <f t="shared" si="0"/>
        <v>0</v>
      </c>
      <c r="H52" s="72">
        <f t="shared" si="1"/>
        <v>0</v>
      </c>
      <c r="I52" s="121"/>
      <c r="J52" s="121"/>
      <c r="K52" s="121"/>
      <c r="L52" s="121"/>
      <c r="M52" s="58"/>
      <c r="N52" s="58"/>
      <c r="O52" s="59"/>
      <c r="P52" s="56"/>
      <c r="Q52" s="60"/>
      <c r="R52" s="61">
        <f t="shared" si="2"/>
        <v>0</v>
      </c>
      <c r="S52" s="62">
        <f t="shared" si="3"/>
        <v>0</v>
      </c>
      <c r="T52" s="63">
        <f t="shared" si="4"/>
        <v>0</v>
      </c>
      <c r="U52" s="64"/>
      <c r="V52" s="65"/>
      <c r="W52" s="66"/>
      <c r="X52" s="67"/>
      <c r="Y52" s="68"/>
      <c r="Z52" s="68"/>
      <c r="AA52" s="62">
        <f t="shared" si="5"/>
        <v>0</v>
      </c>
      <c r="AB52" s="63">
        <f t="shared" si="6"/>
        <v>0</v>
      </c>
      <c r="AC52" s="69"/>
      <c r="AD52" s="70"/>
      <c r="AE52" s="70"/>
      <c r="AF52" s="62">
        <f t="shared" si="7"/>
        <v>0</v>
      </c>
      <c r="AG52" s="63">
        <f t="shared" si="8"/>
        <v>0</v>
      </c>
      <c r="AH52" s="142"/>
      <c r="AI52" s="139"/>
      <c r="AJ52" s="139"/>
      <c r="AK52" s="62">
        <f t="shared" si="9"/>
        <v>0</v>
      </c>
      <c r="AL52" s="72">
        <f t="shared" si="10"/>
        <v>0</v>
      </c>
      <c r="AM52" s="81">
        <f t="shared" si="14"/>
        <v>0</v>
      </c>
      <c r="AN52" s="80">
        <f t="shared" si="18"/>
        <v>0</v>
      </c>
      <c r="AO52" s="80">
        <f t="shared" si="18"/>
        <v>0</v>
      </c>
      <c r="AP52" s="115" t="e">
        <f t="shared" si="15"/>
        <v>#DIV/0!</v>
      </c>
      <c r="AQ52" s="116">
        <f t="shared" si="12"/>
        <v>0</v>
      </c>
      <c r="AR52" s="90">
        <f t="shared" si="19"/>
        <v>0</v>
      </c>
    </row>
    <row r="53" spans="1:49" ht="15.75" x14ac:dyDescent="0.25">
      <c r="A53" t="str">
        <f t="shared" si="13"/>
        <v>46198E</v>
      </c>
      <c r="B53" s="51">
        <f t="shared" si="17"/>
        <v>46198</v>
      </c>
      <c r="C53" s="100" t="s">
        <v>88</v>
      </c>
      <c r="D53" s="91"/>
      <c r="E53" s="62"/>
      <c r="F53" s="62"/>
      <c r="G53" s="62">
        <f t="shared" si="0"/>
        <v>0</v>
      </c>
      <c r="H53" s="72">
        <f t="shared" si="1"/>
        <v>0</v>
      </c>
      <c r="I53" s="121"/>
      <c r="J53" s="121"/>
      <c r="K53" s="121"/>
      <c r="L53" s="121"/>
      <c r="M53" s="58"/>
      <c r="N53" s="58"/>
      <c r="O53" s="59"/>
      <c r="P53" s="56"/>
      <c r="Q53" s="60"/>
      <c r="R53" s="61">
        <f t="shared" si="2"/>
        <v>0</v>
      </c>
      <c r="S53" s="62">
        <f t="shared" si="3"/>
        <v>0</v>
      </c>
      <c r="T53" s="63">
        <f t="shared" si="4"/>
        <v>0</v>
      </c>
      <c r="U53" s="64"/>
      <c r="V53" s="65"/>
      <c r="W53" s="66"/>
      <c r="X53" s="67"/>
      <c r="Y53" s="68"/>
      <c r="Z53" s="68"/>
      <c r="AA53" s="62">
        <f t="shared" si="5"/>
        <v>0</v>
      </c>
      <c r="AB53" s="63">
        <f t="shared" si="6"/>
        <v>0</v>
      </c>
      <c r="AC53" s="69"/>
      <c r="AD53" s="70"/>
      <c r="AE53" s="70"/>
      <c r="AF53" s="62">
        <f t="shared" si="7"/>
        <v>0</v>
      </c>
      <c r="AG53" s="63">
        <f t="shared" si="8"/>
        <v>0</v>
      </c>
      <c r="AH53" s="142"/>
      <c r="AI53" s="139"/>
      <c r="AJ53" s="139"/>
      <c r="AK53" s="62">
        <f t="shared" si="9"/>
        <v>0</v>
      </c>
      <c r="AL53" s="72">
        <f t="shared" si="10"/>
        <v>0</v>
      </c>
      <c r="AM53" s="81">
        <f t="shared" si="14"/>
        <v>0</v>
      </c>
      <c r="AN53" s="80">
        <f t="shared" si="18"/>
        <v>0</v>
      </c>
      <c r="AO53" s="80">
        <f t="shared" si="18"/>
        <v>0</v>
      </c>
      <c r="AP53" s="115" t="e">
        <f t="shared" si="15"/>
        <v>#DIV/0!</v>
      </c>
      <c r="AQ53" s="116">
        <f t="shared" si="12"/>
        <v>0</v>
      </c>
      <c r="AR53" s="90">
        <f t="shared" si="19"/>
        <v>0</v>
      </c>
      <c r="AS53" s="90">
        <f>SUM(J40:J53)</f>
        <v>0</v>
      </c>
      <c r="AT53" s="83">
        <f>SUM(AM40:AM53)</f>
        <v>0</v>
      </c>
      <c r="AU53" s="83">
        <f>SUM(AN40:AN53)</f>
        <v>0</v>
      </c>
      <c r="AV53" s="83">
        <f>SUM(AO40:AO53)</f>
        <v>0</v>
      </c>
      <c r="AW53" s="83">
        <f>-SUM(AQ40:AQ53)</f>
        <v>0</v>
      </c>
    </row>
    <row r="54" spans="1:49" ht="15.75" x14ac:dyDescent="0.25">
      <c r="A54" t="str">
        <f t="shared" si="13"/>
        <v>46199M</v>
      </c>
      <c r="B54" s="51">
        <f t="shared" si="17"/>
        <v>46199</v>
      </c>
      <c r="C54" s="100" t="s">
        <v>87</v>
      </c>
      <c r="D54" s="91"/>
      <c r="E54" s="62"/>
      <c r="F54" s="62"/>
      <c r="G54" s="62">
        <f t="shared" si="0"/>
        <v>0</v>
      </c>
      <c r="H54" s="72">
        <f t="shared" si="1"/>
        <v>0</v>
      </c>
      <c r="I54" s="121"/>
      <c r="J54" s="121"/>
      <c r="K54" s="121"/>
      <c r="L54" s="121"/>
      <c r="M54" s="58"/>
      <c r="N54" s="58"/>
      <c r="O54" s="59"/>
      <c r="P54" s="56"/>
      <c r="Q54" s="60"/>
      <c r="R54" s="61">
        <f t="shared" si="2"/>
        <v>0</v>
      </c>
      <c r="S54" s="62">
        <f t="shared" si="3"/>
        <v>0</v>
      </c>
      <c r="T54" s="63">
        <f t="shared" si="4"/>
        <v>0</v>
      </c>
      <c r="U54" s="64"/>
      <c r="V54" s="65"/>
      <c r="W54" s="105"/>
      <c r="X54" s="67"/>
      <c r="Y54" s="68"/>
      <c r="Z54" s="68"/>
      <c r="AA54" s="62">
        <f t="shared" si="5"/>
        <v>0</v>
      </c>
      <c r="AB54" s="63">
        <f t="shared" si="6"/>
        <v>0</v>
      </c>
      <c r="AC54" s="69"/>
      <c r="AD54" s="70"/>
      <c r="AE54" s="70"/>
      <c r="AF54" s="62">
        <f t="shared" si="7"/>
        <v>0</v>
      </c>
      <c r="AG54" s="63">
        <f t="shared" si="8"/>
        <v>0</v>
      </c>
      <c r="AH54" s="142"/>
      <c r="AI54" s="139"/>
      <c r="AJ54" s="139"/>
      <c r="AK54" s="62">
        <f t="shared" si="9"/>
        <v>0</v>
      </c>
      <c r="AL54" s="72">
        <f t="shared" si="10"/>
        <v>0</v>
      </c>
      <c r="AM54" s="81">
        <f t="shared" si="14"/>
        <v>0</v>
      </c>
      <c r="AN54" s="80">
        <f t="shared" si="18"/>
        <v>0</v>
      </c>
      <c r="AO54" s="80">
        <f t="shared" si="18"/>
        <v>0</v>
      </c>
      <c r="AP54" s="115" t="e">
        <f t="shared" si="15"/>
        <v>#DIV/0!</v>
      </c>
      <c r="AQ54" s="116">
        <f t="shared" si="12"/>
        <v>0</v>
      </c>
      <c r="AR54" s="90">
        <f t="shared" si="19"/>
        <v>0</v>
      </c>
    </row>
    <row r="55" spans="1:49" ht="15.75" x14ac:dyDescent="0.25">
      <c r="A55" t="str">
        <f t="shared" si="13"/>
        <v>46199E</v>
      </c>
      <c r="B55" s="51">
        <f t="shared" si="17"/>
        <v>46199</v>
      </c>
      <c r="C55" s="100" t="s">
        <v>88</v>
      </c>
      <c r="D55" s="91"/>
      <c r="E55" s="62"/>
      <c r="F55" s="62"/>
      <c r="G55" s="62">
        <f t="shared" si="0"/>
        <v>0</v>
      </c>
      <c r="H55" s="72">
        <f t="shared" si="1"/>
        <v>0</v>
      </c>
      <c r="I55" s="121"/>
      <c r="J55" s="121"/>
      <c r="K55" s="121"/>
      <c r="L55" s="121"/>
      <c r="M55" s="58"/>
      <c r="N55" s="58"/>
      <c r="O55" s="59"/>
      <c r="P55" s="56"/>
      <c r="Q55" s="60"/>
      <c r="R55" s="61">
        <f t="shared" si="2"/>
        <v>0</v>
      </c>
      <c r="S55" s="62">
        <f t="shared" si="3"/>
        <v>0</v>
      </c>
      <c r="T55" s="63">
        <f t="shared" si="4"/>
        <v>0</v>
      </c>
      <c r="U55" s="64"/>
      <c r="V55" s="65"/>
      <c r="W55" s="105"/>
      <c r="X55" s="67"/>
      <c r="Y55" s="68"/>
      <c r="Z55" s="68"/>
      <c r="AA55" s="62">
        <f t="shared" si="5"/>
        <v>0</v>
      </c>
      <c r="AB55" s="63">
        <f t="shared" si="6"/>
        <v>0</v>
      </c>
      <c r="AC55" s="69"/>
      <c r="AD55" s="70"/>
      <c r="AE55" s="70"/>
      <c r="AF55" s="62">
        <f t="shared" si="7"/>
        <v>0</v>
      </c>
      <c r="AG55" s="63">
        <f t="shared" si="8"/>
        <v>0</v>
      </c>
      <c r="AH55" s="142"/>
      <c r="AI55" s="139"/>
      <c r="AJ55" s="139"/>
      <c r="AK55" s="62">
        <f t="shared" si="9"/>
        <v>0</v>
      </c>
      <c r="AL55" s="72">
        <f t="shared" si="10"/>
        <v>0</v>
      </c>
      <c r="AM55" s="81">
        <f t="shared" si="14"/>
        <v>0</v>
      </c>
      <c r="AN55" s="80">
        <f t="shared" si="18"/>
        <v>0</v>
      </c>
      <c r="AO55" s="80">
        <f t="shared" si="18"/>
        <v>0</v>
      </c>
      <c r="AP55" s="115" t="e">
        <f t="shared" si="15"/>
        <v>#DIV/0!</v>
      </c>
      <c r="AQ55" s="116">
        <f t="shared" si="12"/>
        <v>0</v>
      </c>
      <c r="AR55" s="90">
        <f t="shared" si="19"/>
        <v>0</v>
      </c>
      <c r="AS55" s="90">
        <f>SUM(J42:J55)</f>
        <v>0</v>
      </c>
      <c r="AT55" s="83">
        <f>SUM(AM42:AM55)</f>
        <v>0</v>
      </c>
      <c r="AU55" s="83">
        <f>SUM(AN42:AN55)</f>
        <v>0</v>
      </c>
      <c r="AV55" s="83">
        <f>SUM(AO42:AO55)</f>
        <v>0</v>
      </c>
      <c r="AW55" s="83">
        <f>-SUM(AQ42:AQ55)</f>
        <v>0</v>
      </c>
    </row>
    <row r="56" spans="1:49" ht="15.75" x14ac:dyDescent="0.25">
      <c r="A56" t="str">
        <f t="shared" si="13"/>
        <v>46200M</v>
      </c>
      <c r="B56" s="51">
        <f t="shared" si="17"/>
        <v>46200</v>
      </c>
      <c r="C56" s="100" t="s">
        <v>87</v>
      </c>
      <c r="D56" s="91"/>
      <c r="E56" s="62"/>
      <c r="F56" s="62"/>
      <c r="G56" s="62">
        <f t="shared" si="0"/>
        <v>0</v>
      </c>
      <c r="H56" s="72">
        <f t="shared" si="1"/>
        <v>0</v>
      </c>
      <c r="I56" s="121"/>
      <c r="J56" s="121"/>
      <c r="K56" s="121"/>
      <c r="L56" s="121"/>
      <c r="M56" s="58"/>
      <c r="N56" s="58"/>
      <c r="O56" s="59"/>
      <c r="P56" s="56"/>
      <c r="Q56" s="60"/>
      <c r="R56" s="61">
        <f t="shared" si="2"/>
        <v>0</v>
      </c>
      <c r="S56" s="62">
        <f t="shared" si="3"/>
        <v>0</v>
      </c>
      <c r="T56" s="63">
        <f t="shared" si="4"/>
        <v>0</v>
      </c>
      <c r="U56" s="64"/>
      <c r="V56" s="65"/>
      <c r="W56" s="66"/>
      <c r="X56" s="67"/>
      <c r="Y56" s="68"/>
      <c r="Z56" s="68"/>
      <c r="AA56" s="62">
        <f t="shared" si="5"/>
        <v>0</v>
      </c>
      <c r="AB56" s="63">
        <f t="shared" si="6"/>
        <v>0</v>
      </c>
      <c r="AC56" s="69"/>
      <c r="AD56" s="70"/>
      <c r="AE56" s="70"/>
      <c r="AF56" s="62">
        <f t="shared" si="7"/>
        <v>0</v>
      </c>
      <c r="AG56" s="63">
        <f t="shared" si="8"/>
        <v>0</v>
      </c>
      <c r="AH56" s="142"/>
      <c r="AI56" s="139"/>
      <c r="AJ56" s="139"/>
      <c r="AK56" s="62">
        <f t="shared" si="9"/>
        <v>0</v>
      </c>
      <c r="AL56" s="72">
        <f t="shared" si="10"/>
        <v>0</v>
      </c>
      <c r="AM56" s="81">
        <f t="shared" si="14"/>
        <v>0</v>
      </c>
      <c r="AN56" s="80">
        <f t="shared" si="18"/>
        <v>0</v>
      </c>
      <c r="AO56" s="80">
        <f t="shared" si="18"/>
        <v>0</v>
      </c>
      <c r="AP56" s="115" t="e">
        <f t="shared" si="15"/>
        <v>#DIV/0!</v>
      </c>
      <c r="AQ56" s="116">
        <f t="shared" si="12"/>
        <v>0</v>
      </c>
      <c r="AR56" s="90">
        <f t="shared" si="19"/>
        <v>0</v>
      </c>
    </row>
    <row r="57" spans="1:49" ht="15.75" x14ac:dyDescent="0.25">
      <c r="A57" t="str">
        <f t="shared" si="13"/>
        <v>46200E</v>
      </c>
      <c r="B57" s="51">
        <f t="shared" si="17"/>
        <v>46200</v>
      </c>
      <c r="C57" s="100" t="s">
        <v>88</v>
      </c>
      <c r="D57" s="91"/>
      <c r="E57" s="62"/>
      <c r="F57" s="62"/>
      <c r="G57" s="62">
        <f t="shared" si="0"/>
        <v>0</v>
      </c>
      <c r="H57" s="72">
        <f t="shared" si="1"/>
        <v>0</v>
      </c>
      <c r="I57" s="121"/>
      <c r="J57" s="121"/>
      <c r="K57" s="121"/>
      <c r="L57" s="121"/>
      <c r="M57" s="58"/>
      <c r="N57" s="58"/>
      <c r="O57" s="59"/>
      <c r="P57" s="56"/>
      <c r="Q57" s="60"/>
      <c r="R57" s="61">
        <f t="shared" si="2"/>
        <v>0</v>
      </c>
      <c r="S57" s="62">
        <f t="shared" si="3"/>
        <v>0</v>
      </c>
      <c r="T57" s="63">
        <f t="shared" si="4"/>
        <v>0</v>
      </c>
      <c r="U57" s="64"/>
      <c r="V57" s="65"/>
      <c r="W57" s="105"/>
      <c r="X57" s="67"/>
      <c r="Y57" s="68"/>
      <c r="Z57" s="68"/>
      <c r="AA57" s="62">
        <f t="shared" si="5"/>
        <v>0</v>
      </c>
      <c r="AB57" s="63">
        <f t="shared" si="6"/>
        <v>0</v>
      </c>
      <c r="AC57" s="69"/>
      <c r="AD57" s="70"/>
      <c r="AE57" s="70"/>
      <c r="AF57" s="62">
        <f t="shared" si="7"/>
        <v>0</v>
      </c>
      <c r="AG57" s="63">
        <f t="shared" si="8"/>
        <v>0</v>
      </c>
      <c r="AH57" s="142"/>
      <c r="AI57" s="139"/>
      <c r="AJ57" s="139"/>
      <c r="AK57" s="62">
        <f t="shared" si="9"/>
        <v>0</v>
      </c>
      <c r="AL57" s="72">
        <f t="shared" si="10"/>
        <v>0</v>
      </c>
      <c r="AM57" s="81">
        <f t="shared" si="14"/>
        <v>0</v>
      </c>
      <c r="AN57" s="80">
        <f t="shared" si="18"/>
        <v>0</v>
      </c>
      <c r="AO57" s="80">
        <f t="shared" si="18"/>
        <v>0</v>
      </c>
      <c r="AP57" s="115" t="e">
        <f t="shared" si="15"/>
        <v>#DIV/0!</v>
      </c>
      <c r="AQ57" s="116">
        <f t="shared" si="12"/>
        <v>0</v>
      </c>
      <c r="AR57" s="90">
        <f t="shared" si="19"/>
        <v>0</v>
      </c>
    </row>
    <row r="58" spans="1:49" ht="15.75" x14ac:dyDescent="0.25">
      <c r="A58" t="str">
        <f t="shared" si="13"/>
        <v>46201M</v>
      </c>
      <c r="B58" s="51">
        <f t="shared" si="17"/>
        <v>46201</v>
      </c>
      <c r="C58" s="100" t="s">
        <v>87</v>
      </c>
      <c r="D58" s="91"/>
      <c r="E58" s="62"/>
      <c r="F58" s="62"/>
      <c r="G58" s="62">
        <f t="shared" si="0"/>
        <v>0</v>
      </c>
      <c r="H58" s="72">
        <f t="shared" si="1"/>
        <v>0</v>
      </c>
      <c r="I58" s="121"/>
      <c r="J58" s="121"/>
      <c r="K58" s="121"/>
      <c r="L58" s="121"/>
      <c r="M58" s="58"/>
      <c r="N58" s="58"/>
      <c r="O58" s="59"/>
      <c r="P58" s="56"/>
      <c r="Q58" s="60"/>
      <c r="R58" s="61">
        <f t="shared" si="2"/>
        <v>0</v>
      </c>
      <c r="S58" s="62">
        <f t="shared" si="3"/>
        <v>0</v>
      </c>
      <c r="T58" s="63">
        <f t="shared" si="4"/>
        <v>0</v>
      </c>
      <c r="U58" s="64"/>
      <c r="V58" s="65"/>
      <c r="W58" s="66"/>
      <c r="X58" s="67"/>
      <c r="Y58" s="68"/>
      <c r="Z58" s="68"/>
      <c r="AA58" s="62">
        <f t="shared" si="5"/>
        <v>0</v>
      </c>
      <c r="AB58" s="63">
        <f t="shared" si="6"/>
        <v>0</v>
      </c>
      <c r="AC58" s="69"/>
      <c r="AD58" s="70"/>
      <c r="AE58" s="70"/>
      <c r="AF58" s="62">
        <f t="shared" si="7"/>
        <v>0</v>
      </c>
      <c r="AG58" s="63">
        <f t="shared" si="8"/>
        <v>0</v>
      </c>
      <c r="AH58" s="142"/>
      <c r="AI58" s="139"/>
      <c r="AJ58" s="139"/>
      <c r="AK58" s="62">
        <f t="shared" si="9"/>
        <v>0</v>
      </c>
      <c r="AL58" s="72">
        <f t="shared" si="10"/>
        <v>0</v>
      </c>
      <c r="AM58" s="81">
        <f t="shared" si="14"/>
        <v>0</v>
      </c>
      <c r="AN58" s="80">
        <f t="shared" si="18"/>
        <v>0</v>
      </c>
      <c r="AO58" s="80">
        <f t="shared" si="18"/>
        <v>0</v>
      </c>
      <c r="AP58" s="115" t="e">
        <f t="shared" si="15"/>
        <v>#DIV/0!</v>
      </c>
      <c r="AQ58" s="116">
        <f t="shared" si="12"/>
        <v>0</v>
      </c>
      <c r="AR58" s="90">
        <f t="shared" si="19"/>
        <v>0</v>
      </c>
    </row>
    <row r="59" spans="1:49" ht="15.75" x14ac:dyDescent="0.25">
      <c r="A59" t="str">
        <f t="shared" si="13"/>
        <v>46201E</v>
      </c>
      <c r="B59" s="51">
        <f t="shared" si="17"/>
        <v>46201</v>
      </c>
      <c r="C59" s="100" t="s">
        <v>88</v>
      </c>
      <c r="D59" s="91"/>
      <c r="E59" s="62"/>
      <c r="F59" s="62"/>
      <c r="G59" s="62">
        <f t="shared" si="0"/>
        <v>0</v>
      </c>
      <c r="H59" s="72">
        <f t="shared" si="1"/>
        <v>0</v>
      </c>
      <c r="I59" s="121"/>
      <c r="J59" s="121"/>
      <c r="K59" s="121"/>
      <c r="L59" s="121"/>
      <c r="M59" s="58"/>
      <c r="N59" s="58"/>
      <c r="O59" s="59"/>
      <c r="P59" s="56"/>
      <c r="Q59" s="60"/>
      <c r="R59" s="61">
        <f t="shared" si="2"/>
        <v>0</v>
      </c>
      <c r="S59" s="62">
        <f t="shared" si="3"/>
        <v>0</v>
      </c>
      <c r="T59" s="63">
        <f t="shared" si="4"/>
        <v>0</v>
      </c>
      <c r="U59" s="64"/>
      <c r="V59" s="65"/>
      <c r="W59" s="66"/>
      <c r="X59" s="67"/>
      <c r="Y59" s="68"/>
      <c r="Z59" s="68"/>
      <c r="AA59" s="62">
        <f t="shared" si="5"/>
        <v>0</v>
      </c>
      <c r="AB59" s="63">
        <f t="shared" si="6"/>
        <v>0</v>
      </c>
      <c r="AC59" s="69"/>
      <c r="AD59" s="70"/>
      <c r="AE59" s="70"/>
      <c r="AF59" s="62">
        <f t="shared" si="7"/>
        <v>0</v>
      </c>
      <c r="AG59" s="63">
        <f t="shared" si="8"/>
        <v>0</v>
      </c>
      <c r="AH59" s="142"/>
      <c r="AI59" s="139"/>
      <c r="AJ59" s="139"/>
      <c r="AK59" s="62">
        <f t="shared" si="9"/>
        <v>0</v>
      </c>
      <c r="AL59" s="72">
        <f t="shared" si="10"/>
        <v>0</v>
      </c>
      <c r="AM59" s="81">
        <f t="shared" si="14"/>
        <v>0</v>
      </c>
      <c r="AN59" s="80">
        <f t="shared" si="18"/>
        <v>0</v>
      </c>
      <c r="AO59" s="80">
        <f t="shared" si="18"/>
        <v>0</v>
      </c>
      <c r="AP59" s="115" t="e">
        <f t="shared" si="15"/>
        <v>#DIV/0!</v>
      </c>
      <c r="AQ59" s="116">
        <f t="shared" si="12"/>
        <v>0</v>
      </c>
      <c r="AR59" s="90">
        <f t="shared" si="19"/>
        <v>0</v>
      </c>
    </row>
    <row r="60" spans="1:49" ht="15.75" x14ac:dyDescent="0.25">
      <c r="A60" t="str">
        <f t="shared" si="13"/>
        <v>46202M</v>
      </c>
      <c r="B60" s="51">
        <f t="shared" si="17"/>
        <v>46202</v>
      </c>
      <c r="C60" s="100" t="s">
        <v>87</v>
      </c>
      <c r="D60" s="91"/>
      <c r="E60" s="62"/>
      <c r="F60" s="62"/>
      <c r="G60" s="62">
        <f t="shared" si="0"/>
        <v>0</v>
      </c>
      <c r="H60" s="72">
        <f t="shared" si="1"/>
        <v>0</v>
      </c>
      <c r="I60" s="121"/>
      <c r="J60" s="121"/>
      <c r="K60" s="121"/>
      <c r="L60" s="121"/>
      <c r="M60" s="58"/>
      <c r="N60" s="58"/>
      <c r="O60" s="59"/>
      <c r="P60" s="56"/>
      <c r="Q60" s="60"/>
      <c r="R60" s="61">
        <f t="shared" si="2"/>
        <v>0</v>
      </c>
      <c r="S60" s="62">
        <f t="shared" si="3"/>
        <v>0</v>
      </c>
      <c r="T60" s="63">
        <f t="shared" si="4"/>
        <v>0</v>
      </c>
      <c r="U60" s="64"/>
      <c r="V60" s="65"/>
      <c r="W60" s="66"/>
      <c r="X60" s="67"/>
      <c r="Y60" s="68"/>
      <c r="Z60" s="68"/>
      <c r="AA60" s="62">
        <f t="shared" si="5"/>
        <v>0</v>
      </c>
      <c r="AB60" s="63">
        <f t="shared" si="6"/>
        <v>0</v>
      </c>
      <c r="AC60" s="69"/>
      <c r="AD60" s="70"/>
      <c r="AE60" s="70"/>
      <c r="AF60" s="62">
        <f t="shared" si="7"/>
        <v>0</v>
      </c>
      <c r="AG60" s="63">
        <f t="shared" si="8"/>
        <v>0</v>
      </c>
      <c r="AH60" s="142"/>
      <c r="AI60" s="139"/>
      <c r="AJ60" s="139"/>
      <c r="AK60" s="62">
        <f t="shared" si="9"/>
        <v>0</v>
      </c>
      <c r="AL60" s="72">
        <f t="shared" si="10"/>
        <v>0</v>
      </c>
      <c r="AM60" s="81">
        <f t="shared" si="14"/>
        <v>0</v>
      </c>
      <c r="AN60" s="80">
        <f t="shared" si="18"/>
        <v>0</v>
      </c>
      <c r="AO60" s="80">
        <f t="shared" si="18"/>
        <v>0</v>
      </c>
      <c r="AP60" s="115" t="e">
        <f t="shared" si="15"/>
        <v>#DIV/0!</v>
      </c>
      <c r="AQ60" s="116">
        <f t="shared" si="12"/>
        <v>0</v>
      </c>
      <c r="AR60" s="90">
        <f t="shared" si="19"/>
        <v>0</v>
      </c>
    </row>
    <row r="61" spans="1:49" ht="15.75" x14ac:dyDescent="0.25">
      <c r="A61" t="str">
        <f t="shared" si="13"/>
        <v>46202E</v>
      </c>
      <c r="B61" s="51">
        <f t="shared" si="17"/>
        <v>46202</v>
      </c>
      <c r="C61" s="100" t="s">
        <v>88</v>
      </c>
      <c r="D61" s="91"/>
      <c r="E61" s="62"/>
      <c r="F61" s="62"/>
      <c r="G61" s="62">
        <f t="shared" si="0"/>
        <v>0</v>
      </c>
      <c r="H61" s="72">
        <f t="shared" si="1"/>
        <v>0</v>
      </c>
      <c r="I61" s="121"/>
      <c r="J61" s="121"/>
      <c r="K61" s="121"/>
      <c r="L61" s="121"/>
      <c r="M61" s="58"/>
      <c r="N61" s="58"/>
      <c r="O61" s="59"/>
      <c r="P61" s="56"/>
      <c r="Q61" s="60"/>
      <c r="R61" s="61">
        <f t="shared" si="2"/>
        <v>0</v>
      </c>
      <c r="S61" s="62">
        <f t="shared" si="3"/>
        <v>0</v>
      </c>
      <c r="T61" s="63">
        <f t="shared" si="4"/>
        <v>0</v>
      </c>
      <c r="U61" s="64"/>
      <c r="V61" s="65"/>
      <c r="W61" s="105"/>
      <c r="X61" s="67"/>
      <c r="Y61" s="68"/>
      <c r="Z61" s="68"/>
      <c r="AA61" s="62">
        <f t="shared" si="5"/>
        <v>0</v>
      </c>
      <c r="AB61" s="63">
        <f t="shared" si="6"/>
        <v>0</v>
      </c>
      <c r="AC61" s="69"/>
      <c r="AD61" s="70"/>
      <c r="AE61" s="70"/>
      <c r="AF61" s="62">
        <f t="shared" si="7"/>
        <v>0</v>
      </c>
      <c r="AG61" s="63">
        <f t="shared" si="8"/>
        <v>0</v>
      </c>
      <c r="AH61" s="142"/>
      <c r="AI61" s="139"/>
      <c r="AJ61" s="139"/>
      <c r="AK61" s="62">
        <f t="shared" si="9"/>
        <v>0</v>
      </c>
      <c r="AL61" s="72">
        <f t="shared" si="10"/>
        <v>0</v>
      </c>
      <c r="AM61" s="81">
        <f t="shared" si="14"/>
        <v>0</v>
      </c>
      <c r="AN61" s="80">
        <f t="shared" si="18"/>
        <v>0</v>
      </c>
      <c r="AO61" s="80">
        <f t="shared" si="18"/>
        <v>0</v>
      </c>
      <c r="AP61" s="115" t="e">
        <f t="shared" si="15"/>
        <v>#DIV/0!</v>
      </c>
      <c r="AQ61" s="116">
        <f t="shared" si="12"/>
        <v>0</v>
      </c>
      <c r="AR61" s="90">
        <f t="shared" si="19"/>
        <v>0</v>
      </c>
      <c r="AS61" s="90">
        <f>SUM(J48:J61)</f>
        <v>0</v>
      </c>
      <c r="AT61" s="83">
        <f>SUM(AM48:AM61)</f>
        <v>0</v>
      </c>
      <c r="AU61" s="83">
        <f>SUM(AN48:AN61)</f>
        <v>0</v>
      </c>
      <c r="AV61" s="83">
        <f>SUM(AO48:AO61)</f>
        <v>0</v>
      </c>
      <c r="AW61" s="83">
        <f>-SUM(AQ48:AQ61)</f>
        <v>0</v>
      </c>
    </row>
    <row r="62" spans="1:49" ht="15.75" x14ac:dyDescent="0.25">
      <c r="A62" t="str">
        <f t="shared" si="13"/>
        <v>46203M</v>
      </c>
      <c r="B62" s="51">
        <f t="shared" si="17"/>
        <v>46203</v>
      </c>
      <c r="C62" s="100" t="s">
        <v>87</v>
      </c>
      <c r="D62" s="91"/>
      <c r="E62" s="62"/>
      <c r="F62" s="62"/>
      <c r="G62" s="62">
        <f t="shared" si="0"/>
        <v>0</v>
      </c>
      <c r="H62" s="72">
        <f t="shared" si="1"/>
        <v>0</v>
      </c>
      <c r="I62" s="121"/>
      <c r="J62" s="121"/>
      <c r="K62" s="121"/>
      <c r="L62" s="121"/>
      <c r="M62" s="58"/>
      <c r="N62" s="58"/>
      <c r="O62" s="59"/>
      <c r="P62" s="56"/>
      <c r="Q62" s="60"/>
      <c r="R62" s="61">
        <f t="shared" si="2"/>
        <v>0</v>
      </c>
      <c r="S62" s="62">
        <f t="shared" si="3"/>
        <v>0</v>
      </c>
      <c r="T62" s="63">
        <f t="shared" si="4"/>
        <v>0</v>
      </c>
      <c r="U62" s="64"/>
      <c r="V62" s="65"/>
      <c r="W62" s="105"/>
      <c r="X62" s="67"/>
      <c r="Y62" s="68"/>
      <c r="Z62" s="68"/>
      <c r="AA62" s="62">
        <f t="shared" si="5"/>
        <v>0</v>
      </c>
      <c r="AB62" s="63">
        <f t="shared" si="6"/>
        <v>0</v>
      </c>
      <c r="AC62" s="69"/>
      <c r="AD62" s="70"/>
      <c r="AE62" s="70"/>
      <c r="AF62" s="62">
        <f t="shared" si="7"/>
        <v>0</v>
      </c>
      <c r="AG62" s="63">
        <f t="shared" si="8"/>
        <v>0</v>
      </c>
      <c r="AH62" s="142"/>
      <c r="AI62" s="139"/>
      <c r="AJ62" s="139"/>
      <c r="AK62" s="62">
        <f t="shared" si="9"/>
        <v>0</v>
      </c>
      <c r="AL62" s="72">
        <f t="shared" si="10"/>
        <v>0</v>
      </c>
      <c r="AM62" s="81">
        <f t="shared" si="14"/>
        <v>0</v>
      </c>
      <c r="AN62" s="80">
        <f t="shared" si="18"/>
        <v>0</v>
      </c>
      <c r="AO62" s="80">
        <f t="shared" si="18"/>
        <v>0</v>
      </c>
      <c r="AP62" s="115" t="e">
        <f t="shared" si="15"/>
        <v>#DIV/0!</v>
      </c>
      <c r="AQ62" s="116">
        <f t="shared" si="12"/>
        <v>0</v>
      </c>
      <c r="AR62" s="90">
        <f t="shared" si="19"/>
        <v>0</v>
      </c>
    </row>
    <row r="63" spans="1:49" ht="15.75" x14ac:dyDescent="0.25">
      <c r="A63" t="str">
        <f t="shared" si="13"/>
        <v>46203E</v>
      </c>
      <c r="B63" s="51">
        <f t="shared" si="17"/>
        <v>46203</v>
      </c>
      <c r="C63" s="100" t="s">
        <v>88</v>
      </c>
      <c r="D63" s="91"/>
      <c r="E63" s="62"/>
      <c r="F63" s="62"/>
      <c r="G63" s="62">
        <f t="shared" si="0"/>
        <v>0</v>
      </c>
      <c r="H63" s="72">
        <f t="shared" si="1"/>
        <v>0</v>
      </c>
      <c r="I63" s="121"/>
      <c r="J63" s="121"/>
      <c r="K63" s="121"/>
      <c r="L63" s="121"/>
      <c r="M63" s="58"/>
      <c r="N63" s="58"/>
      <c r="O63" s="59"/>
      <c r="P63" s="56"/>
      <c r="Q63" s="60"/>
      <c r="R63" s="61">
        <f t="shared" si="2"/>
        <v>0</v>
      </c>
      <c r="S63" s="62">
        <f t="shared" si="3"/>
        <v>0</v>
      </c>
      <c r="T63" s="63">
        <f t="shared" si="4"/>
        <v>0</v>
      </c>
      <c r="U63" s="64"/>
      <c r="V63" s="65"/>
      <c r="W63" s="105"/>
      <c r="X63" s="67"/>
      <c r="Y63" s="68"/>
      <c r="Z63" s="68"/>
      <c r="AA63" s="62">
        <f t="shared" si="5"/>
        <v>0</v>
      </c>
      <c r="AB63" s="63">
        <f t="shared" si="6"/>
        <v>0</v>
      </c>
      <c r="AC63" s="69"/>
      <c r="AD63" s="70"/>
      <c r="AE63" s="70"/>
      <c r="AF63" s="62">
        <f t="shared" si="7"/>
        <v>0</v>
      </c>
      <c r="AG63" s="63">
        <f t="shared" si="8"/>
        <v>0</v>
      </c>
      <c r="AH63" s="142"/>
      <c r="AI63" s="139"/>
      <c r="AJ63" s="139"/>
      <c r="AK63" s="62">
        <f t="shared" si="9"/>
        <v>0</v>
      </c>
      <c r="AL63" s="72">
        <f t="shared" si="10"/>
        <v>0</v>
      </c>
      <c r="AM63" s="81">
        <f t="shared" si="14"/>
        <v>0</v>
      </c>
      <c r="AN63" s="80">
        <f t="shared" si="18"/>
        <v>0</v>
      </c>
      <c r="AO63" s="80">
        <f t="shared" si="18"/>
        <v>0</v>
      </c>
      <c r="AP63" s="115" t="e">
        <f t="shared" si="15"/>
        <v>#DIV/0!</v>
      </c>
      <c r="AQ63" s="116">
        <f t="shared" si="12"/>
        <v>0</v>
      </c>
      <c r="AR63" s="90">
        <f t="shared" si="19"/>
        <v>0</v>
      </c>
    </row>
    <row r="64" spans="1:49" ht="15.75" x14ac:dyDescent="0.25">
      <c r="A64" t="str">
        <f t="shared" si="13"/>
        <v>46204M</v>
      </c>
      <c r="B64" s="51">
        <f t="shared" si="17"/>
        <v>46204</v>
      </c>
      <c r="C64" s="100" t="s">
        <v>87</v>
      </c>
      <c r="D64" s="106"/>
      <c r="E64" s="107"/>
      <c r="F64" s="107"/>
      <c r="G64" s="62">
        <f t="shared" si="0"/>
        <v>0</v>
      </c>
      <c r="H64" s="72">
        <f t="shared" si="1"/>
        <v>0</v>
      </c>
      <c r="I64" s="121"/>
      <c r="J64" s="121"/>
      <c r="K64" s="121"/>
      <c r="L64" s="121"/>
      <c r="M64" s="58"/>
      <c r="N64" s="58"/>
      <c r="O64" s="59"/>
      <c r="P64" s="56"/>
      <c r="Q64" s="60"/>
      <c r="R64" s="61">
        <f t="shared" si="2"/>
        <v>0</v>
      </c>
      <c r="S64" s="62">
        <f t="shared" si="3"/>
        <v>0</v>
      </c>
      <c r="T64" s="63">
        <f t="shared" si="4"/>
        <v>0</v>
      </c>
      <c r="U64" s="103"/>
      <c r="V64" s="65"/>
      <c r="W64" s="105"/>
      <c r="X64" s="67"/>
      <c r="Y64" s="68"/>
      <c r="Z64" s="68"/>
      <c r="AA64" s="62">
        <f t="shared" si="5"/>
        <v>0</v>
      </c>
      <c r="AB64" s="63">
        <f t="shared" si="6"/>
        <v>0</v>
      </c>
      <c r="AC64" s="69"/>
      <c r="AD64" s="70"/>
      <c r="AE64" s="70"/>
      <c r="AF64" s="62">
        <f t="shared" si="7"/>
        <v>0</v>
      </c>
      <c r="AG64" s="63">
        <f t="shared" si="8"/>
        <v>0</v>
      </c>
      <c r="AH64" s="142"/>
      <c r="AI64" s="139"/>
      <c r="AJ64" s="139"/>
      <c r="AK64" s="62">
        <f t="shared" si="9"/>
        <v>0</v>
      </c>
      <c r="AL64" s="72">
        <f t="shared" si="10"/>
        <v>0</v>
      </c>
      <c r="AM64" s="81">
        <f t="shared" si="14"/>
        <v>0</v>
      </c>
      <c r="AN64" s="80">
        <f t="shared" si="18"/>
        <v>0</v>
      </c>
      <c r="AO64" s="80">
        <f t="shared" si="18"/>
        <v>0</v>
      </c>
      <c r="AP64" s="115" t="e">
        <f t="shared" si="15"/>
        <v>#DIV/0!</v>
      </c>
      <c r="AQ64" s="116">
        <f t="shared" si="12"/>
        <v>0</v>
      </c>
    </row>
    <row r="65" spans="1:43" ht="15.75" x14ac:dyDescent="0.25">
      <c r="A65" t="str">
        <f t="shared" si="13"/>
        <v>46204E</v>
      </c>
      <c r="B65" s="51">
        <f t="shared" si="17"/>
        <v>46204</v>
      </c>
      <c r="C65" s="100" t="s">
        <v>88</v>
      </c>
      <c r="D65" s="106"/>
      <c r="E65" s="107"/>
      <c r="F65" s="107"/>
      <c r="G65" s="62">
        <f t="shared" si="0"/>
        <v>0</v>
      </c>
      <c r="H65" s="72">
        <f t="shared" si="1"/>
        <v>0</v>
      </c>
      <c r="I65" s="121"/>
      <c r="J65" s="121"/>
      <c r="K65" s="121"/>
      <c r="L65" s="121"/>
      <c r="M65" s="58"/>
      <c r="N65" s="58"/>
      <c r="O65" s="59"/>
      <c r="P65" s="56"/>
      <c r="Q65" s="60"/>
      <c r="R65" s="61">
        <f t="shared" si="2"/>
        <v>0</v>
      </c>
      <c r="S65" s="62">
        <f t="shared" si="3"/>
        <v>0</v>
      </c>
      <c r="T65" s="63">
        <f t="shared" si="4"/>
        <v>0</v>
      </c>
      <c r="U65" s="103"/>
      <c r="V65" s="104"/>
      <c r="W65" s="105"/>
      <c r="X65" s="113"/>
      <c r="Y65" s="114"/>
      <c r="Z65" s="114"/>
      <c r="AA65" s="62">
        <f t="shared" si="5"/>
        <v>0</v>
      </c>
      <c r="AB65" s="63">
        <f t="shared" si="6"/>
        <v>0</v>
      </c>
      <c r="AC65" s="69"/>
      <c r="AD65" s="70"/>
      <c r="AE65" s="70"/>
      <c r="AF65" s="62">
        <f t="shared" si="7"/>
        <v>0</v>
      </c>
      <c r="AG65" s="63">
        <f t="shared" si="8"/>
        <v>0</v>
      </c>
      <c r="AH65" s="142"/>
      <c r="AI65" s="139"/>
      <c r="AJ65" s="139"/>
      <c r="AK65" s="62">
        <f t="shared" si="9"/>
        <v>0</v>
      </c>
      <c r="AL65" s="72">
        <f t="shared" si="10"/>
        <v>0</v>
      </c>
      <c r="AM65" s="81">
        <f t="shared" si="14"/>
        <v>0</v>
      </c>
      <c r="AN65" s="80">
        <f t="shared" si="18"/>
        <v>0</v>
      </c>
      <c r="AO65" s="80">
        <f t="shared" si="18"/>
        <v>0</v>
      </c>
      <c r="AP65" s="115" t="e">
        <f t="shared" si="15"/>
        <v>#DIV/0!</v>
      </c>
      <c r="AQ65" s="116">
        <f t="shared" si="12"/>
        <v>0</v>
      </c>
    </row>
    <row r="66" spans="1:43" x14ac:dyDescent="0.25">
      <c r="J66" s="83">
        <f>SUM(J4:J65)</f>
        <v>78825.179000000004</v>
      </c>
      <c r="AM66" s="98">
        <f t="shared" ref="AM66:AO66" si="20">-SUM(AM4:AM65)</f>
        <v>-72.179000000000997</v>
      </c>
      <c r="AN66" s="98">
        <f>-SUM(AN4:AN65)</f>
        <v>-92.384279000000049</v>
      </c>
      <c r="AO66" s="98">
        <f t="shared" si="20"/>
        <v>41.534126999999899</v>
      </c>
      <c r="AP66" s="98"/>
      <c r="AQ66" s="98">
        <f>-SUM(AQ4:AQ65)</f>
        <v>-29042.170051510046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39" priority="2" operator="lessThan">
      <formula>0.1</formula>
    </cfRule>
    <cfRule type="cellIs" dxfId="38" priority="3" operator="greaterThan">
      <formula>0.1</formula>
    </cfRule>
  </conditionalFormatting>
  <conditionalFormatting sqref="AP1:AQ1">
    <cfRule type="cellIs" dxfId="37" priority="1" operator="lessThan">
      <formula>1</formula>
    </cfRule>
  </conditionalFormatting>
  <conditionalFormatting sqref="AQ4:AQ65">
    <cfRule type="cellIs" dxfId="36" priority="4" operator="lessThan">
      <formula>0</formula>
    </cfRule>
    <cfRule type="cellIs" dxfId="35" priority="5" operator="greaterThan">
      <formula>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W66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C19" sqref="AC19:AE19"/>
    </sheetView>
  </sheetViews>
  <sheetFormatPr defaultRowHeight="15" x14ac:dyDescent="0.25"/>
  <cols>
    <col min="1" max="1" width="5" customWidth="1"/>
    <col min="2" max="2" width="10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7.140625" bestFit="1" customWidth="1"/>
    <col min="10" max="10" width="8.140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7.140625" customWidth="1"/>
    <col min="23" max="23" width="9.42578125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7.28515625" bestFit="1" customWidth="1"/>
    <col min="35" max="36" width="5.85546875" bestFit="1" customWidth="1"/>
    <col min="37" max="37" width="7.28515625" bestFit="1" customWidth="1"/>
    <col min="38" max="38" width="7.42578125" bestFit="1" customWidth="1"/>
    <col min="39" max="39" width="8.85546875" bestFit="1" customWidth="1"/>
    <col min="40" max="40" width="7.28515625" bestFit="1" customWidth="1"/>
    <col min="41" max="41" width="7.85546875" bestFit="1" customWidth="1"/>
    <col min="42" max="42" width="9.85546875" bestFit="1" customWidth="1"/>
    <col min="43" max="43" width="10" bestFit="1" customWidth="1"/>
    <col min="44" max="44" width="5.5703125" bestFit="1" customWidth="1"/>
    <col min="45" max="45" width="6.5703125" bestFit="1" customWidth="1"/>
    <col min="46" max="46" width="8.140625" bestFit="1" customWidth="1"/>
    <col min="47" max="47" width="6" bestFit="1" customWidth="1"/>
    <col min="48" max="48" width="7.140625" bestFit="1" customWidth="1"/>
    <col min="49" max="49" width="10" bestFit="1" customWidth="1"/>
  </cols>
  <sheetData>
    <row r="1" spans="1:44" ht="15.75" thickBot="1" x14ac:dyDescent="0.3">
      <c r="B1" s="43" t="s">
        <v>156</v>
      </c>
      <c r="C1" s="44"/>
      <c r="L1">
        <v>2</v>
      </c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59" t="s">
        <v>64</v>
      </c>
      <c r="C2" s="261" t="s">
        <v>65</v>
      </c>
      <c r="D2" s="263" t="s">
        <v>66</v>
      </c>
      <c r="E2" s="263"/>
      <c r="F2" s="263"/>
      <c r="G2" s="263"/>
      <c r="H2" s="264"/>
      <c r="I2" s="255" t="s">
        <v>67</v>
      </c>
      <c r="J2" s="256"/>
      <c r="K2" s="256"/>
      <c r="L2" s="257"/>
      <c r="M2" s="255" t="s">
        <v>68</v>
      </c>
      <c r="N2" s="265"/>
      <c r="O2" s="256"/>
      <c r="P2" s="256"/>
      <c r="Q2" s="257"/>
      <c r="R2" s="265" t="s">
        <v>69</v>
      </c>
      <c r="S2" s="256"/>
      <c r="T2" s="257"/>
      <c r="U2" s="252" t="s">
        <v>70</v>
      </c>
      <c r="V2" s="253"/>
      <c r="W2" s="253"/>
      <c r="X2" s="253"/>
      <c r="Y2" s="253"/>
      <c r="Z2" s="253"/>
      <c r="AA2" s="253"/>
      <c r="AB2" s="254"/>
      <c r="AC2" s="255" t="s">
        <v>71</v>
      </c>
      <c r="AD2" s="256"/>
      <c r="AE2" s="256"/>
      <c r="AF2" s="256"/>
      <c r="AG2" s="257"/>
      <c r="AH2" s="255" t="s">
        <v>72</v>
      </c>
      <c r="AI2" s="256"/>
      <c r="AJ2" s="256"/>
      <c r="AK2" s="256"/>
      <c r="AL2" s="258"/>
      <c r="AM2" s="252" t="s">
        <v>73</v>
      </c>
      <c r="AN2" s="253"/>
      <c r="AO2" s="253"/>
      <c r="AP2" s="253"/>
      <c r="AQ2" s="254"/>
    </row>
    <row r="3" spans="1:44" x14ac:dyDescent="0.25">
      <c r="B3" s="260"/>
      <c r="C3" s="26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108">
        <v>1470</v>
      </c>
      <c r="E4" s="109">
        <v>8.1999999999999993</v>
      </c>
      <c r="F4" s="109">
        <v>8.9</v>
      </c>
      <c r="G4" s="55">
        <f t="shared" ref="G4:G65" si="0">+D4*E4%</f>
        <v>120.53999999999998</v>
      </c>
      <c r="H4" s="143">
        <f>D4*F4%</f>
        <v>130.83000000000001</v>
      </c>
      <c r="I4" s="144">
        <v>1229</v>
      </c>
      <c r="J4" s="145">
        <v>1265.8700000000001</v>
      </c>
      <c r="K4" s="146">
        <v>5.4082912937347443</v>
      </c>
      <c r="L4" s="147">
        <v>8.6761676159479268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1265.8700000000001</v>
      </c>
      <c r="S4" s="62">
        <f>+J4*K4%+O4*P4%</f>
        <v>68.461937000000006</v>
      </c>
      <c r="T4" s="63">
        <f>+J4*L4%+O4*Q4%</f>
        <v>109.82900300000004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>X4*Y4%</f>
        <v>0</v>
      </c>
      <c r="AB4" s="63">
        <f t="shared" ref="AB4" si="1">X4*Z4%</f>
        <v>0</v>
      </c>
      <c r="AC4" s="69"/>
      <c r="AD4" s="70"/>
      <c r="AE4" s="70"/>
      <c r="AF4" s="62">
        <f t="shared" ref="AF4" si="2">AC4*AD4%</f>
        <v>0</v>
      </c>
      <c r="AG4" s="63">
        <f t="shared" ref="AG4" si="3">AC4*AE4%</f>
        <v>0</v>
      </c>
      <c r="AH4" s="89">
        <v>2752</v>
      </c>
      <c r="AI4" s="66">
        <v>6.9</v>
      </c>
      <c r="AJ4" s="66">
        <v>8.6999999999999993</v>
      </c>
      <c r="AK4" s="62">
        <f t="shared" ref="AK4:AK65" si="4">AH4*AI4%</f>
        <v>189.88800000000001</v>
      </c>
      <c r="AL4" s="72">
        <f t="shared" ref="AL4:AL65" si="5">AH4*AJ4%</f>
        <v>239.42399999999998</v>
      </c>
      <c r="AM4" s="73">
        <f t="shared" ref="AM4:AM65" si="6">+D4+R4-AC4-AH4</f>
        <v>-16.130000000000109</v>
      </c>
      <c r="AN4" s="74">
        <f t="shared" ref="AN4:AO19" si="7">+G4+S4-AF4-AK4</f>
        <v>-0.88606300000000715</v>
      </c>
      <c r="AO4" s="74">
        <f t="shared" si="7"/>
        <v>1.2350030000000629</v>
      </c>
      <c r="AP4" s="75">
        <f>(AN4+AO4)/(S4+T4)</f>
        <v>1.9571381473453206E-3</v>
      </c>
      <c r="AQ4" s="76">
        <f t="shared" ref="AQ4:AQ65" si="8">($AP$1*AN4+$AQ$1*AO4)</f>
        <v>-28.159076843317678</v>
      </c>
      <c r="AR4" s="90">
        <f t="shared" ref="AR4:AR65" si="9">(D4+J4+O4)-(X4+AH4)</f>
        <v>-16.130000000000109</v>
      </c>
    </row>
    <row r="5" spans="1:44" x14ac:dyDescent="0.25">
      <c r="A5" t="str">
        <f t="shared" ref="A5:A65" si="10">CONCATENATE(B5,C5)</f>
        <v>46174E</v>
      </c>
      <c r="B5" s="51">
        <f>+B4</f>
        <v>46174</v>
      </c>
      <c r="C5" s="52" t="s">
        <v>88</v>
      </c>
      <c r="D5" s="91">
        <v>2752</v>
      </c>
      <c r="E5" s="62">
        <v>6.9</v>
      </c>
      <c r="F5" s="62">
        <v>8.6999999999999993</v>
      </c>
      <c r="G5" s="62">
        <f t="shared" si="0"/>
        <v>189.88800000000001</v>
      </c>
      <c r="H5" s="72">
        <f t="shared" ref="H5:H65" si="11">+D5*F5%</f>
        <v>239.42399999999998</v>
      </c>
      <c r="I5" s="144">
        <v>1178.3999999999999</v>
      </c>
      <c r="J5" s="145">
        <v>1213.752</v>
      </c>
      <c r="K5" s="146">
        <v>5.014137813985065</v>
      </c>
      <c r="L5" s="147">
        <v>8.5161659877800417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2">+J5+O5</f>
        <v>1213.752</v>
      </c>
      <c r="S5" s="62">
        <f t="shared" ref="S5:S65" si="13">+J5*K5%+O5*P5%</f>
        <v>60.859198000000006</v>
      </c>
      <c r="T5" s="63">
        <f t="shared" ref="T5:T65" si="14">+J5*L5%+O5*Q5%</f>
        <v>103.36513500000001</v>
      </c>
      <c r="U5" s="64" t="s">
        <v>301</v>
      </c>
      <c r="V5" s="65" t="s">
        <v>302</v>
      </c>
      <c r="W5" s="66" t="s">
        <v>303</v>
      </c>
      <c r="X5" s="67">
        <v>2493</v>
      </c>
      <c r="Y5" s="68">
        <v>5.2</v>
      </c>
      <c r="Z5" s="68">
        <v>8.4</v>
      </c>
      <c r="AA5" s="62">
        <f t="shared" ref="AA5:AA65" si="15">X5*Y5%</f>
        <v>129.63600000000002</v>
      </c>
      <c r="AB5" s="63">
        <f t="shared" ref="AB5:AB65" si="16">X5*Z5%</f>
        <v>209.41200000000001</v>
      </c>
      <c r="AC5" s="69">
        <v>2490</v>
      </c>
      <c r="AD5" s="70">
        <v>5.2</v>
      </c>
      <c r="AE5" s="70">
        <v>8.4</v>
      </c>
      <c r="AF5" s="62">
        <f t="shared" ref="AF5:AF65" si="17">AC5*AD5%</f>
        <v>129.48000000000002</v>
      </c>
      <c r="AG5" s="63">
        <f t="shared" ref="AG5:AG65" si="18">AC5*AE5%</f>
        <v>209.16000000000003</v>
      </c>
      <c r="AH5" s="89">
        <v>1492</v>
      </c>
      <c r="AI5" s="66">
        <v>8.1</v>
      </c>
      <c r="AJ5" s="66">
        <v>9</v>
      </c>
      <c r="AK5" s="62">
        <f t="shared" si="4"/>
        <v>120.852</v>
      </c>
      <c r="AL5" s="72">
        <f t="shared" si="5"/>
        <v>134.28</v>
      </c>
      <c r="AM5" s="73">
        <f t="shared" si="6"/>
        <v>-16.248000000000047</v>
      </c>
      <c r="AN5" s="74">
        <f t="shared" si="7"/>
        <v>0.41519800000000373</v>
      </c>
      <c r="AO5" s="74">
        <f t="shared" si="7"/>
        <v>-0.65086500000003866</v>
      </c>
      <c r="AP5" s="75">
        <f t="shared" ref="AP5:AP65" si="19">(AN5+AO5)/(S5+T5)</f>
        <v>-1.4350309463582046E-3</v>
      </c>
      <c r="AQ5" s="76">
        <f t="shared" si="8"/>
        <v>-8.4000039200099081</v>
      </c>
      <c r="AR5" s="90">
        <f t="shared" si="9"/>
        <v>-19.248000000000047</v>
      </c>
    </row>
    <row r="6" spans="1:44" x14ac:dyDescent="0.25">
      <c r="A6" t="str">
        <f t="shared" si="10"/>
        <v>46175M</v>
      </c>
      <c r="B6" s="51">
        <f>+B4+1</f>
        <v>46175</v>
      </c>
      <c r="C6" s="52" t="s">
        <v>87</v>
      </c>
      <c r="D6" s="91">
        <v>1492</v>
      </c>
      <c r="E6" s="62">
        <v>8.1</v>
      </c>
      <c r="F6" s="62">
        <v>9</v>
      </c>
      <c r="G6" s="62">
        <f t="shared" si="0"/>
        <v>120.852</v>
      </c>
      <c r="H6" s="72">
        <f t="shared" si="11"/>
        <v>134.28</v>
      </c>
      <c r="I6" s="144">
        <v>1163</v>
      </c>
      <c r="J6" s="145">
        <v>1197.8900000000001</v>
      </c>
      <c r="K6" s="146">
        <v>5.4900945829750647</v>
      </c>
      <c r="L6" s="147">
        <v>8.6612209802235558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2"/>
        <v>1197.8900000000001</v>
      </c>
      <c r="S6" s="62">
        <f t="shared" si="13"/>
        <v>65.765294000000011</v>
      </c>
      <c r="T6" s="63">
        <f t="shared" si="14"/>
        <v>103.75189999999995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f t="shared" si="15"/>
        <v>0</v>
      </c>
      <c r="AB6" s="63">
        <f t="shared" si="16"/>
        <v>0</v>
      </c>
      <c r="AC6" s="69"/>
      <c r="AD6" s="70"/>
      <c r="AE6" s="70"/>
      <c r="AF6" s="62">
        <f t="shared" si="17"/>
        <v>0</v>
      </c>
      <c r="AG6" s="63">
        <f t="shared" si="18"/>
        <v>0</v>
      </c>
      <c r="AH6" s="89">
        <v>2706</v>
      </c>
      <c r="AI6" s="66">
        <v>6.9</v>
      </c>
      <c r="AJ6" s="66">
        <v>8.8000000000000007</v>
      </c>
      <c r="AK6" s="62">
        <f t="shared" si="4"/>
        <v>186.71400000000003</v>
      </c>
      <c r="AL6" s="72">
        <f t="shared" si="5"/>
        <v>238.12800000000001</v>
      </c>
      <c r="AM6" s="73">
        <f t="shared" si="6"/>
        <v>-16.109999999999673</v>
      </c>
      <c r="AN6" s="74">
        <f t="shared" si="7"/>
        <v>-9.6706000000011727E-2</v>
      </c>
      <c r="AO6" s="74">
        <f t="shared" si="7"/>
        <v>-9.6100000000063801E-2</v>
      </c>
      <c r="AP6" s="75">
        <f t="shared" si="19"/>
        <v>-1.1373831494643286E-3</v>
      </c>
      <c r="AQ6" s="76">
        <f t="shared" si="8"/>
        <v>-72.172457793357694</v>
      </c>
      <c r="AR6" s="90">
        <f t="shared" si="9"/>
        <v>-16.109999999999673</v>
      </c>
    </row>
    <row r="7" spans="1:44" x14ac:dyDescent="0.25">
      <c r="A7" t="str">
        <f t="shared" si="10"/>
        <v>46175E</v>
      </c>
      <c r="B7" s="51">
        <f>+B5+1</f>
        <v>46175</v>
      </c>
      <c r="C7" s="52" t="s">
        <v>88</v>
      </c>
      <c r="D7" s="91">
        <v>2706</v>
      </c>
      <c r="E7" s="62">
        <v>6.9</v>
      </c>
      <c r="F7" s="62">
        <v>8.8000000000000007</v>
      </c>
      <c r="G7" s="62">
        <f t="shared" si="0"/>
        <v>186.71400000000003</v>
      </c>
      <c r="H7" s="72">
        <f t="shared" si="11"/>
        <v>238.12800000000001</v>
      </c>
      <c r="I7" s="144">
        <v>1113.7999999999997</v>
      </c>
      <c r="J7" s="145">
        <v>1147.2139999999997</v>
      </c>
      <c r="K7" s="146">
        <v>5.0422248159454135</v>
      </c>
      <c r="L7" s="147">
        <v>8.5091309032142206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2"/>
        <v>1147.2139999999997</v>
      </c>
      <c r="S7" s="62">
        <f t="shared" si="13"/>
        <v>57.845109000000001</v>
      </c>
      <c r="T7" s="63">
        <f t="shared" si="14"/>
        <v>97.617940999999973</v>
      </c>
      <c r="U7" s="64" t="s">
        <v>301</v>
      </c>
      <c r="V7" s="65" t="s">
        <v>304</v>
      </c>
      <c r="W7" s="66" t="s">
        <v>303</v>
      </c>
      <c r="X7" s="67">
        <v>2458</v>
      </c>
      <c r="Y7" s="68">
        <v>5.2</v>
      </c>
      <c r="Z7" s="68">
        <v>8.4</v>
      </c>
      <c r="AA7" s="62">
        <f t="shared" si="15"/>
        <v>127.81600000000002</v>
      </c>
      <c r="AB7" s="63">
        <f t="shared" si="16"/>
        <v>206.47200000000001</v>
      </c>
      <c r="AC7" s="69">
        <v>2450</v>
      </c>
      <c r="AD7" s="70">
        <v>5.2</v>
      </c>
      <c r="AE7" s="70">
        <v>8.4</v>
      </c>
      <c r="AF7" s="62">
        <f t="shared" si="17"/>
        <v>127.4</v>
      </c>
      <c r="AG7" s="63">
        <f t="shared" si="18"/>
        <v>205.8</v>
      </c>
      <c r="AH7" s="89">
        <v>1430</v>
      </c>
      <c r="AI7" s="66">
        <v>8.3000000000000007</v>
      </c>
      <c r="AJ7" s="66">
        <v>8.9</v>
      </c>
      <c r="AK7" s="62">
        <f t="shared" si="4"/>
        <v>118.69000000000001</v>
      </c>
      <c r="AL7" s="72">
        <f t="shared" si="5"/>
        <v>127.27000000000001</v>
      </c>
      <c r="AM7" s="73">
        <f t="shared" si="6"/>
        <v>-26.786000000000058</v>
      </c>
      <c r="AN7" s="74">
        <f t="shared" si="7"/>
        <v>-1.5308909999999827</v>
      </c>
      <c r="AO7" s="74">
        <f t="shared" si="7"/>
        <v>2.6759409999999946</v>
      </c>
      <c r="AP7" s="75">
        <f t="shared" si="19"/>
        <v>7.3654157692134049E-3</v>
      </c>
      <c r="AQ7" s="76">
        <f t="shared" si="8"/>
        <v>113.60550406333948</v>
      </c>
      <c r="AR7" s="90">
        <f t="shared" si="9"/>
        <v>-34.786000000000058</v>
      </c>
    </row>
    <row r="8" spans="1:44" x14ac:dyDescent="0.25">
      <c r="A8" t="str">
        <f t="shared" si="10"/>
        <v>46176M</v>
      </c>
      <c r="B8" s="51">
        <f>+B6+1</f>
        <v>46176</v>
      </c>
      <c r="C8" s="52" t="s">
        <v>87</v>
      </c>
      <c r="D8" s="91">
        <v>1430</v>
      </c>
      <c r="E8" s="62">
        <v>8.3000000000000007</v>
      </c>
      <c r="F8" s="62">
        <v>8.9</v>
      </c>
      <c r="G8" s="62">
        <f t="shared" si="0"/>
        <v>118.69000000000001</v>
      </c>
      <c r="H8" s="72">
        <f t="shared" si="11"/>
        <v>127.27000000000001</v>
      </c>
      <c r="I8" s="144">
        <v>1197.2</v>
      </c>
      <c r="J8" s="145">
        <v>1233.116</v>
      </c>
      <c r="K8" s="146">
        <v>5.6454310056799173</v>
      </c>
      <c r="L8" s="147">
        <v>8.6268626795856989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2"/>
        <v>1233.116</v>
      </c>
      <c r="S8" s="62">
        <f t="shared" si="13"/>
        <v>69.614712999999966</v>
      </c>
      <c r="T8" s="63">
        <f t="shared" si="14"/>
        <v>106.37922399999999</v>
      </c>
      <c r="U8" s="64" t="s">
        <v>167</v>
      </c>
      <c r="V8" s="65" t="s">
        <v>167</v>
      </c>
      <c r="W8" s="66">
        <v>0</v>
      </c>
      <c r="X8" s="67">
        <v>0</v>
      </c>
      <c r="Y8" s="68">
        <v>0</v>
      </c>
      <c r="Z8" s="68">
        <v>0</v>
      </c>
      <c r="AA8" s="62">
        <f t="shared" si="15"/>
        <v>0</v>
      </c>
      <c r="AB8" s="63">
        <f t="shared" si="16"/>
        <v>0</v>
      </c>
      <c r="AC8" s="69"/>
      <c r="AD8" s="70"/>
      <c r="AE8" s="70"/>
      <c r="AF8" s="62">
        <f t="shared" si="17"/>
        <v>0</v>
      </c>
      <c r="AG8" s="63">
        <f t="shared" si="18"/>
        <v>0</v>
      </c>
      <c r="AH8" s="89">
        <v>2675</v>
      </c>
      <c r="AI8" s="66">
        <v>7</v>
      </c>
      <c r="AJ8" s="66">
        <v>8.8000000000000007</v>
      </c>
      <c r="AK8" s="62">
        <f t="shared" si="4"/>
        <v>187.25000000000003</v>
      </c>
      <c r="AL8" s="72">
        <f t="shared" si="5"/>
        <v>235.40000000000003</v>
      </c>
      <c r="AM8" s="73">
        <f t="shared" si="6"/>
        <v>-11.884000000000015</v>
      </c>
      <c r="AN8" s="74">
        <f t="shared" si="7"/>
        <v>1.054712999999964</v>
      </c>
      <c r="AO8" s="74">
        <f t="shared" si="7"/>
        <v>-1.7507760000000303</v>
      </c>
      <c r="AP8" s="75">
        <f t="shared" si="19"/>
        <v>-3.9550396557130624E-3</v>
      </c>
      <c r="AQ8" s="76">
        <f t="shared" si="8"/>
        <v>-50.489356610025311</v>
      </c>
      <c r="AR8" s="90">
        <f t="shared" si="9"/>
        <v>-11.884000000000015</v>
      </c>
    </row>
    <row r="9" spans="1:44" x14ac:dyDescent="0.25">
      <c r="A9" t="str">
        <f t="shared" si="10"/>
        <v>46176E</v>
      </c>
      <c r="B9" s="51">
        <f t="shared" ref="B9:B65" si="20">+B7+1</f>
        <v>46176</v>
      </c>
      <c r="C9" s="52" t="s">
        <v>88</v>
      </c>
      <c r="D9" s="91">
        <v>2675</v>
      </c>
      <c r="E9" s="62">
        <v>7</v>
      </c>
      <c r="F9" s="62">
        <v>8.8000000000000007</v>
      </c>
      <c r="G9" s="62">
        <f t="shared" si="0"/>
        <v>187.25000000000003</v>
      </c>
      <c r="H9" s="72">
        <f t="shared" si="11"/>
        <v>235.40000000000003</v>
      </c>
      <c r="I9" s="144">
        <v>1103.0999999999999</v>
      </c>
      <c r="J9" s="145">
        <v>1136.193</v>
      </c>
      <c r="K9" s="146">
        <v>5.0435499954673189</v>
      </c>
      <c r="L9" s="147">
        <v>8.546215211676186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2"/>
        <v>1136.193</v>
      </c>
      <c r="S9" s="62">
        <f t="shared" si="13"/>
        <v>57.304461999999994</v>
      </c>
      <c r="T9" s="63">
        <f t="shared" si="14"/>
        <v>97.101499000000004</v>
      </c>
      <c r="U9" s="64" t="s">
        <v>301</v>
      </c>
      <c r="V9" s="65" t="s">
        <v>305</v>
      </c>
      <c r="W9" s="66" t="s">
        <v>303</v>
      </c>
      <c r="X9" s="67">
        <v>2545</v>
      </c>
      <c r="Y9" s="68">
        <v>5.2</v>
      </c>
      <c r="Z9" s="68">
        <v>8.5</v>
      </c>
      <c r="AA9" s="62">
        <f t="shared" si="15"/>
        <v>132.34</v>
      </c>
      <c r="AB9" s="63">
        <f t="shared" si="16"/>
        <v>216.32500000000002</v>
      </c>
      <c r="AC9" s="69">
        <v>2545</v>
      </c>
      <c r="AD9" s="70">
        <v>5.2</v>
      </c>
      <c r="AE9" s="70">
        <v>8.5</v>
      </c>
      <c r="AF9" s="62">
        <f t="shared" si="17"/>
        <v>132.34</v>
      </c>
      <c r="AG9" s="63">
        <f t="shared" si="18"/>
        <v>216.32500000000002</v>
      </c>
      <c r="AH9" s="89">
        <v>1282</v>
      </c>
      <c r="AI9" s="66">
        <v>8.8000000000000007</v>
      </c>
      <c r="AJ9" s="66">
        <v>9</v>
      </c>
      <c r="AK9" s="62">
        <f t="shared" si="4"/>
        <v>112.81600000000002</v>
      </c>
      <c r="AL9" s="72">
        <f t="shared" si="5"/>
        <v>115.38</v>
      </c>
      <c r="AM9" s="73">
        <f t="shared" si="6"/>
        <v>-15.806999999999789</v>
      </c>
      <c r="AN9" s="74">
        <f t="shared" si="7"/>
        <v>-0.6015379999999908</v>
      </c>
      <c r="AO9" s="74">
        <f t="shared" si="7"/>
        <v>0.79649900000001139</v>
      </c>
      <c r="AP9" s="75">
        <f t="shared" si="19"/>
        <v>1.2626520293476274E-3</v>
      </c>
      <c r="AQ9" s="76">
        <f t="shared" si="8"/>
        <v>-31.665512853325765</v>
      </c>
      <c r="AR9" s="90">
        <f t="shared" si="9"/>
        <v>-15.806999999999789</v>
      </c>
    </row>
    <row r="10" spans="1:44" x14ac:dyDescent="0.25">
      <c r="A10" t="str">
        <f t="shared" si="10"/>
        <v>46177M</v>
      </c>
      <c r="B10" s="51">
        <f t="shared" si="20"/>
        <v>46177</v>
      </c>
      <c r="C10" s="52" t="s">
        <v>87</v>
      </c>
      <c r="D10" s="91">
        <v>1282</v>
      </c>
      <c r="E10" s="62">
        <v>8.8000000000000007</v>
      </c>
      <c r="F10" s="62">
        <v>9</v>
      </c>
      <c r="G10" s="62">
        <f t="shared" si="0"/>
        <v>112.81600000000002</v>
      </c>
      <c r="H10" s="72">
        <f t="shared" si="11"/>
        <v>115.38</v>
      </c>
      <c r="I10" s="144">
        <v>1272.2</v>
      </c>
      <c r="J10" s="145">
        <v>1310.366</v>
      </c>
      <c r="K10" s="146">
        <v>5.4778808363464853</v>
      </c>
      <c r="L10" s="147">
        <v>8.6347193837446916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2"/>
        <v>1310.366</v>
      </c>
      <c r="S10" s="62">
        <f t="shared" si="13"/>
        <v>71.780287999999985</v>
      </c>
      <c r="T10" s="63">
        <f t="shared" si="14"/>
        <v>113.14642699999997</v>
      </c>
      <c r="U10" s="64" t="s">
        <v>167</v>
      </c>
      <c r="V10" s="65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f t="shared" si="15"/>
        <v>0</v>
      </c>
      <c r="AB10" s="63">
        <f t="shared" si="16"/>
        <v>0</v>
      </c>
      <c r="AC10" s="69"/>
      <c r="AD10" s="70"/>
      <c r="AE10" s="70"/>
      <c r="AF10" s="62">
        <f t="shared" si="17"/>
        <v>0</v>
      </c>
      <c r="AG10" s="63">
        <f t="shared" si="18"/>
        <v>0</v>
      </c>
      <c r="AH10" s="89">
        <v>2605</v>
      </c>
      <c r="AI10" s="66">
        <v>7</v>
      </c>
      <c r="AJ10" s="66">
        <v>8.8000000000000007</v>
      </c>
      <c r="AK10" s="62">
        <f t="shared" si="4"/>
        <v>182.35000000000002</v>
      </c>
      <c r="AL10" s="72">
        <f t="shared" si="5"/>
        <v>229.24</v>
      </c>
      <c r="AM10" s="73">
        <f t="shared" si="6"/>
        <v>-12.634000000000015</v>
      </c>
      <c r="AN10" s="74">
        <f t="shared" si="7"/>
        <v>2.2462879999999927</v>
      </c>
      <c r="AO10" s="74">
        <f t="shared" si="7"/>
        <v>-0.71357300000005353</v>
      </c>
      <c r="AP10" s="75">
        <f t="shared" si="19"/>
        <v>8.2882292047416709E-3</v>
      </c>
      <c r="AQ10" s="76">
        <f t="shared" si="8"/>
        <v>794.82777579331412</v>
      </c>
      <c r="AR10" s="90">
        <f t="shared" si="9"/>
        <v>-12.634000000000015</v>
      </c>
    </row>
    <row r="11" spans="1:44" x14ac:dyDescent="0.25">
      <c r="A11" t="str">
        <f t="shared" si="10"/>
        <v>46177E</v>
      </c>
      <c r="B11" s="51">
        <f t="shared" si="20"/>
        <v>46177</v>
      </c>
      <c r="C11" s="52" t="s">
        <v>88</v>
      </c>
      <c r="D11" s="91">
        <v>2605</v>
      </c>
      <c r="E11" s="62">
        <v>7</v>
      </c>
      <c r="F11" s="62">
        <v>8.8000000000000007</v>
      </c>
      <c r="G11" s="62">
        <f t="shared" si="0"/>
        <v>182.35000000000002</v>
      </c>
      <c r="H11" s="72">
        <f t="shared" si="11"/>
        <v>229.24</v>
      </c>
      <c r="I11" s="144">
        <v>1931.6000000000001</v>
      </c>
      <c r="J11" s="145">
        <v>1989.5480000000002</v>
      </c>
      <c r="K11" s="146">
        <v>4.7016825429695599</v>
      </c>
      <c r="L11" s="147">
        <v>8.4636208324704896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2"/>
        <v>1989.5480000000002</v>
      </c>
      <c r="S11" s="62">
        <f t="shared" si="13"/>
        <v>93.542231000000029</v>
      </c>
      <c r="T11" s="63">
        <f t="shared" si="14"/>
        <v>168.387799</v>
      </c>
      <c r="U11" s="64" t="s">
        <v>301</v>
      </c>
      <c r="V11" s="65" t="s">
        <v>306</v>
      </c>
      <c r="W11" s="66" t="s">
        <v>303</v>
      </c>
      <c r="X11" s="67">
        <v>2351</v>
      </c>
      <c r="Y11" s="68">
        <v>5.2</v>
      </c>
      <c r="Z11" s="68">
        <v>8.4</v>
      </c>
      <c r="AA11" s="62">
        <f t="shared" si="15"/>
        <v>122.25200000000001</v>
      </c>
      <c r="AB11" s="63">
        <f t="shared" si="16"/>
        <v>197.48400000000001</v>
      </c>
      <c r="AC11" s="69">
        <v>2350</v>
      </c>
      <c r="AD11" s="70">
        <v>5.2</v>
      </c>
      <c r="AE11" s="70">
        <v>8.4</v>
      </c>
      <c r="AF11" s="62">
        <f t="shared" si="17"/>
        <v>122.20000000000002</v>
      </c>
      <c r="AG11" s="63">
        <f t="shared" si="18"/>
        <v>197.4</v>
      </c>
      <c r="AH11" s="89">
        <v>2260</v>
      </c>
      <c r="AI11" s="66">
        <v>6.8</v>
      </c>
      <c r="AJ11" s="66">
        <v>8.9</v>
      </c>
      <c r="AK11" s="62">
        <f t="shared" si="4"/>
        <v>153.68</v>
      </c>
      <c r="AL11" s="72">
        <f t="shared" si="5"/>
        <v>201.14000000000001</v>
      </c>
      <c r="AM11" s="73">
        <f t="shared" si="6"/>
        <v>-15.451999999999316</v>
      </c>
      <c r="AN11" s="74">
        <f t="shared" si="7"/>
        <v>1.2231000000014092E-2</v>
      </c>
      <c r="AO11" s="74">
        <f t="shared" si="7"/>
        <v>-0.91220100000003868</v>
      </c>
      <c r="AP11" s="75">
        <f t="shared" si="19"/>
        <v>-3.435917599826276E-3</v>
      </c>
      <c r="AQ11" s="76">
        <f t="shared" si="8"/>
        <v>-267.50681573000526</v>
      </c>
      <c r="AR11" s="90">
        <f t="shared" si="9"/>
        <v>-16.451999999999316</v>
      </c>
    </row>
    <row r="12" spans="1:44" x14ac:dyDescent="0.25">
      <c r="A12" t="str">
        <f t="shared" si="10"/>
        <v>46178M</v>
      </c>
      <c r="B12" s="51">
        <f t="shared" si="20"/>
        <v>46178</v>
      </c>
      <c r="C12" s="52" t="s">
        <v>87</v>
      </c>
      <c r="D12" s="91">
        <v>2260</v>
      </c>
      <c r="E12" s="62">
        <v>6.8</v>
      </c>
      <c r="F12" s="62">
        <v>8.9</v>
      </c>
      <c r="G12" s="62">
        <f t="shared" si="0"/>
        <v>153.68</v>
      </c>
      <c r="H12" s="72">
        <f t="shared" si="11"/>
        <v>201.14000000000001</v>
      </c>
      <c r="I12" s="144">
        <v>1138.5</v>
      </c>
      <c r="J12" s="145">
        <v>1172.655</v>
      </c>
      <c r="K12" s="146">
        <v>5.57</v>
      </c>
      <c r="L12" s="147">
        <v>8.65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2"/>
        <v>1172.655</v>
      </c>
      <c r="S12" s="62">
        <f t="shared" si="13"/>
        <v>65.316883500000003</v>
      </c>
      <c r="T12" s="63">
        <f t="shared" si="14"/>
        <v>101.4346575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15"/>
        <v>0</v>
      </c>
      <c r="AB12" s="63">
        <f t="shared" si="16"/>
        <v>0</v>
      </c>
      <c r="AC12" s="69"/>
      <c r="AD12" s="70"/>
      <c r="AE12" s="70"/>
      <c r="AF12" s="62">
        <f t="shared" si="17"/>
        <v>0</v>
      </c>
      <c r="AG12" s="63">
        <f t="shared" si="18"/>
        <v>0</v>
      </c>
      <c r="AH12" s="89">
        <v>3430</v>
      </c>
      <c r="AI12" s="66">
        <v>6.4</v>
      </c>
      <c r="AJ12" s="66">
        <v>8.8000000000000007</v>
      </c>
      <c r="AK12" s="62">
        <f t="shared" si="4"/>
        <v>219.52</v>
      </c>
      <c r="AL12" s="72">
        <f t="shared" si="5"/>
        <v>301.84000000000003</v>
      </c>
      <c r="AM12" s="73">
        <f t="shared" si="6"/>
        <v>2.6549999999997453</v>
      </c>
      <c r="AN12" s="74">
        <f t="shared" si="7"/>
        <v>-0.52311649999998622</v>
      </c>
      <c r="AO12" s="74">
        <f t="shared" si="7"/>
        <v>0.73465749999996888</v>
      </c>
      <c r="AP12" s="75">
        <f t="shared" si="19"/>
        <v>1.2685999705392987E-3</v>
      </c>
      <c r="AQ12" s="76">
        <f t="shared" si="8"/>
        <v>-14.968829131669793</v>
      </c>
      <c r="AR12" s="90">
        <f t="shared" si="9"/>
        <v>2.6549999999997453</v>
      </c>
    </row>
    <row r="13" spans="1:44" x14ac:dyDescent="0.25">
      <c r="A13" t="str">
        <f t="shared" si="10"/>
        <v>46178E</v>
      </c>
      <c r="B13" s="51">
        <f t="shared" si="20"/>
        <v>46178</v>
      </c>
      <c r="C13" s="52" t="s">
        <v>88</v>
      </c>
      <c r="D13" s="91">
        <v>3430</v>
      </c>
      <c r="E13" s="62">
        <v>6.4</v>
      </c>
      <c r="F13" s="62">
        <v>8.8000000000000007</v>
      </c>
      <c r="G13" s="62">
        <f t="shared" si="0"/>
        <v>219.52</v>
      </c>
      <c r="H13" s="72">
        <f t="shared" si="11"/>
        <v>301.84000000000003</v>
      </c>
      <c r="I13" s="144">
        <v>1038</v>
      </c>
      <c r="J13" s="145">
        <v>1069.1400000000001</v>
      </c>
      <c r="K13" s="146">
        <v>5.12</v>
      </c>
      <c r="L13" s="147">
        <v>8.5299999999999994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2"/>
        <v>1069.1400000000001</v>
      </c>
      <c r="S13" s="62">
        <f t="shared" si="13"/>
        <v>54.739968000000005</v>
      </c>
      <c r="T13" s="63">
        <f t="shared" si="14"/>
        <v>91.197641999999988</v>
      </c>
      <c r="U13" s="64" t="s">
        <v>301</v>
      </c>
      <c r="V13" s="65" t="s">
        <v>376</v>
      </c>
      <c r="W13" s="66" t="s">
        <v>303</v>
      </c>
      <c r="X13" s="67">
        <v>2379</v>
      </c>
      <c r="Y13" s="68">
        <v>5.2</v>
      </c>
      <c r="Z13" s="68">
        <v>8.4</v>
      </c>
      <c r="AA13" s="62">
        <f t="shared" si="15"/>
        <v>123.70800000000001</v>
      </c>
      <c r="AB13" s="63">
        <f t="shared" si="16"/>
        <v>199.83600000000001</v>
      </c>
      <c r="AC13" s="69">
        <v>2380</v>
      </c>
      <c r="AD13" s="70">
        <v>5.2</v>
      </c>
      <c r="AE13" s="70">
        <v>8.4</v>
      </c>
      <c r="AF13" s="62">
        <f t="shared" si="17"/>
        <v>123.76</v>
      </c>
      <c r="AG13" s="63">
        <f t="shared" si="18"/>
        <v>199.92000000000002</v>
      </c>
      <c r="AH13" s="89">
        <v>2145</v>
      </c>
      <c r="AI13" s="66">
        <v>7</v>
      </c>
      <c r="AJ13" s="66">
        <v>9</v>
      </c>
      <c r="AK13" s="62">
        <f t="shared" si="4"/>
        <v>150.15</v>
      </c>
      <c r="AL13" s="72">
        <f t="shared" si="5"/>
        <v>193.04999999999998</v>
      </c>
      <c r="AM13" s="73">
        <f t="shared" si="6"/>
        <v>-25.859999999999673</v>
      </c>
      <c r="AN13" s="74">
        <f t="shared" si="7"/>
        <v>0.34996800000001826</v>
      </c>
      <c r="AO13" s="74">
        <f t="shared" si="7"/>
        <v>6.7642000000006419E-2</v>
      </c>
      <c r="AP13" s="75">
        <f t="shared" si="19"/>
        <v>2.8615652949231158E-3</v>
      </c>
      <c r="AQ13" s="76">
        <f t="shared" si="8"/>
        <v>177.34758169334347</v>
      </c>
      <c r="AR13" s="90">
        <f t="shared" si="9"/>
        <v>-24.859999999999673</v>
      </c>
    </row>
    <row r="14" spans="1:44" x14ac:dyDescent="0.25">
      <c r="A14" t="str">
        <f t="shared" si="10"/>
        <v>46179M</v>
      </c>
      <c r="B14" s="51">
        <f t="shared" si="20"/>
        <v>46179</v>
      </c>
      <c r="C14" s="52" t="s">
        <v>87</v>
      </c>
      <c r="D14" s="91">
        <v>2145</v>
      </c>
      <c r="E14" s="62">
        <v>7</v>
      </c>
      <c r="F14" s="62">
        <v>9</v>
      </c>
      <c r="G14" s="62">
        <f t="shared" si="0"/>
        <v>150.15</v>
      </c>
      <c r="H14" s="72">
        <f t="shared" si="11"/>
        <v>193.04999999999998</v>
      </c>
      <c r="I14" s="144">
        <v>1201.4000000000001</v>
      </c>
      <c r="J14" s="145">
        <v>1237.4420000000002</v>
      </c>
      <c r="K14" s="146">
        <v>5.64</v>
      </c>
      <c r="L14" s="147">
        <v>8.6300000000000008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2"/>
        <v>1237.4420000000002</v>
      </c>
      <c r="S14" s="62">
        <f t="shared" si="13"/>
        <v>69.791728800000016</v>
      </c>
      <c r="T14" s="63">
        <f t="shared" si="14"/>
        <v>106.79124460000003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15"/>
        <v>0</v>
      </c>
      <c r="AB14" s="63">
        <f t="shared" si="16"/>
        <v>0</v>
      </c>
      <c r="AC14" s="69"/>
      <c r="AD14" s="70"/>
      <c r="AE14" s="70"/>
      <c r="AF14" s="62">
        <f t="shared" si="17"/>
        <v>0</v>
      </c>
      <c r="AG14" s="63">
        <f t="shared" si="18"/>
        <v>0</v>
      </c>
      <c r="AH14" s="89">
        <v>3398</v>
      </c>
      <c r="AI14" s="66">
        <v>6.5</v>
      </c>
      <c r="AJ14" s="66">
        <v>8.8000000000000007</v>
      </c>
      <c r="AK14" s="62">
        <f t="shared" si="4"/>
        <v>220.87</v>
      </c>
      <c r="AL14" s="72">
        <f t="shared" si="5"/>
        <v>299.02400000000006</v>
      </c>
      <c r="AM14" s="73">
        <f t="shared" si="6"/>
        <v>-15.557999999999993</v>
      </c>
      <c r="AN14" s="74">
        <f t="shared" si="7"/>
        <v>-0.92827119999998331</v>
      </c>
      <c r="AO14" s="74">
        <f t="shared" si="7"/>
        <v>0.81724459999992405</v>
      </c>
      <c r="AP14" s="75">
        <f t="shared" si="19"/>
        <v>-6.2875031415718157E-4</v>
      </c>
      <c r="AQ14" s="76">
        <f t="shared" si="8"/>
        <v>-172.13070880134856</v>
      </c>
      <c r="AR14" s="90">
        <f t="shared" si="9"/>
        <v>-15.557999999999993</v>
      </c>
    </row>
    <row r="15" spans="1:44" x14ac:dyDescent="0.25">
      <c r="A15" t="str">
        <f t="shared" si="10"/>
        <v>46179E</v>
      </c>
      <c r="B15" s="51">
        <f t="shared" si="20"/>
        <v>46179</v>
      </c>
      <c r="C15" s="52" t="s">
        <v>88</v>
      </c>
      <c r="D15" s="91">
        <v>3398</v>
      </c>
      <c r="E15" s="62">
        <v>6.5</v>
      </c>
      <c r="F15" s="62">
        <v>8.8000000000000007</v>
      </c>
      <c r="G15" s="62">
        <f t="shared" si="0"/>
        <v>220.87</v>
      </c>
      <c r="H15" s="72">
        <f t="shared" si="11"/>
        <v>299.02400000000006</v>
      </c>
      <c r="I15" s="144">
        <v>1094.9000000000001</v>
      </c>
      <c r="J15" s="145">
        <v>1127.7470000000001</v>
      </c>
      <c r="K15" s="146">
        <v>5.14</v>
      </c>
      <c r="L15" s="147">
        <v>8.57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2"/>
        <v>1127.7470000000001</v>
      </c>
      <c r="S15" s="62">
        <f t="shared" si="13"/>
        <v>57.966195799999994</v>
      </c>
      <c r="T15" s="63">
        <f t="shared" si="14"/>
        <v>96.64791790000001</v>
      </c>
      <c r="U15" s="64" t="s">
        <v>301</v>
      </c>
      <c r="V15" s="65" t="s">
        <v>377</v>
      </c>
      <c r="W15" s="66" t="s">
        <v>303</v>
      </c>
      <c r="X15" s="67">
        <v>2433</v>
      </c>
      <c r="Y15" s="68">
        <v>5.2</v>
      </c>
      <c r="Z15" s="68">
        <v>8.4</v>
      </c>
      <c r="AA15" s="62">
        <f t="shared" si="15"/>
        <v>126.51600000000001</v>
      </c>
      <c r="AB15" s="63">
        <f t="shared" si="16"/>
        <v>204.37200000000001</v>
      </c>
      <c r="AC15" s="69">
        <v>2430</v>
      </c>
      <c r="AD15" s="70">
        <v>5.2</v>
      </c>
      <c r="AE15" s="70">
        <v>8.5</v>
      </c>
      <c r="AF15" s="62">
        <f t="shared" si="17"/>
        <v>126.36000000000001</v>
      </c>
      <c r="AG15" s="63">
        <f t="shared" si="18"/>
        <v>206.55</v>
      </c>
      <c r="AH15" s="89">
        <v>2155</v>
      </c>
      <c r="AI15" s="66">
        <v>7</v>
      </c>
      <c r="AJ15" s="66">
        <v>9</v>
      </c>
      <c r="AK15" s="62">
        <f t="shared" si="4"/>
        <v>150.85000000000002</v>
      </c>
      <c r="AL15" s="72">
        <f t="shared" si="5"/>
        <v>193.95</v>
      </c>
      <c r="AM15" s="73">
        <f t="shared" si="6"/>
        <v>-59.252999999999702</v>
      </c>
      <c r="AN15" s="74">
        <f t="shared" si="7"/>
        <v>1.6261957999999481</v>
      </c>
      <c r="AO15" s="74">
        <f t="shared" si="7"/>
        <v>-4.8280820999999605</v>
      </c>
      <c r="AP15" s="75">
        <f t="shared" si="19"/>
        <v>-2.0708887587149245E-2</v>
      </c>
      <c r="AQ15" s="76">
        <f t="shared" si="8"/>
        <v>-714.90066709601149</v>
      </c>
      <c r="AR15" s="90">
        <f t="shared" si="9"/>
        <v>-62.252999999999702</v>
      </c>
    </row>
    <row r="16" spans="1:44" x14ac:dyDescent="0.25">
      <c r="A16" t="str">
        <f t="shared" si="10"/>
        <v>46180M</v>
      </c>
      <c r="B16" s="51">
        <f t="shared" si="20"/>
        <v>46180</v>
      </c>
      <c r="C16" s="52" t="s">
        <v>87</v>
      </c>
      <c r="D16" s="91">
        <v>2155</v>
      </c>
      <c r="E16" s="62">
        <v>7</v>
      </c>
      <c r="F16" s="62">
        <v>9</v>
      </c>
      <c r="G16" s="62">
        <f t="shared" si="0"/>
        <v>150.85000000000002</v>
      </c>
      <c r="H16" s="72">
        <f t="shared" si="11"/>
        <v>193.95</v>
      </c>
      <c r="I16" s="144">
        <v>1200.9000000000001</v>
      </c>
      <c r="J16" s="145">
        <v>1236.9270000000001</v>
      </c>
      <c r="K16" s="146">
        <v>5.53</v>
      </c>
      <c r="L16" s="147">
        <v>8.6300000000000008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2"/>
        <v>1236.9270000000001</v>
      </c>
      <c r="S16" s="62">
        <f t="shared" si="13"/>
        <v>68.402063100000007</v>
      </c>
      <c r="T16" s="63">
        <f t="shared" si="14"/>
        <v>106.74680010000002</v>
      </c>
      <c r="U16" s="64" t="s">
        <v>167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15"/>
        <v>0</v>
      </c>
      <c r="AB16" s="63">
        <f t="shared" si="16"/>
        <v>0</v>
      </c>
      <c r="AC16" s="69"/>
      <c r="AD16" s="70"/>
      <c r="AE16" s="70"/>
      <c r="AF16" s="62">
        <f t="shared" si="17"/>
        <v>0</v>
      </c>
      <c r="AG16" s="63">
        <f t="shared" si="18"/>
        <v>0</v>
      </c>
      <c r="AH16" s="89">
        <v>3408</v>
      </c>
      <c r="AI16" s="66">
        <v>6.45</v>
      </c>
      <c r="AJ16" s="66">
        <v>8.8000000000000007</v>
      </c>
      <c r="AK16" s="62">
        <f t="shared" si="4"/>
        <v>219.816</v>
      </c>
      <c r="AL16" s="72">
        <f t="shared" si="5"/>
        <v>299.90400000000005</v>
      </c>
      <c r="AM16" s="73">
        <f t="shared" si="6"/>
        <v>-16.072999999999865</v>
      </c>
      <c r="AN16" s="74">
        <f t="shared" si="7"/>
        <v>-0.563936899999959</v>
      </c>
      <c r="AO16" s="74">
        <f t="shared" si="7"/>
        <v>0.79280009999996537</v>
      </c>
      <c r="AP16" s="75">
        <f t="shared" si="19"/>
        <v>1.3066781925879286E-3</v>
      </c>
      <c r="AQ16" s="76">
        <f t="shared" si="8"/>
        <v>-15.892985184991943</v>
      </c>
      <c r="AR16" s="90">
        <f t="shared" si="9"/>
        <v>-16.072999999999865</v>
      </c>
    </row>
    <row r="17" spans="1:49" x14ac:dyDescent="0.25">
      <c r="A17" t="str">
        <f t="shared" si="10"/>
        <v>46180E</v>
      </c>
      <c r="B17" s="51">
        <f t="shared" si="20"/>
        <v>46180</v>
      </c>
      <c r="C17" s="52" t="s">
        <v>88</v>
      </c>
      <c r="D17" s="91">
        <v>3408</v>
      </c>
      <c r="E17" s="62">
        <v>6.45</v>
      </c>
      <c r="F17" s="62">
        <v>8.8000000000000007</v>
      </c>
      <c r="G17" s="62">
        <f t="shared" si="0"/>
        <v>219.816</v>
      </c>
      <c r="H17" s="72">
        <f t="shared" si="11"/>
        <v>299.90400000000005</v>
      </c>
      <c r="I17" s="144">
        <v>1097.8</v>
      </c>
      <c r="J17" s="145">
        <v>1130.7339999999999</v>
      </c>
      <c r="K17" s="146">
        <v>5.09</v>
      </c>
      <c r="L17" s="147">
        <v>8.56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2"/>
        <v>1130.7339999999999</v>
      </c>
      <c r="S17" s="62">
        <f t="shared" si="13"/>
        <v>57.554360599999995</v>
      </c>
      <c r="T17" s="63">
        <f t="shared" si="14"/>
        <v>96.790830400000004</v>
      </c>
      <c r="U17" s="64" t="s">
        <v>301</v>
      </c>
      <c r="V17" s="65" t="s">
        <v>405</v>
      </c>
      <c r="W17" s="66" t="s">
        <v>303</v>
      </c>
      <c r="X17" s="67">
        <v>2387</v>
      </c>
      <c r="Y17" s="68">
        <v>5.2</v>
      </c>
      <c r="Z17" s="68">
        <v>8.4</v>
      </c>
      <c r="AA17" s="62">
        <f t="shared" si="15"/>
        <v>124.12400000000001</v>
      </c>
      <c r="AB17" s="63">
        <f t="shared" si="16"/>
        <v>200.50800000000001</v>
      </c>
      <c r="AC17" s="69">
        <v>2390</v>
      </c>
      <c r="AD17" s="70">
        <v>5.2</v>
      </c>
      <c r="AE17" s="70">
        <v>8.4</v>
      </c>
      <c r="AF17" s="62">
        <f t="shared" si="17"/>
        <v>124.28000000000002</v>
      </c>
      <c r="AG17" s="63">
        <f t="shared" si="18"/>
        <v>200.76000000000002</v>
      </c>
      <c r="AH17" s="89">
        <v>2165</v>
      </c>
      <c r="AI17" s="66">
        <v>7.1</v>
      </c>
      <c r="AJ17" s="66">
        <v>9</v>
      </c>
      <c r="AK17" s="62">
        <f t="shared" si="4"/>
        <v>153.71499999999997</v>
      </c>
      <c r="AL17" s="72">
        <f t="shared" si="5"/>
        <v>194.85</v>
      </c>
      <c r="AM17" s="73">
        <f t="shared" si="6"/>
        <v>-16.265999999999622</v>
      </c>
      <c r="AN17" s="74">
        <f t="shared" si="7"/>
        <v>-0.6246393999999782</v>
      </c>
      <c r="AO17" s="74">
        <f t="shared" si="7"/>
        <v>1.0848304000000439</v>
      </c>
      <c r="AP17" s="75">
        <f t="shared" si="19"/>
        <v>2.9815700574698551E-3</v>
      </c>
      <c r="AQ17" s="76">
        <f t="shared" si="8"/>
        <v>44.253936855356301</v>
      </c>
      <c r="AR17" s="90">
        <f t="shared" si="9"/>
        <v>-13.265999999999622</v>
      </c>
    </row>
    <row r="18" spans="1:49" x14ac:dyDescent="0.25">
      <c r="A18" t="str">
        <f t="shared" si="10"/>
        <v>46181M</v>
      </c>
      <c r="B18" s="51">
        <f t="shared" si="20"/>
        <v>46181</v>
      </c>
      <c r="C18" s="99" t="s">
        <v>87</v>
      </c>
      <c r="D18" s="91">
        <v>2165</v>
      </c>
      <c r="E18" s="62">
        <v>7.1</v>
      </c>
      <c r="F18" s="62">
        <v>9</v>
      </c>
      <c r="G18" s="62">
        <f t="shared" si="0"/>
        <v>153.71499999999997</v>
      </c>
      <c r="H18" s="72">
        <f t="shared" si="11"/>
        <v>194.85</v>
      </c>
      <c r="I18" s="144">
        <v>1154.7</v>
      </c>
      <c r="J18" s="145">
        <v>1189.3410000000001</v>
      </c>
      <c r="K18" s="146">
        <v>5.43</v>
      </c>
      <c r="L18" s="147">
        <v>8.68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2"/>
        <v>1189.3410000000001</v>
      </c>
      <c r="S18" s="62">
        <f t="shared" si="13"/>
        <v>64.581216299999994</v>
      </c>
      <c r="T18" s="63">
        <f t="shared" si="14"/>
        <v>103.23479880000001</v>
      </c>
      <c r="U18" s="64" t="s">
        <v>167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15"/>
        <v>0</v>
      </c>
      <c r="AB18" s="63">
        <f t="shared" si="16"/>
        <v>0</v>
      </c>
      <c r="AC18" s="69"/>
      <c r="AD18" s="70"/>
      <c r="AE18" s="70"/>
      <c r="AF18" s="62">
        <f t="shared" si="17"/>
        <v>0</v>
      </c>
      <c r="AG18" s="63">
        <f t="shared" si="18"/>
        <v>0</v>
      </c>
      <c r="AH18" s="89">
        <v>3372</v>
      </c>
      <c r="AI18" s="66">
        <v>6.5</v>
      </c>
      <c r="AJ18" s="66">
        <v>8.8000000000000007</v>
      </c>
      <c r="AK18" s="62">
        <f t="shared" si="4"/>
        <v>219.18</v>
      </c>
      <c r="AL18" s="72">
        <f t="shared" si="5"/>
        <v>296.73600000000005</v>
      </c>
      <c r="AM18" s="73">
        <f t="shared" si="6"/>
        <v>-17.658999999999651</v>
      </c>
      <c r="AN18" s="74">
        <f t="shared" si="7"/>
        <v>-0.8837837000000377</v>
      </c>
      <c r="AO18" s="74">
        <f t="shared" si="7"/>
        <v>1.3487987999999405</v>
      </c>
      <c r="AP18" s="75">
        <f t="shared" si="19"/>
        <v>2.7709816594250827E-3</v>
      </c>
      <c r="AQ18" s="76">
        <f t="shared" si="8"/>
        <v>6.9201721049652747</v>
      </c>
      <c r="AR18" s="90">
        <f t="shared" si="9"/>
        <v>-17.658999999999651</v>
      </c>
    </row>
    <row r="19" spans="1:49" x14ac:dyDescent="0.25">
      <c r="A19" t="str">
        <f t="shared" si="10"/>
        <v>46181E</v>
      </c>
      <c r="B19" s="51">
        <f t="shared" si="20"/>
        <v>46181</v>
      </c>
      <c r="C19" s="52" t="s">
        <v>88</v>
      </c>
      <c r="D19" s="91">
        <v>3372</v>
      </c>
      <c r="E19" s="62">
        <v>6.5</v>
      </c>
      <c r="F19" s="62">
        <v>8.8000000000000007</v>
      </c>
      <c r="G19" s="62">
        <f t="shared" si="0"/>
        <v>219.18</v>
      </c>
      <c r="H19" s="72">
        <f t="shared" si="11"/>
        <v>296.73600000000005</v>
      </c>
      <c r="I19" s="144">
        <v>1088.0999999999999</v>
      </c>
      <c r="J19" s="145">
        <v>1120.7429999999999</v>
      </c>
      <c r="K19" s="146">
        <v>5.29</v>
      </c>
      <c r="L19" s="147">
        <v>8.57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2"/>
        <v>1120.7429999999999</v>
      </c>
      <c r="S19" s="62">
        <f t="shared" si="13"/>
        <v>59.2873047</v>
      </c>
      <c r="T19" s="63">
        <f t="shared" si="14"/>
        <v>96.047675099999992</v>
      </c>
      <c r="U19" s="64" t="s">
        <v>301</v>
      </c>
      <c r="V19" s="65" t="s">
        <v>406</v>
      </c>
      <c r="W19" s="66" t="s">
        <v>303</v>
      </c>
      <c r="X19" s="67">
        <v>2422</v>
      </c>
      <c r="Y19" s="68">
        <v>5.3</v>
      </c>
      <c r="Z19" s="68">
        <v>8.5</v>
      </c>
      <c r="AA19" s="62">
        <f t="shared" si="15"/>
        <v>128.36599999999999</v>
      </c>
      <c r="AB19" s="63">
        <f t="shared" si="16"/>
        <v>205.87</v>
      </c>
      <c r="AC19" s="69">
        <v>2420</v>
      </c>
      <c r="AD19" s="70">
        <v>5.3</v>
      </c>
      <c r="AE19" s="70">
        <v>8.5</v>
      </c>
      <c r="AF19" s="62">
        <f t="shared" si="17"/>
        <v>128.26</v>
      </c>
      <c r="AG19" s="63">
        <f t="shared" si="18"/>
        <v>205.70000000000002</v>
      </c>
      <c r="AH19" s="89">
        <v>2090</v>
      </c>
      <c r="AI19" s="66">
        <v>7.2</v>
      </c>
      <c r="AJ19" s="66">
        <v>8.9</v>
      </c>
      <c r="AK19" s="62">
        <f t="shared" si="4"/>
        <v>150.48000000000002</v>
      </c>
      <c r="AL19" s="72">
        <f t="shared" si="5"/>
        <v>186.01000000000002</v>
      </c>
      <c r="AM19" s="73">
        <f t="shared" si="6"/>
        <v>-17.256999999999607</v>
      </c>
      <c r="AN19" s="74">
        <f t="shared" si="7"/>
        <v>-0.27269530000000941</v>
      </c>
      <c r="AO19" s="74">
        <f t="shared" si="7"/>
        <v>1.0736751000000027</v>
      </c>
      <c r="AP19" s="75">
        <f t="shared" si="19"/>
        <v>5.1564676612523902E-3</v>
      </c>
      <c r="AQ19" s="76">
        <f t="shared" si="8"/>
        <v>198.90667897099661</v>
      </c>
      <c r="AR19" s="90">
        <f t="shared" si="9"/>
        <v>-19.256999999999607</v>
      </c>
      <c r="AS19" s="90">
        <f>SUM(J6:J19)</f>
        <v>17299.056</v>
      </c>
      <c r="AT19" s="83">
        <f>SUM(AM6:AM19)</f>
        <v>-263.94399999999723</v>
      </c>
      <c r="AU19" s="83">
        <f>SUM(AN6:AN19)</f>
        <v>-0.73618220000000179</v>
      </c>
      <c r="AV19" s="83">
        <f>SUM(AO6:AO19)</f>
        <v>1.0913563999997109</v>
      </c>
      <c r="AW19" s="83">
        <f>-SUM(AQ6:AQ19)</f>
        <v>3.8656837194204456</v>
      </c>
    </row>
    <row r="20" spans="1:49" x14ac:dyDescent="0.25">
      <c r="A20" t="str">
        <f t="shared" si="10"/>
        <v>46182M</v>
      </c>
      <c r="B20" s="51">
        <f t="shared" si="20"/>
        <v>46182</v>
      </c>
      <c r="C20" s="52" t="s">
        <v>87</v>
      </c>
      <c r="D20" s="91">
        <v>2090</v>
      </c>
      <c r="E20" s="62">
        <v>7.2</v>
      </c>
      <c r="F20" s="62">
        <v>8.9</v>
      </c>
      <c r="G20" s="62">
        <f t="shared" si="0"/>
        <v>150.48000000000002</v>
      </c>
      <c r="H20" s="72">
        <f t="shared" si="11"/>
        <v>186.01000000000002</v>
      </c>
      <c r="I20" s="144">
        <v>1150.2</v>
      </c>
      <c r="J20" s="145">
        <v>1184.7060000000001</v>
      </c>
      <c r="K20" s="146">
        <v>5.78</v>
      </c>
      <c r="L20" s="147">
        <v>8.6999999999999993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2"/>
        <v>1184.7060000000001</v>
      </c>
      <c r="S20" s="62">
        <f t="shared" si="13"/>
        <v>68.476006800000008</v>
      </c>
      <c r="T20" s="63">
        <f t="shared" si="14"/>
        <v>103.069422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15"/>
        <v>0</v>
      </c>
      <c r="AB20" s="63">
        <f t="shared" si="16"/>
        <v>0</v>
      </c>
      <c r="AC20" s="69"/>
      <c r="AD20" s="70"/>
      <c r="AE20" s="70"/>
      <c r="AF20" s="62">
        <f t="shared" si="17"/>
        <v>0</v>
      </c>
      <c r="AG20" s="63">
        <f t="shared" si="18"/>
        <v>0</v>
      </c>
      <c r="AH20" s="89">
        <v>3280</v>
      </c>
      <c r="AI20" s="66">
        <v>6.7</v>
      </c>
      <c r="AJ20" s="66">
        <v>8.8000000000000007</v>
      </c>
      <c r="AK20" s="62">
        <f t="shared" si="4"/>
        <v>219.76000000000002</v>
      </c>
      <c r="AL20" s="72">
        <f t="shared" si="5"/>
        <v>288.64000000000004</v>
      </c>
      <c r="AM20" s="73">
        <f t="shared" si="6"/>
        <v>-5.293999999999869</v>
      </c>
      <c r="AN20" s="74">
        <f t="shared" ref="AN20:AO35" si="21">+G20+S20-AF20-AK20</f>
        <v>-0.80399320000000785</v>
      </c>
      <c r="AO20" s="74">
        <f t="shared" si="21"/>
        <v>0.43942199999997911</v>
      </c>
      <c r="AP20" s="75">
        <f t="shared" si="19"/>
        <v>-2.1252166411561569E-3</v>
      </c>
      <c r="AQ20" s="76">
        <f t="shared" si="8"/>
        <v>-229.41330073200979</v>
      </c>
      <c r="AR20" s="90">
        <f t="shared" si="9"/>
        <v>-5.293999999999869</v>
      </c>
    </row>
    <row r="21" spans="1:49" x14ac:dyDescent="0.25">
      <c r="A21" t="str">
        <f t="shared" si="10"/>
        <v>46182E</v>
      </c>
      <c r="B21" s="51">
        <f t="shared" si="20"/>
        <v>46182</v>
      </c>
      <c r="C21" s="52" t="s">
        <v>88</v>
      </c>
      <c r="D21" s="91">
        <v>3280</v>
      </c>
      <c r="E21" s="62">
        <v>6.7</v>
      </c>
      <c r="F21" s="62">
        <v>8.8000000000000007</v>
      </c>
      <c r="G21" s="62">
        <f t="shared" si="0"/>
        <v>219.76000000000002</v>
      </c>
      <c r="H21" s="72">
        <f t="shared" si="11"/>
        <v>288.64000000000004</v>
      </c>
      <c r="I21" s="144">
        <v>1047.0999999999999</v>
      </c>
      <c r="J21" s="145">
        <v>1078.5129999999999</v>
      </c>
      <c r="K21" s="146">
        <v>5.27</v>
      </c>
      <c r="L21" s="147">
        <v>8.6999999999999993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2"/>
        <v>1078.5129999999999</v>
      </c>
      <c r="S21" s="62">
        <f t="shared" si="13"/>
        <v>56.837635099999993</v>
      </c>
      <c r="T21" s="63">
        <f t="shared" si="14"/>
        <v>93.830630999999983</v>
      </c>
      <c r="U21" s="64" t="s">
        <v>301</v>
      </c>
      <c r="V21" s="65" t="s">
        <v>460</v>
      </c>
      <c r="W21" s="66" t="s">
        <v>303</v>
      </c>
      <c r="X21" s="67">
        <v>2227</v>
      </c>
      <c r="Y21" s="68">
        <v>5.3</v>
      </c>
      <c r="Z21" s="68">
        <v>8.5</v>
      </c>
      <c r="AA21" s="62">
        <f t="shared" si="15"/>
        <v>118.03099999999999</v>
      </c>
      <c r="AB21" s="63">
        <f t="shared" si="16"/>
        <v>189.29500000000002</v>
      </c>
      <c r="AC21" s="226">
        <v>2227</v>
      </c>
      <c r="AD21" s="227">
        <v>5.3</v>
      </c>
      <c r="AE21" s="227">
        <v>8.5</v>
      </c>
      <c r="AF21" s="62">
        <f t="shared" si="17"/>
        <v>118.03099999999999</v>
      </c>
      <c r="AG21" s="63">
        <f t="shared" si="18"/>
        <v>189.29500000000002</v>
      </c>
      <c r="AH21" s="89">
        <v>2145</v>
      </c>
      <c r="AI21" s="66">
        <v>7.4</v>
      </c>
      <c r="AJ21" s="66">
        <v>9</v>
      </c>
      <c r="AK21" s="62">
        <f t="shared" si="4"/>
        <v>158.73000000000002</v>
      </c>
      <c r="AL21" s="72">
        <f t="shared" si="5"/>
        <v>193.04999999999998</v>
      </c>
      <c r="AM21" s="73">
        <f t="shared" si="6"/>
        <v>-13.48700000000008</v>
      </c>
      <c r="AN21" s="74">
        <f t="shared" si="21"/>
        <v>-0.16336490000003323</v>
      </c>
      <c r="AO21" s="74">
        <f t="shared" si="21"/>
        <v>0.12563100000002692</v>
      </c>
      <c r="AP21" s="75">
        <f t="shared" si="19"/>
        <v>-2.5044358030218493E-4</v>
      </c>
      <c r="AQ21" s="76">
        <f t="shared" si="8"/>
        <v>-35.738129119006857</v>
      </c>
      <c r="AR21" s="90">
        <f t="shared" si="9"/>
        <v>-13.48700000000008</v>
      </c>
    </row>
    <row r="22" spans="1:49" x14ac:dyDescent="0.25">
      <c r="A22" t="str">
        <f t="shared" si="10"/>
        <v>46183M</v>
      </c>
      <c r="B22" s="51">
        <f t="shared" si="20"/>
        <v>46183</v>
      </c>
      <c r="C22" s="52" t="s">
        <v>87</v>
      </c>
      <c r="D22" s="91">
        <v>2145</v>
      </c>
      <c r="E22" s="62">
        <v>7.4</v>
      </c>
      <c r="F22" s="62">
        <v>9</v>
      </c>
      <c r="G22" s="62">
        <f t="shared" si="0"/>
        <v>158.73000000000002</v>
      </c>
      <c r="H22" s="72">
        <f t="shared" si="11"/>
        <v>193.04999999999998</v>
      </c>
      <c r="I22" s="144">
        <v>1075.8</v>
      </c>
      <c r="J22" s="145">
        <v>1108.0740000000001</v>
      </c>
      <c r="K22" s="146">
        <v>5.74</v>
      </c>
      <c r="L22" s="147">
        <v>8.73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2"/>
        <v>1108.0740000000001</v>
      </c>
      <c r="S22" s="62">
        <f t="shared" si="13"/>
        <v>63.603447600000003</v>
      </c>
      <c r="T22" s="63">
        <f t="shared" si="14"/>
        <v>96.734860200000014</v>
      </c>
      <c r="U22" s="64" t="s">
        <v>167</v>
      </c>
      <c r="V22" s="65" t="s">
        <v>167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15"/>
        <v>0</v>
      </c>
      <c r="AB22" s="63">
        <f t="shared" si="16"/>
        <v>0</v>
      </c>
      <c r="AC22" s="69"/>
      <c r="AD22" s="70"/>
      <c r="AE22" s="70"/>
      <c r="AF22" s="62">
        <f t="shared" si="17"/>
        <v>0</v>
      </c>
      <c r="AG22" s="63">
        <f t="shared" si="18"/>
        <v>0</v>
      </c>
      <c r="AH22" s="89">
        <v>3265</v>
      </c>
      <c r="AI22" s="66">
        <v>6.8</v>
      </c>
      <c r="AJ22" s="66">
        <v>8.9</v>
      </c>
      <c r="AK22" s="62">
        <f t="shared" si="4"/>
        <v>222.02</v>
      </c>
      <c r="AL22" s="72">
        <f t="shared" si="5"/>
        <v>290.58500000000004</v>
      </c>
      <c r="AM22" s="73">
        <f t="shared" si="6"/>
        <v>-11.925999999999931</v>
      </c>
      <c r="AN22" s="80">
        <f t="shared" si="21"/>
        <v>0.3134476000000177</v>
      </c>
      <c r="AO22" s="80">
        <f t="shared" si="21"/>
        <v>-0.80013980000001084</v>
      </c>
      <c r="AP22" s="75">
        <f t="shared" si="19"/>
        <v>-3.0354081109991173E-3</v>
      </c>
      <c r="AQ22" s="76">
        <f t="shared" si="8"/>
        <v>-98.750742962661974</v>
      </c>
      <c r="AR22" s="90">
        <f t="shared" si="9"/>
        <v>-11.925999999999931</v>
      </c>
    </row>
    <row r="23" spans="1:49" x14ac:dyDescent="0.25">
      <c r="A23" t="str">
        <f t="shared" si="10"/>
        <v>46183E</v>
      </c>
      <c r="B23" s="51">
        <f t="shared" si="20"/>
        <v>46183</v>
      </c>
      <c r="C23" s="52" t="s">
        <v>88</v>
      </c>
      <c r="D23" s="91">
        <v>3265</v>
      </c>
      <c r="E23" s="62">
        <v>6.8</v>
      </c>
      <c r="F23" s="62">
        <v>8.9</v>
      </c>
      <c r="G23" s="62">
        <f t="shared" si="0"/>
        <v>222.02</v>
      </c>
      <c r="H23" s="72">
        <f t="shared" si="11"/>
        <v>290.58500000000004</v>
      </c>
      <c r="I23" s="144">
        <v>1215.9000000000001</v>
      </c>
      <c r="J23" s="145">
        <v>1252.3770000000002</v>
      </c>
      <c r="K23" s="146">
        <v>5.26</v>
      </c>
      <c r="L23" s="147">
        <v>8.6300000000000008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2"/>
        <v>1252.3770000000002</v>
      </c>
      <c r="S23" s="62">
        <f t="shared" si="13"/>
        <v>65.875030200000012</v>
      </c>
      <c r="T23" s="63">
        <f t="shared" si="14"/>
        <v>108.08013510000002</v>
      </c>
      <c r="U23" s="64" t="s">
        <v>301</v>
      </c>
      <c r="V23" s="65" t="s">
        <v>461</v>
      </c>
      <c r="W23" s="66" t="s">
        <v>303</v>
      </c>
      <c r="X23" s="67">
        <v>2519</v>
      </c>
      <c r="Y23" s="68">
        <v>5.2</v>
      </c>
      <c r="Z23" s="68">
        <v>8.4</v>
      </c>
      <c r="AA23" s="62">
        <f t="shared" si="15"/>
        <v>130.988</v>
      </c>
      <c r="AB23" s="63">
        <f t="shared" si="16"/>
        <v>211.596</v>
      </c>
      <c r="AC23" s="226">
        <v>2519</v>
      </c>
      <c r="AD23" s="227">
        <v>5.2</v>
      </c>
      <c r="AE23" s="227">
        <v>8.4</v>
      </c>
      <c r="AF23" s="62">
        <f t="shared" si="17"/>
        <v>130.988</v>
      </c>
      <c r="AG23" s="63">
        <f t="shared" si="18"/>
        <v>211.596</v>
      </c>
      <c r="AH23" s="89">
        <v>2023</v>
      </c>
      <c r="AI23" s="66">
        <v>7.9</v>
      </c>
      <c r="AJ23" s="66">
        <v>9</v>
      </c>
      <c r="AK23" s="62">
        <f t="shared" si="4"/>
        <v>159.81700000000001</v>
      </c>
      <c r="AL23" s="72">
        <f t="shared" si="5"/>
        <v>182.07</v>
      </c>
      <c r="AM23" s="73">
        <f t="shared" si="6"/>
        <v>-24.622999999999593</v>
      </c>
      <c r="AN23" s="80">
        <f t="shared" si="21"/>
        <v>-2.9099697999999989</v>
      </c>
      <c r="AO23" s="80">
        <f t="shared" si="21"/>
        <v>4.9991351000000464</v>
      </c>
      <c r="AP23" s="75">
        <f t="shared" si="19"/>
        <v>1.2009791697746425E-2</v>
      </c>
      <c r="AQ23" s="76">
        <f t="shared" si="8"/>
        <v>189.79328224268102</v>
      </c>
      <c r="AR23" s="90">
        <f t="shared" si="9"/>
        <v>-24.622999999999593</v>
      </c>
    </row>
    <row r="24" spans="1:49" x14ac:dyDescent="0.25">
      <c r="A24" t="str">
        <f t="shared" si="10"/>
        <v>46184M</v>
      </c>
      <c r="B24" s="51">
        <f t="shared" si="20"/>
        <v>46184</v>
      </c>
      <c r="C24" s="99" t="s">
        <v>87</v>
      </c>
      <c r="D24" s="91"/>
      <c r="E24" s="62"/>
      <c r="F24" s="62"/>
      <c r="G24" s="62">
        <f t="shared" si="0"/>
        <v>0</v>
      </c>
      <c r="H24" s="72">
        <f t="shared" si="11"/>
        <v>0</v>
      </c>
      <c r="I24" s="144"/>
      <c r="J24" s="145"/>
      <c r="K24" s="146"/>
      <c r="L24" s="147"/>
      <c r="M24" s="58"/>
      <c r="N24" s="58"/>
      <c r="O24" s="59"/>
      <c r="P24" s="56"/>
      <c r="Q24" s="60"/>
      <c r="R24" s="61">
        <f t="shared" si="12"/>
        <v>0</v>
      </c>
      <c r="S24" s="62">
        <f t="shared" si="13"/>
        <v>0</v>
      </c>
      <c r="T24" s="63">
        <f t="shared" si="14"/>
        <v>0</v>
      </c>
      <c r="U24" s="64"/>
      <c r="V24" s="65"/>
      <c r="W24" s="66"/>
      <c r="X24" s="67"/>
      <c r="Y24" s="68"/>
      <c r="Z24" s="68"/>
      <c r="AA24" s="62">
        <f t="shared" si="15"/>
        <v>0</v>
      </c>
      <c r="AB24" s="63">
        <f t="shared" si="16"/>
        <v>0</v>
      </c>
      <c r="AC24" s="69"/>
      <c r="AD24" s="70"/>
      <c r="AE24" s="70"/>
      <c r="AF24" s="62">
        <f t="shared" si="17"/>
        <v>0</v>
      </c>
      <c r="AG24" s="63">
        <f t="shared" si="18"/>
        <v>0</v>
      </c>
      <c r="AH24" s="89"/>
      <c r="AI24" s="66"/>
      <c r="AJ24" s="66"/>
      <c r="AK24" s="62">
        <f t="shared" si="4"/>
        <v>0</v>
      </c>
      <c r="AL24" s="72">
        <f t="shared" si="5"/>
        <v>0</v>
      </c>
      <c r="AM24" s="73">
        <f t="shared" si="6"/>
        <v>0</v>
      </c>
      <c r="AN24" s="80">
        <f t="shared" si="21"/>
        <v>0</v>
      </c>
      <c r="AO24" s="80">
        <f t="shared" si="21"/>
        <v>0</v>
      </c>
      <c r="AP24" s="75" t="e">
        <f t="shared" si="19"/>
        <v>#DIV/0!</v>
      </c>
      <c r="AQ24" s="76">
        <f t="shared" si="8"/>
        <v>0</v>
      </c>
      <c r="AR24" s="90">
        <f t="shared" si="9"/>
        <v>0</v>
      </c>
    </row>
    <row r="25" spans="1:49" x14ac:dyDescent="0.25">
      <c r="A25" t="str">
        <f t="shared" si="10"/>
        <v>46184E</v>
      </c>
      <c r="B25" s="51">
        <f t="shared" si="20"/>
        <v>46184</v>
      </c>
      <c r="C25" s="52" t="s">
        <v>88</v>
      </c>
      <c r="D25" s="91"/>
      <c r="E25" s="62"/>
      <c r="F25" s="62"/>
      <c r="G25" s="62">
        <f t="shared" si="0"/>
        <v>0</v>
      </c>
      <c r="H25" s="72">
        <f t="shared" si="11"/>
        <v>0</v>
      </c>
      <c r="I25" s="144"/>
      <c r="J25" s="145"/>
      <c r="K25" s="146"/>
      <c r="L25" s="147"/>
      <c r="M25" s="58"/>
      <c r="N25" s="58"/>
      <c r="O25" s="59"/>
      <c r="P25" s="56"/>
      <c r="Q25" s="60"/>
      <c r="R25" s="61">
        <f t="shared" si="12"/>
        <v>0</v>
      </c>
      <c r="S25" s="62">
        <f t="shared" si="13"/>
        <v>0</v>
      </c>
      <c r="T25" s="63">
        <f t="shared" si="14"/>
        <v>0</v>
      </c>
      <c r="U25" s="64"/>
      <c r="V25" s="65"/>
      <c r="W25" s="66"/>
      <c r="X25" s="67"/>
      <c r="Y25" s="68"/>
      <c r="Z25" s="68"/>
      <c r="AA25" s="62">
        <f t="shared" si="15"/>
        <v>0</v>
      </c>
      <c r="AB25" s="63">
        <f t="shared" si="16"/>
        <v>0</v>
      </c>
      <c r="AC25" s="69"/>
      <c r="AD25" s="70"/>
      <c r="AE25" s="70"/>
      <c r="AF25" s="62">
        <f t="shared" si="17"/>
        <v>0</v>
      </c>
      <c r="AG25" s="63">
        <f t="shared" si="18"/>
        <v>0</v>
      </c>
      <c r="AH25" s="89"/>
      <c r="AI25" s="66"/>
      <c r="AJ25" s="66"/>
      <c r="AK25" s="62">
        <f t="shared" si="4"/>
        <v>0</v>
      </c>
      <c r="AL25" s="72">
        <f t="shared" si="5"/>
        <v>0</v>
      </c>
      <c r="AM25" s="73">
        <f t="shared" si="6"/>
        <v>0</v>
      </c>
      <c r="AN25" s="80">
        <f t="shared" si="21"/>
        <v>0</v>
      </c>
      <c r="AO25" s="80">
        <f t="shared" si="21"/>
        <v>0</v>
      </c>
      <c r="AP25" s="75" t="e">
        <f t="shared" si="19"/>
        <v>#DIV/0!</v>
      </c>
      <c r="AQ25" s="76">
        <f t="shared" si="8"/>
        <v>0</v>
      </c>
      <c r="AR25" s="90">
        <f t="shared" si="9"/>
        <v>0</v>
      </c>
    </row>
    <row r="26" spans="1:49" x14ac:dyDescent="0.25">
      <c r="A26" t="str">
        <f t="shared" si="10"/>
        <v>46185M</v>
      </c>
      <c r="B26" s="51">
        <f t="shared" si="20"/>
        <v>46185</v>
      </c>
      <c r="C26" s="52" t="s">
        <v>87</v>
      </c>
      <c r="D26" s="91"/>
      <c r="E26" s="62"/>
      <c r="F26" s="62"/>
      <c r="G26" s="62">
        <f t="shared" si="0"/>
        <v>0</v>
      </c>
      <c r="H26" s="72">
        <f t="shared" si="11"/>
        <v>0</v>
      </c>
      <c r="I26" s="144"/>
      <c r="J26" s="145"/>
      <c r="K26" s="146"/>
      <c r="L26" s="147"/>
      <c r="M26" s="58"/>
      <c r="N26" s="58"/>
      <c r="O26" s="59"/>
      <c r="P26" s="56"/>
      <c r="Q26" s="60"/>
      <c r="R26" s="61">
        <f t="shared" si="12"/>
        <v>0</v>
      </c>
      <c r="S26" s="62">
        <f t="shared" si="13"/>
        <v>0</v>
      </c>
      <c r="T26" s="63">
        <f t="shared" si="14"/>
        <v>0</v>
      </c>
      <c r="U26" s="64"/>
      <c r="V26" s="65"/>
      <c r="W26" s="66"/>
      <c r="X26" s="67"/>
      <c r="Y26" s="68"/>
      <c r="Z26" s="68"/>
      <c r="AA26" s="62">
        <f t="shared" si="15"/>
        <v>0</v>
      </c>
      <c r="AB26" s="63">
        <f t="shared" si="16"/>
        <v>0</v>
      </c>
      <c r="AC26" s="69"/>
      <c r="AD26" s="70"/>
      <c r="AE26" s="70"/>
      <c r="AF26" s="62">
        <f t="shared" si="17"/>
        <v>0</v>
      </c>
      <c r="AG26" s="63">
        <f t="shared" si="18"/>
        <v>0</v>
      </c>
      <c r="AH26" s="89"/>
      <c r="AI26" s="66"/>
      <c r="AJ26" s="66"/>
      <c r="AK26" s="62">
        <f t="shared" si="4"/>
        <v>0</v>
      </c>
      <c r="AL26" s="72">
        <f t="shared" si="5"/>
        <v>0</v>
      </c>
      <c r="AM26" s="73">
        <f t="shared" si="6"/>
        <v>0</v>
      </c>
      <c r="AN26" s="80">
        <f t="shared" si="21"/>
        <v>0</v>
      </c>
      <c r="AO26" s="80">
        <f t="shared" si="21"/>
        <v>0</v>
      </c>
      <c r="AP26" s="75" t="e">
        <f t="shared" si="19"/>
        <v>#DIV/0!</v>
      </c>
      <c r="AQ26" s="76">
        <f t="shared" si="8"/>
        <v>0</v>
      </c>
      <c r="AR26" s="90">
        <f t="shared" si="9"/>
        <v>0</v>
      </c>
    </row>
    <row r="27" spans="1:49" x14ac:dyDescent="0.25">
      <c r="A27" t="str">
        <f t="shared" si="10"/>
        <v>46185E</v>
      </c>
      <c r="B27" s="51">
        <f t="shared" si="20"/>
        <v>46185</v>
      </c>
      <c r="C27" s="52" t="s">
        <v>88</v>
      </c>
      <c r="D27" s="91"/>
      <c r="E27" s="62"/>
      <c r="F27" s="62"/>
      <c r="G27" s="62">
        <f t="shared" si="0"/>
        <v>0</v>
      </c>
      <c r="H27" s="72">
        <f t="shared" si="11"/>
        <v>0</v>
      </c>
      <c r="I27" s="144"/>
      <c r="J27" s="145"/>
      <c r="K27" s="146"/>
      <c r="L27" s="147"/>
      <c r="M27" s="58"/>
      <c r="N27" s="58"/>
      <c r="O27" s="59"/>
      <c r="P27" s="56"/>
      <c r="Q27" s="60"/>
      <c r="R27" s="61">
        <f t="shared" si="12"/>
        <v>0</v>
      </c>
      <c r="S27" s="62">
        <f t="shared" si="13"/>
        <v>0</v>
      </c>
      <c r="T27" s="63">
        <f t="shared" si="14"/>
        <v>0</v>
      </c>
      <c r="U27" s="64"/>
      <c r="V27" s="65"/>
      <c r="W27" s="66"/>
      <c r="X27" s="67"/>
      <c r="Y27" s="68"/>
      <c r="Z27" s="68"/>
      <c r="AA27" s="62">
        <f t="shared" si="15"/>
        <v>0</v>
      </c>
      <c r="AB27" s="63">
        <f t="shared" si="16"/>
        <v>0</v>
      </c>
      <c r="AC27" s="69"/>
      <c r="AD27" s="70"/>
      <c r="AE27" s="70"/>
      <c r="AF27" s="62">
        <f t="shared" si="17"/>
        <v>0</v>
      </c>
      <c r="AG27" s="63">
        <f t="shared" si="18"/>
        <v>0</v>
      </c>
      <c r="AH27" s="89"/>
      <c r="AI27" s="66"/>
      <c r="AJ27" s="66"/>
      <c r="AK27" s="62">
        <f t="shared" si="4"/>
        <v>0</v>
      </c>
      <c r="AL27" s="72">
        <f t="shared" si="5"/>
        <v>0</v>
      </c>
      <c r="AM27" s="73">
        <f t="shared" si="6"/>
        <v>0</v>
      </c>
      <c r="AN27" s="80">
        <f t="shared" si="21"/>
        <v>0</v>
      </c>
      <c r="AO27" s="80">
        <f t="shared" si="21"/>
        <v>0</v>
      </c>
      <c r="AP27" s="75" t="e">
        <f t="shared" si="19"/>
        <v>#DIV/0!</v>
      </c>
      <c r="AQ27" s="76">
        <f t="shared" si="8"/>
        <v>0</v>
      </c>
      <c r="AR27" s="90">
        <f t="shared" si="9"/>
        <v>0</v>
      </c>
    </row>
    <row r="28" spans="1:49" x14ac:dyDescent="0.25">
      <c r="A28" t="str">
        <f t="shared" si="10"/>
        <v>46186M</v>
      </c>
      <c r="B28" s="51">
        <f t="shared" si="20"/>
        <v>46186</v>
      </c>
      <c r="C28" s="52" t="s">
        <v>87</v>
      </c>
      <c r="D28" s="91"/>
      <c r="E28" s="62"/>
      <c r="F28" s="62"/>
      <c r="G28" s="62">
        <f t="shared" si="0"/>
        <v>0</v>
      </c>
      <c r="H28" s="72">
        <f t="shared" si="11"/>
        <v>0</v>
      </c>
      <c r="I28" s="144"/>
      <c r="J28" s="145"/>
      <c r="K28" s="146"/>
      <c r="L28" s="147"/>
      <c r="M28" s="58"/>
      <c r="N28" s="58"/>
      <c r="O28" s="59"/>
      <c r="P28" s="56"/>
      <c r="Q28" s="60"/>
      <c r="R28" s="61">
        <f t="shared" si="12"/>
        <v>0</v>
      </c>
      <c r="S28" s="62">
        <f t="shared" si="13"/>
        <v>0</v>
      </c>
      <c r="T28" s="63">
        <f t="shared" si="14"/>
        <v>0</v>
      </c>
      <c r="U28" s="64"/>
      <c r="V28" s="65"/>
      <c r="W28" s="66"/>
      <c r="X28" s="67"/>
      <c r="Y28" s="68"/>
      <c r="Z28" s="68"/>
      <c r="AA28" s="62">
        <f t="shared" si="15"/>
        <v>0</v>
      </c>
      <c r="AB28" s="63">
        <f t="shared" si="16"/>
        <v>0</v>
      </c>
      <c r="AC28" s="69"/>
      <c r="AD28" s="70"/>
      <c r="AE28" s="70"/>
      <c r="AF28" s="62">
        <f t="shared" si="17"/>
        <v>0</v>
      </c>
      <c r="AG28" s="63">
        <f t="shared" si="18"/>
        <v>0</v>
      </c>
      <c r="AH28" s="89"/>
      <c r="AI28" s="66"/>
      <c r="AJ28" s="66"/>
      <c r="AK28" s="62">
        <f t="shared" si="4"/>
        <v>0</v>
      </c>
      <c r="AL28" s="72">
        <f t="shared" si="5"/>
        <v>0</v>
      </c>
      <c r="AM28" s="73">
        <f t="shared" si="6"/>
        <v>0</v>
      </c>
      <c r="AN28" s="80">
        <f t="shared" si="21"/>
        <v>0</v>
      </c>
      <c r="AO28" s="80">
        <f t="shared" si="21"/>
        <v>0</v>
      </c>
      <c r="AP28" s="75" t="e">
        <f t="shared" si="19"/>
        <v>#DIV/0!</v>
      </c>
      <c r="AQ28" s="76">
        <f t="shared" si="8"/>
        <v>0</v>
      </c>
      <c r="AR28" s="90">
        <f t="shared" si="9"/>
        <v>0</v>
      </c>
    </row>
    <row r="29" spans="1:49" x14ac:dyDescent="0.25">
      <c r="A29" t="str">
        <f t="shared" si="10"/>
        <v>46186E</v>
      </c>
      <c r="B29" s="51">
        <f t="shared" si="20"/>
        <v>46186</v>
      </c>
      <c r="C29" s="52" t="s">
        <v>88</v>
      </c>
      <c r="D29" s="91"/>
      <c r="E29" s="62"/>
      <c r="F29" s="62"/>
      <c r="G29" s="62">
        <f t="shared" si="0"/>
        <v>0</v>
      </c>
      <c r="H29" s="72">
        <f t="shared" si="11"/>
        <v>0</v>
      </c>
      <c r="I29" s="144"/>
      <c r="J29" s="145"/>
      <c r="K29" s="146"/>
      <c r="L29" s="147"/>
      <c r="M29" s="58"/>
      <c r="N29" s="58"/>
      <c r="O29" s="59"/>
      <c r="P29" s="56"/>
      <c r="Q29" s="60"/>
      <c r="R29" s="61">
        <f t="shared" si="12"/>
        <v>0</v>
      </c>
      <c r="S29" s="62">
        <f t="shared" si="13"/>
        <v>0</v>
      </c>
      <c r="T29" s="63">
        <f t="shared" si="14"/>
        <v>0</v>
      </c>
      <c r="U29" s="64"/>
      <c r="V29" s="65"/>
      <c r="W29" s="66"/>
      <c r="X29" s="67"/>
      <c r="Y29" s="68"/>
      <c r="Z29" s="68"/>
      <c r="AA29" s="62">
        <f t="shared" si="15"/>
        <v>0</v>
      </c>
      <c r="AB29" s="63">
        <f t="shared" si="16"/>
        <v>0</v>
      </c>
      <c r="AC29" s="69"/>
      <c r="AD29" s="70"/>
      <c r="AE29" s="70"/>
      <c r="AF29" s="62">
        <f t="shared" si="17"/>
        <v>0</v>
      </c>
      <c r="AG29" s="63">
        <f t="shared" si="18"/>
        <v>0</v>
      </c>
      <c r="AH29" s="89"/>
      <c r="AI29" s="66"/>
      <c r="AJ29" s="66"/>
      <c r="AK29" s="62">
        <f t="shared" si="4"/>
        <v>0</v>
      </c>
      <c r="AL29" s="72">
        <f t="shared" si="5"/>
        <v>0</v>
      </c>
      <c r="AM29" s="73">
        <f t="shared" si="6"/>
        <v>0</v>
      </c>
      <c r="AN29" s="80">
        <f t="shared" si="21"/>
        <v>0</v>
      </c>
      <c r="AO29" s="80">
        <f t="shared" si="21"/>
        <v>0</v>
      </c>
      <c r="AP29" s="75" t="e">
        <f t="shared" si="19"/>
        <v>#DIV/0!</v>
      </c>
      <c r="AQ29" s="76">
        <f t="shared" si="8"/>
        <v>0</v>
      </c>
      <c r="AR29" s="90">
        <f t="shared" si="9"/>
        <v>0</v>
      </c>
    </row>
    <row r="30" spans="1:49" x14ac:dyDescent="0.25">
      <c r="A30" t="str">
        <f t="shared" si="10"/>
        <v>46187M</v>
      </c>
      <c r="B30" s="51">
        <f t="shared" si="20"/>
        <v>46187</v>
      </c>
      <c r="C30" s="52" t="s">
        <v>87</v>
      </c>
      <c r="D30" s="91"/>
      <c r="E30" s="62"/>
      <c r="F30" s="62"/>
      <c r="G30" s="62">
        <f t="shared" si="0"/>
        <v>0</v>
      </c>
      <c r="H30" s="72">
        <f t="shared" si="11"/>
        <v>0</v>
      </c>
      <c r="I30" s="144"/>
      <c r="J30" s="145"/>
      <c r="K30" s="146"/>
      <c r="L30" s="147"/>
      <c r="M30" s="58"/>
      <c r="N30" s="58"/>
      <c r="O30" s="59"/>
      <c r="P30" s="56"/>
      <c r="Q30" s="60"/>
      <c r="R30" s="61">
        <f t="shared" si="12"/>
        <v>0</v>
      </c>
      <c r="S30" s="62">
        <f t="shared" si="13"/>
        <v>0</v>
      </c>
      <c r="T30" s="63">
        <f t="shared" si="14"/>
        <v>0</v>
      </c>
      <c r="U30" s="64"/>
      <c r="V30" s="65"/>
      <c r="W30" s="66"/>
      <c r="X30" s="67"/>
      <c r="Y30" s="68"/>
      <c r="Z30" s="68"/>
      <c r="AA30" s="62">
        <f t="shared" si="15"/>
        <v>0</v>
      </c>
      <c r="AB30" s="63">
        <f t="shared" si="16"/>
        <v>0</v>
      </c>
      <c r="AC30" s="69"/>
      <c r="AD30" s="70"/>
      <c r="AE30" s="70"/>
      <c r="AF30" s="62">
        <f t="shared" si="17"/>
        <v>0</v>
      </c>
      <c r="AG30" s="63">
        <f t="shared" si="18"/>
        <v>0</v>
      </c>
      <c r="AH30" s="89"/>
      <c r="AI30" s="66"/>
      <c r="AJ30" s="66"/>
      <c r="AK30" s="62">
        <f t="shared" si="4"/>
        <v>0</v>
      </c>
      <c r="AL30" s="72">
        <f t="shared" si="5"/>
        <v>0</v>
      </c>
      <c r="AM30" s="73">
        <f t="shared" si="6"/>
        <v>0</v>
      </c>
      <c r="AN30" s="80">
        <f t="shared" si="21"/>
        <v>0</v>
      </c>
      <c r="AO30" s="80">
        <f t="shared" si="21"/>
        <v>0</v>
      </c>
      <c r="AP30" s="75" t="e">
        <f t="shared" si="19"/>
        <v>#DIV/0!</v>
      </c>
      <c r="AQ30" s="76">
        <f t="shared" si="8"/>
        <v>0</v>
      </c>
      <c r="AR30" s="90">
        <f t="shared" si="9"/>
        <v>0</v>
      </c>
    </row>
    <row r="31" spans="1:49" x14ac:dyDescent="0.25">
      <c r="A31" t="str">
        <f t="shared" si="10"/>
        <v>46187E</v>
      </c>
      <c r="B31" s="51">
        <f t="shared" si="20"/>
        <v>46187</v>
      </c>
      <c r="C31" s="52" t="s">
        <v>88</v>
      </c>
      <c r="D31" s="91"/>
      <c r="E31" s="62"/>
      <c r="F31" s="62"/>
      <c r="G31" s="62">
        <f t="shared" si="0"/>
        <v>0</v>
      </c>
      <c r="H31" s="72">
        <f t="shared" si="11"/>
        <v>0</v>
      </c>
      <c r="I31" s="144"/>
      <c r="J31" s="145"/>
      <c r="K31" s="146"/>
      <c r="L31" s="147"/>
      <c r="M31" s="58"/>
      <c r="N31" s="58"/>
      <c r="O31" s="59"/>
      <c r="P31" s="56"/>
      <c r="Q31" s="60"/>
      <c r="R31" s="61">
        <f t="shared" si="12"/>
        <v>0</v>
      </c>
      <c r="S31" s="62">
        <f t="shared" si="13"/>
        <v>0</v>
      </c>
      <c r="T31" s="63">
        <f t="shared" si="14"/>
        <v>0</v>
      </c>
      <c r="U31" s="64"/>
      <c r="V31" s="65"/>
      <c r="W31" s="66"/>
      <c r="X31" s="67"/>
      <c r="Y31" s="68"/>
      <c r="Z31" s="68"/>
      <c r="AA31" s="62">
        <f t="shared" si="15"/>
        <v>0</v>
      </c>
      <c r="AB31" s="63">
        <f t="shared" si="16"/>
        <v>0</v>
      </c>
      <c r="AC31" s="69"/>
      <c r="AD31" s="70"/>
      <c r="AE31" s="70"/>
      <c r="AF31" s="62">
        <f t="shared" si="17"/>
        <v>0</v>
      </c>
      <c r="AG31" s="63">
        <f t="shared" si="18"/>
        <v>0</v>
      </c>
      <c r="AH31" s="89"/>
      <c r="AI31" s="66"/>
      <c r="AJ31" s="66"/>
      <c r="AK31" s="62">
        <f t="shared" si="4"/>
        <v>0</v>
      </c>
      <c r="AL31" s="72">
        <f t="shared" si="5"/>
        <v>0</v>
      </c>
      <c r="AM31" s="73">
        <f t="shared" si="6"/>
        <v>0</v>
      </c>
      <c r="AN31" s="80">
        <f t="shared" si="21"/>
        <v>0</v>
      </c>
      <c r="AO31" s="80">
        <f t="shared" si="21"/>
        <v>0</v>
      </c>
      <c r="AP31" s="75" t="e">
        <f t="shared" si="19"/>
        <v>#DIV/0!</v>
      </c>
      <c r="AQ31" s="76">
        <f t="shared" si="8"/>
        <v>0</v>
      </c>
      <c r="AR31" s="90">
        <f t="shared" si="9"/>
        <v>0</v>
      </c>
    </row>
    <row r="32" spans="1:49" x14ac:dyDescent="0.25">
      <c r="A32" t="str">
        <f t="shared" si="10"/>
        <v>46188M</v>
      </c>
      <c r="B32" s="51">
        <f t="shared" si="20"/>
        <v>46188</v>
      </c>
      <c r="C32" s="52" t="s">
        <v>87</v>
      </c>
      <c r="D32" s="91"/>
      <c r="E32" s="62"/>
      <c r="F32" s="62"/>
      <c r="G32" s="62">
        <f t="shared" si="0"/>
        <v>0</v>
      </c>
      <c r="H32" s="72">
        <f t="shared" si="11"/>
        <v>0</v>
      </c>
      <c r="I32" s="144"/>
      <c r="J32" s="145"/>
      <c r="K32" s="146"/>
      <c r="L32" s="147"/>
      <c r="M32" s="58"/>
      <c r="N32" s="58"/>
      <c r="O32" s="59"/>
      <c r="P32" s="56"/>
      <c r="Q32" s="60"/>
      <c r="R32" s="61">
        <f t="shared" si="12"/>
        <v>0</v>
      </c>
      <c r="S32" s="62">
        <f t="shared" si="13"/>
        <v>0</v>
      </c>
      <c r="T32" s="63">
        <f t="shared" si="14"/>
        <v>0</v>
      </c>
      <c r="U32" s="64"/>
      <c r="V32" s="65"/>
      <c r="W32" s="66"/>
      <c r="X32" s="67"/>
      <c r="Y32" s="68"/>
      <c r="Z32" s="68"/>
      <c r="AA32" s="62">
        <f t="shared" si="15"/>
        <v>0</v>
      </c>
      <c r="AB32" s="63">
        <f t="shared" si="16"/>
        <v>0</v>
      </c>
      <c r="AC32" s="69"/>
      <c r="AD32" s="70"/>
      <c r="AE32" s="70"/>
      <c r="AF32" s="62">
        <f t="shared" si="17"/>
        <v>0</v>
      </c>
      <c r="AG32" s="63">
        <f t="shared" si="18"/>
        <v>0</v>
      </c>
      <c r="AH32" s="89"/>
      <c r="AI32" s="66"/>
      <c r="AJ32" s="66"/>
      <c r="AK32" s="62">
        <f t="shared" si="4"/>
        <v>0</v>
      </c>
      <c r="AL32" s="72">
        <f t="shared" si="5"/>
        <v>0</v>
      </c>
      <c r="AM32" s="73">
        <f t="shared" si="6"/>
        <v>0</v>
      </c>
      <c r="AN32" s="80">
        <f t="shared" si="21"/>
        <v>0</v>
      </c>
      <c r="AO32" s="80">
        <f t="shared" si="21"/>
        <v>0</v>
      </c>
      <c r="AP32" s="75" t="e">
        <f t="shared" si="19"/>
        <v>#DIV/0!</v>
      </c>
      <c r="AQ32" s="76">
        <f t="shared" si="8"/>
        <v>0</v>
      </c>
      <c r="AR32" s="90">
        <f t="shared" si="9"/>
        <v>0</v>
      </c>
    </row>
    <row r="33" spans="1:49" x14ac:dyDescent="0.25">
      <c r="A33" t="str">
        <f t="shared" si="10"/>
        <v>46188E</v>
      </c>
      <c r="B33" s="51">
        <f t="shared" si="20"/>
        <v>46188</v>
      </c>
      <c r="C33" s="52" t="s">
        <v>88</v>
      </c>
      <c r="D33" s="91"/>
      <c r="E33" s="62"/>
      <c r="F33" s="62"/>
      <c r="G33" s="62">
        <f t="shared" si="0"/>
        <v>0</v>
      </c>
      <c r="H33" s="72">
        <f t="shared" si="11"/>
        <v>0</v>
      </c>
      <c r="I33" s="144"/>
      <c r="J33" s="145"/>
      <c r="K33" s="146"/>
      <c r="L33" s="147"/>
      <c r="M33" s="58"/>
      <c r="N33" s="58"/>
      <c r="O33" s="59"/>
      <c r="P33" s="56"/>
      <c r="Q33" s="60"/>
      <c r="R33" s="61">
        <f t="shared" si="12"/>
        <v>0</v>
      </c>
      <c r="S33" s="62">
        <f t="shared" si="13"/>
        <v>0</v>
      </c>
      <c r="T33" s="63">
        <f t="shared" si="14"/>
        <v>0</v>
      </c>
      <c r="U33" s="64"/>
      <c r="V33" s="65"/>
      <c r="W33" s="66"/>
      <c r="X33" s="67"/>
      <c r="Y33" s="68"/>
      <c r="Z33" s="68"/>
      <c r="AA33" s="62">
        <f t="shared" si="15"/>
        <v>0</v>
      </c>
      <c r="AB33" s="63">
        <f t="shared" si="16"/>
        <v>0</v>
      </c>
      <c r="AC33" s="69"/>
      <c r="AD33" s="70"/>
      <c r="AE33" s="70"/>
      <c r="AF33" s="62">
        <f t="shared" si="17"/>
        <v>0</v>
      </c>
      <c r="AG33" s="63">
        <f t="shared" si="18"/>
        <v>0</v>
      </c>
      <c r="AH33" s="89"/>
      <c r="AI33" s="66"/>
      <c r="AJ33" s="66"/>
      <c r="AK33" s="62">
        <f t="shared" si="4"/>
        <v>0</v>
      </c>
      <c r="AL33" s="72">
        <f t="shared" si="5"/>
        <v>0</v>
      </c>
      <c r="AM33" s="73">
        <f t="shared" si="6"/>
        <v>0</v>
      </c>
      <c r="AN33" s="80">
        <f t="shared" si="21"/>
        <v>0</v>
      </c>
      <c r="AO33" s="80">
        <f t="shared" si="21"/>
        <v>0</v>
      </c>
      <c r="AP33" s="75" t="e">
        <f t="shared" si="19"/>
        <v>#DIV/0!</v>
      </c>
      <c r="AQ33" s="76">
        <f t="shared" si="8"/>
        <v>0</v>
      </c>
      <c r="AR33" s="90">
        <f t="shared" si="9"/>
        <v>0</v>
      </c>
      <c r="AS33" s="90">
        <f>SUM(J20:J33)</f>
        <v>4623.67</v>
      </c>
      <c r="AT33" s="83">
        <f t="shared" ref="AT33:AV33" si="22">SUM(AM20:AM33)</f>
        <v>-55.329999999999472</v>
      </c>
      <c r="AU33" s="83">
        <f t="shared" si="22"/>
        <v>-3.5638803000000223</v>
      </c>
      <c r="AV33" s="83">
        <f t="shared" si="22"/>
        <v>4.7640483000000415</v>
      </c>
      <c r="AW33" s="83">
        <f>-SUM(AQ20:AQ33)</f>
        <v>174.10889057099757</v>
      </c>
    </row>
    <row r="34" spans="1:49" x14ac:dyDescent="0.25">
      <c r="A34" t="str">
        <f t="shared" si="10"/>
        <v>46189M</v>
      </c>
      <c r="B34" s="51">
        <f t="shared" si="20"/>
        <v>46189</v>
      </c>
      <c r="C34" s="52" t="s">
        <v>87</v>
      </c>
      <c r="D34" s="91"/>
      <c r="E34" s="62"/>
      <c r="F34" s="62"/>
      <c r="G34" s="62">
        <f t="shared" si="0"/>
        <v>0</v>
      </c>
      <c r="H34" s="72">
        <f t="shared" si="11"/>
        <v>0</v>
      </c>
      <c r="I34" s="144"/>
      <c r="J34" s="145"/>
      <c r="K34" s="146"/>
      <c r="L34" s="147"/>
      <c r="M34" s="58"/>
      <c r="N34" s="58"/>
      <c r="O34" s="59"/>
      <c r="P34" s="56"/>
      <c r="Q34" s="60"/>
      <c r="R34" s="61">
        <f t="shared" si="12"/>
        <v>0</v>
      </c>
      <c r="S34" s="62">
        <f t="shared" si="13"/>
        <v>0</v>
      </c>
      <c r="T34" s="63">
        <f t="shared" si="14"/>
        <v>0</v>
      </c>
      <c r="U34" s="64"/>
      <c r="V34" s="65"/>
      <c r="W34" s="66"/>
      <c r="X34" s="67"/>
      <c r="Y34" s="68"/>
      <c r="Z34" s="68"/>
      <c r="AA34" s="62">
        <f t="shared" si="15"/>
        <v>0</v>
      </c>
      <c r="AB34" s="63">
        <f t="shared" si="16"/>
        <v>0</v>
      </c>
      <c r="AC34" s="69"/>
      <c r="AD34" s="70"/>
      <c r="AE34" s="70"/>
      <c r="AF34" s="62">
        <f t="shared" si="17"/>
        <v>0</v>
      </c>
      <c r="AG34" s="63">
        <f t="shared" si="18"/>
        <v>0</v>
      </c>
      <c r="AH34" s="89"/>
      <c r="AI34" s="66"/>
      <c r="AJ34" s="66"/>
      <c r="AK34" s="62">
        <f t="shared" si="4"/>
        <v>0</v>
      </c>
      <c r="AL34" s="72">
        <f t="shared" si="5"/>
        <v>0</v>
      </c>
      <c r="AM34" s="73">
        <f t="shared" si="6"/>
        <v>0</v>
      </c>
      <c r="AN34" s="80">
        <f t="shared" si="21"/>
        <v>0</v>
      </c>
      <c r="AO34" s="80">
        <f t="shared" si="21"/>
        <v>0</v>
      </c>
      <c r="AP34" s="75" t="e">
        <f t="shared" si="19"/>
        <v>#DIV/0!</v>
      </c>
      <c r="AQ34" s="76">
        <f t="shared" si="8"/>
        <v>0</v>
      </c>
      <c r="AR34" s="90">
        <f t="shared" si="9"/>
        <v>0</v>
      </c>
    </row>
    <row r="35" spans="1:49" x14ac:dyDescent="0.25">
      <c r="A35" t="str">
        <f t="shared" si="10"/>
        <v>46189E</v>
      </c>
      <c r="B35" s="51">
        <f t="shared" si="20"/>
        <v>46189</v>
      </c>
      <c r="C35" s="52" t="s">
        <v>88</v>
      </c>
      <c r="D35" s="91"/>
      <c r="E35" s="62"/>
      <c r="F35" s="62"/>
      <c r="G35" s="62">
        <f t="shared" si="0"/>
        <v>0</v>
      </c>
      <c r="H35" s="72">
        <f t="shared" si="11"/>
        <v>0</v>
      </c>
      <c r="I35" s="144"/>
      <c r="J35" s="145"/>
      <c r="K35" s="146"/>
      <c r="L35" s="147"/>
      <c r="M35" s="58"/>
      <c r="N35" s="58"/>
      <c r="O35" s="59"/>
      <c r="P35" s="56"/>
      <c r="Q35" s="60"/>
      <c r="R35" s="61">
        <f t="shared" si="12"/>
        <v>0</v>
      </c>
      <c r="S35" s="62">
        <f t="shared" si="13"/>
        <v>0</v>
      </c>
      <c r="T35" s="63">
        <f t="shared" si="14"/>
        <v>0</v>
      </c>
      <c r="U35" s="64"/>
      <c r="V35" s="65"/>
      <c r="W35" s="66"/>
      <c r="X35" s="67"/>
      <c r="Y35" s="68"/>
      <c r="Z35" s="68"/>
      <c r="AA35" s="62">
        <f t="shared" si="15"/>
        <v>0</v>
      </c>
      <c r="AB35" s="63">
        <f t="shared" si="16"/>
        <v>0</v>
      </c>
      <c r="AC35" s="69"/>
      <c r="AD35" s="70"/>
      <c r="AE35" s="70"/>
      <c r="AF35" s="62">
        <f t="shared" si="17"/>
        <v>0</v>
      </c>
      <c r="AG35" s="63">
        <f t="shared" si="18"/>
        <v>0</v>
      </c>
      <c r="AH35" s="89"/>
      <c r="AI35" s="66"/>
      <c r="AJ35" s="66"/>
      <c r="AK35" s="62">
        <f t="shared" si="4"/>
        <v>0</v>
      </c>
      <c r="AL35" s="72">
        <f t="shared" si="5"/>
        <v>0</v>
      </c>
      <c r="AM35" s="73">
        <f t="shared" si="6"/>
        <v>0</v>
      </c>
      <c r="AN35" s="80">
        <f t="shared" si="21"/>
        <v>0</v>
      </c>
      <c r="AO35" s="80">
        <f t="shared" si="21"/>
        <v>0</v>
      </c>
      <c r="AP35" s="75" t="e">
        <f t="shared" si="19"/>
        <v>#DIV/0!</v>
      </c>
      <c r="AQ35" s="76">
        <f t="shared" si="8"/>
        <v>0</v>
      </c>
      <c r="AR35" s="90">
        <f t="shared" si="9"/>
        <v>0</v>
      </c>
    </row>
    <row r="36" spans="1:49" x14ac:dyDescent="0.25">
      <c r="A36" t="str">
        <f t="shared" si="10"/>
        <v>46190M</v>
      </c>
      <c r="B36" s="51">
        <f t="shared" si="20"/>
        <v>46190</v>
      </c>
      <c r="C36" s="99" t="s">
        <v>87</v>
      </c>
      <c r="D36" s="91"/>
      <c r="E36" s="62"/>
      <c r="F36" s="62"/>
      <c r="G36" s="62">
        <f t="shared" si="0"/>
        <v>0</v>
      </c>
      <c r="H36" s="72">
        <f t="shared" si="11"/>
        <v>0</v>
      </c>
      <c r="I36" s="144"/>
      <c r="J36" s="145"/>
      <c r="K36" s="146"/>
      <c r="L36" s="147"/>
      <c r="M36" s="58"/>
      <c r="N36" s="58"/>
      <c r="O36" s="59"/>
      <c r="P36" s="56"/>
      <c r="Q36" s="60"/>
      <c r="R36" s="61">
        <f t="shared" si="12"/>
        <v>0</v>
      </c>
      <c r="S36" s="62">
        <f t="shared" si="13"/>
        <v>0</v>
      </c>
      <c r="T36" s="63">
        <f t="shared" si="14"/>
        <v>0</v>
      </c>
      <c r="U36" s="64"/>
      <c r="V36" s="65"/>
      <c r="W36" s="66"/>
      <c r="X36" s="67"/>
      <c r="Y36" s="68"/>
      <c r="Z36" s="68"/>
      <c r="AA36" s="62">
        <f t="shared" si="15"/>
        <v>0</v>
      </c>
      <c r="AB36" s="63">
        <f t="shared" si="16"/>
        <v>0</v>
      </c>
      <c r="AC36" s="69"/>
      <c r="AD36" s="70"/>
      <c r="AE36" s="70"/>
      <c r="AF36" s="62">
        <f t="shared" si="17"/>
        <v>0</v>
      </c>
      <c r="AG36" s="63">
        <f t="shared" si="18"/>
        <v>0</v>
      </c>
      <c r="AH36" s="89"/>
      <c r="AI36" s="66"/>
      <c r="AJ36" s="66"/>
      <c r="AK36" s="62">
        <f t="shared" si="4"/>
        <v>0</v>
      </c>
      <c r="AL36" s="72">
        <f t="shared" si="5"/>
        <v>0</v>
      </c>
      <c r="AM36" s="73">
        <f t="shared" si="6"/>
        <v>0</v>
      </c>
      <c r="AN36" s="80">
        <f t="shared" ref="AN36:AO51" si="23">+G36+S36-AF36-AK36</f>
        <v>0</v>
      </c>
      <c r="AO36" s="80">
        <f t="shared" si="23"/>
        <v>0</v>
      </c>
      <c r="AP36" s="75" t="e">
        <f t="shared" si="19"/>
        <v>#DIV/0!</v>
      </c>
      <c r="AQ36" s="76">
        <f t="shared" si="8"/>
        <v>0</v>
      </c>
      <c r="AR36" s="90">
        <f t="shared" si="9"/>
        <v>0</v>
      </c>
    </row>
    <row r="37" spans="1:49" x14ac:dyDescent="0.25">
      <c r="A37" t="str">
        <f t="shared" si="10"/>
        <v>46190E</v>
      </c>
      <c r="B37" s="51">
        <f t="shared" si="20"/>
        <v>46190</v>
      </c>
      <c r="C37" s="52" t="s">
        <v>88</v>
      </c>
      <c r="D37" s="91"/>
      <c r="E37" s="62"/>
      <c r="F37" s="62"/>
      <c r="G37" s="62">
        <f t="shared" si="0"/>
        <v>0</v>
      </c>
      <c r="H37" s="72">
        <f t="shared" si="11"/>
        <v>0</v>
      </c>
      <c r="I37" s="144"/>
      <c r="J37" s="145"/>
      <c r="K37" s="146"/>
      <c r="L37" s="147"/>
      <c r="M37" s="58"/>
      <c r="N37" s="58"/>
      <c r="O37" s="59"/>
      <c r="P37" s="56"/>
      <c r="Q37" s="60"/>
      <c r="R37" s="61">
        <f t="shared" si="12"/>
        <v>0</v>
      </c>
      <c r="S37" s="62">
        <f t="shared" si="13"/>
        <v>0</v>
      </c>
      <c r="T37" s="63">
        <f t="shared" si="14"/>
        <v>0</v>
      </c>
      <c r="U37" s="64"/>
      <c r="V37" s="65"/>
      <c r="W37" s="66"/>
      <c r="X37" s="67"/>
      <c r="Y37" s="68"/>
      <c r="Z37" s="68"/>
      <c r="AA37" s="62">
        <f t="shared" si="15"/>
        <v>0</v>
      </c>
      <c r="AB37" s="63">
        <f t="shared" si="16"/>
        <v>0</v>
      </c>
      <c r="AC37" s="69"/>
      <c r="AD37" s="70"/>
      <c r="AE37" s="70"/>
      <c r="AF37" s="62">
        <f t="shared" si="17"/>
        <v>0</v>
      </c>
      <c r="AG37" s="63">
        <f t="shared" si="18"/>
        <v>0</v>
      </c>
      <c r="AH37" s="89"/>
      <c r="AI37" s="66"/>
      <c r="AJ37" s="66"/>
      <c r="AK37" s="62">
        <f t="shared" si="4"/>
        <v>0</v>
      </c>
      <c r="AL37" s="72">
        <f t="shared" si="5"/>
        <v>0</v>
      </c>
      <c r="AM37" s="73">
        <f t="shared" si="6"/>
        <v>0</v>
      </c>
      <c r="AN37" s="80">
        <f t="shared" si="23"/>
        <v>0</v>
      </c>
      <c r="AO37" s="80">
        <f t="shared" si="23"/>
        <v>0</v>
      </c>
      <c r="AP37" s="75" t="e">
        <f t="shared" si="19"/>
        <v>#DIV/0!</v>
      </c>
      <c r="AQ37" s="76">
        <f t="shared" si="8"/>
        <v>0</v>
      </c>
      <c r="AR37" s="90">
        <f t="shared" si="9"/>
        <v>0</v>
      </c>
    </row>
    <row r="38" spans="1:49" x14ac:dyDescent="0.25">
      <c r="A38" t="str">
        <f t="shared" si="10"/>
        <v>46191M</v>
      </c>
      <c r="B38" s="51">
        <f t="shared" si="20"/>
        <v>46191</v>
      </c>
      <c r="C38" s="52" t="s">
        <v>87</v>
      </c>
      <c r="D38" s="91"/>
      <c r="E38" s="62"/>
      <c r="F38" s="62"/>
      <c r="G38" s="62">
        <f t="shared" si="0"/>
        <v>0</v>
      </c>
      <c r="H38" s="72">
        <f t="shared" si="11"/>
        <v>0</v>
      </c>
      <c r="I38" s="144"/>
      <c r="J38" s="145"/>
      <c r="K38" s="146"/>
      <c r="L38" s="147"/>
      <c r="M38" s="58"/>
      <c r="N38" s="58"/>
      <c r="O38" s="59"/>
      <c r="P38" s="56"/>
      <c r="Q38" s="60"/>
      <c r="R38" s="61">
        <f t="shared" si="12"/>
        <v>0</v>
      </c>
      <c r="S38" s="62">
        <f t="shared" si="13"/>
        <v>0</v>
      </c>
      <c r="T38" s="63">
        <f t="shared" si="14"/>
        <v>0</v>
      </c>
      <c r="U38" s="64"/>
      <c r="V38" s="65"/>
      <c r="W38" s="66"/>
      <c r="X38" s="67"/>
      <c r="Y38" s="68"/>
      <c r="Z38" s="68"/>
      <c r="AA38" s="62">
        <f t="shared" si="15"/>
        <v>0</v>
      </c>
      <c r="AB38" s="63">
        <f t="shared" si="16"/>
        <v>0</v>
      </c>
      <c r="AC38" s="69"/>
      <c r="AD38" s="70"/>
      <c r="AE38" s="70"/>
      <c r="AF38" s="62">
        <f t="shared" si="17"/>
        <v>0</v>
      </c>
      <c r="AG38" s="63">
        <f t="shared" si="18"/>
        <v>0</v>
      </c>
      <c r="AH38" s="89"/>
      <c r="AI38" s="66"/>
      <c r="AJ38" s="66"/>
      <c r="AK38" s="62">
        <f t="shared" si="4"/>
        <v>0</v>
      </c>
      <c r="AL38" s="72">
        <f t="shared" si="5"/>
        <v>0</v>
      </c>
      <c r="AM38" s="73">
        <f t="shared" si="6"/>
        <v>0</v>
      </c>
      <c r="AN38" s="80">
        <f t="shared" si="23"/>
        <v>0</v>
      </c>
      <c r="AO38" s="80">
        <f t="shared" si="23"/>
        <v>0</v>
      </c>
      <c r="AP38" s="75" t="e">
        <f t="shared" si="19"/>
        <v>#DIV/0!</v>
      </c>
      <c r="AQ38" s="76">
        <f t="shared" si="8"/>
        <v>0</v>
      </c>
      <c r="AR38" s="90">
        <f t="shared" si="9"/>
        <v>0</v>
      </c>
    </row>
    <row r="39" spans="1:49" x14ac:dyDescent="0.25">
      <c r="A39" t="str">
        <f t="shared" si="10"/>
        <v>46191E</v>
      </c>
      <c r="B39" s="51">
        <f t="shared" si="20"/>
        <v>46191</v>
      </c>
      <c r="C39" s="52" t="s">
        <v>88</v>
      </c>
      <c r="D39" s="91"/>
      <c r="E39" s="62"/>
      <c r="F39" s="62"/>
      <c r="G39" s="62">
        <f t="shared" si="0"/>
        <v>0</v>
      </c>
      <c r="H39" s="72">
        <f t="shared" si="11"/>
        <v>0</v>
      </c>
      <c r="I39" s="144"/>
      <c r="J39" s="145"/>
      <c r="K39" s="146"/>
      <c r="L39" s="147"/>
      <c r="M39" s="58"/>
      <c r="N39" s="58"/>
      <c r="O39" s="59"/>
      <c r="P39" s="56"/>
      <c r="Q39" s="60"/>
      <c r="R39" s="61">
        <f t="shared" si="12"/>
        <v>0</v>
      </c>
      <c r="S39" s="62">
        <f t="shared" si="13"/>
        <v>0</v>
      </c>
      <c r="T39" s="63">
        <f t="shared" si="14"/>
        <v>0</v>
      </c>
      <c r="U39" s="64"/>
      <c r="V39" s="65"/>
      <c r="W39" s="66"/>
      <c r="X39" s="67"/>
      <c r="Y39" s="68"/>
      <c r="Z39" s="68"/>
      <c r="AA39" s="62">
        <f t="shared" si="15"/>
        <v>0</v>
      </c>
      <c r="AB39" s="63">
        <f t="shared" si="16"/>
        <v>0</v>
      </c>
      <c r="AC39" s="69"/>
      <c r="AD39" s="70"/>
      <c r="AE39" s="70"/>
      <c r="AF39" s="62">
        <f t="shared" si="17"/>
        <v>0</v>
      </c>
      <c r="AG39" s="63">
        <f t="shared" si="18"/>
        <v>0</v>
      </c>
      <c r="AH39" s="89"/>
      <c r="AI39" s="66"/>
      <c r="AJ39" s="66"/>
      <c r="AK39" s="62">
        <f t="shared" si="4"/>
        <v>0</v>
      </c>
      <c r="AL39" s="72">
        <f t="shared" si="5"/>
        <v>0</v>
      </c>
      <c r="AM39" s="73">
        <f t="shared" si="6"/>
        <v>0</v>
      </c>
      <c r="AN39" s="80">
        <f t="shared" si="23"/>
        <v>0</v>
      </c>
      <c r="AO39" s="80">
        <f t="shared" si="23"/>
        <v>0</v>
      </c>
      <c r="AP39" s="75" t="e">
        <f t="shared" si="19"/>
        <v>#DIV/0!</v>
      </c>
      <c r="AQ39" s="76">
        <f t="shared" si="8"/>
        <v>0</v>
      </c>
      <c r="AR39" s="90">
        <f t="shared" si="9"/>
        <v>0</v>
      </c>
      <c r="AS39" s="90">
        <f>SUM(J26:J39)</f>
        <v>0</v>
      </c>
      <c r="AT39" s="83">
        <f>SUM(AM26:AM39)</f>
        <v>0</v>
      </c>
      <c r="AU39" s="83">
        <f>SUM(AN26:AN39)</f>
        <v>0</v>
      </c>
      <c r="AV39" s="83">
        <f>SUM(AO26:AO39)</f>
        <v>0</v>
      </c>
      <c r="AW39" s="83">
        <f>-SUM(AQ26:AQ39)</f>
        <v>0</v>
      </c>
    </row>
    <row r="40" spans="1:49" x14ac:dyDescent="0.25">
      <c r="A40" t="str">
        <f t="shared" si="10"/>
        <v>46192M</v>
      </c>
      <c r="B40" s="51">
        <f t="shared" si="20"/>
        <v>46192</v>
      </c>
      <c r="C40" s="52" t="s">
        <v>87</v>
      </c>
      <c r="D40" s="91"/>
      <c r="E40" s="62"/>
      <c r="F40" s="62"/>
      <c r="G40" s="62">
        <f t="shared" si="0"/>
        <v>0</v>
      </c>
      <c r="H40" s="72">
        <f t="shared" si="11"/>
        <v>0</v>
      </c>
      <c r="I40" s="144"/>
      <c r="J40" s="145"/>
      <c r="K40" s="146"/>
      <c r="L40" s="147"/>
      <c r="M40" s="58"/>
      <c r="N40" s="58"/>
      <c r="O40" s="59"/>
      <c r="P40" s="56"/>
      <c r="Q40" s="60"/>
      <c r="R40" s="61">
        <f t="shared" si="12"/>
        <v>0</v>
      </c>
      <c r="S40" s="62">
        <f t="shared" si="13"/>
        <v>0</v>
      </c>
      <c r="T40" s="63">
        <f t="shared" si="14"/>
        <v>0</v>
      </c>
      <c r="U40" s="64"/>
      <c r="V40" s="65"/>
      <c r="W40" s="66"/>
      <c r="X40" s="67"/>
      <c r="Y40" s="68"/>
      <c r="Z40" s="68"/>
      <c r="AA40" s="62">
        <f t="shared" si="15"/>
        <v>0</v>
      </c>
      <c r="AB40" s="63">
        <f t="shared" si="16"/>
        <v>0</v>
      </c>
      <c r="AC40" s="69"/>
      <c r="AD40" s="70"/>
      <c r="AE40" s="70"/>
      <c r="AF40" s="62">
        <f t="shared" si="17"/>
        <v>0</v>
      </c>
      <c r="AG40" s="63">
        <f t="shared" si="18"/>
        <v>0</v>
      </c>
      <c r="AH40" s="89"/>
      <c r="AI40" s="66"/>
      <c r="AJ40" s="66"/>
      <c r="AK40" s="62">
        <f t="shared" si="4"/>
        <v>0</v>
      </c>
      <c r="AL40" s="72">
        <f t="shared" si="5"/>
        <v>0</v>
      </c>
      <c r="AM40" s="73">
        <f t="shared" si="6"/>
        <v>0</v>
      </c>
      <c r="AN40" s="80">
        <f t="shared" si="23"/>
        <v>0</v>
      </c>
      <c r="AO40" s="80">
        <f t="shared" si="23"/>
        <v>0</v>
      </c>
      <c r="AP40" s="75" t="e">
        <f t="shared" si="19"/>
        <v>#DIV/0!</v>
      </c>
      <c r="AQ40" s="76">
        <f t="shared" si="8"/>
        <v>0</v>
      </c>
      <c r="AR40" s="90">
        <f t="shared" si="9"/>
        <v>0</v>
      </c>
    </row>
    <row r="41" spans="1:49" x14ac:dyDescent="0.25">
      <c r="A41" t="str">
        <f t="shared" si="10"/>
        <v>46192E</v>
      </c>
      <c r="B41" s="51">
        <f t="shared" si="20"/>
        <v>46192</v>
      </c>
      <c r="C41" s="52" t="s">
        <v>88</v>
      </c>
      <c r="D41" s="91"/>
      <c r="E41" s="62"/>
      <c r="F41" s="62"/>
      <c r="G41" s="62">
        <f t="shared" si="0"/>
        <v>0</v>
      </c>
      <c r="H41" s="72">
        <f t="shared" si="11"/>
        <v>0</v>
      </c>
      <c r="I41" s="144"/>
      <c r="J41" s="145"/>
      <c r="K41" s="146"/>
      <c r="L41" s="147"/>
      <c r="M41" s="58"/>
      <c r="N41" s="58"/>
      <c r="O41" s="59"/>
      <c r="P41" s="56"/>
      <c r="Q41" s="60"/>
      <c r="R41" s="61">
        <f t="shared" si="12"/>
        <v>0</v>
      </c>
      <c r="S41" s="62">
        <f t="shared" si="13"/>
        <v>0</v>
      </c>
      <c r="T41" s="63">
        <f t="shared" si="14"/>
        <v>0</v>
      </c>
      <c r="U41" s="64"/>
      <c r="V41" s="65"/>
      <c r="W41" s="66"/>
      <c r="X41" s="67"/>
      <c r="Y41" s="68"/>
      <c r="Z41" s="68"/>
      <c r="AA41" s="62">
        <f t="shared" si="15"/>
        <v>0</v>
      </c>
      <c r="AB41" s="63">
        <f t="shared" si="16"/>
        <v>0</v>
      </c>
      <c r="AC41" s="69"/>
      <c r="AD41" s="70"/>
      <c r="AE41" s="70"/>
      <c r="AF41" s="62">
        <f t="shared" si="17"/>
        <v>0</v>
      </c>
      <c r="AG41" s="63">
        <f t="shared" si="18"/>
        <v>0</v>
      </c>
      <c r="AH41" s="89"/>
      <c r="AI41" s="66"/>
      <c r="AJ41" s="66"/>
      <c r="AK41" s="62">
        <f t="shared" si="4"/>
        <v>0</v>
      </c>
      <c r="AL41" s="72">
        <f t="shared" si="5"/>
        <v>0</v>
      </c>
      <c r="AM41" s="73">
        <f t="shared" si="6"/>
        <v>0</v>
      </c>
      <c r="AN41" s="80">
        <f t="shared" si="23"/>
        <v>0</v>
      </c>
      <c r="AO41" s="80">
        <f t="shared" si="23"/>
        <v>0</v>
      </c>
      <c r="AP41" s="75" t="e">
        <f t="shared" si="19"/>
        <v>#DIV/0!</v>
      </c>
      <c r="AQ41" s="76">
        <f t="shared" si="8"/>
        <v>0</v>
      </c>
      <c r="AR41" s="90">
        <f t="shared" si="9"/>
        <v>0</v>
      </c>
    </row>
    <row r="42" spans="1:49" x14ac:dyDescent="0.25">
      <c r="A42" t="str">
        <f t="shared" si="10"/>
        <v>46193M</v>
      </c>
      <c r="B42" s="51">
        <f t="shared" si="20"/>
        <v>46193</v>
      </c>
      <c r="C42" s="52" t="s">
        <v>87</v>
      </c>
      <c r="D42" s="91"/>
      <c r="E42" s="62"/>
      <c r="F42" s="62"/>
      <c r="G42" s="62">
        <f t="shared" si="0"/>
        <v>0</v>
      </c>
      <c r="H42" s="72">
        <f t="shared" si="11"/>
        <v>0</v>
      </c>
      <c r="I42" s="144"/>
      <c r="J42" s="145"/>
      <c r="K42" s="146"/>
      <c r="L42" s="147"/>
      <c r="M42" s="58"/>
      <c r="N42" s="58"/>
      <c r="O42" s="59"/>
      <c r="P42" s="56"/>
      <c r="Q42" s="60"/>
      <c r="R42" s="61">
        <f t="shared" si="12"/>
        <v>0</v>
      </c>
      <c r="S42" s="62">
        <f t="shared" si="13"/>
        <v>0</v>
      </c>
      <c r="T42" s="63">
        <f t="shared" si="14"/>
        <v>0</v>
      </c>
      <c r="U42" s="64"/>
      <c r="V42" s="65"/>
      <c r="W42" s="66"/>
      <c r="X42" s="67"/>
      <c r="Y42" s="68"/>
      <c r="Z42" s="68"/>
      <c r="AA42" s="62">
        <f t="shared" si="15"/>
        <v>0</v>
      </c>
      <c r="AB42" s="63">
        <f t="shared" si="16"/>
        <v>0</v>
      </c>
      <c r="AC42" s="69"/>
      <c r="AD42" s="70"/>
      <c r="AE42" s="70"/>
      <c r="AF42" s="62">
        <f t="shared" si="17"/>
        <v>0</v>
      </c>
      <c r="AG42" s="63">
        <f t="shared" si="18"/>
        <v>0</v>
      </c>
      <c r="AH42" s="89"/>
      <c r="AI42" s="66"/>
      <c r="AJ42" s="66"/>
      <c r="AK42" s="62">
        <f t="shared" si="4"/>
        <v>0</v>
      </c>
      <c r="AL42" s="72">
        <f t="shared" si="5"/>
        <v>0</v>
      </c>
      <c r="AM42" s="73">
        <f t="shared" si="6"/>
        <v>0</v>
      </c>
      <c r="AN42" s="80">
        <f t="shared" si="23"/>
        <v>0</v>
      </c>
      <c r="AO42" s="80">
        <f t="shared" si="23"/>
        <v>0</v>
      </c>
      <c r="AP42" s="75" t="e">
        <f t="shared" si="19"/>
        <v>#DIV/0!</v>
      </c>
      <c r="AQ42" s="76">
        <f t="shared" si="8"/>
        <v>0</v>
      </c>
      <c r="AR42" s="90">
        <f t="shared" si="9"/>
        <v>0</v>
      </c>
    </row>
    <row r="43" spans="1:49" x14ac:dyDescent="0.25">
      <c r="A43" t="str">
        <f t="shared" si="10"/>
        <v>46193E</v>
      </c>
      <c r="B43" s="51">
        <f t="shared" si="20"/>
        <v>46193</v>
      </c>
      <c r="C43" s="52" t="s">
        <v>88</v>
      </c>
      <c r="D43" s="91"/>
      <c r="E43" s="62"/>
      <c r="F43" s="62"/>
      <c r="G43" s="62">
        <f t="shared" si="0"/>
        <v>0</v>
      </c>
      <c r="H43" s="72">
        <f t="shared" si="11"/>
        <v>0</v>
      </c>
      <c r="I43" s="144"/>
      <c r="J43" s="145"/>
      <c r="K43" s="146"/>
      <c r="L43" s="147"/>
      <c r="M43" s="58"/>
      <c r="N43" s="58"/>
      <c r="O43" s="59"/>
      <c r="P43" s="56"/>
      <c r="Q43" s="60"/>
      <c r="R43" s="61">
        <f t="shared" si="12"/>
        <v>0</v>
      </c>
      <c r="S43" s="62">
        <f t="shared" si="13"/>
        <v>0</v>
      </c>
      <c r="T43" s="63">
        <f t="shared" si="14"/>
        <v>0</v>
      </c>
      <c r="U43" s="64"/>
      <c r="V43" s="65"/>
      <c r="W43" s="66"/>
      <c r="X43" s="67"/>
      <c r="Y43" s="68"/>
      <c r="Z43" s="68"/>
      <c r="AA43" s="62">
        <f t="shared" si="15"/>
        <v>0</v>
      </c>
      <c r="AB43" s="63">
        <f t="shared" si="16"/>
        <v>0</v>
      </c>
      <c r="AC43" s="69"/>
      <c r="AD43" s="70"/>
      <c r="AE43" s="70"/>
      <c r="AF43" s="62">
        <f t="shared" si="17"/>
        <v>0</v>
      </c>
      <c r="AG43" s="63">
        <f t="shared" si="18"/>
        <v>0</v>
      </c>
      <c r="AH43" s="89"/>
      <c r="AI43" s="66"/>
      <c r="AJ43" s="66"/>
      <c r="AK43" s="62">
        <f t="shared" si="4"/>
        <v>0</v>
      </c>
      <c r="AL43" s="72">
        <f t="shared" si="5"/>
        <v>0</v>
      </c>
      <c r="AM43" s="73">
        <f t="shared" si="6"/>
        <v>0</v>
      </c>
      <c r="AN43" s="80">
        <f t="shared" si="23"/>
        <v>0</v>
      </c>
      <c r="AO43" s="80">
        <f t="shared" si="23"/>
        <v>0</v>
      </c>
      <c r="AP43" s="75" t="e">
        <f t="shared" si="19"/>
        <v>#DIV/0!</v>
      </c>
      <c r="AQ43" s="76">
        <f t="shared" si="8"/>
        <v>0</v>
      </c>
      <c r="AR43" s="90">
        <f t="shared" si="9"/>
        <v>0</v>
      </c>
    </row>
    <row r="44" spans="1:49" x14ac:dyDescent="0.25">
      <c r="A44" t="str">
        <f t="shared" si="10"/>
        <v>46194M</v>
      </c>
      <c r="B44" s="51">
        <f t="shared" si="20"/>
        <v>46194</v>
      </c>
      <c r="C44" s="52" t="s">
        <v>87</v>
      </c>
      <c r="D44" s="91"/>
      <c r="E44" s="62"/>
      <c r="F44" s="62"/>
      <c r="G44" s="62">
        <f t="shared" si="0"/>
        <v>0</v>
      </c>
      <c r="H44" s="72">
        <f t="shared" si="11"/>
        <v>0</v>
      </c>
      <c r="I44" s="144"/>
      <c r="J44" s="145"/>
      <c r="K44" s="146"/>
      <c r="L44" s="147"/>
      <c r="M44" s="58"/>
      <c r="N44" s="58"/>
      <c r="O44" s="59"/>
      <c r="P44" s="56"/>
      <c r="Q44" s="60"/>
      <c r="R44" s="61">
        <f t="shared" si="12"/>
        <v>0</v>
      </c>
      <c r="S44" s="62">
        <f t="shared" si="13"/>
        <v>0</v>
      </c>
      <c r="T44" s="63">
        <f t="shared" si="14"/>
        <v>0</v>
      </c>
      <c r="U44" s="64"/>
      <c r="V44" s="65"/>
      <c r="W44" s="66"/>
      <c r="X44" s="67"/>
      <c r="Y44" s="68"/>
      <c r="Z44" s="68"/>
      <c r="AA44" s="62">
        <f t="shared" si="15"/>
        <v>0</v>
      </c>
      <c r="AB44" s="63">
        <f t="shared" si="16"/>
        <v>0</v>
      </c>
      <c r="AC44" s="69"/>
      <c r="AD44" s="70"/>
      <c r="AE44" s="70"/>
      <c r="AF44" s="62">
        <f t="shared" si="17"/>
        <v>0</v>
      </c>
      <c r="AG44" s="63">
        <f t="shared" si="18"/>
        <v>0</v>
      </c>
      <c r="AH44" s="89"/>
      <c r="AI44" s="66"/>
      <c r="AJ44" s="66"/>
      <c r="AK44" s="62">
        <f t="shared" si="4"/>
        <v>0</v>
      </c>
      <c r="AL44" s="72">
        <f t="shared" si="5"/>
        <v>0</v>
      </c>
      <c r="AM44" s="73">
        <f t="shared" si="6"/>
        <v>0</v>
      </c>
      <c r="AN44" s="80">
        <f t="shared" si="23"/>
        <v>0</v>
      </c>
      <c r="AO44" s="80">
        <f t="shared" si="23"/>
        <v>0</v>
      </c>
      <c r="AP44" s="75" t="e">
        <f t="shared" si="19"/>
        <v>#DIV/0!</v>
      </c>
      <c r="AQ44" s="76">
        <f t="shared" si="8"/>
        <v>0</v>
      </c>
      <c r="AR44" s="90">
        <f t="shared" si="9"/>
        <v>0</v>
      </c>
    </row>
    <row r="45" spans="1:49" x14ac:dyDescent="0.25">
      <c r="A45" t="str">
        <f t="shared" si="10"/>
        <v>46194E</v>
      </c>
      <c r="B45" s="51">
        <f t="shared" si="20"/>
        <v>46194</v>
      </c>
      <c r="C45" s="52" t="s">
        <v>88</v>
      </c>
      <c r="D45" s="91"/>
      <c r="E45" s="62"/>
      <c r="F45" s="62"/>
      <c r="G45" s="62">
        <f t="shared" si="0"/>
        <v>0</v>
      </c>
      <c r="H45" s="72">
        <f t="shared" si="11"/>
        <v>0</v>
      </c>
      <c r="I45" s="144"/>
      <c r="J45" s="145"/>
      <c r="K45" s="146"/>
      <c r="L45" s="147"/>
      <c r="M45" s="58"/>
      <c r="N45" s="58"/>
      <c r="O45" s="59"/>
      <c r="P45" s="56"/>
      <c r="Q45" s="60"/>
      <c r="R45" s="61">
        <f t="shared" si="12"/>
        <v>0</v>
      </c>
      <c r="S45" s="62">
        <f t="shared" si="13"/>
        <v>0</v>
      </c>
      <c r="T45" s="63">
        <f t="shared" si="14"/>
        <v>0</v>
      </c>
      <c r="U45" s="64"/>
      <c r="V45" s="65"/>
      <c r="W45" s="66"/>
      <c r="X45" s="67"/>
      <c r="Y45" s="68"/>
      <c r="Z45" s="68"/>
      <c r="AA45" s="62">
        <f t="shared" si="15"/>
        <v>0</v>
      </c>
      <c r="AB45" s="63">
        <f t="shared" si="16"/>
        <v>0</v>
      </c>
      <c r="AC45" s="69"/>
      <c r="AD45" s="70"/>
      <c r="AE45" s="70"/>
      <c r="AF45" s="62">
        <f t="shared" si="17"/>
        <v>0</v>
      </c>
      <c r="AG45" s="63">
        <f t="shared" si="18"/>
        <v>0</v>
      </c>
      <c r="AH45" s="89"/>
      <c r="AI45" s="66"/>
      <c r="AJ45" s="66"/>
      <c r="AK45" s="62">
        <f t="shared" si="4"/>
        <v>0</v>
      </c>
      <c r="AL45" s="72">
        <f t="shared" si="5"/>
        <v>0</v>
      </c>
      <c r="AM45" s="73">
        <f t="shared" si="6"/>
        <v>0</v>
      </c>
      <c r="AN45" s="80">
        <f t="shared" si="23"/>
        <v>0</v>
      </c>
      <c r="AO45" s="80">
        <f t="shared" si="23"/>
        <v>0</v>
      </c>
      <c r="AP45" s="75" t="e">
        <f t="shared" si="19"/>
        <v>#DIV/0!</v>
      </c>
      <c r="AQ45" s="76">
        <f t="shared" si="8"/>
        <v>0</v>
      </c>
      <c r="AR45" s="90">
        <f t="shared" si="9"/>
        <v>0</v>
      </c>
    </row>
    <row r="46" spans="1:49" x14ac:dyDescent="0.25">
      <c r="A46" t="str">
        <f t="shared" si="10"/>
        <v>46195M</v>
      </c>
      <c r="B46" s="51">
        <f t="shared" si="20"/>
        <v>46195</v>
      </c>
      <c r="C46" s="52" t="s">
        <v>87</v>
      </c>
      <c r="D46" s="91"/>
      <c r="E46" s="62"/>
      <c r="F46" s="62"/>
      <c r="G46" s="62">
        <f t="shared" si="0"/>
        <v>0</v>
      </c>
      <c r="H46" s="72">
        <f t="shared" si="11"/>
        <v>0</v>
      </c>
      <c r="I46" s="144"/>
      <c r="J46" s="145"/>
      <c r="K46" s="146"/>
      <c r="L46" s="147"/>
      <c r="M46" s="58"/>
      <c r="N46" s="58"/>
      <c r="O46" s="59"/>
      <c r="P46" s="56"/>
      <c r="Q46" s="60"/>
      <c r="R46" s="61">
        <f t="shared" si="12"/>
        <v>0</v>
      </c>
      <c r="S46" s="62">
        <f t="shared" si="13"/>
        <v>0</v>
      </c>
      <c r="T46" s="63">
        <f t="shared" si="14"/>
        <v>0</v>
      </c>
      <c r="U46" s="64"/>
      <c r="V46" s="65"/>
      <c r="W46" s="66"/>
      <c r="X46" s="67"/>
      <c r="Y46" s="68"/>
      <c r="Z46" s="68"/>
      <c r="AA46" s="62">
        <f t="shared" si="15"/>
        <v>0</v>
      </c>
      <c r="AB46" s="63">
        <f t="shared" si="16"/>
        <v>0</v>
      </c>
      <c r="AC46" s="69"/>
      <c r="AD46" s="70"/>
      <c r="AE46" s="70"/>
      <c r="AF46" s="62">
        <f t="shared" si="17"/>
        <v>0</v>
      </c>
      <c r="AG46" s="63">
        <f t="shared" si="18"/>
        <v>0</v>
      </c>
      <c r="AH46" s="89"/>
      <c r="AI46" s="66"/>
      <c r="AJ46" s="66"/>
      <c r="AK46" s="62">
        <f t="shared" si="4"/>
        <v>0</v>
      </c>
      <c r="AL46" s="72">
        <f t="shared" si="5"/>
        <v>0</v>
      </c>
      <c r="AM46" s="73">
        <f t="shared" si="6"/>
        <v>0</v>
      </c>
      <c r="AN46" s="80">
        <f t="shared" si="23"/>
        <v>0</v>
      </c>
      <c r="AO46" s="80">
        <f t="shared" si="23"/>
        <v>0</v>
      </c>
      <c r="AP46" s="75" t="e">
        <f t="shared" si="19"/>
        <v>#DIV/0!</v>
      </c>
      <c r="AQ46" s="76">
        <f t="shared" si="8"/>
        <v>0</v>
      </c>
      <c r="AR46" s="90">
        <f t="shared" si="9"/>
        <v>0</v>
      </c>
    </row>
    <row r="47" spans="1:49" x14ac:dyDescent="0.25">
      <c r="A47" t="str">
        <f t="shared" si="10"/>
        <v>46195E</v>
      </c>
      <c r="B47" s="51">
        <f t="shared" si="20"/>
        <v>46195</v>
      </c>
      <c r="C47" s="52" t="s">
        <v>88</v>
      </c>
      <c r="D47" s="91"/>
      <c r="E47" s="62"/>
      <c r="F47" s="62"/>
      <c r="G47" s="62">
        <f t="shared" si="0"/>
        <v>0</v>
      </c>
      <c r="H47" s="72">
        <f t="shared" si="11"/>
        <v>0</v>
      </c>
      <c r="I47" s="144"/>
      <c r="J47" s="145"/>
      <c r="K47" s="146"/>
      <c r="L47" s="147"/>
      <c r="M47" s="58"/>
      <c r="N47" s="58"/>
      <c r="O47" s="59"/>
      <c r="P47" s="56"/>
      <c r="Q47" s="60"/>
      <c r="R47" s="61">
        <f t="shared" si="12"/>
        <v>0</v>
      </c>
      <c r="S47" s="62">
        <f t="shared" si="13"/>
        <v>0</v>
      </c>
      <c r="T47" s="63">
        <f t="shared" si="14"/>
        <v>0</v>
      </c>
      <c r="U47" s="64"/>
      <c r="V47" s="65"/>
      <c r="W47" s="66"/>
      <c r="X47" s="67"/>
      <c r="Y47" s="68"/>
      <c r="Z47" s="68"/>
      <c r="AA47" s="62">
        <f t="shared" si="15"/>
        <v>0</v>
      </c>
      <c r="AB47" s="63">
        <f t="shared" si="16"/>
        <v>0</v>
      </c>
      <c r="AC47" s="69"/>
      <c r="AD47" s="70"/>
      <c r="AE47" s="70"/>
      <c r="AF47" s="62">
        <f t="shared" si="17"/>
        <v>0</v>
      </c>
      <c r="AG47" s="63">
        <f t="shared" si="18"/>
        <v>0</v>
      </c>
      <c r="AH47" s="89"/>
      <c r="AI47" s="66"/>
      <c r="AJ47" s="66"/>
      <c r="AK47" s="62">
        <f t="shared" si="4"/>
        <v>0</v>
      </c>
      <c r="AL47" s="72">
        <f t="shared" si="5"/>
        <v>0</v>
      </c>
      <c r="AM47" s="73">
        <f t="shared" si="6"/>
        <v>0</v>
      </c>
      <c r="AN47" s="80">
        <f t="shared" si="23"/>
        <v>0</v>
      </c>
      <c r="AO47" s="80">
        <f t="shared" si="23"/>
        <v>0</v>
      </c>
      <c r="AP47" s="75" t="e">
        <f t="shared" si="19"/>
        <v>#DIV/0!</v>
      </c>
      <c r="AQ47" s="76">
        <f t="shared" si="8"/>
        <v>0</v>
      </c>
      <c r="AR47" s="90">
        <f t="shared" si="9"/>
        <v>0</v>
      </c>
      <c r="AS47" s="90">
        <f>SUM(J34:J47)</f>
        <v>0</v>
      </c>
      <c r="AT47" s="83">
        <f>SUM(AM34:AM47)</f>
        <v>0</v>
      </c>
      <c r="AU47" s="83">
        <f>SUM(AN34:AN47)</f>
        <v>0</v>
      </c>
      <c r="AV47" s="83">
        <f>SUM(AO34:AO47)</f>
        <v>0</v>
      </c>
      <c r="AW47" s="83">
        <f>-SUM(AQ34:AQ47)</f>
        <v>0</v>
      </c>
    </row>
    <row r="48" spans="1:49" x14ac:dyDescent="0.25">
      <c r="A48" t="str">
        <f t="shared" si="10"/>
        <v>46196M</v>
      </c>
      <c r="B48" s="51">
        <f t="shared" si="20"/>
        <v>46196</v>
      </c>
      <c r="C48" s="99" t="s">
        <v>87</v>
      </c>
      <c r="D48" s="91"/>
      <c r="E48" s="62"/>
      <c r="F48" s="62"/>
      <c r="G48" s="62">
        <f t="shared" si="0"/>
        <v>0</v>
      </c>
      <c r="H48" s="72">
        <f t="shared" si="11"/>
        <v>0</v>
      </c>
      <c r="I48" s="144"/>
      <c r="J48" s="145"/>
      <c r="K48" s="146"/>
      <c r="L48" s="147"/>
      <c r="M48" s="58"/>
      <c r="N48" s="58"/>
      <c r="O48" s="59"/>
      <c r="P48" s="56"/>
      <c r="Q48" s="60"/>
      <c r="R48" s="61">
        <f t="shared" si="12"/>
        <v>0</v>
      </c>
      <c r="S48" s="62">
        <f t="shared" si="13"/>
        <v>0</v>
      </c>
      <c r="T48" s="63">
        <f t="shared" si="14"/>
        <v>0</v>
      </c>
      <c r="U48" s="64"/>
      <c r="V48" s="65"/>
      <c r="W48" s="66"/>
      <c r="X48" s="67"/>
      <c r="Y48" s="68"/>
      <c r="Z48" s="68"/>
      <c r="AA48" s="62">
        <f t="shared" si="15"/>
        <v>0</v>
      </c>
      <c r="AB48" s="63">
        <f t="shared" si="16"/>
        <v>0</v>
      </c>
      <c r="AC48" s="69"/>
      <c r="AD48" s="70"/>
      <c r="AE48" s="70"/>
      <c r="AF48" s="62">
        <f t="shared" si="17"/>
        <v>0</v>
      </c>
      <c r="AG48" s="63">
        <f t="shared" si="18"/>
        <v>0</v>
      </c>
      <c r="AH48" s="89"/>
      <c r="AI48" s="66"/>
      <c r="AJ48" s="66"/>
      <c r="AK48" s="62">
        <f t="shared" si="4"/>
        <v>0</v>
      </c>
      <c r="AL48" s="72">
        <f t="shared" si="5"/>
        <v>0</v>
      </c>
      <c r="AM48" s="73">
        <f t="shared" si="6"/>
        <v>0</v>
      </c>
      <c r="AN48" s="80">
        <f t="shared" si="23"/>
        <v>0</v>
      </c>
      <c r="AO48" s="80">
        <f t="shared" si="23"/>
        <v>0</v>
      </c>
      <c r="AP48" s="75" t="e">
        <f t="shared" si="19"/>
        <v>#DIV/0!</v>
      </c>
      <c r="AQ48" s="76">
        <f t="shared" si="8"/>
        <v>0</v>
      </c>
      <c r="AR48" s="90">
        <f t="shared" si="9"/>
        <v>0</v>
      </c>
    </row>
    <row r="49" spans="1:49" x14ac:dyDescent="0.25">
      <c r="A49" t="str">
        <f t="shared" si="10"/>
        <v>46196E</v>
      </c>
      <c r="B49" s="51">
        <f t="shared" si="20"/>
        <v>46196</v>
      </c>
      <c r="C49" s="52" t="s">
        <v>88</v>
      </c>
      <c r="D49" s="91"/>
      <c r="E49" s="62"/>
      <c r="F49" s="62"/>
      <c r="G49" s="62">
        <f t="shared" si="0"/>
        <v>0</v>
      </c>
      <c r="H49" s="72">
        <f t="shared" si="11"/>
        <v>0</v>
      </c>
      <c r="I49" s="144"/>
      <c r="J49" s="145"/>
      <c r="K49" s="146"/>
      <c r="L49" s="147"/>
      <c r="M49" s="58"/>
      <c r="N49" s="58"/>
      <c r="O49" s="59"/>
      <c r="P49" s="56"/>
      <c r="Q49" s="60"/>
      <c r="R49" s="61">
        <f t="shared" si="12"/>
        <v>0</v>
      </c>
      <c r="S49" s="62">
        <f t="shared" si="13"/>
        <v>0</v>
      </c>
      <c r="T49" s="63">
        <f t="shared" si="14"/>
        <v>0</v>
      </c>
      <c r="U49" s="64"/>
      <c r="V49" s="65"/>
      <c r="W49" s="66"/>
      <c r="X49" s="67"/>
      <c r="Y49" s="68"/>
      <c r="Z49" s="68"/>
      <c r="AA49" s="62">
        <f t="shared" si="15"/>
        <v>0</v>
      </c>
      <c r="AB49" s="63">
        <f t="shared" si="16"/>
        <v>0</v>
      </c>
      <c r="AC49" s="69"/>
      <c r="AD49" s="70"/>
      <c r="AE49" s="70"/>
      <c r="AF49" s="62">
        <f t="shared" si="17"/>
        <v>0</v>
      </c>
      <c r="AG49" s="63">
        <f t="shared" si="18"/>
        <v>0</v>
      </c>
      <c r="AH49" s="89"/>
      <c r="AI49" s="66"/>
      <c r="AJ49" s="66"/>
      <c r="AK49" s="62">
        <f t="shared" si="4"/>
        <v>0</v>
      </c>
      <c r="AL49" s="72">
        <f t="shared" si="5"/>
        <v>0</v>
      </c>
      <c r="AM49" s="73">
        <f t="shared" si="6"/>
        <v>0</v>
      </c>
      <c r="AN49" s="80">
        <f t="shared" si="23"/>
        <v>0</v>
      </c>
      <c r="AO49" s="80">
        <f t="shared" si="23"/>
        <v>0</v>
      </c>
      <c r="AP49" s="75" t="e">
        <f t="shared" si="19"/>
        <v>#DIV/0!</v>
      </c>
      <c r="AQ49" s="76">
        <f t="shared" si="8"/>
        <v>0</v>
      </c>
      <c r="AR49" s="90">
        <f t="shared" si="9"/>
        <v>0</v>
      </c>
      <c r="AS49" s="90">
        <f>SUM(J36:J49)</f>
        <v>0</v>
      </c>
      <c r="AT49" s="83">
        <f>SUM(AM36:AM49)</f>
        <v>0</v>
      </c>
      <c r="AU49" s="83">
        <f>SUM(AN36:AN49)</f>
        <v>0</v>
      </c>
      <c r="AV49" s="83">
        <f>SUM(AO36:AO49)</f>
        <v>0</v>
      </c>
      <c r="AW49" s="83">
        <f>-SUM(AQ36:AQ49)</f>
        <v>0</v>
      </c>
    </row>
    <row r="50" spans="1:49" x14ac:dyDescent="0.25">
      <c r="A50" t="str">
        <f t="shared" si="10"/>
        <v>46197M</v>
      </c>
      <c r="B50" s="51">
        <f t="shared" si="20"/>
        <v>46197</v>
      </c>
      <c r="C50" s="52" t="s">
        <v>87</v>
      </c>
      <c r="D50" s="91"/>
      <c r="E50" s="62"/>
      <c r="F50" s="62"/>
      <c r="G50" s="62">
        <f t="shared" si="0"/>
        <v>0</v>
      </c>
      <c r="H50" s="72">
        <f t="shared" si="11"/>
        <v>0</v>
      </c>
      <c r="I50" s="144"/>
      <c r="J50" s="145"/>
      <c r="K50" s="146"/>
      <c r="L50" s="147"/>
      <c r="M50" s="58"/>
      <c r="N50" s="58"/>
      <c r="O50" s="59"/>
      <c r="P50" s="56"/>
      <c r="Q50" s="60"/>
      <c r="R50" s="61">
        <f t="shared" si="12"/>
        <v>0</v>
      </c>
      <c r="S50" s="62">
        <f t="shared" si="13"/>
        <v>0</v>
      </c>
      <c r="T50" s="63">
        <f t="shared" si="14"/>
        <v>0</v>
      </c>
      <c r="U50" s="64"/>
      <c r="V50" s="65"/>
      <c r="W50" s="66"/>
      <c r="X50" s="67"/>
      <c r="Y50" s="68"/>
      <c r="Z50" s="68"/>
      <c r="AA50" s="62">
        <f t="shared" si="15"/>
        <v>0</v>
      </c>
      <c r="AB50" s="63">
        <f t="shared" si="16"/>
        <v>0</v>
      </c>
      <c r="AC50" s="69"/>
      <c r="AD50" s="70"/>
      <c r="AE50" s="70"/>
      <c r="AF50" s="62">
        <f t="shared" si="17"/>
        <v>0</v>
      </c>
      <c r="AG50" s="63">
        <f t="shared" si="18"/>
        <v>0</v>
      </c>
      <c r="AH50" s="89"/>
      <c r="AI50" s="66"/>
      <c r="AJ50" s="66"/>
      <c r="AK50" s="62">
        <f t="shared" si="4"/>
        <v>0</v>
      </c>
      <c r="AL50" s="72">
        <f t="shared" si="5"/>
        <v>0</v>
      </c>
      <c r="AM50" s="73">
        <f t="shared" si="6"/>
        <v>0</v>
      </c>
      <c r="AN50" s="80">
        <f t="shared" si="23"/>
        <v>0</v>
      </c>
      <c r="AO50" s="80">
        <f t="shared" si="23"/>
        <v>0</v>
      </c>
      <c r="AP50" s="75" t="e">
        <f t="shared" si="19"/>
        <v>#DIV/0!</v>
      </c>
      <c r="AQ50" s="76">
        <f t="shared" si="8"/>
        <v>0</v>
      </c>
      <c r="AR50" s="90">
        <f t="shared" si="9"/>
        <v>0</v>
      </c>
    </row>
    <row r="51" spans="1:49" x14ac:dyDescent="0.25">
      <c r="A51" t="str">
        <f t="shared" si="10"/>
        <v>46197E</v>
      </c>
      <c r="B51" s="51">
        <f t="shared" si="20"/>
        <v>46197</v>
      </c>
      <c r="C51" s="52" t="s">
        <v>88</v>
      </c>
      <c r="D51" s="91"/>
      <c r="E51" s="62"/>
      <c r="F51" s="62"/>
      <c r="G51" s="62">
        <f t="shared" si="0"/>
        <v>0</v>
      </c>
      <c r="H51" s="72">
        <f t="shared" si="11"/>
        <v>0</v>
      </c>
      <c r="I51" s="144"/>
      <c r="J51" s="145"/>
      <c r="K51" s="146"/>
      <c r="L51" s="147"/>
      <c r="M51" s="58"/>
      <c r="N51" s="58"/>
      <c r="O51" s="59"/>
      <c r="P51" s="56"/>
      <c r="Q51" s="60"/>
      <c r="R51" s="61">
        <f t="shared" si="12"/>
        <v>0</v>
      </c>
      <c r="S51" s="62">
        <f t="shared" si="13"/>
        <v>0</v>
      </c>
      <c r="T51" s="63">
        <f t="shared" si="14"/>
        <v>0</v>
      </c>
      <c r="U51" s="64"/>
      <c r="V51" s="65"/>
      <c r="W51" s="66"/>
      <c r="X51" s="67"/>
      <c r="Y51" s="68"/>
      <c r="Z51" s="68"/>
      <c r="AA51" s="62">
        <f t="shared" si="15"/>
        <v>0</v>
      </c>
      <c r="AB51" s="63">
        <f t="shared" si="16"/>
        <v>0</v>
      </c>
      <c r="AC51" s="69"/>
      <c r="AD51" s="70"/>
      <c r="AE51" s="70"/>
      <c r="AF51" s="62">
        <f t="shared" si="17"/>
        <v>0</v>
      </c>
      <c r="AG51" s="63">
        <f t="shared" si="18"/>
        <v>0</v>
      </c>
      <c r="AH51" s="89"/>
      <c r="AI51" s="66"/>
      <c r="AJ51" s="66"/>
      <c r="AK51" s="62">
        <f t="shared" si="4"/>
        <v>0</v>
      </c>
      <c r="AL51" s="72">
        <f t="shared" si="5"/>
        <v>0</v>
      </c>
      <c r="AM51" s="73">
        <f t="shared" si="6"/>
        <v>0</v>
      </c>
      <c r="AN51" s="80">
        <f t="shared" si="23"/>
        <v>0</v>
      </c>
      <c r="AO51" s="80">
        <f t="shared" si="23"/>
        <v>0</v>
      </c>
      <c r="AP51" s="75" t="e">
        <f t="shared" si="19"/>
        <v>#DIV/0!</v>
      </c>
      <c r="AQ51" s="76">
        <f t="shared" si="8"/>
        <v>0</v>
      </c>
      <c r="AR51" s="90">
        <f t="shared" si="9"/>
        <v>0</v>
      </c>
    </row>
    <row r="52" spans="1:49" x14ac:dyDescent="0.25">
      <c r="A52" t="str">
        <f t="shared" si="10"/>
        <v>46198M</v>
      </c>
      <c r="B52" s="51">
        <f t="shared" si="20"/>
        <v>46198</v>
      </c>
      <c r="C52" s="52" t="s">
        <v>87</v>
      </c>
      <c r="D52" s="91"/>
      <c r="E52" s="62"/>
      <c r="F52" s="62"/>
      <c r="G52" s="62">
        <f t="shared" si="0"/>
        <v>0</v>
      </c>
      <c r="H52" s="72">
        <f t="shared" si="11"/>
        <v>0</v>
      </c>
      <c r="I52" s="144"/>
      <c r="J52" s="145"/>
      <c r="K52" s="146"/>
      <c r="L52" s="147"/>
      <c r="M52" s="58"/>
      <c r="N52" s="58"/>
      <c r="O52" s="59"/>
      <c r="P52" s="56"/>
      <c r="Q52" s="60"/>
      <c r="R52" s="61">
        <f t="shared" si="12"/>
        <v>0</v>
      </c>
      <c r="S52" s="62">
        <f t="shared" si="13"/>
        <v>0</v>
      </c>
      <c r="T52" s="63">
        <f t="shared" si="14"/>
        <v>0</v>
      </c>
      <c r="U52" s="64"/>
      <c r="V52" s="65"/>
      <c r="W52" s="66"/>
      <c r="X52" s="67"/>
      <c r="Y52" s="68"/>
      <c r="Z52" s="68"/>
      <c r="AA52" s="62">
        <f t="shared" si="15"/>
        <v>0</v>
      </c>
      <c r="AB52" s="63">
        <f t="shared" si="16"/>
        <v>0</v>
      </c>
      <c r="AC52" s="69"/>
      <c r="AD52" s="70"/>
      <c r="AE52" s="70"/>
      <c r="AF52" s="62">
        <f t="shared" si="17"/>
        <v>0</v>
      </c>
      <c r="AG52" s="63">
        <f t="shared" si="18"/>
        <v>0</v>
      </c>
      <c r="AH52" s="89"/>
      <c r="AI52" s="66"/>
      <c r="AJ52" s="66"/>
      <c r="AK52" s="62">
        <f t="shared" si="4"/>
        <v>0</v>
      </c>
      <c r="AL52" s="72">
        <f t="shared" si="5"/>
        <v>0</v>
      </c>
      <c r="AM52" s="73">
        <f t="shared" si="6"/>
        <v>0</v>
      </c>
      <c r="AN52" s="80">
        <f t="shared" ref="AN52:AO65" si="24">+G52+S52-AF52-AK52</f>
        <v>0</v>
      </c>
      <c r="AO52" s="80">
        <f t="shared" si="24"/>
        <v>0</v>
      </c>
      <c r="AP52" s="75" t="e">
        <f t="shared" si="19"/>
        <v>#DIV/0!</v>
      </c>
      <c r="AQ52" s="76">
        <f t="shared" si="8"/>
        <v>0</v>
      </c>
      <c r="AR52" s="90">
        <f t="shared" si="9"/>
        <v>0</v>
      </c>
    </row>
    <row r="53" spans="1:49" x14ac:dyDescent="0.25">
      <c r="A53" t="str">
        <f t="shared" si="10"/>
        <v>46198E</v>
      </c>
      <c r="B53" s="51">
        <f t="shared" si="20"/>
        <v>46198</v>
      </c>
      <c r="C53" s="52" t="s">
        <v>88</v>
      </c>
      <c r="D53" s="91"/>
      <c r="E53" s="62"/>
      <c r="F53" s="62"/>
      <c r="G53" s="62">
        <f t="shared" si="0"/>
        <v>0</v>
      </c>
      <c r="H53" s="72">
        <f t="shared" si="11"/>
        <v>0</v>
      </c>
      <c r="I53" s="144"/>
      <c r="J53" s="145"/>
      <c r="K53" s="146"/>
      <c r="L53" s="147"/>
      <c r="M53" s="58"/>
      <c r="N53" s="58"/>
      <c r="O53" s="59"/>
      <c r="P53" s="56"/>
      <c r="Q53" s="60"/>
      <c r="R53" s="61">
        <f t="shared" si="12"/>
        <v>0</v>
      </c>
      <c r="S53" s="62">
        <f t="shared" si="13"/>
        <v>0</v>
      </c>
      <c r="T53" s="63">
        <f t="shared" si="14"/>
        <v>0</v>
      </c>
      <c r="U53" s="64"/>
      <c r="V53" s="65"/>
      <c r="W53" s="66"/>
      <c r="X53" s="67"/>
      <c r="Y53" s="68"/>
      <c r="Z53" s="68"/>
      <c r="AA53" s="62">
        <f t="shared" si="15"/>
        <v>0</v>
      </c>
      <c r="AB53" s="63">
        <f t="shared" si="16"/>
        <v>0</v>
      </c>
      <c r="AC53" s="69"/>
      <c r="AD53" s="70"/>
      <c r="AE53" s="70"/>
      <c r="AF53" s="62">
        <f t="shared" si="17"/>
        <v>0</v>
      </c>
      <c r="AG53" s="63">
        <f t="shared" si="18"/>
        <v>0</v>
      </c>
      <c r="AH53" s="89"/>
      <c r="AI53" s="66"/>
      <c r="AJ53" s="66"/>
      <c r="AK53" s="62">
        <f t="shared" si="4"/>
        <v>0</v>
      </c>
      <c r="AL53" s="72">
        <f t="shared" si="5"/>
        <v>0</v>
      </c>
      <c r="AM53" s="73">
        <f t="shared" si="6"/>
        <v>0</v>
      </c>
      <c r="AN53" s="80">
        <f t="shared" si="24"/>
        <v>0</v>
      </c>
      <c r="AO53" s="80">
        <f t="shared" si="24"/>
        <v>0</v>
      </c>
      <c r="AP53" s="75" t="e">
        <f t="shared" si="19"/>
        <v>#DIV/0!</v>
      </c>
      <c r="AQ53" s="76">
        <f t="shared" si="8"/>
        <v>0</v>
      </c>
      <c r="AR53" s="90">
        <f t="shared" si="9"/>
        <v>0</v>
      </c>
      <c r="AS53" s="90">
        <f>SUM(J40:J53)</f>
        <v>0</v>
      </c>
      <c r="AT53" s="83">
        <f>SUM(AM40:AM53)</f>
        <v>0</v>
      </c>
      <c r="AU53" s="83">
        <f>SUM(AN40:AN53)</f>
        <v>0</v>
      </c>
      <c r="AV53" s="83">
        <f>SUM(AO40:AO53)</f>
        <v>0</v>
      </c>
      <c r="AW53" s="83">
        <f>-SUM(AQ40:AQ53)</f>
        <v>0</v>
      </c>
    </row>
    <row r="54" spans="1:49" x14ac:dyDescent="0.25">
      <c r="A54" t="str">
        <f t="shared" si="10"/>
        <v>46199M</v>
      </c>
      <c r="B54" s="51">
        <f t="shared" si="20"/>
        <v>46199</v>
      </c>
      <c r="C54" s="52" t="s">
        <v>87</v>
      </c>
      <c r="D54" s="91"/>
      <c r="E54" s="62"/>
      <c r="F54" s="62"/>
      <c r="G54" s="62">
        <f t="shared" si="0"/>
        <v>0</v>
      </c>
      <c r="H54" s="72">
        <f t="shared" si="11"/>
        <v>0</v>
      </c>
      <c r="I54" s="144"/>
      <c r="J54" s="145"/>
      <c r="K54" s="146"/>
      <c r="L54" s="147"/>
      <c r="M54" s="58"/>
      <c r="N54" s="58"/>
      <c r="O54" s="59"/>
      <c r="P54" s="56"/>
      <c r="Q54" s="60"/>
      <c r="R54" s="61">
        <f t="shared" si="12"/>
        <v>0</v>
      </c>
      <c r="S54" s="62">
        <f t="shared" si="13"/>
        <v>0</v>
      </c>
      <c r="T54" s="63">
        <f t="shared" si="14"/>
        <v>0</v>
      </c>
      <c r="U54" s="64"/>
      <c r="V54" s="65"/>
      <c r="W54" s="66"/>
      <c r="X54" s="67"/>
      <c r="Y54" s="68"/>
      <c r="Z54" s="68"/>
      <c r="AA54" s="62">
        <f t="shared" si="15"/>
        <v>0</v>
      </c>
      <c r="AB54" s="63">
        <f t="shared" si="16"/>
        <v>0</v>
      </c>
      <c r="AC54" s="69"/>
      <c r="AD54" s="70"/>
      <c r="AE54" s="70"/>
      <c r="AF54" s="62">
        <f t="shared" si="17"/>
        <v>0</v>
      </c>
      <c r="AG54" s="63">
        <f t="shared" si="18"/>
        <v>0</v>
      </c>
      <c r="AH54" s="89"/>
      <c r="AI54" s="66"/>
      <c r="AJ54" s="66"/>
      <c r="AK54" s="62">
        <f t="shared" si="4"/>
        <v>0</v>
      </c>
      <c r="AL54" s="72">
        <f t="shared" si="5"/>
        <v>0</v>
      </c>
      <c r="AM54" s="73">
        <f t="shared" si="6"/>
        <v>0</v>
      </c>
      <c r="AN54" s="80">
        <f t="shared" si="24"/>
        <v>0</v>
      </c>
      <c r="AO54" s="80">
        <f t="shared" si="24"/>
        <v>0</v>
      </c>
      <c r="AP54" s="75" t="e">
        <f t="shared" si="19"/>
        <v>#DIV/0!</v>
      </c>
      <c r="AQ54" s="76">
        <f t="shared" si="8"/>
        <v>0</v>
      </c>
      <c r="AR54" s="90">
        <f t="shared" si="9"/>
        <v>0</v>
      </c>
    </row>
    <row r="55" spans="1:49" x14ac:dyDescent="0.25">
      <c r="A55" t="str">
        <f t="shared" si="10"/>
        <v>46199E</v>
      </c>
      <c r="B55" s="51">
        <f t="shared" si="20"/>
        <v>46199</v>
      </c>
      <c r="C55" s="52" t="s">
        <v>88</v>
      </c>
      <c r="D55" s="91"/>
      <c r="E55" s="62"/>
      <c r="F55" s="62"/>
      <c r="G55" s="62">
        <f t="shared" si="0"/>
        <v>0</v>
      </c>
      <c r="H55" s="72">
        <f t="shared" si="11"/>
        <v>0</v>
      </c>
      <c r="I55" s="144"/>
      <c r="J55" s="145"/>
      <c r="K55" s="146"/>
      <c r="L55" s="147"/>
      <c r="M55" s="58"/>
      <c r="N55" s="58"/>
      <c r="O55" s="59"/>
      <c r="P55" s="56"/>
      <c r="Q55" s="60"/>
      <c r="R55" s="61">
        <f t="shared" si="12"/>
        <v>0</v>
      </c>
      <c r="S55" s="62">
        <f t="shared" si="13"/>
        <v>0</v>
      </c>
      <c r="T55" s="63">
        <f t="shared" si="14"/>
        <v>0</v>
      </c>
      <c r="U55" s="64"/>
      <c r="V55" s="65"/>
      <c r="W55" s="66"/>
      <c r="X55" s="67"/>
      <c r="Y55" s="68"/>
      <c r="Z55" s="68"/>
      <c r="AA55" s="62">
        <f t="shared" si="15"/>
        <v>0</v>
      </c>
      <c r="AB55" s="63">
        <f t="shared" si="16"/>
        <v>0</v>
      </c>
      <c r="AC55" s="69"/>
      <c r="AD55" s="70"/>
      <c r="AE55" s="70"/>
      <c r="AF55" s="62">
        <f t="shared" si="17"/>
        <v>0</v>
      </c>
      <c r="AG55" s="63">
        <f t="shared" si="18"/>
        <v>0</v>
      </c>
      <c r="AH55" s="89"/>
      <c r="AI55" s="66"/>
      <c r="AJ55" s="66"/>
      <c r="AK55" s="62">
        <f t="shared" si="4"/>
        <v>0</v>
      </c>
      <c r="AL55" s="72">
        <f t="shared" si="5"/>
        <v>0</v>
      </c>
      <c r="AM55" s="73">
        <f t="shared" si="6"/>
        <v>0</v>
      </c>
      <c r="AN55" s="80">
        <f t="shared" si="24"/>
        <v>0</v>
      </c>
      <c r="AO55" s="80">
        <f t="shared" si="24"/>
        <v>0</v>
      </c>
      <c r="AP55" s="75" t="e">
        <f t="shared" si="19"/>
        <v>#DIV/0!</v>
      </c>
      <c r="AQ55" s="76">
        <f t="shared" si="8"/>
        <v>0</v>
      </c>
      <c r="AR55" s="90">
        <f t="shared" si="9"/>
        <v>0</v>
      </c>
    </row>
    <row r="56" spans="1:49" x14ac:dyDescent="0.25">
      <c r="A56" t="str">
        <f t="shared" si="10"/>
        <v>46200M</v>
      </c>
      <c r="B56" s="51">
        <f t="shared" si="20"/>
        <v>46200</v>
      </c>
      <c r="C56" s="52" t="s">
        <v>87</v>
      </c>
      <c r="D56" s="91"/>
      <c r="E56" s="62"/>
      <c r="F56" s="62"/>
      <c r="G56" s="62">
        <f t="shared" si="0"/>
        <v>0</v>
      </c>
      <c r="H56" s="72">
        <f t="shared" si="11"/>
        <v>0</v>
      </c>
      <c r="I56" s="144"/>
      <c r="J56" s="145"/>
      <c r="K56" s="146"/>
      <c r="L56" s="147"/>
      <c r="M56" s="58"/>
      <c r="N56" s="58"/>
      <c r="O56" s="59"/>
      <c r="P56" s="56"/>
      <c r="Q56" s="60"/>
      <c r="R56" s="61">
        <f t="shared" si="12"/>
        <v>0</v>
      </c>
      <c r="S56" s="62">
        <f t="shared" si="13"/>
        <v>0</v>
      </c>
      <c r="T56" s="63">
        <f t="shared" si="14"/>
        <v>0</v>
      </c>
      <c r="U56" s="64"/>
      <c r="V56" s="65"/>
      <c r="W56" s="66"/>
      <c r="X56" s="67"/>
      <c r="Y56" s="68"/>
      <c r="Z56" s="68"/>
      <c r="AA56" s="62">
        <f t="shared" si="15"/>
        <v>0</v>
      </c>
      <c r="AB56" s="63">
        <f t="shared" si="16"/>
        <v>0</v>
      </c>
      <c r="AC56" s="69"/>
      <c r="AD56" s="70"/>
      <c r="AE56" s="70"/>
      <c r="AF56" s="62">
        <f t="shared" si="17"/>
        <v>0</v>
      </c>
      <c r="AG56" s="63">
        <f t="shared" si="18"/>
        <v>0</v>
      </c>
      <c r="AH56" s="89"/>
      <c r="AI56" s="66"/>
      <c r="AJ56" s="66"/>
      <c r="AK56" s="62">
        <f t="shared" si="4"/>
        <v>0</v>
      </c>
      <c r="AL56" s="72">
        <f t="shared" si="5"/>
        <v>0</v>
      </c>
      <c r="AM56" s="73">
        <f t="shared" si="6"/>
        <v>0</v>
      </c>
      <c r="AN56" s="80">
        <f t="shared" si="24"/>
        <v>0</v>
      </c>
      <c r="AO56" s="80">
        <f t="shared" si="24"/>
        <v>0</v>
      </c>
      <c r="AP56" s="75" t="e">
        <f t="shared" si="19"/>
        <v>#DIV/0!</v>
      </c>
      <c r="AQ56" s="76">
        <f t="shared" si="8"/>
        <v>0</v>
      </c>
      <c r="AR56" s="90">
        <f t="shared" si="9"/>
        <v>0</v>
      </c>
    </row>
    <row r="57" spans="1:49" x14ac:dyDescent="0.25">
      <c r="A57" t="str">
        <f t="shared" si="10"/>
        <v>46200E</v>
      </c>
      <c r="B57" s="51">
        <f t="shared" si="20"/>
        <v>46200</v>
      </c>
      <c r="C57" s="52" t="s">
        <v>88</v>
      </c>
      <c r="D57" s="91"/>
      <c r="E57" s="62"/>
      <c r="F57" s="62"/>
      <c r="G57" s="62">
        <f t="shared" si="0"/>
        <v>0</v>
      </c>
      <c r="H57" s="72">
        <f t="shared" si="11"/>
        <v>0</v>
      </c>
      <c r="I57" s="144"/>
      <c r="J57" s="145"/>
      <c r="K57" s="146"/>
      <c r="L57" s="147"/>
      <c r="M57" s="58"/>
      <c r="N57" s="58"/>
      <c r="O57" s="59"/>
      <c r="P57" s="56"/>
      <c r="Q57" s="60"/>
      <c r="R57" s="61">
        <f t="shared" si="12"/>
        <v>0</v>
      </c>
      <c r="S57" s="62">
        <f t="shared" si="13"/>
        <v>0</v>
      </c>
      <c r="T57" s="63">
        <f t="shared" si="14"/>
        <v>0</v>
      </c>
      <c r="U57" s="64"/>
      <c r="V57" s="65"/>
      <c r="W57" s="66"/>
      <c r="X57" s="67"/>
      <c r="Y57" s="68"/>
      <c r="Z57" s="68"/>
      <c r="AA57" s="62">
        <f t="shared" si="15"/>
        <v>0</v>
      </c>
      <c r="AB57" s="63">
        <f t="shared" si="16"/>
        <v>0</v>
      </c>
      <c r="AC57" s="69"/>
      <c r="AD57" s="70"/>
      <c r="AE57" s="70"/>
      <c r="AF57" s="62">
        <f t="shared" si="17"/>
        <v>0</v>
      </c>
      <c r="AG57" s="63">
        <f t="shared" si="18"/>
        <v>0</v>
      </c>
      <c r="AH57" s="89"/>
      <c r="AI57" s="66"/>
      <c r="AJ57" s="66"/>
      <c r="AK57" s="62">
        <f t="shared" si="4"/>
        <v>0</v>
      </c>
      <c r="AL57" s="72">
        <f t="shared" si="5"/>
        <v>0</v>
      </c>
      <c r="AM57" s="73">
        <f t="shared" si="6"/>
        <v>0</v>
      </c>
      <c r="AN57" s="80">
        <f t="shared" si="24"/>
        <v>0</v>
      </c>
      <c r="AO57" s="80">
        <f t="shared" si="24"/>
        <v>0</v>
      </c>
      <c r="AP57" s="75" t="e">
        <f t="shared" si="19"/>
        <v>#DIV/0!</v>
      </c>
      <c r="AQ57" s="76">
        <f t="shared" si="8"/>
        <v>0</v>
      </c>
      <c r="AR57" s="90">
        <f t="shared" si="9"/>
        <v>0</v>
      </c>
    </row>
    <row r="58" spans="1:49" x14ac:dyDescent="0.25">
      <c r="A58" t="str">
        <f t="shared" si="10"/>
        <v>46201M</v>
      </c>
      <c r="B58" s="51">
        <f t="shared" si="20"/>
        <v>46201</v>
      </c>
      <c r="C58" s="52" t="s">
        <v>87</v>
      </c>
      <c r="D58" s="91"/>
      <c r="E58" s="62"/>
      <c r="F58" s="62"/>
      <c r="G58" s="62">
        <f t="shared" si="0"/>
        <v>0</v>
      </c>
      <c r="H58" s="72">
        <f t="shared" si="11"/>
        <v>0</v>
      </c>
      <c r="I58" s="144"/>
      <c r="J58" s="145"/>
      <c r="K58" s="146"/>
      <c r="L58" s="147"/>
      <c r="M58" s="58"/>
      <c r="N58" s="58"/>
      <c r="O58" s="59"/>
      <c r="P58" s="56"/>
      <c r="Q58" s="60"/>
      <c r="R58" s="61">
        <f t="shared" si="12"/>
        <v>0</v>
      </c>
      <c r="S58" s="62">
        <f t="shared" si="13"/>
        <v>0</v>
      </c>
      <c r="T58" s="63">
        <f t="shared" si="14"/>
        <v>0</v>
      </c>
      <c r="U58" s="64"/>
      <c r="V58" s="65"/>
      <c r="W58" s="66"/>
      <c r="X58" s="67"/>
      <c r="Y58" s="68"/>
      <c r="Z58" s="68"/>
      <c r="AA58" s="62">
        <f t="shared" si="15"/>
        <v>0</v>
      </c>
      <c r="AB58" s="63">
        <f t="shared" si="16"/>
        <v>0</v>
      </c>
      <c r="AC58" s="69"/>
      <c r="AD58" s="70"/>
      <c r="AE58" s="70"/>
      <c r="AF58" s="62">
        <f t="shared" si="17"/>
        <v>0</v>
      </c>
      <c r="AG58" s="63">
        <f t="shared" si="18"/>
        <v>0</v>
      </c>
      <c r="AH58" s="89"/>
      <c r="AI58" s="66"/>
      <c r="AJ58" s="66"/>
      <c r="AK58" s="62">
        <f t="shared" si="4"/>
        <v>0</v>
      </c>
      <c r="AL58" s="72">
        <f t="shared" si="5"/>
        <v>0</v>
      </c>
      <c r="AM58" s="73">
        <f t="shared" si="6"/>
        <v>0</v>
      </c>
      <c r="AN58" s="80">
        <f t="shared" si="24"/>
        <v>0</v>
      </c>
      <c r="AO58" s="80">
        <f t="shared" si="24"/>
        <v>0</v>
      </c>
      <c r="AP58" s="75" t="e">
        <f t="shared" si="19"/>
        <v>#DIV/0!</v>
      </c>
      <c r="AQ58" s="76">
        <f t="shared" si="8"/>
        <v>0</v>
      </c>
      <c r="AR58" s="90">
        <f t="shared" si="9"/>
        <v>0</v>
      </c>
    </row>
    <row r="59" spans="1:49" x14ac:dyDescent="0.25">
      <c r="A59" t="str">
        <f t="shared" si="10"/>
        <v>46201E</v>
      </c>
      <c r="B59" s="51">
        <f t="shared" si="20"/>
        <v>46201</v>
      </c>
      <c r="C59" s="52" t="s">
        <v>88</v>
      </c>
      <c r="D59" s="91"/>
      <c r="E59" s="62"/>
      <c r="F59" s="62"/>
      <c r="G59" s="62">
        <f t="shared" si="0"/>
        <v>0</v>
      </c>
      <c r="H59" s="72">
        <f t="shared" si="11"/>
        <v>0</v>
      </c>
      <c r="I59" s="144"/>
      <c r="J59" s="145"/>
      <c r="K59" s="146"/>
      <c r="L59" s="147"/>
      <c r="M59" s="58"/>
      <c r="N59" s="58"/>
      <c r="O59" s="59"/>
      <c r="P59" s="56"/>
      <c r="Q59" s="60"/>
      <c r="R59" s="61">
        <f t="shared" si="12"/>
        <v>0</v>
      </c>
      <c r="S59" s="62">
        <f t="shared" si="13"/>
        <v>0</v>
      </c>
      <c r="T59" s="63">
        <f t="shared" si="14"/>
        <v>0</v>
      </c>
      <c r="U59" s="64"/>
      <c r="V59" s="65"/>
      <c r="W59" s="66"/>
      <c r="X59" s="67"/>
      <c r="Y59" s="68"/>
      <c r="Z59" s="68"/>
      <c r="AA59" s="62">
        <f t="shared" si="15"/>
        <v>0</v>
      </c>
      <c r="AB59" s="63">
        <f t="shared" si="16"/>
        <v>0</v>
      </c>
      <c r="AC59" s="69"/>
      <c r="AD59" s="70"/>
      <c r="AE59" s="70"/>
      <c r="AF59" s="62">
        <f t="shared" si="17"/>
        <v>0</v>
      </c>
      <c r="AG59" s="63">
        <f t="shared" si="18"/>
        <v>0</v>
      </c>
      <c r="AH59" s="89"/>
      <c r="AI59" s="66"/>
      <c r="AJ59" s="66"/>
      <c r="AK59" s="62">
        <f t="shared" si="4"/>
        <v>0</v>
      </c>
      <c r="AL59" s="72">
        <f t="shared" si="5"/>
        <v>0</v>
      </c>
      <c r="AM59" s="73">
        <f t="shared" si="6"/>
        <v>0</v>
      </c>
      <c r="AN59" s="80">
        <f t="shared" si="24"/>
        <v>0</v>
      </c>
      <c r="AO59" s="80">
        <f t="shared" si="24"/>
        <v>0</v>
      </c>
      <c r="AP59" s="75" t="e">
        <f t="shared" si="19"/>
        <v>#DIV/0!</v>
      </c>
      <c r="AQ59" s="76">
        <f t="shared" si="8"/>
        <v>0</v>
      </c>
      <c r="AR59" s="90">
        <f t="shared" si="9"/>
        <v>0</v>
      </c>
    </row>
    <row r="60" spans="1:49" x14ac:dyDescent="0.25">
      <c r="A60" t="str">
        <f t="shared" si="10"/>
        <v>46202M</v>
      </c>
      <c r="B60" s="51">
        <f t="shared" si="20"/>
        <v>46202</v>
      </c>
      <c r="C60" s="52" t="s">
        <v>87</v>
      </c>
      <c r="D60" s="91"/>
      <c r="E60" s="62"/>
      <c r="F60" s="62"/>
      <c r="G60" s="62">
        <f t="shared" si="0"/>
        <v>0</v>
      </c>
      <c r="H60" s="72">
        <f t="shared" si="11"/>
        <v>0</v>
      </c>
      <c r="I60" s="144"/>
      <c r="J60" s="145"/>
      <c r="K60" s="146"/>
      <c r="L60" s="147"/>
      <c r="M60" s="58"/>
      <c r="N60" s="58"/>
      <c r="O60" s="59"/>
      <c r="P60" s="56"/>
      <c r="Q60" s="60"/>
      <c r="R60" s="61">
        <f t="shared" si="12"/>
        <v>0</v>
      </c>
      <c r="S60" s="62">
        <f t="shared" si="13"/>
        <v>0</v>
      </c>
      <c r="T60" s="63">
        <f t="shared" si="14"/>
        <v>0</v>
      </c>
      <c r="U60" s="64"/>
      <c r="V60" s="65"/>
      <c r="W60" s="66"/>
      <c r="X60" s="67"/>
      <c r="Y60" s="68"/>
      <c r="Z60" s="68"/>
      <c r="AA60" s="62">
        <f t="shared" si="15"/>
        <v>0</v>
      </c>
      <c r="AB60" s="63">
        <f t="shared" si="16"/>
        <v>0</v>
      </c>
      <c r="AC60" s="69"/>
      <c r="AD60" s="70"/>
      <c r="AE60" s="70"/>
      <c r="AF60" s="62">
        <f t="shared" si="17"/>
        <v>0</v>
      </c>
      <c r="AG60" s="63">
        <f t="shared" si="18"/>
        <v>0</v>
      </c>
      <c r="AH60" s="89"/>
      <c r="AI60" s="66"/>
      <c r="AJ60" s="66"/>
      <c r="AK60" s="62">
        <f t="shared" si="4"/>
        <v>0</v>
      </c>
      <c r="AL60" s="72">
        <f t="shared" si="5"/>
        <v>0</v>
      </c>
      <c r="AM60" s="73">
        <f t="shared" si="6"/>
        <v>0</v>
      </c>
      <c r="AN60" s="80">
        <f t="shared" si="24"/>
        <v>0</v>
      </c>
      <c r="AO60" s="80">
        <f t="shared" si="24"/>
        <v>0</v>
      </c>
      <c r="AP60" s="75" t="e">
        <f t="shared" si="19"/>
        <v>#DIV/0!</v>
      </c>
      <c r="AQ60" s="76">
        <f t="shared" si="8"/>
        <v>0</v>
      </c>
      <c r="AR60" s="90">
        <f t="shared" si="9"/>
        <v>0</v>
      </c>
    </row>
    <row r="61" spans="1:49" x14ac:dyDescent="0.25">
      <c r="A61" t="str">
        <f t="shared" si="10"/>
        <v>46202E</v>
      </c>
      <c r="B61" s="51">
        <f t="shared" si="20"/>
        <v>46202</v>
      </c>
      <c r="C61" s="52" t="s">
        <v>88</v>
      </c>
      <c r="D61" s="91"/>
      <c r="E61" s="62"/>
      <c r="F61" s="62"/>
      <c r="G61" s="62">
        <f t="shared" si="0"/>
        <v>0</v>
      </c>
      <c r="H61" s="72">
        <f t="shared" si="11"/>
        <v>0</v>
      </c>
      <c r="I61" s="144"/>
      <c r="J61" s="145"/>
      <c r="K61" s="146"/>
      <c r="L61" s="147"/>
      <c r="M61" s="58"/>
      <c r="N61" s="58"/>
      <c r="O61" s="59"/>
      <c r="P61" s="56"/>
      <c r="Q61" s="60"/>
      <c r="R61" s="61">
        <f t="shared" si="12"/>
        <v>0</v>
      </c>
      <c r="S61" s="62">
        <f t="shared" si="13"/>
        <v>0</v>
      </c>
      <c r="T61" s="63">
        <f t="shared" si="14"/>
        <v>0</v>
      </c>
      <c r="U61" s="64"/>
      <c r="V61" s="65"/>
      <c r="W61" s="66"/>
      <c r="X61" s="67"/>
      <c r="Y61" s="68"/>
      <c r="Z61" s="68"/>
      <c r="AA61" s="62">
        <f t="shared" si="15"/>
        <v>0</v>
      </c>
      <c r="AB61" s="63">
        <f t="shared" si="16"/>
        <v>0</v>
      </c>
      <c r="AC61" s="69"/>
      <c r="AD61" s="70"/>
      <c r="AE61" s="70"/>
      <c r="AF61" s="62">
        <f t="shared" si="17"/>
        <v>0</v>
      </c>
      <c r="AG61" s="63">
        <f t="shared" si="18"/>
        <v>0</v>
      </c>
      <c r="AH61" s="89"/>
      <c r="AI61" s="66"/>
      <c r="AJ61" s="66"/>
      <c r="AK61" s="62">
        <f t="shared" si="4"/>
        <v>0</v>
      </c>
      <c r="AL61" s="72">
        <f t="shared" si="5"/>
        <v>0</v>
      </c>
      <c r="AM61" s="73">
        <f t="shared" si="6"/>
        <v>0</v>
      </c>
      <c r="AN61" s="80">
        <f t="shared" si="24"/>
        <v>0</v>
      </c>
      <c r="AO61" s="80">
        <f t="shared" si="24"/>
        <v>0</v>
      </c>
      <c r="AP61" s="75" t="e">
        <f t="shared" si="19"/>
        <v>#DIV/0!</v>
      </c>
      <c r="AQ61" s="76">
        <f t="shared" si="8"/>
        <v>0</v>
      </c>
      <c r="AR61" s="90">
        <f t="shared" si="9"/>
        <v>0</v>
      </c>
      <c r="AS61" s="90">
        <f>SUM(J48:J61)</f>
        <v>0</v>
      </c>
      <c r="AT61" s="83">
        <f>SUM(AM48:AM61)</f>
        <v>0</v>
      </c>
      <c r="AU61" s="83">
        <f>SUM(AN48:AN61)</f>
        <v>0</v>
      </c>
      <c r="AV61" s="83">
        <f>SUM(AO48:AO61)</f>
        <v>0</v>
      </c>
      <c r="AW61" s="83">
        <f>-SUM(AQ48:AQ61)</f>
        <v>0</v>
      </c>
    </row>
    <row r="62" spans="1:49" x14ac:dyDescent="0.25">
      <c r="A62" t="str">
        <f t="shared" si="10"/>
        <v>46203M</v>
      </c>
      <c r="B62" s="51">
        <f t="shared" si="20"/>
        <v>46203</v>
      </c>
      <c r="C62" s="52" t="s">
        <v>87</v>
      </c>
      <c r="D62" s="91"/>
      <c r="E62" s="62"/>
      <c r="F62" s="62"/>
      <c r="G62" s="62">
        <f t="shared" si="0"/>
        <v>0</v>
      </c>
      <c r="H62" s="72">
        <f t="shared" si="11"/>
        <v>0</v>
      </c>
      <c r="I62" s="144"/>
      <c r="J62" s="145"/>
      <c r="K62" s="146"/>
      <c r="L62" s="147"/>
      <c r="M62" s="58"/>
      <c r="N62" s="58"/>
      <c r="O62" s="59"/>
      <c r="P62" s="56"/>
      <c r="Q62" s="60"/>
      <c r="R62" s="61">
        <f t="shared" si="12"/>
        <v>0</v>
      </c>
      <c r="S62" s="62">
        <f t="shared" si="13"/>
        <v>0</v>
      </c>
      <c r="T62" s="63">
        <f t="shared" si="14"/>
        <v>0</v>
      </c>
      <c r="U62" s="64"/>
      <c r="V62" s="65"/>
      <c r="W62" s="66"/>
      <c r="X62" s="67"/>
      <c r="Y62" s="68"/>
      <c r="Z62" s="68"/>
      <c r="AA62" s="62">
        <f t="shared" si="15"/>
        <v>0</v>
      </c>
      <c r="AB62" s="63">
        <f t="shared" si="16"/>
        <v>0</v>
      </c>
      <c r="AC62" s="69"/>
      <c r="AD62" s="70"/>
      <c r="AE62" s="70"/>
      <c r="AF62" s="62">
        <f t="shared" si="17"/>
        <v>0</v>
      </c>
      <c r="AG62" s="63">
        <f t="shared" si="18"/>
        <v>0</v>
      </c>
      <c r="AH62" s="89"/>
      <c r="AI62" s="66"/>
      <c r="AJ62" s="66"/>
      <c r="AK62" s="62">
        <f t="shared" si="4"/>
        <v>0</v>
      </c>
      <c r="AL62" s="72">
        <f t="shared" si="5"/>
        <v>0</v>
      </c>
      <c r="AM62" s="73">
        <f t="shared" si="6"/>
        <v>0</v>
      </c>
      <c r="AN62" s="80">
        <f t="shared" si="24"/>
        <v>0</v>
      </c>
      <c r="AO62" s="80">
        <f t="shared" si="24"/>
        <v>0</v>
      </c>
      <c r="AP62" s="75" t="e">
        <f t="shared" si="19"/>
        <v>#DIV/0!</v>
      </c>
      <c r="AQ62" s="76">
        <f t="shared" si="8"/>
        <v>0</v>
      </c>
      <c r="AR62" s="90">
        <f t="shared" si="9"/>
        <v>0</v>
      </c>
    </row>
    <row r="63" spans="1:49" x14ac:dyDescent="0.25">
      <c r="A63" t="str">
        <f t="shared" si="10"/>
        <v>46203E</v>
      </c>
      <c r="B63" s="51">
        <f t="shared" si="20"/>
        <v>46203</v>
      </c>
      <c r="C63" s="52" t="s">
        <v>88</v>
      </c>
      <c r="D63" s="91"/>
      <c r="E63" s="62"/>
      <c r="F63" s="62"/>
      <c r="G63" s="62">
        <f t="shared" si="0"/>
        <v>0</v>
      </c>
      <c r="H63" s="72">
        <f t="shared" si="11"/>
        <v>0</v>
      </c>
      <c r="I63" s="144"/>
      <c r="J63" s="145"/>
      <c r="K63" s="146"/>
      <c r="L63" s="147"/>
      <c r="M63" s="58"/>
      <c r="N63" s="58"/>
      <c r="O63" s="59"/>
      <c r="P63" s="56"/>
      <c r="Q63" s="60"/>
      <c r="R63" s="61">
        <f t="shared" si="12"/>
        <v>0</v>
      </c>
      <c r="S63" s="62">
        <f t="shared" si="13"/>
        <v>0</v>
      </c>
      <c r="T63" s="63">
        <f t="shared" si="14"/>
        <v>0</v>
      </c>
      <c r="U63" s="64"/>
      <c r="V63" s="65"/>
      <c r="W63" s="66"/>
      <c r="X63" s="67"/>
      <c r="Y63" s="68"/>
      <c r="Z63" s="68"/>
      <c r="AA63" s="62">
        <f t="shared" si="15"/>
        <v>0</v>
      </c>
      <c r="AB63" s="63">
        <f t="shared" si="16"/>
        <v>0</v>
      </c>
      <c r="AC63" s="69"/>
      <c r="AD63" s="70"/>
      <c r="AE63" s="70"/>
      <c r="AF63" s="62">
        <f t="shared" si="17"/>
        <v>0</v>
      </c>
      <c r="AG63" s="63">
        <f t="shared" si="18"/>
        <v>0</v>
      </c>
      <c r="AH63" s="89"/>
      <c r="AI63" s="66"/>
      <c r="AJ63" s="66"/>
      <c r="AK63" s="62">
        <f t="shared" si="4"/>
        <v>0</v>
      </c>
      <c r="AL63" s="72">
        <f t="shared" si="5"/>
        <v>0</v>
      </c>
      <c r="AM63" s="73">
        <f t="shared" si="6"/>
        <v>0</v>
      </c>
      <c r="AN63" s="80">
        <f t="shared" si="24"/>
        <v>0</v>
      </c>
      <c r="AO63" s="80">
        <f t="shared" si="24"/>
        <v>0</v>
      </c>
      <c r="AP63" s="75" t="e">
        <f t="shared" si="19"/>
        <v>#DIV/0!</v>
      </c>
      <c r="AQ63" s="76">
        <f t="shared" si="8"/>
        <v>0</v>
      </c>
      <c r="AR63" s="90">
        <f t="shared" si="9"/>
        <v>0</v>
      </c>
    </row>
    <row r="64" spans="1:49" x14ac:dyDescent="0.25">
      <c r="A64" t="str">
        <f t="shared" si="10"/>
        <v>46204M</v>
      </c>
      <c r="B64" s="51">
        <f t="shared" si="20"/>
        <v>46204</v>
      </c>
      <c r="C64" s="52" t="s">
        <v>87</v>
      </c>
      <c r="D64" s="91"/>
      <c r="E64" s="62"/>
      <c r="F64" s="62"/>
      <c r="G64" s="62">
        <f t="shared" si="0"/>
        <v>0</v>
      </c>
      <c r="H64" s="72">
        <f t="shared" si="11"/>
        <v>0</v>
      </c>
      <c r="I64" s="144"/>
      <c r="J64" s="145"/>
      <c r="K64" s="146"/>
      <c r="L64" s="147"/>
      <c r="M64" s="58"/>
      <c r="N64" s="58"/>
      <c r="O64" s="59"/>
      <c r="P64" s="56"/>
      <c r="Q64" s="60"/>
      <c r="R64" s="61">
        <f t="shared" si="12"/>
        <v>0</v>
      </c>
      <c r="S64" s="62">
        <f t="shared" si="13"/>
        <v>0</v>
      </c>
      <c r="T64" s="63">
        <f t="shared" si="14"/>
        <v>0</v>
      </c>
      <c r="U64" s="64"/>
      <c r="V64" s="65"/>
      <c r="W64" s="66"/>
      <c r="X64" s="67"/>
      <c r="Y64" s="68"/>
      <c r="Z64" s="68"/>
      <c r="AA64" s="62">
        <f t="shared" si="15"/>
        <v>0</v>
      </c>
      <c r="AB64" s="63">
        <f t="shared" si="16"/>
        <v>0</v>
      </c>
      <c r="AC64" s="69"/>
      <c r="AD64" s="70"/>
      <c r="AE64" s="70"/>
      <c r="AF64" s="62">
        <f t="shared" si="17"/>
        <v>0</v>
      </c>
      <c r="AG64" s="63">
        <f t="shared" si="18"/>
        <v>0</v>
      </c>
      <c r="AH64" s="89"/>
      <c r="AI64" s="66"/>
      <c r="AJ64" s="66"/>
      <c r="AK64" s="62">
        <f t="shared" si="4"/>
        <v>0</v>
      </c>
      <c r="AL64" s="72">
        <f t="shared" si="5"/>
        <v>0</v>
      </c>
      <c r="AM64" s="73">
        <f t="shared" si="6"/>
        <v>0</v>
      </c>
      <c r="AN64" s="80">
        <f t="shared" si="24"/>
        <v>0</v>
      </c>
      <c r="AO64" s="80">
        <f t="shared" si="24"/>
        <v>0</v>
      </c>
      <c r="AP64" s="75" t="e">
        <f t="shared" si="19"/>
        <v>#DIV/0!</v>
      </c>
      <c r="AQ64" s="76">
        <f t="shared" si="8"/>
        <v>0</v>
      </c>
      <c r="AR64" s="90">
        <f t="shared" si="9"/>
        <v>0</v>
      </c>
      <c r="AT64">
        <v>745</v>
      </c>
    </row>
    <row r="65" spans="1:49" x14ac:dyDescent="0.25">
      <c r="A65" t="str">
        <f t="shared" si="10"/>
        <v>46204E</v>
      </c>
      <c r="B65" s="51">
        <f t="shared" si="20"/>
        <v>46204</v>
      </c>
      <c r="C65" s="52" t="s">
        <v>88</v>
      </c>
      <c r="D65" s="91"/>
      <c r="E65" s="62"/>
      <c r="F65" s="62"/>
      <c r="G65" s="62">
        <f t="shared" si="0"/>
        <v>0</v>
      </c>
      <c r="H65" s="72">
        <f t="shared" si="11"/>
        <v>0</v>
      </c>
      <c r="I65" s="144"/>
      <c r="J65" s="145"/>
      <c r="K65" s="146"/>
      <c r="L65" s="147"/>
      <c r="M65" s="58"/>
      <c r="N65" s="58"/>
      <c r="O65" s="59"/>
      <c r="P65" s="56"/>
      <c r="Q65" s="60"/>
      <c r="R65" s="61">
        <f t="shared" si="12"/>
        <v>0</v>
      </c>
      <c r="S65" s="62">
        <f t="shared" si="13"/>
        <v>0</v>
      </c>
      <c r="T65" s="63">
        <f t="shared" si="14"/>
        <v>0</v>
      </c>
      <c r="U65" s="64"/>
      <c r="V65" s="65"/>
      <c r="W65" s="66"/>
      <c r="X65" s="67"/>
      <c r="Y65" s="68"/>
      <c r="Z65" s="68"/>
      <c r="AA65" s="62">
        <f t="shared" si="15"/>
        <v>0</v>
      </c>
      <c r="AB65" s="63">
        <f t="shared" si="16"/>
        <v>0</v>
      </c>
      <c r="AC65" s="69"/>
      <c r="AD65" s="70"/>
      <c r="AE65" s="70"/>
      <c r="AF65" s="62">
        <f t="shared" si="17"/>
        <v>0</v>
      </c>
      <c r="AG65" s="63">
        <f t="shared" si="18"/>
        <v>0</v>
      </c>
      <c r="AH65" s="89"/>
      <c r="AI65" s="66"/>
      <c r="AJ65" s="66"/>
      <c r="AK65" s="62">
        <f t="shared" si="4"/>
        <v>0</v>
      </c>
      <c r="AL65" s="72">
        <f t="shared" si="5"/>
        <v>0</v>
      </c>
      <c r="AM65" s="73">
        <f t="shared" si="6"/>
        <v>0</v>
      </c>
      <c r="AN65" s="80">
        <f t="shared" si="24"/>
        <v>0</v>
      </c>
      <c r="AO65" s="80">
        <f t="shared" si="24"/>
        <v>0</v>
      </c>
      <c r="AP65" s="75" t="e">
        <f t="shared" si="19"/>
        <v>#DIV/0!</v>
      </c>
      <c r="AQ65" s="76">
        <f t="shared" si="8"/>
        <v>0</v>
      </c>
      <c r="AR65" s="90">
        <f t="shared" si="9"/>
        <v>0</v>
      </c>
      <c r="AS65" s="90">
        <f>SUM(J62:J65)</f>
        <v>0</v>
      </c>
      <c r="AT65" s="83">
        <f>SUM(AM62:AM65)</f>
        <v>0</v>
      </c>
      <c r="AU65" s="83">
        <f>SUM(AN62:AN65)</f>
        <v>0</v>
      </c>
      <c r="AV65" s="83">
        <f>SUM(AO62:AO65)</f>
        <v>0</v>
      </c>
      <c r="AW65" s="83">
        <f>-SUM(AQ62:AQ65)</f>
        <v>0</v>
      </c>
    </row>
    <row r="66" spans="1:49" ht="15.75" thickBot="1" x14ac:dyDescent="0.3">
      <c r="J66" s="83">
        <f>SUM(J4:J65)</f>
        <v>24402.347999999998</v>
      </c>
      <c r="AM66" s="94">
        <f>-SUM(AM4:AM65)</f>
        <v>351.65199999999686</v>
      </c>
      <c r="AN66" s="94">
        <f>-SUM(AN4:AN65)</f>
        <v>4.7709275000000275</v>
      </c>
      <c r="AO66" s="94">
        <f>-SUM(AO4:AO65)</f>
        <v>-6.4395426999997767</v>
      </c>
      <c r="AP66" s="95"/>
      <c r="AQ66" s="94">
        <f>-SUM(AQ4:AQ65)</f>
        <v>214.53365505374575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34" priority="2" operator="lessThan">
      <formula>0.1</formula>
    </cfRule>
    <cfRule type="cellIs" dxfId="33" priority="3" operator="greaterThan">
      <formula>0.1</formula>
    </cfRule>
  </conditionalFormatting>
  <conditionalFormatting sqref="AP1:AQ1">
    <cfRule type="cellIs" dxfId="32" priority="1" operator="lessThan">
      <formula>1</formula>
    </cfRule>
  </conditionalFormatting>
  <conditionalFormatting sqref="AQ4:AQ65">
    <cfRule type="cellIs" dxfId="31" priority="4" operator="lessThan">
      <formula>0</formula>
    </cfRule>
    <cfRule type="cellIs" dxfId="30" priority="5" operator="greaterThan">
      <formula>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1"/>
  <dimension ref="A1:AW66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O20" sqref="O20"/>
    </sheetView>
  </sheetViews>
  <sheetFormatPr defaultRowHeight="15" x14ac:dyDescent="0.25"/>
  <cols>
    <col min="1" max="1" width="3" customWidth="1"/>
    <col min="2" max="2" width="9.8554687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8.140625" bestFit="1" customWidth="1"/>
    <col min="9" max="9" width="7.140625" bestFit="1" customWidth="1"/>
    <col min="10" max="10" width="9.28515625" bestFit="1" customWidth="1"/>
    <col min="11" max="12" width="5.85546875" bestFit="1" customWidth="1"/>
    <col min="13" max="13" width="9.28515625" customWidth="1"/>
    <col min="14" max="14" width="11" bestFit="1" customWidth="1"/>
    <col min="15" max="15" width="7" bestFit="1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12" bestFit="1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9.28515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7.28515625" bestFit="1" customWidth="1"/>
    <col min="35" max="36" width="5.85546875" bestFit="1" customWidth="1"/>
    <col min="37" max="37" width="7.28515625" bestFit="1" customWidth="1"/>
    <col min="38" max="38" width="8.140625" bestFit="1" customWidth="1"/>
    <col min="39" max="39" width="7.85546875" bestFit="1" customWidth="1"/>
    <col min="40" max="40" width="7.28515625" bestFit="1" customWidth="1"/>
    <col min="41" max="41" width="7.42578125" bestFit="1" customWidth="1"/>
    <col min="42" max="42" width="9.85546875" bestFit="1" customWidth="1"/>
    <col min="43" max="43" width="8.140625" bestFit="1" customWidth="1"/>
    <col min="44" max="44" width="5.140625" bestFit="1" customWidth="1"/>
    <col min="45" max="45" width="6.5703125" bestFit="1" customWidth="1"/>
    <col min="46" max="46" width="7.140625" bestFit="1" customWidth="1"/>
    <col min="47" max="47" width="5.7109375" bestFit="1" customWidth="1"/>
    <col min="48" max="48" width="5" bestFit="1" customWidth="1"/>
    <col min="49" max="49" width="7.85546875" bestFit="1" customWidth="1"/>
  </cols>
  <sheetData>
    <row r="1" spans="1:44" ht="15.75" thickBot="1" x14ac:dyDescent="0.3">
      <c r="B1" s="43" t="s">
        <v>99</v>
      </c>
      <c r="C1" s="44"/>
      <c r="L1">
        <v>2</v>
      </c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59" t="s">
        <v>64</v>
      </c>
      <c r="C2" s="261" t="s">
        <v>65</v>
      </c>
      <c r="D2" s="263" t="s">
        <v>66</v>
      </c>
      <c r="E2" s="263"/>
      <c r="F2" s="263"/>
      <c r="G2" s="263"/>
      <c r="H2" s="264"/>
      <c r="I2" s="255" t="s">
        <v>67</v>
      </c>
      <c r="J2" s="256"/>
      <c r="K2" s="256"/>
      <c r="L2" s="257"/>
      <c r="M2" s="255" t="s">
        <v>68</v>
      </c>
      <c r="N2" s="265"/>
      <c r="O2" s="256"/>
      <c r="P2" s="256"/>
      <c r="Q2" s="257"/>
      <c r="R2" s="265" t="s">
        <v>69</v>
      </c>
      <c r="S2" s="256"/>
      <c r="T2" s="257"/>
      <c r="U2" s="252" t="s">
        <v>70</v>
      </c>
      <c r="V2" s="253"/>
      <c r="W2" s="253"/>
      <c r="X2" s="253"/>
      <c r="Y2" s="253"/>
      <c r="Z2" s="253"/>
      <c r="AA2" s="253"/>
      <c r="AB2" s="254"/>
      <c r="AC2" s="255" t="s">
        <v>71</v>
      </c>
      <c r="AD2" s="256"/>
      <c r="AE2" s="256"/>
      <c r="AF2" s="256"/>
      <c r="AG2" s="257"/>
      <c r="AH2" s="255" t="s">
        <v>72</v>
      </c>
      <c r="AI2" s="256"/>
      <c r="AJ2" s="256"/>
      <c r="AK2" s="256"/>
      <c r="AL2" s="258"/>
      <c r="AM2" s="252" t="s">
        <v>73</v>
      </c>
      <c r="AN2" s="253"/>
      <c r="AO2" s="253"/>
      <c r="AP2" s="253"/>
      <c r="AQ2" s="254"/>
    </row>
    <row r="3" spans="1:44" x14ac:dyDescent="0.25">
      <c r="B3" s="260"/>
      <c r="C3" s="26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108">
        <v>16770</v>
      </c>
      <c r="E4" s="109">
        <v>4.8</v>
      </c>
      <c r="F4" s="109">
        <v>8.6</v>
      </c>
      <c r="G4" s="55">
        <f t="shared" ref="G4:G35" si="0">+D4*E4%</f>
        <v>804.96</v>
      </c>
      <c r="H4" s="143">
        <f>D4*F4%</f>
        <v>1442.2199999999998</v>
      </c>
      <c r="I4" s="144">
        <v>3030.8</v>
      </c>
      <c r="J4" s="145">
        <v>3121.7240000000002</v>
      </c>
      <c r="K4" s="146">
        <v>4.3847367031806774</v>
      </c>
      <c r="L4" s="147">
        <v>8.2791507192820344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3121.7240000000002</v>
      </c>
      <c r="S4" s="62">
        <f>+J4*K4%+O4*P4%</f>
        <v>136.87937799999997</v>
      </c>
      <c r="T4" s="63">
        <f>+J4*L4%+O4*Q4%</f>
        <v>258.45223499999992</v>
      </c>
      <c r="U4" s="64" t="s">
        <v>308</v>
      </c>
      <c r="V4" s="65" t="s">
        <v>309</v>
      </c>
      <c r="W4" s="66" t="s">
        <v>208</v>
      </c>
      <c r="X4" s="67">
        <v>9530</v>
      </c>
      <c r="Y4" s="68">
        <v>4.5199999999999996</v>
      </c>
      <c r="Z4" s="68">
        <v>8.56</v>
      </c>
      <c r="AA4" s="62">
        <f>X4*Y4%</f>
        <v>430.75599999999997</v>
      </c>
      <c r="AB4" s="63">
        <f t="shared" ref="AB4" si="1">X4*Z4%</f>
        <v>815.76800000000014</v>
      </c>
      <c r="AC4" s="69">
        <v>9500</v>
      </c>
      <c r="AD4" s="70">
        <v>4.4657894736842101</v>
      </c>
      <c r="AE4" s="70">
        <v>8.4813157894736833</v>
      </c>
      <c r="AF4" s="62">
        <f t="shared" ref="AF4" si="2">AC4*AD4%</f>
        <v>424.24999999999994</v>
      </c>
      <c r="AG4" s="63">
        <f t="shared" ref="AG4" si="3">AC4*AE4%</f>
        <v>805.7249999999998</v>
      </c>
      <c r="AH4" s="89">
        <v>10380</v>
      </c>
      <c r="AI4" s="66">
        <v>5</v>
      </c>
      <c r="AJ4" s="66">
        <v>8.6</v>
      </c>
      <c r="AK4" s="62">
        <f t="shared" ref="AK4" si="4">AH4*AI4%</f>
        <v>519</v>
      </c>
      <c r="AL4" s="72">
        <f t="shared" ref="AL4" si="5">AH4*AJ4%</f>
        <v>892.68</v>
      </c>
      <c r="AM4" s="73">
        <f t="shared" ref="AM4:AM35" si="6">+D4+R4-AC4-AH4</f>
        <v>11.724000000001979</v>
      </c>
      <c r="AN4" s="74">
        <f t="shared" ref="AN4:AO4" si="7">+G4+S4-AF4-AK4</f>
        <v>-1.4106219999998757</v>
      </c>
      <c r="AO4" s="74">
        <f t="shared" si="7"/>
        <v>2.2672350000000279</v>
      </c>
      <c r="AP4" s="75">
        <f>(AN4+AO4)/(S4+T4)</f>
        <v>2.1668214021633336E-3</v>
      </c>
      <c r="AQ4" s="76">
        <f t="shared" ref="AQ4:AQ65" si="8">($AP$1*AN4+$AQ$1*AO4)</f>
        <v>45.280653880064165</v>
      </c>
      <c r="AR4" s="90">
        <f t="shared" ref="AR4:AR35" si="9">(D4+J4+O4)-(X4+AH4)</f>
        <v>-18.275999999998021</v>
      </c>
    </row>
    <row r="5" spans="1:44" x14ac:dyDescent="0.25">
      <c r="A5" t="str">
        <f t="shared" ref="A5:A65" si="10">CONCATENATE(B5,C5)</f>
        <v>46174E</v>
      </c>
      <c r="B5" s="51">
        <f>+B4</f>
        <v>46174</v>
      </c>
      <c r="C5" s="52" t="s">
        <v>88</v>
      </c>
      <c r="D5" s="91">
        <v>10380</v>
      </c>
      <c r="E5" s="62">
        <v>5</v>
      </c>
      <c r="F5" s="62">
        <v>8.6</v>
      </c>
      <c r="G5" s="62">
        <f t="shared" si="0"/>
        <v>519</v>
      </c>
      <c r="H5" s="72">
        <f t="shared" ref="H5:H36" si="11">+D5*F5%</f>
        <v>892.68</v>
      </c>
      <c r="I5" s="119">
        <v>6012.4999999999991</v>
      </c>
      <c r="J5" s="120">
        <v>6192.8749999999991</v>
      </c>
      <c r="K5" s="121">
        <v>4.0520232848232833</v>
      </c>
      <c r="L5" s="122">
        <v>8.3779209979209952</v>
      </c>
      <c r="M5" s="58" t="s">
        <v>307</v>
      </c>
      <c r="N5" s="58">
        <v>83310</v>
      </c>
      <c r="O5" s="59">
        <v>2590</v>
      </c>
      <c r="P5" s="56">
        <v>5.2</v>
      </c>
      <c r="Q5" s="60">
        <v>8.5</v>
      </c>
      <c r="R5" s="61">
        <f t="shared" ref="R5:R65" si="12">+J5+O5</f>
        <v>8782.875</v>
      </c>
      <c r="S5" s="62">
        <f t="shared" ref="S5:S65" si="13">+J5*K5%+O5*P5%</f>
        <v>385.61673699999989</v>
      </c>
      <c r="T5" s="63">
        <f t="shared" ref="T5:T65" si="14">+J5*L5%+O5*Q5%</f>
        <v>738.98417499999971</v>
      </c>
      <c r="U5" s="64" t="s">
        <v>310</v>
      </c>
      <c r="V5" s="65" t="s">
        <v>311</v>
      </c>
      <c r="W5" s="66" t="s">
        <v>208</v>
      </c>
      <c r="X5" s="67">
        <v>8220</v>
      </c>
      <c r="Y5" s="68">
        <v>4.3000000000000007</v>
      </c>
      <c r="Z5" s="68">
        <v>8.51</v>
      </c>
      <c r="AA5" s="62">
        <f t="shared" ref="AA5:AA11" si="15">X5*Y5%</f>
        <v>353.46000000000009</v>
      </c>
      <c r="AB5" s="63">
        <f t="shared" ref="AB5:AB11" si="16">X5*Z5%</f>
        <v>699.52199999999993</v>
      </c>
      <c r="AC5" s="69">
        <v>8100</v>
      </c>
      <c r="AD5" s="70">
        <v>4.2503703703703701</v>
      </c>
      <c r="AE5" s="70">
        <v>8.4449135802469133</v>
      </c>
      <c r="AF5" s="62">
        <f t="shared" ref="AF5:AF18" si="17">AC5*AD5%</f>
        <v>344.28</v>
      </c>
      <c r="AG5" s="63">
        <f t="shared" ref="AG5:AG18" si="18">AC5*AE5%</f>
        <v>684.0379999999999</v>
      </c>
      <c r="AH5" s="89">
        <v>11070</v>
      </c>
      <c r="AI5" s="66">
        <v>5.0999999999999996</v>
      </c>
      <c r="AJ5" s="66">
        <v>8.5</v>
      </c>
      <c r="AK5" s="62">
        <f t="shared" ref="AK5:AK19" si="19">AH5*AI5%</f>
        <v>564.56999999999994</v>
      </c>
      <c r="AL5" s="72">
        <f t="shared" ref="AL5:AL19" si="20">AH5*AJ5%</f>
        <v>940.95</v>
      </c>
      <c r="AM5" s="73">
        <f t="shared" si="6"/>
        <v>-7.125</v>
      </c>
      <c r="AN5" s="74">
        <f t="shared" ref="AN5:AN19" si="21">+G5+S5-AF5-AK5</f>
        <v>-4.233263000000079</v>
      </c>
      <c r="AO5" s="74">
        <f t="shared" ref="AO5:AO19" si="22">+H5+T5-AG5-AL5</f>
        <v>6.6761749999997164</v>
      </c>
      <c r="AP5" s="75">
        <f t="shared" ref="AP5:AP19" si="23">(AN5+AO5)/(S5+T5)</f>
        <v>2.172247927182579E-3</v>
      </c>
      <c r="AQ5" s="76">
        <f t="shared" ref="AQ5:AQ19" si="24">($AP$1*AN5+$AQ$1*AO5)</f>
        <v>97.647052836546436</v>
      </c>
      <c r="AR5" s="90">
        <f t="shared" si="9"/>
        <v>-127.125</v>
      </c>
    </row>
    <row r="6" spans="1:44" x14ac:dyDescent="0.25">
      <c r="A6" t="str">
        <f t="shared" si="10"/>
        <v>46175M</v>
      </c>
      <c r="B6" s="51">
        <f>+B4+1</f>
        <v>46175</v>
      </c>
      <c r="C6" s="52" t="s">
        <v>87</v>
      </c>
      <c r="D6" s="91">
        <v>11070</v>
      </c>
      <c r="E6" s="62">
        <v>5.0999999999999996</v>
      </c>
      <c r="F6" s="62">
        <v>8.5</v>
      </c>
      <c r="G6" s="62">
        <f t="shared" si="0"/>
        <v>564.56999999999994</v>
      </c>
      <c r="H6" s="72">
        <f t="shared" si="11"/>
        <v>940.95</v>
      </c>
      <c r="I6" s="119">
        <v>3040.6000000000004</v>
      </c>
      <c r="J6" s="120">
        <v>3131.8180000000007</v>
      </c>
      <c r="K6" s="121">
        <v>4.4358876537525491</v>
      </c>
      <c r="L6" s="122">
        <v>8.263753864368871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2"/>
        <v>3131.8180000000007</v>
      </c>
      <c r="S6" s="62">
        <f t="shared" si="13"/>
        <v>138.92392800000002</v>
      </c>
      <c r="T6" s="63">
        <f t="shared" si="14"/>
        <v>258.80573099999992</v>
      </c>
      <c r="U6" s="64" t="s">
        <v>308</v>
      </c>
      <c r="V6" s="65" t="s">
        <v>312</v>
      </c>
      <c r="W6" s="66" t="s">
        <v>208</v>
      </c>
      <c r="X6" s="67">
        <v>9530</v>
      </c>
      <c r="Y6" s="68">
        <v>4.53</v>
      </c>
      <c r="Z6" s="68">
        <v>8.4499999999999993</v>
      </c>
      <c r="AA6" s="62">
        <f t="shared" si="15"/>
        <v>431.709</v>
      </c>
      <c r="AB6" s="63">
        <f t="shared" si="16"/>
        <v>805.28499999999997</v>
      </c>
      <c r="AC6" s="69">
        <v>9500</v>
      </c>
      <c r="AD6" s="70">
        <v>4.479368421052631</v>
      </c>
      <c r="AE6" s="70">
        <v>8.3137684210526324</v>
      </c>
      <c r="AF6" s="62">
        <f t="shared" si="17"/>
        <v>425.53999999999996</v>
      </c>
      <c r="AG6" s="63">
        <f t="shared" si="18"/>
        <v>789.80800000000011</v>
      </c>
      <c r="AH6" s="89">
        <v>4710</v>
      </c>
      <c r="AI6" s="66">
        <v>5.9</v>
      </c>
      <c r="AJ6" s="66">
        <v>8.6999999999999993</v>
      </c>
      <c r="AK6" s="62">
        <f t="shared" si="19"/>
        <v>277.89000000000004</v>
      </c>
      <c r="AL6" s="72">
        <f t="shared" si="20"/>
        <v>409.77</v>
      </c>
      <c r="AM6" s="73">
        <f t="shared" si="6"/>
        <v>-8.1819999999988795</v>
      </c>
      <c r="AN6" s="74">
        <f t="shared" si="21"/>
        <v>6.3927999999975782E-2</v>
      </c>
      <c r="AO6" s="74">
        <f t="shared" si="22"/>
        <v>0.17773099999988062</v>
      </c>
      <c r="AP6" s="75">
        <f t="shared" si="23"/>
        <v>6.0759612599033358E-4</v>
      </c>
      <c r="AQ6" s="76">
        <f t="shared" si="24"/>
        <v>81.888067286620071</v>
      </c>
      <c r="AR6" s="90">
        <f t="shared" si="9"/>
        <v>-38.18199999999888</v>
      </c>
    </row>
    <row r="7" spans="1:44" x14ac:dyDescent="0.25">
      <c r="A7" t="str">
        <f t="shared" si="10"/>
        <v>46175E</v>
      </c>
      <c r="B7" s="51">
        <f>+B5+1</f>
        <v>46175</v>
      </c>
      <c r="C7" s="52" t="s">
        <v>88</v>
      </c>
      <c r="D7" s="91">
        <v>4710</v>
      </c>
      <c r="E7" s="62">
        <v>5.9</v>
      </c>
      <c r="F7" s="62">
        <v>8.6999999999999993</v>
      </c>
      <c r="G7" s="62">
        <f t="shared" si="0"/>
        <v>277.89000000000004</v>
      </c>
      <c r="H7" s="72">
        <f t="shared" si="11"/>
        <v>409.77</v>
      </c>
      <c r="I7" s="119">
        <v>4387.8999999999996</v>
      </c>
      <c r="J7" s="120">
        <v>4519.5369999999994</v>
      </c>
      <c r="K7" s="121">
        <v>3.8323822329588175</v>
      </c>
      <c r="L7" s="122">
        <v>8.2218396043665543</v>
      </c>
      <c r="M7" s="58" t="s">
        <v>307</v>
      </c>
      <c r="N7" s="58">
        <v>83311</v>
      </c>
      <c r="O7" s="59">
        <v>2490</v>
      </c>
      <c r="P7" s="56">
        <v>5.2</v>
      </c>
      <c r="Q7" s="60">
        <v>8.4</v>
      </c>
      <c r="R7" s="61">
        <f t="shared" si="12"/>
        <v>7009.5369999999994</v>
      </c>
      <c r="S7" s="62">
        <f t="shared" si="13"/>
        <v>302.68593299999998</v>
      </c>
      <c r="T7" s="63">
        <f t="shared" si="14"/>
        <v>580.74908299999993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15"/>
        <v>0</v>
      </c>
      <c r="AB7" s="63">
        <f t="shared" si="16"/>
        <v>0</v>
      </c>
      <c r="AC7" s="69"/>
      <c r="AD7" s="70"/>
      <c r="AE7" s="70"/>
      <c r="AF7" s="62">
        <f t="shared" si="17"/>
        <v>0</v>
      </c>
      <c r="AG7" s="63">
        <f t="shared" si="18"/>
        <v>0</v>
      </c>
      <c r="AH7" s="89">
        <v>11740</v>
      </c>
      <c r="AI7" s="66">
        <v>4.9000000000000004</v>
      </c>
      <c r="AJ7" s="66">
        <v>8.5</v>
      </c>
      <c r="AK7" s="62">
        <f t="shared" si="19"/>
        <v>575.26</v>
      </c>
      <c r="AL7" s="72">
        <f t="shared" si="20"/>
        <v>997.90000000000009</v>
      </c>
      <c r="AM7" s="73">
        <f t="shared" si="6"/>
        <v>-20.462999999999738</v>
      </c>
      <c r="AN7" s="74">
        <f t="shared" si="21"/>
        <v>5.3159330000000864</v>
      </c>
      <c r="AO7" s="74">
        <f t="shared" si="22"/>
        <v>-7.3809170000001814</v>
      </c>
      <c r="AP7" s="75">
        <f t="shared" si="23"/>
        <v>-2.3374486663998106E-3</v>
      </c>
      <c r="AQ7" s="76">
        <f t="shared" si="24"/>
        <v>177.46384938331767</v>
      </c>
      <c r="AR7" s="90">
        <f t="shared" si="9"/>
        <v>-20.462999999999738</v>
      </c>
    </row>
    <row r="8" spans="1:44" x14ac:dyDescent="0.25">
      <c r="A8" t="str">
        <f t="shared" si="10"/>
        <v>46176M</v>
      </c>
      <c r="B8" s="51">
        <f>+B6+1</f>
        <v>46176</v>
      </c>
      <c r="C8" s="52" t="s">
        <v>87</v>
      </c>
      <c r="D8" s="91">
        <v>11740</v>
      </c>
      <c r="E8" s="62">
        <v>4.9000000000000004</v>
      </c>
      <c r="F8" s="62">
        <v>8.5</v>
      </c>
      <c r="G8" s="62">
        <f t="shared" si="0"/>
        <v>575.26</v>
      </c>
      <c r="H8" s="72">
        <f t="shared" si="11"/>
        <v>997.90000000000009</v>
      </c>
      <c r="I8" s="119">
        <v>3020.1</v>
      </c>
      <c r="J8" s="120">
        <v>3110.703</v>
      </c>
      <c r="K8" s="121">
        <v>4.3632793616105428</v>
      </c>
      <c r="L8" s="122">
        <v>8.2105460084103168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2"/>
        <v>3110.703</v>
      </c>
      <c r="S8" s="62">
        <f t="shared" si="13"/>
        <v>135.72866199999999</v>
      </c>
      <c r="T8" s="63">
        <f t="shared" si="14"/>
        <v>255.40570099999999</v>
      </c>
      <c r="U8" s="64" t="s">
        <v>308</v>
      </c>
      <c r="V8" s="65" t="s">
        <v>313</v>
      </c>
      <c r="W8" s="66" t="s">
        <v>208</v>
      </c>
      <c r="X8" s="67">
        <v>9530</v>
      </c>
      <c r="Y8" s="68">
        <v>4.33</v>
      </c>
      <c r="Z8" s="68">
        <v>8.5299999999999994</v>
      </c>
      <c r="AA8" s="62">
        <f t="shared" si="15"/>
        <v>412.649</v>
      </c>
      <c r="AB8" s="63">
        <f t="shared" si="16"/>
        <v>812.90899999999988</v>
      </c>
      <c r="AC8" s="69">
        <v>9520</v>
      </c>
      <c r="AD8" s="70">
        <v>4.2794117647058822</v>
      </c>
      <c r="AE8" s="70">
        <v>8.3858823529411772</v>
      </c>
      <c r="AF8" s="62">
        <f t="shared" si="17"/>
        <v>407.4</v>
      </c>
      <c r="AG8" s="63">
        <f t="shared" si="18"/>
        <v>798.33600000000013</v>
      </c>
      <c r="AH8" s="89">
        <v>5340</v>
      </c>
      <c r="AI8" s="66">
        <v>5.7</v>
      </c>
      <c r="AJ8" s="66">
        <v>8.5</v>
      </c>
      <c r="AK8" s="62">
        <f t="shared" si="19"/>
        <v>304.38</v>
      </c>
      <c r="AL8" s="72">
        <f t="shared" si="20"/>
        <v>453.90000000000003</v>
      </c>
      <c r="AM8" s="73">
        <f t="shared" si="6"/>
        <v>-9.2970000000004802</v>
      </c>
      <c r="AN8" s="74">
        <f t="shared" si="21"/>
        <v>-0.7913379999999961</v>
      </c>
      <c r="AO8" s="74">
        <f t="shared" si="22"/>
        <v>1.0697009999998386</v>
      </c>
      <c r="AP8" s="75">
        <f t="shared" si="23"/>
        <v>7.1168126948703428E-4</v>
      </c>
      <c r="AQ8" s="76">
        <f t="shared" si="24"/>
        <v>-35.10655764004656</v>
      </c>
      <c r="AR8" s="90">
        <f t="shared" si="9"/>
        <v>-19.29700000000048</v>
      </c>
    </row>
    <row r="9" spans="1:44" x14ac:dyDescent="0.25">
      <c r="A9" t="str">
        <f t="shared" si="10"/>
        <v>46176E</v>
      </c>
      <c r="B9" s="51">
        <f t="shared" ref="B9:B65" si="25">+B7+1</f>
        <v>46176</v>
      </c>
      <c r="C9" s="52" t="s">
        <v>88</v>
      </c>
      <c r="D9" s="91">
        <v>5340</v>
      </c>
      <c r="E9" s="62">
        <v>5.7</v>
      </c>
      <c r="F9" s="62">
        <v>8.5</v>
      </c>
      <c r="G9" s="62">
        <f t="shared" si="0"/>
        <v>304.38</v>
      </c>
      <c r="H9" s="72">
        <f t="shared" si="11"/>
        <v>453.90000000000003</v>
      </c>
      <c r="I9" s="119">
        <v>4545.9999999999991</v>
      </c>
      <c r="J9" s="120">
        <v>4682.3799999999992</v>
      </c>
      <c r="K9" s="121">
        <v>3.8328376594808602</v>
      </c>
      <c r="L9" s="122">
        <v>8.2236031676198831</v>
      </c>
      <c r="M9" s="58" t="s">
        <v>307</v>
      </c>
      <c r="N9" s="58">
        <v>83312</v>
      </c>
      <c r="O9" s="59">
        <v>2450</v>
      </c>
      <c r="P9" s="56">
        <v>5.2</v>
      </c>
      <c r="Q9" s="60">
        <v>8.4</v>
      </c>
      <c r="R9" s="61">
        <f t="shared" si="12"/>
        <v>7132.3799999999992</v>
      </c>
      <c r="S9" s="62">
        <f t="shared" si="13"/>
        <v>306.86802399999988</v>
      </c>
      <c r="T9" s="63">
        <f t="shared" si="14"/>
        <v>590.86034999999993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15"/>
        <v>0</v>
      </c>
      <c r="AB9" s="63">
        <f t="shared" si="16"/>
        <v>0</v>
      </c>
      <c r="AC9" s="69"/>
      <c r="AD9" s="70"/>
      <c r="AE9" s="70"/>
      <c r="AF9" s="62">
        <f t="shared" si="17"/>
        <v>0</v>
      </c>
      <c r="AG9" s="63">
        <f t="shared" si="18"/>
        <v>0</v>
      </c>
      <c r="AH9" s="89">
        <v>12450</v>
      </c>
      <c r="AI9" s="66">
        <v>4.9000000000000004</v>
      </c>
      <c r="AJ9" s="66">
        <v>8.4</v>
      </c>
      <c r="AK9" s="62">
        <f t="shared" si="19"/>
        <v>610.05000000000007</v>
      </c>
      <c r="AL9" s="72">
        <f t="shared" si="20"/>
        <v>1045.8</v>
      </c>
      <c r="AM9" s="73">
        <f t="shared" si="6"/>
        <v>22.3799999999992</v>
      </c>
      <c r="AN9" s="74">
        <f t="shared" si="21"/>
        <v>1.1980239999998048</v>
      </c>
      <c r="AO9" s="74">
        <f t="shared" si="22"/>
        <v>-1.0396499999999378</v>
      </c>
      <c r="AP9" s="75">
        <f t="shared" si="23"/>
        <v>1.7641639117877211E-4</v>
      </c>
      <c r="AQ9" s="76">
        <f t="shared" si="24"/>
        <v>226.66543283993099</v>
      </c>
      <c r="AR9" s="90">
        <f t="shared" si="9"/>
        <v>22.3799999999992</v>
      </c>
    </row>
    <row r="10" spans="1:44" x14ac:dyDescent="0.25">
      <c r="A10" t="str">
        <f t="shared" si="10"/>
        <v>46177M</v>
      </c>
      <c r="B10" s="51">
        <f t="shared" si="25"/>
        <v>46177</v>
      </c>
      <c r="C10" s="52" t="s">
        <v>87</v>
      </c>
      <c r="D10" s="91">
        <v>12450</v>
      </c>
      <c r="E10" s="62">
        <v>4.9000000000000004</v>
      </c>
      <c r="F10" s="62">
        <v>8.4</v>
      </c>
      <c r="G10" s="62">
        <f t="shared" si="0"/>
        <v>610.05000000000007</v>
      </c>
      <c r="H10" s="72">
        <f t="shared" si="11"/>
        <v>1045.8</v>
      </c>
      <c r="I10" s="119">
        <v>3301.6</v>
      </c>
      <c r="J10" s="120">
        <v>3400.6480000000001</v>
      </c>
      <c r="K10" s="121">
        <v>4.3933698812696873</v>
      </c>
      <c r="L10" s="122">
        <v>8.2145747516355705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2"/>
        <v>3400.6480000000001</v>
      </c>
      <c r="S10" s="62">
        <f t="shared" si="13"/>
        <v>149.40304500000002</v>
      </c>
      <c r="T10" s="63">
        <f t="shared" si="14"/>
        <v>279.348772</v>
      </c>
      <c r="U10" s="64" t="s">
        <v>308</v>
      </c>
      <c r="V10" s="65" t="s">
        <v>314</v>
      </c>
      <c r="W10" s="66" t="s">
        <v>208</v>
      </c>
      <c r="X10" s="67">
        <v>9530</v>
      </c>
      <c r="Y10" s="68">
        <v>4.42</v>
      </c>
      <c r="Z10" s="68">
        <v>8.43</v>
      </c>
      <c r="AA10" s="62">
        <f t="shared" si="15"/>
        <v>421.22599999999994</v>
      </c>
      <c r="AB10" s="63">
        <f t="shared" si="16"/>
        <v>803.37900000000002</v>
      </c>
      <c r="AC10" s="69">
        <v>9480</v>
      </c>
      <c r="AD10" s="70">
        <v>4.3378164556962027</v>
      </c>
      <c r="AE10" s="70">
        <v>8.2849578059071725</v>
      </c>
      <c r="AF10" s="62">
        <f t="shared" si="17"/>
        <v>411.22500000000002</v>
      </c>
      <c r="AG10" s="63">
        <f t="shared" si="18"/>
        <v>785.41399999999999</v>
      </c>
      <c r="AH10" s="89">
        <v>6345</v>
      </c>
      <c r="AI10" s="66">
        <v>5.5</v>
      </c>
      <c r="AJ10" s="66">
        <v>8.5</v>
      </c>
      <c r="AK10" s="62">
        <f t="shared" si="19"/>
        <v>348.97500000000002</v>
      </c>
      <c r="AL10" s="72">
        <f t="shared" si="20"/>
        <v>539.32500000000005</v>
      </c>
      <c r="AM10" s="73">
        <f t="shared" si="6"/>
        <v>25.648000000001048</v>
      </c>
      <c r="AN10" s="74">
        <f t="shared" si="21"/>
        <v>-0.74695499999995718</v>
      </c>
      <c r="AO10" s="74">
        <f t="shared" si="22"/>
        <v>0.40977199999997538</v>
      </c>
      <c r="AP10" s="75">
        <f t="shared" si="23"/>
        <v>-7.8642932025167788E-4</v>
      </c>
      <c r="AQ10" s="76">
        <f t="shared" si="24"/>
        <v>-212.68173670332149</v>
      </c>
      <c r="AR10" s="90">
        <f t="shared" si="9"/>
        <v>-24.351999999998952</v>
      </c>
    </row>
    <row r="11" spans="1:44" x14ac:dyDescent="0.25">
      <c r="A11" t="str">
        <f t="shared" si="10"/>
        <v>46177E</v>
      </c>
      <c r="B11" s="51">
        <f t="shared" si="25"/>
        <v>46177</v>
      </c>
      <c r="C11" s="52" t="s">
        <v>88</v>
      </c>
      <c r="D11" s="91">
        <v>6345</v>
      </c>
      <c r="E11" s="62">
        <v>5.5</v>
      </c>
      <c r="F11" s="62">
        <v>8.5</v>
      </c>
      <c r="G11" s="62">
        <f t="shared" si="0"/>
        <v>348.97500000000002</v>
      </c>
      <c r="H11" s="72">
        <f t="shared" si="11"/>
        <v>539.32500000000005</v>
      </c>
      <c r="I11" s="119">
        <v>5438.9999999999991</v>
      </c>
      <c r="J11" s="120">
        <v>5602.1699999999992</v>
      </c>
      <c r="K11" s="121">
        <v>3.8443555800698657</v>
      </c>
      <c r="L11" s="122">
        <v>8.2552105166390888</v>
      </c>
      <c r="M11" s="58" t="s">
        <v>307</v>
      </c>
      <c r="N11" s="58">
        <v>83313</v>
      </c>
      <c r="O11" s="59">
        <v>2545</v>
      </c>
      <c r="P11" s="56">
        <v>5.2</v>
      </c>
      <c r="Q11" s="60">
        <v>8.5</v>
      </c>
      <c r="R11" s="61">
        <f t="shared" si="12"/>
        <v>8147.1699999999992</v>
      </c>
      <c r="S11" s="62">
        <f t="shared" si="13"/>
        <v>347.70733499999994</v>
      </c>
      <c r="T11" s="63">
        <f t="shared" si="14"/>
        <v>678.79592700000001</v>
      </c>
      <c r="U11" s="64" t="s">
        <v>310</v>
      </c>
      <c r="V11" s="65" t="s">
        <v>315</v>
      </c>
      <c r="W11" s="66" t="s">
        <v>208</v>
      </c>
      <c r="X11" s="67">
        <v>8220</v>
      </c>
      <c r="Y11" s="68">
        <v>4.3000000000000007</v>
      </c>
      <c r="Z11" s="68">
        <v>8.5299999999999994</v>
      </c>
      <c r="AA11" s="62">
        <f t="shared" si="15"/>
        <v>353.46000000000009</v>
      </c>
      <c r="AB11" s="63">
        <f t="shared" si="16"/>
        <v>701.16599999999994</v>
      </c>
      <c r="AC11" s="69">
        <v>8150</v>
      </c>
      <c r="AD11" s="70">
        <v>4.2494478527607358</v>
      </c>
      <c r="AE11" s="70">
        <v>8.2598895705521471</v>
      </c>
      <c r="AF11" s="62">
        <f t="shared" si="17"/>
        <v>346.32999999999993</v>
      </c>
      <c r="AG11" s="63">
        <f t="shared" si="18"/>
        <v>673.18099999999993</v>
      </c>
      <c r="AH11" s="89">
        <v>6350</v>
      </c>
      <c r="AI11" s="66">
        <v>5.5</v>
      </c>
      <c r="AJ11" s="66">
        <v>8.6</v>
      </c>
      <c r="AK11" s="62">
        <f t="shared" si="19"/>
        <v>349.25</v>
      </c>
      <c r="AL11" s="72">
        <f t="shared" si="20"/>
        <v>546.09999999999991</v>
      </c>
      <c r="AM11" s="73">
        <f t="shared" si="6"/>
        <v>-7.8300000000017462</v>
      </c>
      <c r="AN11" s="74">
        <f t="shared" si="21"/>
        <v>1.1023350000000391</v>
      </c>
      <c r="AO11" s="74">
        <f t="shared" si="22"/>
        <v>-1.1600729999998975</v>
      </c>
      <c r="AP11" s="75">
        <f t="shared" si="23"/>
        <v>-5.6247264024630452E-5</v>
      </c>
      <c r="AQ11" s="76">
        <f t="shared" si="24"/>
        <v>147.67029123004824</v>
      </c>
      <c r="AR11" s="90">
        <f t="shared" si="9"/>
        <v>-77.830000000001746</v>
      </c>
    </row>
    <row r="12" spans="1:44" x14ac:dyDescent="0.25">
      <c r="A12" t="str">
        <f t="shared" si="10"/>
        <v>46178M</v>
      </c>
      <c r="B12" s="51">
        <f t="shared" si="25"/>
        <v>46178</v>
      </c>
      <c r="C12" s="52" t="s">
        <v>87</v>
      </c>
      <c r="D12" s="91">
        <v>6350</v>
      </c>
      <c r="E12" s="62">
        <v>5.5</v>
      </c>
      <c r="F12" s="62">
        <v>8.6</v>
      </c>
      <c r="G12" s="62">
        <f t="shared" si="0"/>
        <v>349.25</v>
      </c>
      <c r="H12" s="72">
        <f t="shared" si="11"/>
        <v>546.09999999999991</v>
      </c>
      <c r="I12" s="119">
        <v>2916.3</v>
      </c>
      <c r="J12" s="120">
        <v>3003.7890000000002</v>
      </c>
      <c r="K12" s="121">
        <v>4.4400000000000004</v>
      </c>
      <c r="L12" s="122">
        <v>8.31</v>
      </c>
      <c r="M12" s="58" t="s">
        <v>307</v>
      </c>
      <c r="N12" s="58">
        <v>83314</v>
      </c>
      <c r="O12" s="59">
        <v>2350</v>
      </c>
      <c r="P12" s="56">
        <v>5.2</v>
      </c>
      <c r="Q12" s="60">
        <v>8.4</v>
      </c>
      <c r="R12" s="61">
        <f t="shared" si="12"/>
        <v>5353.7890000000007</v>
      </c>
      <c r="S12" s="62">
        <f t="shared" si="13"/>
        <v>255.56823160000002</v>
      </c>
      <c r="T12" s="63">
        <f t="shared" si="14"/>
        <v>447.01486590000002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ref="AA12:AA65" si="26">X12*Y12%</f>
        <v>0</v>
      </c>
      <c r="AB12" s="63">
        <f t="shared" ref="AB12:AB65" si="27">X12*Z12%</f>
        <v>0</v>
      </c>
      <c r="AC12" s="69"/>
      <c r="AD12" s="70"/>
      <c r="AE12" s="70"/>
      <c r="AF12" s="62">
        <f t="shared" si="17"/>
        <v>0</v>
      </c>
      <c r="AG12" s="63">
        <f t="shared" si="18"/>
        <v>0</v>
      </c>
      <c r="AH12" s="89">
        <v>11660</v>
      </c>
      <c r="AI12" s="66">
        <v>5.2</v>
      </c>
      <c r="AJ12" s="66">
        <v>8.5</v>
      </c>
      <c r="AK12" s="62">
        <f t="shared" si="19"/>
        <v>606.32000000000005</v>
      </c>
      <c r="AL12" s="72">
        <f t="shared" si="20"/>
        <v>991.1</v>
      </c>
      <c r="AM12" s="73">
        <f t="shared" si="6"/>
        <v>43.789000000000669</v>
      </c>
      <c r="AN12" s="74">
        <f t="shared" si="21"/>
        <v>-1.50176840000006</v>
      </c>
      <c r="AO12" s="74">
        <f t="shared" si="22"/>
        <v>2.0148658999999043</v>
      </c>
      <c r="AP12" s="75">
        <f t="shared" si="23"/>
        <v>7.3030151426300765E-4</v>
      </c>
      <c r="AQ12" s="76">
        <f t="shared" si="24"/>
        <v>-71.163218331388862</v>
      </c>
      <c r="AR12" s="90">
        <f t="shared" si="9"/>
        <v>43.789000000000669</v>
      </c>
    </row>
    <row r="13" spans="1:44" x14ac:dyDescent="0.25">
      <c r="A13" t="str">
        <f t="shared" si="10"/>
        <v>46178E</v>
      </c>
      <c r="B13" s="51">
        <f t="shared" si="25"/>
        <v>46178</v>
      </c>
      <c r="C13" s="52" t="s">
        <v>88</v>
      </c>
      <c r="D13" s="91">
        <v>11660</v>
      </c>
      <c r="E13" s="62">
        <v>5.2</v>
      </c>
      <c r="F13" s="62">
        <v>8.5</v>
      </c>
      <c r="G13" s="62">
        <f t="shared" si="0"/>
        <v>606.32000000000005</v>
      </c>
      <c r="H13" s="72">
        <f t="shared" si="11"/>
        <v>991.1</v>
      </c>
      <c r="I13" s="119">
        <v>4788.7</v>
      </c>
      <c r="J13" s="120">
        <v>4932.3609999999999</v>
      </c>
      <c r="K13" s="121">
        <v>3.86</v>
      </c>
      <c r="L13" s="122">
        <v>8.18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2"/>
        <v>4932.3609999999999</v>
      </c>
      <c r="S13" s="62">
        <f t="shared" si="13"/>
        <v>190.38913459999998</v>
      </c>
      <c r="T13" s="63">
        <f t="shared" si="14"/>
        <v>403.46712979999995</v>
      </c>
      <c r="U13" s="64" t="s">
        <v>308</v>
      </c>
      <c r="V13" s="65" t="s">
        <v>378</v>
      </c>
      <c r="W13" s="66" t="s">
        <v>208</v>
      </c>
      <c r="X13" s="67">
        <v>9530</v>
      </c>
      <c r="Y13" s="68">
        <v>4.4800000000000004</v>
      </c>
      <c r="Z13" s="68">
        <v>8.49</v>
      </c>
      <c r="AA13" s="62">
        <f t="shared" si="26"/>
        <v>426.94400000000007</v>
      </c>
      <c r="AB13" s="63">
        <f t="shared" si="27"/>
        <v>809.09699999999998</v>
      </c>
      <c r="AC13" s="69">
        <v>9470</v>
      </c>
      <c r="AD13" s="70">
        <v>4.1878035902851103</v>
      </c>
      <c r="AE13" s="70">
        <v>8.3014149947201687</v>
      </c>
      <c r="AF13" s="62">
        <f t="shared" si="17"/>
        <v>396.58499999999992</v>
      </c>
      <c r="AG13" s="63">
        <f t="shared" si="18"/>
        <v>786.14400000000001</v>
      </c>
      <c r="AH13" s="89">
        <v>7150</v>
      </c>
      <c r="AI13" s="66">
        <v>5.6</v>
      </c>
      <c r="AJ13" s="66">
        <v>8.5</v>
      </c>
      <c r="AK13" s="62">
        <f t="shared" si="19"/>
        <v>400.4</v>
      </c>
      <c r="AL13" s="72">
        <f t="shared" si="20"/>
        <v>607.75</v>
      </c>
      <c r="AM13" s="73">
        <f t="shared" si="6"/>
        <v>-27.638999999999214</v>
      </c>
      <c r="AN13" s="74">
        <f t="shared" si="21"/>
        <v>-0.27586539999992965</v>
      </c>
      <c r="AO13" s="74">
        <f t="shared" si="22"/>
        <v>0.67312979999996969</v>
      </c>
      <c r="AP13" s="75">
        <f t="shared" si="23"/>
        <v>6.689571598632784E-4</v>
      </c>
      <c r="AQ13" s="76">
        <f t="shared" si="24"/>
        <v>77.611062298022532</v>
      </c>
      <c r="AR13" s="90">
        <f t="shared" si="9"/>
        <v>-87.638999999999214</v>
      </c>
    </row>
    <row r="14" spans="1:44" x14ac:dyDescent="0.25">
      <c r="A14" t="str">
        <f t="shared" si="10"/>
        <v>46179M</v>
      </c>
      <c r="B14" s="51">
        <f t="shared" si="25"/>
        <v>46179</v>
      </c>
      <c r="C14" s="52" t="s">
        <v>87</v>
      </c>
      <c r="D14" s="91">
        <v>7150</v>
      </c>
      <c r="E14" s="62">
        <v>5.6</v>
      </c>
      <c r="F14" s="62">
        <v>8.5</v>
      </c>
      <c r="G14" s="62">
        <f t="shared" si="0"/>
        <v>400.4</v>
      </c>
      <c r="H14" s="72">
        <f t="shared" si="11"/>
        <v>607.75</v>
      </c>
      <c r="I14" s="119">
        <v>3008.7</v>
      </c>
      <c r="J14" s="120">
        <v>3098.9609999999998</v>
      </c>
      <c r="K14" s="121">
        <v>4.4800000000000004</v>
      </c>
      <c r="L14" s="122">
        <v>8.27</v>
      </c>
      <c r="M14" s="58" t="s">
        <v>307</v>
      </c>
      <c r="N14" s="58">
        <v>83315</v>
      </c>
      <c r="O14" s="59">
        <v>2380</v>
      </c>
      <c r="P14" s="56">
        <v>5.2</v>
      </c>
      <c r="Q14" s="60">
        <v>8.4</v>
      </c>
      <c r="R14" s="61">
        <f t="shared" si="12"/>
        <v>5478.9609999999993</v>
      </c>
      <c r="S14" s="62">
        <f t="shared" si="13"/>
        <v>262.59345280000002</v>
      </c>
      <c r="T14" s="63">
        <f t="shared" si="14"/>
        <v>456.20407469999998</v>
      </c>
      <c r="U14" s="64" t="s">
        <v>310</v>
      </c>
      <c r="V14" s="65" t="s">
        <v>379</v>
      </c>
      <c r="W14" s="66" t="s">
        <v>208</v>
      </c>
      <c r="X14" s="67">
        <v>7610</v>
      </c>
      <c r="Y14" s="68">
        <v>4.55</v>
      </c>
      <c r="Z14" s="68">
        <v>8.57</v>
      </c>
      <c r="AA14" s="62">
        <f t="shared" si="26"/>
        <v>346.255</v>
      </c>
      <c r="AB14" s="63">
        <f t="shared" si="27"/>
        <v>652.17700000000002</v>
      </c>
      <c r="AC14" s="69">
        <v>7230</v>
      </c>
      <c r="AD14" s="70">
        <v>4.5500000000000007</v>
      </c>
      <c r="AE14" s="70">
        <v>8.44</v>
      </c>
      <c r="AF14" s="62">
        <f t="shared" si="17"/>
        <v>328.96500000000003</v>
      </c>
      <c r="AG14" s="63">
        <f t="shared" si="18"/>
        <v>610.21199999999988</v>
      </c>
      <c r="AH14" s="89">
        <v>5415</v>
      </c>
      <c r="AI14" s="66">
        <v>6.1</v>
      </c>
      <c r="AJ14" s="66">
        <v>8.5</v>
      </c>
      <c r="AK14" s="62">
        <f t="shared" si="19"/>
        <v>330.315</v>
      </c>
      <c r="AL14" s="72">
        <f t="shared" si="20"/>
        <v>460.27500000000003</v>
      </c>
      <c r="AM14" s="73">
        <f t="shared" si="6"/>
        <v>-16.039000000000669</v>
      </c>
      <c r="AN14" s="74">
        <f t="shared" si="21"/>
        <v>3.7134527999999705</v>
      </c>
      <c r="AO14" s="74">
        <f t="shared" si="22"/>
        <v>-6.5329252999998175</v>
      </c>
      <c r="AP14" s="75">
        <f t="shared" si="23"/>
        <v>-3.9224849726543429E-3</v>
      </c>
      <c r="AQ14" s="76">
        <f t="shared" si="24"/>
        <v>-288.12423450062533</v>
      </c>
      <c r="AR14" s="90">
        <f t="shared" si="9"/>
        <v>-396.03900000000067</v>
      </c>
    </row>
    <row r="15" spans="1:44" x14ac:dyDescent="0.25">
      <c r="A15" t="str">
        <f t="shared" si="10"/>
        <v>46179E</v>
      </c>
      <c r="B15" s="51">
        <f t="shared" si="25"/>
        <v>46179</v>
      </c>
      <c r="C15" s="52" t="s">
        <v>88</v>
      </c>
      <c r="D15" s="91">
        <v>5415</v>
      </c>
      <c r="E15" s="62">
        <v>6.1</v>
      </c>
      <c r="F15" s="62">
        <v>8.5</v>
      </c>
      <c r="G15" s="62">
        <f t="shared" si="0"/>
        <v>330.315</v>
      </c>
      <c r="H15" s="72">
        <f t="shared" si="11"/>
        <v>460.27500000000003</v>
      </c>
      <c r="I15" s="119">
        <v>4369.2</v>
      </c>
      <c r="J15" s="120">
        <v>4500.2759999999998</v>
      </c>
      <c r="K15" s="121">
        <v>3.86</v>
      </c>
      <c r="L15" s="122">
        <v>8.19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2"/>
        <v>4500.2759999999998</v>
      </c>
      <c r="S15" s="62">
        <f t="shared" si="13"/>
        <v>173.71065359999997</v>
      </c>
      <c r="T15" s="63">
        <f t="shared" si="14"/>
        <v>368.57260439999999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26"/>
        <v>0</v>
      </c>
      <c r="AB15" s="63">
        <f t="shared" si="27"/>
        <v>0</v>
      </c>
      <c r="AC15" s="69"/>
      <c r="AD15" s="70"/>
      <c r="AE15" s="70"/>
      <c r="AF15" s="62">
        <f t="shared" si="17"/>
        <v>0</v>
      </c>
      <c r="AG15" s="63">
        <f t="shared" si="18"/>
        <v>0</v>
      </c>
      <c r="AH15" s="89">
        <v>9908</v>
      </c>
      <c r="AI15" s="66">
        <v>5</v>
      </c>
      <c r="AJ15" s="66">
        <v>8.5</v>
      </c>
      <c r="AK15" s="62">
        <f t="shared" si="19"/>
        <v>495.40000000000003</v>
      </c>
      <c r="AL15" s="72">
        <f t="shared" si="20"/>
        <v>842.18000000000006</v>
      </c>
      <c r="AM15" s="73">
        <f t="shared" si="6"/>
        <v>7.2759999999998399</v>
      </c>
      <c r="AN15" s="74">
        <f t="shared" si="21"/>
        <v>8.6256535999999073</v>
      </c>
      <c r="AO15" s="74">
        <f t="shared" si="22"/>
        <v>-13.332395600000041</v>
      </c>
      <c r="AP15" s="75">
        <f t="shared" si="23"/>
        <v>-8.6794897879737491E-3</v>
      </c>
      <c r="AQ15" s="76">
        <f t="shared" si="24"/>
        <v>-117.8883149547205</v>
      </c>
      <c r="AR15" s="90">
        <f t="shared" si="9"/>
        <v>7.2759999999998399</v>
      </c>
    </row>
    <row r="16" spans="1:44" x14ac:dyDescent="0.25">
      <c r="A16" t="str">
        <f t="shared" si="10"/>
        <v>46180M</v>
      </c>
      <c r="B16" s="51">
        <f t="shared" si="25"/>
        <v>46180</v>
      </c>
      <c r="C16" s="52" t="s">
        <v>87</v>
      </c>
      <c r="D16" s="91">
        <v>9908</v>
      </c>
      <c r="E16" s="62">
        <v>5</v>
      </c>
      <c r="F16" s="62">
        <v>8.5</v>
      </c>
      <c r="G16" s="62">
        <f t="shared" si="0"/>
        <v>495.40000000000003</v>
      </c>
      <c r="H16" s="72">
        <f t="shared" si="11"/>
        <v>842.18000000000006</v>
      </c>
      <c r="I16" s="119">
        <v>3102.6</v>
      </c>
      <c r="J16" s="120">
        <v>3195.6779999999999</v>
      </c>
      <c r="K16" s="121">
        <v>4.3499999999999996</v>
      </c>
      <c r="L16" s="122">
        <v>8.18</v>
      </c>
      <c r="M16" s="58" t="s">
        <v>307</v>
      </c>
      <c r="N16" s="58">
        <v>83316</v>
      </c>
      <c r="O16" s="59">
        <v>2430</v>
      </c>
      <c r="P16" s="56">
        <v>5.2</v>
      </c>
      <c r="Q16" s="60">
        <v>8.5</v>
      </c>
      <c r="R16" s="61">
        <f t="shared" si="12"/>
        <v>5625.6779999999999</v>
      </c>
      <c r="S16" s="62">
        <f t="shared" si="13"/>
        <v>265.37199299999997</v>
      </c>
      <c r="T16" s="63">
        <f t="shared" si="14"/>
        <v>467.95646039999997</v>
      </c>
      <c r="U16" s="64" t="s">
        <v>308</v>
      </c>
      <c r="V16" s="65" t="s">
        <v>407</v>
      </c>
      <c r="W16" s="66" t="s">
        <v>208</v>
      </c>
      <c r="X16" s="67">
        <v>9530</v>
      </c>
      <c r="Y16" s="68">
        <v>4.5199999999999996</v>
      </c>
      <c r="Z16" s="68">
        <v>8.56</v>
      </c>
      <c r="AA16" s="62">
        <f t="shared" si="26"/>
        <v>430.75599999999997</v>
      </c>
      <c r="AB16" s="63">
        <f t="shared" si="27"/>
        <v>815.76800000000014</v>
      </c>
      <c r="AC16" s="69">
        <v>9480</v>
      </c>
      <c r="AD16" s="70">
        <v>4.4896624472573841</v>
      </c>
      <c r="AE16" s="70">
        <v>8.4279324894514769</v>
      </c>
      <c r="AF16" s="62">
        <f t="shared" si="17"/>
        <v>425.62</v>
      </c>
      <c r="AG16" s="63">
        <f t="shared" si="18"/>
        <v>798.96800000000007</v>
      </c>
      <c r="AH16" s="89">
        <v>6070</v>
      </c>
      <c r="AI16" s="66">
        <v>5.4</v>
      </c>
      <c r="AJ16" s="66">
        <v>8.6</v>
      </c>
      <c r="AK16" s="62">
        <f t="shared" si="19"/>
        <v>327.78000000000003</v>
      </c>
      <c r="AL16" s="72">
        <f t="shared" si="20"/>
        <v>522.02</v>
      </c>
      <c r="AM16" s="73">
        <f t="shared" si="6"/>
        <v>-16.322000000000116</v>
      </c>
      <c r="AN16" s="74">
        <f t="shared" si="21"/>
        <v>7.3719930000000318</v>
      </c>
      <c r="AO16" s="74">
        <f t="shared" si="22"/>
        <v>-10.851539600000024</v>
      </c>
      <c r="AP16" s="75">
        <f t="shared" si="23"/>
        <v>-4.7448678472346755E-3</v>
      </c>
      <c r="AQ16" s="76">
        <f t="shared" si="24"/>
        <v>61.784949739340391</v>
      </c>
      <c r="AR16" s="90">
        <f t="shared" si="9"/>
        <v>-66.322000000000116</v>
      </c>
    </row>
    <row r="17" spans="1:49" x14ac:dyDescent="0.25">
      <c r="A17" t="str">
        <f t="shared" si="10"/>
        <v>46180E</v>
      </c>
      <c r="B17" s="51">
        <f t="shared" si="25"/>
        <v>46180</v>
      </c>
      <c r="C17" s="52" t="s">
        <v>88</v>
      </c>
      <c r="D17" s="91">
        <v>6070</v>
      </c>
      <c r="E17" s="62">
        <v>5.4</v>
      </c>
      <c r="F17" s="62">
        <v>8.6</v>
      </c>
      <c r="G17" s="62">
        <f t="shared" si="0"/>
        <v>327.78000000000003</v>
      </c>
      <c r="H17" s="72">
        <f t="shared" si="11"/>
        <v>522.02</v>
      </c>
      <c r="I17" s="119">
        <v>4415.3999999999996</v>
      </c>
      <c r="J17" s="120">
        <v>4547.8620000000001</v>
      </c>
      <c r="K17" s="121">
        <v>3.88</v>
      </c>
      <c r="L17" s="122">
        <v>8.19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2"/>
        <v>4547.8620000000001</v>
      </c>
      <c r="S17" s="62">
        <f t="shared" si="13"/>
        <v>176.45704560000001</v>
      </c>
      <c r="T17" s="63">
        <f t="shared" si="14"/>
        <v>372.46989780000001</v>
      </c>
      <c r="U17" s="64" t="s">
        <v>310</v>
      </c>
      <c r="V17" s="65" t="s">
        <v>408</v>
      </c>
      <c r="W17" s="66" t="s">
        <v>208</v>
      </c>
      <c r="X17" s="67">
        <v>7610</v>
      </c>
      <c r="Y17" s="68">
        <v>4.63</v>
      </c>
      <c r="Z17" s="68">
        <v>8.59</v>
      </c>
      <c r="AA17" s="62">
        <f t="shared" si="26"/>
        <v>352.34300000000002</v>
      </c>
      <c r="AB17" s="63">
        <f t="shared" si="27"/>
        <v>653.69900000000007</v>
      </c>
      <c r="AC17" s="69">
        <v>7580</v>
      </c>
      <c r="AD17" s="70">
        <v>4.5193931398416893</v>
      </c>
      <c r="AE17" s="70">
        <v>8.493905013192613</v>
      </c>
      <c r="AF17" s="62">
        <f t="shared" si="17"/>
        <v>342.57000000000005</v>
      </c>
      <c r="AG17" s="63">
        <f t="shared" si="18"/>
        <v>643.83800000000008</v>
      </c>
      <c r="AH17" s="89">
        <v>3050</v>
      </c>
      <c r="AI17" s="66">
        <v>5.2</v>
      </c>
      <c r="AJ17" s="66">
        <v>8.4</v>
      </c>
      <c r="AK17" s="62">
        <f t="shared" si="19"/>
        <v>158.60000000000002</v>
      </c>
      <c r="AL17" s="72">
        <f t="shared" si="20"/>
        <v>256.2</v>
      </c>
      <c r="AM17" s="73">
        <f t="shared" si="6"/>
        <v>-12.13799999999901</v>
      </c>
      <c r="AN17" s="74">
        <f t="shared" si="21"/>
        <v>3.0670455999999717</v>
      </c>
      <c r="AO17" s="74">
        <f t="shared" si="22"/>
        <v>-5.5481022000000735</v>
      </c>
      <c r="AP17" s="75">
        <f t="shared" si="23"/>
        <v>-4.5198302430423231E-3</v>
      </c>
      <c r="AQ17" s="76">
        <f t="shared" si="24"/>
        <v>-283.5715987720348</v>
      </c>
      <c r="AR17" s="90">
        <f t="shared" si="9"/>
        <v>-42.13799999999901</v>
      </c>
    </row>
    <row r="18" spans="1:49" x14ac:dyDescent="0.25">
      <c r="A18" t="str">
        <f t="shared" si="10"/>
        <v>46181M</v>
      </c>
      <c r="B18" s="51">
        <f t="shared" si="25"/>
        <v>46181</v>
      </c>
      <c r="C18" s="99" t="s">
        <v>87</v>
      </c>
      <c r="D18" s="91">
        <v>3050</v>
      </c>
      <c r="E18" s="62">
        <v>5.2</v>
      </c>
      <c r="F18" s="62">
        <v>8.4</v>
      </c>
      <c r="G18" s="62">
        <f t="shared" si="0"/>
        <v>158.60000000000002</v>
      </c>
      <c r="H18" s="72">
        <f t="shared" si="11"/>
        <v>256.2</v>
      </c>
      <c r="I18" s="119">
        <v>3053.6</v>
      </c>
      <c r="J18" s="120">
        <v>3145.2080000000001</v>
      </c>
      <c r="K18" s="121">
        <v>4.46</v>
      </c>
      <c r="L18" s="122">
        <v>8.26</v>
      </c>
      <c r="M18" s="58" t="s">
        <v>307</v>
      </c>
      <c r="N18" s="58">
        <v>83317</v>
      </c>
      <c r="O18" s="59">
        <v>2390</v>
      </c>
      <c r="P18" s="56">
        <v>5.2</v>
      </c>
      <c r="Q18" s="60">
        <v>8.4</v>
      </c>
      <c r="R18" s="61">
        <f t="shared" si="12"/>
        <v>5535.2080000000005</v>
      </c>
      <c r="S18" s="62">
        <f t="shared" si="13"/>
        <v>264.55627680000003</v>
      </c>
      <c r="T18" s="63">
        <f t="shared" si="14"/>
        <v>460.55418080000004</v>
      </c>
      <c r="U18" s="64" t="s">
        <v>187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26"/>
        <v>0</v>
      </c>
      <c r="AB18" s="63">
        <f t="shared" si="27"/>
        <v>0</v>
      </c>
      <c r="AC18" s="69"/>
      <c r="AD18" s="70"/>
      <c r="AE18" s="70"/>
      <c r="AF18" s="62">
        <f t="shared" si="17"/>
        <v>0</v>
      </c>
      <c r="AG18" s="63">
        <f t="shared" si="18"/>
        <v>0</v>
      </c>
      <c r="AH18" s="89">
        <v>8580</v>
      </c>
      <c r="AI18" s="66">
        <v>4.9000000000000004</v>
      </c>
      <c r="AJ18" s="66">
        <v>8.4</v>
      </c>
      <c r="AK18" s="62">
        <f t="shared" si="19"/>
        <v>420.42</v>
      </c>
      <c r="AL18" s="72">
        <f t="shared" si="20"/>
        <v>720.72</v>
      </c>
      <c r="AM18" s="73">
        <f t="shared" si="6"/>
        <v>5.2080000000005384</v>
      </c>
      <c r="AN18" s="74">
        <f t="shared" si="21"/>
        <v>2.7362768000000415</v>
      </c>
      <c r="AO18" s="74">
        <f t="shared" si="22"/>
        <v>-3.9658191999999417</v>
      </c>
      <c r="AP18" s="75">
        <f t="shared" si="23"/>
        <v>-1.6956622085819717E-3</v>
      </c>
      <c r="AQ18" s="76">
        <f t="shared" si="24"/>
        <v>41.478086906702629</v>
      </c>
      <c r="AR18" s="90">
        <f t="shared" si="9"/>
        <v>5.2080000000005384</v>
      </c>
    </row>
    <row r="19" spans="1:49" x14ac:dyDescent="0.25">
      <c r="A19" t="str">
        <f t="shared" si="10"/>
        <v>46181E</v>
      </c>
      <c r="B19" s="51">
        <f t="shared" si="25"/>
        <v>46181</v>
      </c>
      <c r="C19" s="52" t="s">
        <v>88</v>
      </c>
      <c r="D19" s="91">
        <v>8580</v>
      </c>
      <c r="E19" s="62">
        <v>4.9000000000000004</v>
      </c>
      <c r="F19" s="62">
        <v>8.4</v>
      </c>
      <c r="G19" s="62">
        <f t="shared" si="0"/>
        <v>420.42</v>
      </c>
      <c r="H19" s="72">
        <f t="shared" si="11"/>
        <v>720.72</v>
      </c>
      <c r="I19" s="119">
        <v>4304.3</v>
      </c>
      <c r="J19" s="120">
        <v>4433.4290000000001</v>
      </c>
      <c r="K19" s="121">
        <v>3.96</v>
      </c>
      <c r="L19" s="122">
        <v>8.23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2"/>
        <v>4433.4290000000001</v>
      </c>
      <c r="S19" s="62">
        <f t="shared" si="13"/>
        <v>175.56378839999999</v>
      </c>
      <c r="T19" s="63">
        <f t="shared" si="14"/>
        <v>364.87120670000002</v>
      </c>
      <c r="U19" s="64" t="s">
        <v>308</v>
      </c>
      <c r="V19" s="65" t="s">
        <v>409</v>
      </c>
      <c r="W19" s="66" t="s">
        <v>208</v>
      </c>
      <c r="X19" s="67">
        <v>9530</v>
      </c>
      <c r="Y19" s="68">
        <v>4.29</v>
      </c>
      <c r="Z19" s="68">
        <v>8.52</v>
      </c>
      <c r="AA19" s="62">
        <f t="shared" si="26"/>
        <v>408.83699999999999</v>
      </c>
      <c r="AB19" s="63">
        <f t="shared" si="27"/>
        <v>811.95600000000002</v>
      </c>
      <c r="AC19" s="69">
        <v>9500</v>
      </c>
      <c r="AD19" s="70">
        <v>4.2449473684210526</v>
      </c>
      <c r="AE19" s="70">
        <v>8.3129263157894737</v>
      </c>
      <c r="AF19" s="62">
        <f t="shared" ref="AF19:AF31" si="28">AC19*AD19%</f>
        <v>403.27</v>
      </c>
      <c r="AG19" s="63">
        <f t="shared" ref="AG19:AG31" si="29">AC19*AE19%</f>
        <v>789.72799999999995</v>
      </c>
      <c r="AH19" s="89">
        <v>3510</v>
      </c>
      <c r="AI19" s="66">
        <v>5.5</v>
      </c>
      <c r="AJ19" s="66">
        <v>8.4</v>
      </c>
      <c r="AK19" s="62">
        <f t="shared" si="19"/>
        <v>193.05</v>
      </c>
      <c r="AL19" s="72">
        <f t="shared" si="20"/>
        <v>294.84000000000003</v>
      </c>
      <c r="AM19" s="73">
        <f t="shared" si="6"/>
        <v>3.4290000000000873</v>
      </c>
      <c r="AN19" s="74">
        <f t="shared" si="21"/>
        <v>-0.33621160000001282</v>
      </c>
      <c r="AO19" s="74">
        <f t="shared" si="22"/>
        <v>1.0232066999999461</v>
      </c>
      <c r="AP19" s="75">
        <f t="shared" si="23"/>
        <v>1.2711891462040023E-3</v>
      </c>
      <c r="AQ19" s="76">
        <f t="shared" si="24"/>
        <v>155.28973044197812</v>
      </c>
      <c r="AR19" s="90">
        <f t="shared" si="9"/>
        <v>-26.570999999999913</v>
      </c>
      <c r="AS19" s="90">
        <f>SUM(J6:J19)</f>
        <v>55304.819999999992</v>
      </c>
      <c r="AT19" s="83">
        <f>SUM(AM6:AM19)</f>
        <v>-10.179999999998472</v>
      </c>
      <c r="AU19" s="83">
        <f>SUM(AN6:AN19)</f>
        <v>29.542503399999873</v>
      </c>
      <c r="AV19" s="83">
        <f>SUM(AO6:AO19)</f>
        <v>-44.443015500000399</v>
      </c>
      <c r="AW19" s="83">
        <f>-SUM(AQ6:AQ19)</f>
        <v>38.684190776176877</v>
      </c>
    </row>
    <row r="20" spans="1:49" x14ac:dyDescent="0.25">
      <c r="A20" t="str">
        <f t="shared" si="10"/>
        <v>46182M</v>
      </c>
      <c r="B20" s="51">
        <f t="shared" si="25"/>
        <v>46182</v>
      </c>
      <c r="C20" s="52" t="s">
        <v>87</v>
      </c>
      <c r="D20" s="91">
        <v>3510</v>
      </c>
      <c r="E20" s="62">
        <v>5.5</v>
      </c>
      <c r="F20" s="62">
        <v>8.4</v>
      </c>
      <c r="G20" s="62">
        <f t="shared" si="0"/>
        <v>193.05</v>
      </c>
      <c r="H20" s="72">
        <f t="shared" si="11"/>
        <v>294.84000000000003</v>
      </c>
      <c r="I20" s="119">
        <v>3083.2</v>
      </c>
      <c r="J20" s="120">
        <v>3175.6959999999999</v>
      </c>
      <c r="K20" s="121">
        <v>4.17</v>
      </c>
      <c r="L20" s="122">
        <v>8.18</v>
      </c>
      <c r="M20" s="58" t="s">
        <v>462</v>
      </c>
      <c r="N20" s="58" t="s">
        <v>463</v>
      </c>
      <c r="O20" s="59">
        <v>5920</v>
      </c>
      <c r="P20" s="56">
        <v>5.09</v>
      </c>
      <c r="Q20" s="60">
        <v>8.59</v>
      </c>
      <c r="R20" s="61">
        <f t="shared" si="12"/>
        <v>9095.6959999999999</v>
      </c>
      <c r="S20" s="62">
        <f t="shared" si="13"/>
        <v>433.75452319999999</v>
      </c>
      <c r="T20" s="63">
        <f t="shared" si="14"/>
        <v>768.29993280000008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26"/>
        <v>0</v>
      </c>
      <c r="AB20" s="63">
        <f t="shared" si="27"/>
        <v>0</v>
      </c>
      <c r="AC20" s="69"/>
      <c r="AD20" s="70"/>
      <c r="AE20" s="70"/>
      <c r="AF20" s="62">
        <f t="shared" si="28"/>
        <v>0</v>
      </c>
      <c r="AG20" s="63">
        <f t="shared" si="29"/>
        <v>0</v>
      </c>
      <c r="AH20" s="89">
        <v>12600</v>
      </c>
      <c r="AI20" s="66">
        <v>5</v>
      </c>
      <c r="AJ20" s="66">
        <v>8.4</v>
      </c>
      <c r="AK20" s="62">
        <f t="shared" ref="AK20:AK22" si="30">AH20*AI20%</f>
        <v>630</v>
      </c>
      <c r="AL20" s="72">
        <f t="shared" ref="AL20:AL22" si="31">AH20*AJ20%</f>
        <v>1058.4000000000001</v>
      </c>
      <c r="AM20" s="73">
        <f t="shared" si="6"/>
        <v>5.6959999999999127</v>
      </c>
      <c r="AN20" s="74">
        <f t="shared" ref="AN20:AN21" si="32">+G20+S20-AF20-AK20</f>
        <v>-3.1954768000000513</v>
      </c>
      <c r="AO20" s="74">
        <f t="shared" ref="AO20:AO21" si="33">+H20+T20-AG20-AL20</f>
        <v>4.7399328000001333</v>
      </c>
      <c r="AP20" s="75">
        <f t="shared" ref="AP20:AP65" si="34">(AN20+AO20)/(S20+T20)</f>
        <v>1.2848469487309832E-3</v>
      </c>
      <c r="AQ20" s="76">
        <f t="shared" si="8"/>
        <v>-15.946001455982923</v>
      </c>
      <c r="AR20" s="90">
        <f t="shared" si="9"/>
        <v>5.6959999999999127</v>
      </c>
    </row>
    <row r="21" spans="1:49" x14ac:dyDescent="0.25">
      <c r="A21" t="str">
        <f t="shared" si="10"/>
        <v>46182E</v>
      </c>
      <c r="B21" s="51">
        <f t="shared" si="25"/>
        <v>46182</v>
      </c>
      <c r="C21" s="52" t="s">
        <v>88</v>
      </c>
      <c r="D21" s="91">
        <v>12600</v>
      </c>
      <c r="E21" s="62">
        <v>5</v>
      </c>
      <c r="F21" s="62">
        <v>8.4</v>
      </c>
      <c r="G21" s="62">
        <f t="shared" si="0"/>
        <v>630</v>
      </c>
      <c r="H21" s="72">
        <f t="shared" si="11"/>
        <v>1058.4000000000001</v>
      </c>
      <c r="I21" s="119">
        <v>5220</v>
      </c>
      <c r="J21" s="120">
        <v>5376.6</v>
      </c>
      <c r="K21" s="121">
        <v>4.18</v>
      </c>
      <c r="L21" s="122">
        <v>8.3800000000000008</v>
      </c>
      <c r="M21" s="58">
        <v>0</v>
      </c>
      <c r="N21" s="58" t="s">
        <v>167</v>
      </c>
      <c r="O21" s="59">
        <v>0</v>
      </c>
      <c r="P21" s="56">
        <v>0</v>
      </c>
      <c r="Q21" s="60">
        <v>0</v>
      </c>
      <c r="R21" s="61">
        <f t="shared" si="12"/>
        <v>5376.6</v>
      </c>
      <c r="S21" s="62">
        <f t="shared" si="13"/>
        <v>224.74188000000001</v>
      </c>
      <c r="T21" s="63">
        <f t="shared" si="14"/>
        <v>450.55908000000011</v>
      </c>
      <c r="U21" s="64" t="s">
        <v>308</v>
      </c>
      <c r="V21" s="65" t="s">
        <v>464</v>
      </c>
      <c r="W21" s="66" t="s">
        <v>208</v>
      </c>
      <c r="X21" s="67">
        <v>9530</v>
      </c>
      <c r="Y21" s="68">
        <v>4.6500000000000004</v>
      </c>
      <c r="Z21" s="68">
        <v>8.7200000000000006</v>
      </c>
      <c r="AA21" s="62">
        <f t="shared" si="26"/>
        <v>443.14500000000004</v>
      </c>
      <c r="AB21" s="63">
        <f t="shared" si="27"/>
        <v>831.01599999999996</v>
      </c>
      <c r="AC21" s="226">
        <v>9530</v>
      </c>
      <c r="AD21" s="227">
        <v>4.6500000000000004</v>
      </c>
      <c r="AE21" s="227">
        <v>8.7200000000000006</v>
      </c>
      <c r="AF21" s="62">
        <f t="shared" si="28"/>
        <v>443.14500000000004</v>
      </c>
      <c r="AG21" s="63">
        <f t="shared" si="29"/>
        <v>831.01599999999996</v>
      </c>
      <c r="AH21" s="89">
        <v>8525</v>
      </c>
      <c r="AI21" s="66">
        <v>4.9000000000000004</v>
      </c>
      <c r="AJ21" s="66">
        <v>8.4</v>
      </c>
      <c r="AK21" s="62">
        <f t="shared" si="30"/>
        <v>417.72500000000002</v>
      </c>
      <c r="AL21" s="72">
        <f t="shared" si="31"/>
        <v>716.1</v>
      </c>
      <c r="AM21" s="73">
        <f t="shared" si="6"/>
        <v>-78.400000000001455</v>
      </c>
      <c r="AN21" s="74">
        <f t="shared" si="32"/>
        <v>-6.128120000000024</v>
      </c>
      <c r="AO21" s="74">
        <f t="shared" si="33"/>
        <v>-38.1569199999999</v>
      </c>
      <c r="AP21" s="75">
        <f t="shared" si="34"/>
        <v>-6.5578227520955865E-2</v>
      </c>
      <c r="AQ21" s="76">
        <f t="shared" si="8"/>
        <v>-14170.322987333315</v>
      </c>
      <c r="AR21" s="90">
        <f t="shared" si="9"/>
        <v>-78.400000000001455</v>
      </c>
    </row>
    <row r="22" spans="1:49" x14ac:dyDescent="0.25">
      <c r="A22" t="str">
        <f t="shared" si="10"/>
        <v>46183M</v>
      </c>
      <c r="B22" s="51">
        <f t="shared" si="25"/>
        <v>46183</v>
      </c>
      <c r="C22" s="52" t="s">
        <v>87</v>
      </c>
      <c r="D22" s="91"/>
      <c r="E22" s="62"/>
      <c r="F22" s="62"/>
      <c r="G22" s="62">
        <f t="shared" si="0"/>
        <v>0</v>
      </c>
      <c r="H22" s="72">
        <f t="shared" si="11"/>
        <v>0</v>
      </c>
      <c r="I22" s="119"/>
      <c r="J22" s="120"/>
      <c r="K22" s="121"/>
      <c r="L22" s="122"/>
      <c r="M22" s="58"/>
      <c r="N22" s="58"/>
      <c r="O22" s="59"/>
      <c r="P22" s="56"/>
      <c r="Q22" s="60"/>
      <c r="R22" s="61">
        <f t="shared" si="12"/>
        <v>0</v>
      </c>
      <c r="S22" s="62">
        <f t="shared" si="13"/>
        <v>0</v>
      </c>
      <c r="T22" s="63">
        <f t="shared" si="14"/>
        <v>0</v>
      </c>
      <c r="U22" s="64"/>
      <c r="V22" s="65"/>
      <c r="W22" s="66"/>
      <c r="X22" s="67"/>
      <c r="Y22" s="68"/>
      <c r="Z22" s="68"/>
      <c r="AA22" s="62">
        <f t="shared" si="26"/>
        <v>0</v>
      </c>
      <c r="AB22" s="63">
        <f t="shared" si="27"/>
        <v>0</v>
      </c>
      <c r="AC22" s="69"/>
      <c r="AD22" s="70"/>
      <c r="AE22" s="70"/>
      <c r="AF22" s="62">
        <f t="shared" si="28"/>
        <v>0</v>
      </c>
      <c r="AG22" s="63">
        <f t="shared" si="29"/>
        <v>0</v>
      </c>
      <c r="AH22" s="89"/>
      <c r="AI22" s="66"/>
      <c r="AJ22" s="66"/>
      <c r="AK22" s="62">
        <f t="shared" si="30"/>
        <v>0</v>
      </c>
      <c r="AL22" s="72">
        <f t="shared" si="31"/>
        <v>0</v>
      </c>
      <c r="AM22" s="73">
        <f t="shared" si="6"/>
        <v>0</v>
      </c>
      <c r="AN22" s="80">
        <f t="shared" ref="AN22" si="35">+G22+S22-AF22-AK22</f>
        <v>0</v>
      </c>
      <c r="AO22" s="80">
        <f t="shared" ref="AO22" si="36">+H22+T22-AG22-AL22</f>
        <v>0</v>
      </c>
      <c r="AP22" s="75" t="e">
        <f t="shared" si="34"/>
        <v>#DIV/0!</v>
      </c>
      <c r="AQ22" s="76">
        <f t="shared" si="8"/>
        <v>0</v>
      </c>
      <c r="AR22" s="90">
        <f t="shared" si="9"/>
        <v>0</v>
      </c>
    </row>
    <row r="23" spans="1:49" x14ac:dyDescent="0.25">
      <c r="A23" t="str">
        <f t="shared" si="10"/>
        <v>46183E</v>
      </c>
      <c r="B23" s="51">
        <f t="shared" si="25"/>
        <v>46183</v>
      </c>
      <c r="C23" s="52" t="s">
        <v>88</v>
      </c>
      <c r="D23" s="91"/>
      <c r="E23" s="62"/>
      <c r="F23" s="62"/>
      <c r="G23" s="62">
        <f t="shared" si="0"/>
        <v>0</v>
      </c>
      <c r="H23" s="72">
        <f t="shared" si="11"/>
        <v>0</v>
      </c>
      <c r="I23" s="119"/>
      <c r="J23" s="120"/>
      <c r="K23" s="121"/>
      <c r="L23" s="122"/>
      <c r="M23" s="58"/>
      <c r="N23" s="58"/>
      <c r="O23" s="59"/>
      <c r="P23" s="56"/>
      <c r="Q23" s="60"/>
      <c r="R23" s="61">
        <f t="shared" si="12"/>
        <v>0</v>
      </c>
      <c r="S23" s="62">
        <f t="shared" si="13"/>
        <v>0</v>
      </c>
      <c r="T23" s="63">
        <f t="shared" si="14"/>
        <v>0</v>
      </c>
      <c r="U23" s="64"/>
      <c r="V23" s="65"/>
      <c r="W23" s="66"/>
      <c r="X23" s="67"/>
      <c r="Y23" s="68"/>
      <c r="Z23" s="68"/>
      <c r="AA23" s="62">
        <f t="shared" si="26"/>
        <v>0</v>
      </c>
      <c r="AB23" s="63">
        <f t="shared" si="27"/>
        <v>0</v>
      </c>
      <c r="AC23" s="69"/>
      <c r="AD23" s="70"/>
      <c r="AE23" s="70"/>
      <c r="AF23" s="62">
        <f t="shared" si="28"/>
        <v>0</v>
      </c>
      <c r="AG23" s="63">
        <f t="shared" si="29"/>
        <v>0</v>
      </c>
      <c r="AH23" s="89"/>
      <c r="AI23" s="66"/>
      <c r="AJ23" s="66"/>
      <c r="AK23" s="62">
        <f t="shared" ref="AK23:AK36" si="37">AH23*AI23%</f>
        <v>0</v>
      </c>
      <c r="AL23" s="72">
        <f t="shared" ref="AL23:AL36" si="38">AH23*AJ23%</f>
        <v>0</v>
      </c>
      <c r="AM23" s="73">
        <f t="shared" si="6"/>
        <v>0</v>
      </c>
      <c r="AN23" s="80">
        <f t="shared" ref="AN23:AN35" si="39">+G23+S23-AF23-AK23</f>
        <v>0</v>
      </c>
      <c r="AO23" s="80">
        <f t="shared" ref="AO23:AO35" si="40">+H23+T23-AG23-AL23</f>
        <v>0</v>
      </c>
      <c r="AP23" s="75" t="e">
        <f t="shared" si="34"/>
        <v>#DIV/0!</v>
      </c>
      <c r="AQ23" s="76">
        <f t="shared" si="8"/>
        <v>0</v>
      </c>
      <c r="AR23" s="90">
        <f t="shared" si="9"/>
        <v>0</v>
      </c>
    </row>
    <row r="24" spans="1:49" x14ac:dyDescent="0.25">
      <c r="A24" t="str">
        <f t="shared" si="10"/>
        <v>46184M</v>
      </c>
      <c r="B24" s="51">
        <f t="shared" si="25"/>
        <v>46184</v>
      </c>
      <c r="C24" s="99" t="s">
        <v>87</v>
      </c>
      <c r="D24" s="91"/>
      <c r="E24" s="62"/>
      <c r="F24" s="62"/>
      <c r="G24" s="62">
        <f t="shared" si="0"/>
        <v>0</v>
      </c>
      <c r="H24" s="72">
        <f t="shared" si="11"/>
        <v>0</v>
      </c>
      <c r="I24" s="119"/>
      <c r="J24" s="120"/>
      <c r="K24" s="121"/>
      <c r="L24" s="122"/>
      <c r="M24" s="58"/>
      <c r="N24" s="58"/>
      <c r="O24" s="59"/>
      <c r="P24" s="56"/>
      <c r="Q24" s="60"/>
      <c r="R24" s="61">
        <f t="shared" si="12"/>
        <v>0</v>
      </c>
      <c r="S24" s="62">
        <f t="shared" si="13"/>
        <v>0</v>
      </c>
      <c r="T24" s="63">
        <f t="shared" si="14"/>
        <v>0</v>
      </c>
      <c r="U24" s="64"/>
      <c r="V24" s="65"/>
      <c r="W24" s="66"/>
      <c r="X24" s="67"/>
      <c r="Y24" s="68"/>
      <c r="Z24" s="68"/>
      <c r="AA24" s="62">
        <f t="shared" si="26"/>
        <v>0</v>
      </c>
      <c r="AB24" s="63">
        <f t="shared" si="27"/>
        <v>0</v>
      </c>
      <c r="AC24" s="69"/>
      <c r="AD24" s="70"/>
      <c r="AE24" s="70"/>
      <c r="AF24" s="62">
        <f t="shared" si="28"/>
        <v>0</v>
      </c>
      <c r="AG24" s="63">
        <f t="shared" si="29"/>
        <v>0</v>
      </c>
      <c r="AH24" s="89"/>
      <c r="AI24" s="66"/>
      <c r="AJ24" s="66"/>
      <c r="AK24" s="62">
        <f t="shared" si="37"/>
        <v>0</v>
      </c>
      <c r="AL24" s="72">
        <f t="shared" si="38"/>
        <v>0</v>
      </c>
      <c r="AM24" s="73">
        <f t="shared" si="6"/>
        <v>0</v>
      </c>
      <c r="AN24" s="80">
        <f t="shared" si="39"/>
        <v>0</v>
      </c>
      <c r="AO24" s="80">
        <f t="shared" si="40"/>
        <v>0</v>
      </c>
      <c r="AP24" s="75" t="e">
        <f t="shared" si="34"/>
        <v>#DIV/0!</v>
      </c>
      <c r="AQ24" s="76">
        <f t="shared" si="8"/>
        <v>0</v>
      </c>
      <c r="AR24" s="90">
        <f t="shared" si="9"/>
        <v>0</v>
      </c>
    </row>
    <row r="25" spans="1:49" x14ac:dyDescent="0.25">
      <c r="A25" t="str">
        <f t="shared" si="10"/>
        <v>46184E</v>
      </c>
      <c r="B25" s="51">
        <f t="shared" si="25"/>
        <v>46184</v>
      </c>
      <c r="C25" s="52" t="s">
        <v>88</v>
      </c>
      <c r="D25" s="91"/>
      <c r="E25" s="62"/>
      <c r="F25" s="62"/>
      <c r="G25" s="62">
        <f t="shared" si="0"/>
        <v>0</v>
      </c>
      <c r="H25" s="72">
        <f t="shared" si="11"/>
        <v>0</v>
      </c>
      <c r="I25" s="119"/>
      <c r="J25" s="120"/>
      <c r="K25" s="121"/>
      <c r="L25" s="122"/>
      <c r="M25" s="58"/>
      <c r="N25" s="58"/>
      <c r="O25" s="59"/>
      <c r="P25" s="56"/>
      <c r="Q25" s="60"/>
      <c r="R25" s="61">
        <f t="shared" si="12"/>
        <v>0</v>
      </c>
      <c r="S25" s="62">
        <f t="shared" si="13"/>
        <v>0</v>
      </c>
      <c r="T25" s="63">
        <f t="shared" si="14"/>
        <v>0</v>
      </c>
      <c r="U25" s="64"/>
      <c r="V25" s="65"/>
      <c r="W25" s="66"/>
      <c r="X25" s="67"/>
      <c r="Y25" s="68"/>
      <c r="Z25" s="68"/>
      <c r="AA25" s="62">
        <f t="shared" si="26"/>
        <v>0</v>
      </c>
      <c r="AB25" s="63">
        <f t="shared" si="27"/>
        <v>0</v>
      </c>
      <c r="AC25" s="69"/>
      <c r="AD25" s="70"/>
      <c r="AE25" s="70"/>
      <c r="AF25" s="62">
        <f t="shared" si="28"/>
        <v>0</v>
      </c>
      <c r="AG25" s="63">
        <f t="shared" si="29"/>
        <v>0</v>
      </c>
      <c r="AH25" s="89"/>
      <c r="AI25" s="66"/>
      <c r="AJ25" s="66"/>
      <c r="AK25" s="62">
        <f t="shared" si="37"/>
        <v>0</v>
      </c>
      <c r="AL25" s="72">
        <f t="shared" si="38"/>
        <v>0</v>
      </c>
      <c r="AM25" s="73">
        <f t="shared" si="6"/>
        <v>0</v>
      </c>
      <c r="AN25" s="80">
        <f t="shared" si="39"/>
        <v>0</v>
      </c>
      <c r="AO25" s="80">
        <f t="shared" si="40"/>
        <v>0</v>
      </c>
      <c r="AP25" s="75" t="e">
        <f t="shared" si="34"/>
        <v>#DIV/0!</v>
      </c>
      <c r="AQ25" s="76">
        <f t="shared" si="8"/>
        <v>0</v>
      </c>
      <c r="AR25" s="90">
        <f t="shared" si="9"/>
        <v>0</v>
      </c>
    </row>
    <row r="26" spans="1:49" x14ac:dyDescent="0.25">
      <c r="A26" t="str">
        <f t="shared" si="10"/>
        <v>46185M</v>
      </c>
      <c r="B26" s="51">
        <f t="shared" si="25"/>
        <v>46185</v>
      </c>
      <c r="C26" s="52" t="s">
        <v>87</v>
      </c>
      <c r="D26" s="91"/>
      <c r="E26" s="62"/>
      <c r="F26" s="62"/>
      <c r="G26" s="62">
        <f t="shared" si="0"/>
        <v>0</v>
      </c>
      <c r="H26" s="72">
        <f t="shared" si="11"/>
        <v>0</v>
      </c>
      <c r="I26" s="119"/>
      <c r="J26" s="120"/>
      <c r="K26" s="121"/>
      <c r="L26" s="122"/>
      <c r="M26" s="58"/>
      <c r="N26" s="58"/>
      <c r="O26" s="59"/>
      <c r="P26" s="56"/>
      <c r="Q26" s="60"/>
      <c r="R26" s="61">
        <f t="shared" si="12"/>
        <v>0</v>
      </c>
      <c r="S26" s="62">
        <f t="shared" si="13"/>
        <v>0</v>
      </c>
      <c r="T26" s="63">
        <f t="shared" si="14"/>
        <v>0</v>
      </c>
      <c r="U26" s="64"/>
      <c r="V26" s="65"/>
      <c r="W26" s="66"/>
      <c r="X26" s="67"/>
      <c r="Y26" s="68"/>
      <c r="Z26" s="68"/>
      <c r="AA26" s="62">
        <f t="shared" si="26"/>
        <v>0</v>
      </c>
      <c r="AB26" s="63">
        <f t="shared" si="27"/>
        <v>0</v>
      </c>
      <c r="AC26" s="69"/>
      <c r="AD26" s="70"/>
      <c r="AE26" s="70"/>
      <c r="AF26" s="62">
        <f t="shared" si="28"/>
        <v>0</v>
      </c>
      <c r="AG26" s="63">
        <f t="shared" si="29"/>
        <v>0</v>
      </c>
      <c r="AH26" s="89"/>
      <c r="AI26" s="66"/>
      <c r="AJ26" s="66"/>
      <c r="AK26" s="62">
        <f t="shared" si="37"/>
        <v>0</v>
      </c>
      <c r="AL26" s="72">
        <f t="shared" si="38"/>
        <v>0</v>
      </c>
      <c r="AM26" s="73">
        <f t="shared" si="6"/>
        <v>0</v>
      </c>
      <c r="AN26" s="80">
        <f t="shared" si="39"/>
        <v>0</v>
      </c>
      <c r="AO26" s="80">
        <f t="shared" si="40"/>
        <v>0</v>
      </c>
      <c r="AP26" s="75" t="e">
        <f t="shared" si="34"/>
        <v>#DIV/0!</v>
      </c>
      <c r="AQ26" s="76">
        <f t="shared" si="8"/>
        <v>0</v>
      </c>
      <c r="AR26" s="90">
        <f t="shared" si="9"/>
        <v>0</v>
      </c>
    </row>
    <row r="27" spans="1:49" x14ac:dyDescent="0.25">
      <c r="A27" t="str">
        <f t="shared" si="10"/>
        <v>46185E</v>
      </c>
      <c r="B27" s="51">
        <f t="shared" si="25"/>
        <v>46185</v>
      </c>
      <c r="C27" s="52" t="s">
        <v>88</v>
      </c>
      <c r="D27" s="91"/>
      <c r="E27" s="62"/>
      <c r="F27" s="62"/>
      <c r="G27" s="62">
        <f t="shared" si="0"/>
        <v>0</v>
      </c>
      <c r="H27" s="72">
        <f t="shared" si="11"/>
        <v>0</v>
      </c>
      <c r="I27" s="119"/>
      <c r="J27" s="120"/>
      <c r="K27" s="121"/>
      <c r="L27" s="122"/>
      <c r="M27" s="58"/>
      <c r="N27" s="58"/>
      <c r="O27" s="59"/>
      <c r="P27" s="56"/>
      <c r="Q27" s="60"/>
      <c r="R27" s="61">
        <f t="shared" si="12"/>
        <v>0</v>
      </c>
      <c r="S27" s="62">
        <f t="shared" si="13"/>
        <v>0</v>
      </c>
      <c r="T27" s="63">
        <f t="shared" si="14"/>
        <v>0</v>
      </c>
      <c r="U27" s="64"/>
      <c r="V27" s="65"/>
      <c r="W27" s="66"/>
      <c r="X27" s="67"/>
      <c r="Y27" s="68"/>
      <c r="Z27" s="68"/>
      <c r="AA27" s="62">
        <f t="shared" si="26"/>
        <v>0</v>
      </c>
      <c r="AB27" s="63">
        <f t="shared" si="27"/>
        <v>0</v>
      </c>
      <c r="AC27" s="69"/>
      <c r="AD27" s="70"/>
      <c r="AE27" s="70"/>
      <c r="AF27" s="62">
        <f t="shared" si="28"/>
        <v>0</v>
      </c>
      <c r="AG27" s="63">
        <f t="shared" si="29"/>
        <v>0</v>
      </c>
      <c r="AH27" s="89"/>
      <c r="AI27" s="66"/>
      <c r="AJ27" s="66"/>
      <c r="AK27" s="62">
        <f t="shared" si="37"/>
        <v>0</v>
      </c>
      <c r="AL27" s="72">
        <f t="shared" si="38"/>
        <v>0</v>
      </c>
      <c r="AM27" s="73">
        <f t="shared" si="6"/>
        <v>0</v>
      </c>
      <c r="AN27" s="80">
        <f t="shared" si="39"/>
        <v>0</v>
      </c>
      <c r="AO27" s="80">
        <f t="shared" si="40"/>
        <v>0</v>
      </c>
      <c r="AP27" s="75" t="e">
        <f t="shared" si="34"/>
        <v>#DIV/0!</v>
      </c>
      <c r="AQ27" s="76">
        <f t="shared" si="8"/>
        <v>0</v>
      </c>
      <c r="AR27" s="90">
        <f t="shared" si="9"/>
        <v>0</v>
      </c>
      <c r="AS27" s="90">
        <f>SUM(J14:J27)</f>
        <v>31473.71</v>
      </c>
      <c r="AT27" s="83">
        <f>SUM(AM14:AM27)</f>
        <v>-101.29000000000087</v>
      </c>
      <c r="AU27" s="83">
        <f>SUM(AN14:AN27)</f>
        <v>15.854613399999835</v>
      </c>
      <c r="AV27" s="83">
        <f>SUM(AO14:AO27)</f>
        <v>-72.624562399999718</v>
      </c>
      <c r="AW27" s="83">
        <f>-SUM(AQ14:AQ27)</f>
        <v>14617.300369928656</v>
      </c>
    </row>
    <row r="28" spans="1:49" x14ac:dyDescent="0.25">
      <c r="A28" t="str">
        <f t="shared" si="10"/>
        <v>46186M</v>
      </c>
      <c r="B28" s="51">
        <f t="shared" si="25"/>
        <v>46186</v>
      </c>
      <c r="C28" s="52" t="s">
        <v>87</v>
      </c>
      <c r="D28" s="91"/>
      <c r="E28" s="62"/>
      <c r="F28" s="62"/>
      <c r="G28" s="62">
        <f t="shared" si="0"/>
        <v>0</v>
      </c>
      <c r="H28" s="72">
        <f t="shared" si="11"/>
        <v>0</v>
      </c>
      <c r="I28" s="119"/>
      <c r="J28" s="120"/>
      <c r="K28" s="121"/>
      <c r="L28" s="122"/>
      <c r="M28" s="58"/>
      <c r="N28" s="58"/>
      <c r="O28" s="59"/>
      <c r="P28" s="56"/>
      <c r="Q28" s="60"/>
      <c r="R28" s="61">
        <f t="shared" si="12"/>
        <v>0</v>
      </c>
      <c r="S28" s="62">
        <f t="shared" si="13"/>
        <v>0</v>
      </c>
      <c r="T28" s="63">
        <f t="shared" si="14"/>
        <v>0</v>
      </c>
      <c r="U28" s="64"/>
      <c r="V28" s="65"/>
      <c r="W28" s="66"/>
      <c r="X28" s="67"/>
      <c r="Y28" s="68"/>
      <c r="Z28" s="68"/>
      <c r="AA28" s="62">
        <f t="shared" si="26"/>
        <v>0</v>
      </c>
      <c r="AB28" s="63">
        <f t="shared" si="27"/>
        <v>0</v>
      </c>
      <c r="AC28" s="69"/>
      <c r="AD28" s="70"/>
      <c r="AE28" s="70"/>
      <c r="AF28" s="62">
        <f t="shared" si="28"/>
        <v>0</v>
      </c>
      <c r="AG28" s="63">
        <f t="shared" si="29"/>
        <v>0</v>
      </c>
      <c r="AH28" s="89"/>
      <c r="AI28" s="66"/>
      <c r="AJ28" s="66"/>
      <c r="AK28" s="62">
        <f t="shared" si="37"/>
        <v>0</v>
      </c>
      <c r="AL28" s="72">
        <f t="shared" si="38"/>
        <v>0</v>
      </c>
      <c r="AM28" s="73">
        <f t="shared" si="6"/>
        <v>0</v>
      </c>
      <c r="AN28" s="80">
        <f t="shared" si="39"/>
        <v>0</v>
      </c>
      <c r="AO28" s="80">
        <f t="shared" si="40"/>
        <v>0</v>
      </c>
      <c r="AP28" s="75" t="e">
        <f t="shared" si="34"/>
        <v>#DIV/0!</v>
      </c>
      <c r="AQ28" s="76">
        <f t="shared" si="8"/>
        <v>0</v>
      </c>
      <c r="AR28" s="90">
        <f t="shared" si="9"/>
        <v>0</v>
      </c>
    </row>
    <row r="29" spans="1:49" x14ac:dyDescent="0.25">
      <c r="A29" t="str">
        <f t="shared" si="10"/>
        <v>46186E</v>
      </c>
      <c r="B29" s="51">
        <f t="shared" si="25"/>
        <v>46186</v>
      </c>
      <c r="C29" s="52" t="s">
        <v>88</v>
      </c>
      <c r="D29" s="91"/>
      <c r="E29" s="62"/>
      <c r="F29" s="62"/>
      <c r="G29" s="62">
        <f t="shared" si="0"/>
        <v>0</v>
      </c>
      <c r="H29" s="72">
        <f t="shared" si="11"/>
        <v>0</v>
      </c>
      <c r="I29" s="119"/>
      <c r="J29" s="120"/>
      <c r="K29" s="121"/>
      <c r="L29" s="122"/>
      <c r="M29" s="58"/>
      <c r="N29" s="58"/>
      <c r="O29" s="59"/>
      <c r="P29" s="56"/>
      <c r="Q29" s="60"/>
      <c r="R29" s="61">
        <f t="shared" si="12"/>
        <v>0</v>
      </c>
      <c r="S29" s="62">
        <f t="shared" si="13"/>
        <v>0</v>
      </c>
      <c r="T29" s="63">
        <f t="shared" si="14"/>
        <v>0</v>
      </c>
      <c r="U29" s="64"/>
      <c r="V29" s="65"/>
      <c r="W29" s="66"/>
      <c r="X29" s="67"/>
      <c r="Y29" s="68"/>
      <c r="Z29" s="68"/>
      <c r="AA29" s="62">
        <f t="shared" si="26"/>
        <v>0</v>
      </c>
      <c r="AB29" s="63">
        <f t="shared" si="27"/>
        <v>0</v>
      </c>
      <c r="AC29" s="69"/>
      <c r="AD29" s="70"/>
      <c r="AE29" s="70"/>
      <c r="AF29" s="62">
        <f t="shared" si="28"/>
        <v>0</v>
      </c>
      <c r="AG29" s="63">
        <f t="shared" si="29"/>
        <v>0</v>
      </c>
      <c r="AH29" s="89"/>
      <c r="AI29" s="66"/>
      <c r="AJ29" s="66"/>
      <c r="AK29" s="62">
        <f t="shared" si="37"/>
        <v>0</v>
      </c>
      <c r="AL29" s="72">
        <f t="shared" si="38"/>
        <v>0</v>
      </c>
      <c r="AM29" s="73">
        <f t="shared" si="6"/>
        <v>0</v>
      </c>
      <c r="AN29" s="80">
        <f t="shared" si="39"/>
        <v>0</v>
      </c>
      <c r="AO29" s="80">
        <f t="shared" si="40"/>
        <v>0</v>
      </c>
      <c r="AP29" s="75" t="e">
        <f t="shared" si="34"/>
        <v>#DIV/0!</v>
      </c>
      <c r="AQ29" s="76">
        <f t="shared" si="8"/>
        <v>0</v>
      </c>
      <c r="AR29" s="90">
        <f t="shared" si="9"/>
        <v>0</v>
      </c>
    </row>
    <row r="30" spans="1:49" x14ac:dyDescent="0.25">
      <c r="A30" t="str">
        <f t="shared" si="10"/>
        <v>46187M</v>
      </c>
      <c r="B30" s="51">
        <f t="shared" si="25"/>
        <v>46187</v>
      </c>
      <c r="C30" s="52" t="s">
        <v>87</v>
      </c>
      <c r="D30" s="91"/>
      <c r="E30" s="62"/>
      <c r="F30" s="62"/>
      <c r="G30" s="62">
        <f t="shared" si="0"/>
        <v>0</v>
      </c>
      <c r="H30" s="72">
        <f t="shared" si="11"/>
        <v>0</v>
      </c>
      <c r="I30" s="119"/>
      <c r="J30" s="120"/>
      <c r="K30" s="121"/>
      <c r="L30" s="122"/>
      <c r="M30" s="58"/>
      <c r="N30" s="58"/>
      <c r="O30" s="59"/>
      <c r="P30" s="56"/>
      <c r="Q30" s="60"/>
      <c r="R30" s="61">
        <f t="shared" si="12"/>
        <v>0</v>
      </c>
      <c r="S30" s="62">
        <f t="shared" si="13"/>
        <v>0</v>
      </c>
      <c r="T30" s="63">
        <f t="shared" si="14"/>
        <v>0</v>
      </c>
      <c r="U30" s="64"/>
      <c r="V30" s="65"/>
      <c r="W30" s="66"/>
      <c r="X30" s="67"/>
      <c r="Y30" s="68"/>
      <c r="Z30" s="68"/>
      <c r="AA30" s="62">
        <f t="shared" si="26"/>
        <v>0</v>
      </c>
      <c r="AB30" s="63">
        <f t="shared" si="27"/>
        <v>0</v>
      </c>
      <c r="AC30" s="69"/>
      <c r="AD30" s="70"/>
      <c r="AE30" s="70"/>
      <c r="AF30" s="62">
        <f t="shared" si="28"/>
        <v>0</v>
      </c>
      <c r="AG30" s="63">
        <f t="shared" si="29"/>
        <v>0</v>
      </c>
      <c r="AH30" s="89"/>
      <c r="AI30" s="66"/>
      <c r="AJ30" s="66"/>
      <c r="AK30" s="62">
        <f t="shared" si="37"/>
        <v>0</v>
      </c>
      <c r="AL30" s="72">
        <f t="shared" si="38"/>
        <v>0</v>
      </c>
      <c r="AM30" s="73">
        <f t="shared" si="6"/>
        <v>0</v>
      </c>
      <c r="AN30" s="80">
        <f t="shared" si="39"/>
        <v>0</v>
      </c>
      <c r="AO30" s="80">
        <f t="shared" si="40"/>
        <v>0</v>
      </c>
      <c r="AP30" s="75" t="e">
        <f t="shared" si="34"/>
        <v>#DIV/0!</v>
      </c>
      <c r="AQ30" s="76">
        <f t="shared" si="8"/>
        <v>0</v>
      </c>
      <c r="AR30" s="90">
        <f t="shared" si="9"/>
        <v>0</v>
      </c>
    </row>
    <row r="31" spans="1:49" x14ac:dyDescent="0.25">
      <c r="A31" t="str">
        <f t="shared" si="10"/>
        <v>46187E</v>
      </c>
      <c r="B31" s="51">
        <f t="shared" si="25"/>
        <v>46187</v>
      </c>
      <c r="C31" s="52" t="s">
        <v>88</v>
      </c>
      <c r="D31" s="91"/>
      <c r="E31" s="62"/>
      <c r="F31" s="62"/>
      <c r="G31" s="62">
        <f t="shared" si="0"/>
        <v>0</v>
      </c>
      <c r="H31" s="72">
        <f t="shared" si="11"/>
        <v>0</v>
      </c>
      <c r="I31" s="119"/>
      <c r="J31" s="120"/>
      <c r="K31" s="121"/>
      <c r="L31" s="122"/>
      <c r="M31" s="58"/>
      <c r="N31" s="58"/>
      <c r="O31" s="59"/>
      <c r="P31" s="56"/>
      <c r="Q31" s="60"/>
      <c r="R31" s="61">
        <f t="shared" si="12"/>
        <v>0</v>
      </c>
      <c r="S31" s="62">
        <f t="shared" si="13"/>
        <v>0</v>
      </c>
      <c r="T31" s="63">
        <f t="shared" si="14"/>
        <v>0</v>
      </c>
      <c r="U31" s="64"/>
      <c r="V31" s="65"/>
      <c r="W31" s="66"/>
      <c r="X31" s="67"/>
      <c r="Y31" s="68"/>
      <c r="Z31" s="68"/>
      <c r="AA31" s="62">
        <f t="shared" si="26"/>
        <v>0</v>
      </c>
      <c r="AB31" s="63">
        <f t="shared" si="27"/>
        <v>0</v>
      </c>
      <c r="AC31" s="69"/>
      <c r="AD31" s="70"/>
      <c r="AE31" s="70"/>
      <c r="AF31" s="62">
        <f t="shared" si="28"/>
        <v>0</v>
      </c>
      <c r="AG31" s="63">
        <f t="shared" si="29"/>
        <v>0</v>
      </c>
      <c r="AH31" s="89"/>
      <c r="AI31" s="66"/>
      <c r="AJ31" s="66"/>
      <c r="AK31" s="62">
        <f t="shared" si="37"/>
        <v>0</v>
      </c>
      <c r="AL31" s="72">
        <f t="shared" si="38"/>
        <v>0</v>
      </c>
      <c r="AM31" s="73">
        <f t="shared" si="6"/>
        <v>0</v>
      </c>
      <c r="AN31" s="80">
        <f t="shared" si="39"/>
        <v>0</v>
      </c>
      <c r="AO31" s="80">
        <f t="shared" si="40"/>
        <v>0</v>
      </c>
      <c r="AP31" s="75" t="e">
        <f t="shared" si="34"/>
        <v>#DIV/0!</v>
      </c>
      <c r="AQ31" s="76">
        <f t="shared" si="8"/>
        <v>0</v>
      </c>
      <c r="AR31" s="90">
        <f t="shared" si="9"/>
        <v>0</v>
      </c>
    </row>
    <row r="32" spans="1:49" x14ac:dyDescent="0.25">
      <c r="A32" t="str">
        <f t="shared" si="10"/>
        <v>46188M</v>
      </c>
      <c r="B32" s="51">
        <f t="shared" si="25"/>
        <v>46188</v>
      </c>
      <c r="C32" s="52" t="s">
        <v>87</v>
      </c>
      <c r="D32" s="91"/>
      <c r="E32" s="62"/>
      <c r="F32" s="62"/>
      <c r="G32" s="62">
        <f t="shared" si="0"/>
        <v>0</v>
      </c>
      <c r="H32" s="72">
        <f t="shared" si="11"/>
        <v>0</v>
      </c>
      <c r="I32" s="119"/>
      <c r="J32" s="120"/>
      <c r="K32" s="121"/>
      <c r="L32" s="122"/>
      <c r="M32" s="58"/>
      <c r="N32" s="58"/>
      <c r="O32" s="59"/>
      <c r="P32" s="56"/>
      <c r="Q32" s="60"/>
      <c r="R32" s="61">
        <f t="shared" si="12"/>
        <v>0</v>
      </c>
      <c r="S32" s="62">
        <f t="shared" si="13"/>
        <v>0</v>
      </c>
      <c r="T32" s="63">
        <f t="shared" si="14"/>
        <v>0</v>
      </c>
      <c r="U32" s="64"/>
      <c r="V32" s="65"/>
      <c r="W32" s="66"/>
      <c r="X32" s="67"/>
      <c r="Y32" s="68"/>
      <c r="Z32" s="68"/>
      <c r="AA32" s="62">
        <f t="shared" si="26"/>
        <v>0</v>
      </c>
      <c r="AB32" s="63">
        <f t="shared" si="27"/>
        <v>0</v>
      </c>
      <c r="AC32" s="69"/>
      <c r="AD32" s="70"/>
      <c r="AE32" s="70"/>
      <c r="AF32" s="62">
        <f t="shared" ref="AF32:AF36" si="41">AC32*AD32%</f>
        <v>0</v>
      </c>
      <c r="AG32" s="63">
        <f t="shared" ref="AG32:AG36" si="42">AC32*AE32%</f>
        <v>0</v>
      </c>
      <c r="AH32" s="89"/>
      <c r="AI32" s="66"/>
      <c r="AJ32" s="66"/>
      <c r="AK32" s="62">
        <f t="shared" si="37"/>
        <v>0</v>
      </c>
      <c r="AL32" s="72">
        <f t="shared" si="38"/>
        <v>0</v>
      </c>
      <c r="AM32" s="73">
        <f t="shared" si="6"/>
        <v>0</v>
      </c>
      <c r="AN32" s="80">
        <f t="shared" si="39"/>
        <v>0</v>
      </c>
      <c r="AO32" s="80">
        <f t="shared" si="40"/>
        <v>0</v>
      </c>
      <c r="AP32" s="75" t="e">
        <f t="shared" si="34"/>
        <v>#DIV/0!</v>
      </c>
      <c r="AQ32" s="76">
        <f t="shared" si="8"/>
        <v>0</v>
      </c>
      <c r="AR32" s="90">
        <f t="shared" si="9"/>
        <v>0</v>
      </c>
    </row>
    <row r="33" spans="1:49" x14ac:dyDescent="0.25">
      <c r="A33" t="str">
        <f t="shared" si="10"/>
        <v>46188E</v>
      </c>
      <c r="B33" s="51">
        <f t="shared" si="25"/>
        <v>46188</v>
      </c>
      <c r="C33" s="52" t="s">
        <v>88</v>
      </c>
      <c r="D33" s="91"/>
      <c r="E33" s="62"/>
      <c r="F33" s="62"/>
      <c r="G33" s="62">
        <f t="shared" si="0"/>
        <v>0</v>
      </c>
      <c r="H33" s="72">
        <f t="shared" si="11"/>
        <v>0</v>
      </c>
      <c r="I33" s="119"/>
      <c r="J33" s="120"/>
      <c r="K33" s="121"/>
      <c r="L33" s="122"/>
      <c r="M33" s="58"/>
      <c r="N33" s="58"/>
      <c r="O33" s="59"/>
      <c r="P33" s="56"/>
      <c r="Q33" s="60"/>
      <c r="R33" s="61">
        <f t="shared" si="12"/>
        <v>0</v>
      </c>
      <c r="S33" s="62">
        <f t="shared" si="13"/>
        <v>0</v>
      </c>
      <c r="T33" s="63">
        <f t="shared" si="14"/>
        <v>0</v>
      </c>
      <c r="U33" s="64"/>
      <c r="V33" s="65"/>
      <c r="W33" s="66"/>
      <c r="X33" s="67"/>
      <c r="Y33" s="68"/>
      <c r="Z33" s="68"/>
      <c r="AA33" s="62">
        <f t="shared" si="26"/>
        <v>0</v>
      </c>
      <c r="AB33" s="63">
        <f t="shared" si="27"/>
        <v>0</v>
      </c>
      <c r="AC33" s="69"/>
      <c r="AD33" s="70"/>
      <c r="AE33" s="70"/>
      <c r="AF33" s="62">
        <f t="shared" si="41"/>
        <v>0</v>
      </c>
      <c r="AG33" s="63">
        <f t="shared" si="42"/>
        <v>0</v>
      </c>
      <c r="AH33" s="89"/>
      <c r="AI33" s="66"/>
      <c r="AJ33" s="66"/>
      <c r="AK33" s="62">
        <f t="shared" si="37"/>
        <v>0</v>
      </c>
      <c r="AL33" s="72">
        <f t="shared" si="38"/>
        <v>0</v>
      </c>
      <c r="AM33" s="73">
        <f t="shared" si="6"/>
        <v>0</v>
      </c>
      <c r="AN33" s="80">
        <f t="shared" si="39"/>
        <v>0</v>
      </c>
      <c r="AO33" s="80">
        <f t="shared" si="40"/>
        <v>0</v>
      </c>
      <c r="AP33" s="75" t="e">
        <f t="shared" si="34"/>
        <v>#DIV/0!</v>
      </c>
      <c r="AQ33" s="76">
        <f t="shared" si="8"/>
        <v>0</v>
      </c>
      <c r="AR33" s="90">
        <f t="shared" si="9"/>
        <v>0</v>
      </c>
    </row>
    <row r="34" spans="1:49" x14ac:dyDescent="0.25">
      <c r="A34" t="str">
        <f t="shared" si="10"/>
        <v>46189M</v>
      </c>
      <c r="B34" s="51">
        <f t="shared" si="25"/>
        <v>46189</v>
      </c>
      <c r="C34" s="52" t="s">
        <v>87</v>
      </c>
      <c r="D34" s="91"/>
      <c r="E34" s="62"/>
      <c r="F34" s="62"/>
      <c r="G34" s="62">
        <f t="shared" si="0"/>
        <v>0</v>
      </c>
      <c r="H34" s="72">
        <f t="shared" si="11"/>
        <v>0</v>
      </c>
      <c r="I34" s="119"/>
      <c r="J34" s="120"/>
      <c r="K34" s="121"/>
      <c r="L34" s="122"/>
      <c r="M34" s="58"/>
      <c r="N34" s="58"/>
      <c r="O34" s="59"/>
      <c r="P34" s="56"/>
      <c r="Q34" s="60"/>
      <c r="R34" s="61">
        <f t="shared" si="12"/>
        <v>0</v>
      </c>
      <c r="S34" s="62">
        <f t="shared" si="13"/>
        <v>0</v>
      </c>
      <c r="T34" s="63">
        <f t="shared" si="14"/>
        <v>0</v>
      </c>
      <c r="U34" s="64"/>
      <c r="V34" s="65"/>
      <c r="W34" s="66"/>
      <c r="X34" s="67"/>
      <c r="Y34" s="68"/>
      <c r="Z34" s="68"/>
      <c r="AA34" s="62">
        <f t="shared" si="26"/>
        <v>0</v>
      </c>
      <c r="AB34" s="63">
        <f t="shared" si="27"/>
        <v>0</v>
      </c>
      <c r="AC34" s="69"/>
      <c r="AD34" s="70"/>
      <c r="AE34" s="70"/>
      <c r="AF34" s="62">
        <f t="shared" si="41"/>
        <v>0</v>
      </c>
      <c r="AG34" s="63">
        <f t="shared" si="42"/>
        <v>0</v>
      </c>
      <c r="AH34" s="89"/>
      <c r="AI34" s="66"/>
      <c r="AJ34" s="66"/>
      <c r="AK34" s="62">
        <f t="shared" si="37"/>
        <v>0</v>
      </c>
      <c r="AL34" s="72">
        <f t="shared" si="38"/>
        <v>0</v>
      </c>
      <c r="AM34" s="73">
        <f t="shared" si="6"/>
        <v>0</v>
      </c>
      <c r="AN34" s="80">
        <f t="shared" si="39"/>
        <v>0</v>
      </c>
      <c r="AO34" s="80">
        <f t="shared" si="40"/>
        <v>0</v>
      </c>
      <c r="AP34" s="75" t="e">
        <f t="shared" si="34"/>
        <v>#DIV/0!</v>
      </c>
      <c r="AQ34" s="76">
        <f t="shared" si="8"/>
        <v>0</v>
      </c>
      <c r="AR34" s="90">
        <f t="shared" si="9"/>
        <v>0</v>
      </c>
    </row>
    <row r="35" spans="1:49" x14ac:dyDescent="0.25">
      <c r="A35" t="str">
        <f t="shared" si="10"/>
        <v>46189E</v>
      </c>
      <c r="B35" s="51">
        <f t="shared" si="25"/>
        <v>46189</v>
      </c>
      <c r="C35" s="52" t="s">
        <v>88</v>
      </c>
      <c r="D35" s="91"/>
      <c r="E35" s="62"/>
      <c r="F35" s="62"/>
      <c r="G35" s="62">
        <f t="shared" si="0"/>
        <v>0</v>
      </c>
      <c r="H35" s="72">
        <f t="shared" si="11"/>
        <v>0</v>
      </c>
      <c r="I35" s="119"/>
      <c r="J35" s="120"/>
      <c r="K35" s="121"/>
      <c r="L35" s="122"/>
      <c r="M35" s="58"/>
      <c r="N35" s="58"/>
      <c r="O35" s="59"/>
      <c r="P35" s="56"/>
      <c r="Q35" s="60"/>
      <c r="R35" s="61">
        <f t="shared" si="12"/>
        <v>0</v>
      </c>
      <c r="S35" s="62">
        <f t="shared" si="13"/>
        <v>0</v>
      </c>
      <c r="T35" s="63">
        <f t="shared" si="14"/>
        <v>0</v>
      </c>
      <c r="U35" s="64"/>
      <c r="V35" s="65"/>
      <c r="W35" s="66"/>
      <c r="X35" s="67"/>
      <c r="Y35" s="68"/>
      <c r="Z35" s="68"/>
      <c r="AA35" s="62">
        <f t="shared" si="26"/>
        <v>0</v>
      </c>
      <c r="AB35" s="63">
        <f t="shared" si="27"/>
        <v>0</v>
      </c>
      <c r="AC35" s="69"/>
      <c r="AD35" s="70"/>
      <c r="AE35" s="70"/>
      <c r="AF35" s="62">
        <f t="shared" si="41"/>
        <v>0</v>
      </c>
      <c r="AG35" s="63">
        <f t="shared" si="42"/>
        <v>0</v>
      </c>
      <c r="AH35" s="89"/>
      <c r="AI35" s="66"/>
      <c r="AJ35" s="66"/>
      <c r="AK35" s="62">
        <f t="shared" si="37"/>
        <v>0</v>
      </c>
      <c r="AL35" s="72">
        <f t="shared" si="38"/>
        <v>0</v>
      </c>
      <c r="AM35" s="73">
        <f t="shared" si="6"/>
        <v>0</v>
      </c>
      <c r="AN35" s="80">
        <f t="shared" si="39"/>
        <v>0</v>
      </c>
      <c r="AO35" s="80">
        <f t="shared" si="40"/>
        <v>0</v>
      </c>
      <c r="AP35" s="75" t="e">
        <f t="shared" si="34"/>
        <v>#DIV/0!</v>
      </c>
      <c r="AQ35" s="76">
        <f t="shared" si="8"/>
        <v>0</v>
      </c>
      <c r="AR35" s="90">
        <f t="shared" si="9"/>
        <v>0</v>
      </c>
    </row>
    <row r="36" spans="1:49" x14ac:dyDescent="0.25">
      <c r="A36" t="str">
        <f t="shared" si="10"/>
        <v>46190M</v>
      </c>
      <c r="B36" s="51">
        <f t="shared" si="25"/>
        <v>46190</v>
      </c>
      <c r="C36" s="99" t="s">
        <v>87</v>
      </c>
      <c r="D36" s="91"/>
      <c r="E36" s="62"/>
      <c r="F36" s="62"/>
      <c r="G36" s="62">
        <f t="shared" ref="G36:G65" si="43">+D36*E36%</f>
        <v>0</v>
      </c>
      <c r="H36" s="72">
        <f t="shared" si="11"/>
        <v>0</v>
      </c>
      <c r="I36" s="119"/>
      <c r="J36" s="120"/>
      <c r="K36" s="121"/>
      <c r="L36" s="122"/>
      <c r="M36" s="58"/>
      <c r="N36" s="58"/>
      <c r="O36" s="59"/>
      <c r="P36" s="56"/>
      <c r="Q36" s="60"/>
      <c r="R36" s="61">
        <f t="shared" si="12"/>
        <v>0</v>
      </c>
      <c r="S36" s="62">
        <f t="shared" si="13"/>
        <v>0</v>
      </c>
      <c r="T36" s="63">
        <f t="shared" si="14"/>
        <v>0</v>
      </c>
      <c r="U36" s="64"/>
      <c r="V36" s="85"/>
      <c r="W36" s="66"/>
      <c r="X36" s="67"/>
      <c r="Y36" s="68"/>
      <c r="Z36" s="68"/>
      <c r="AA36" s="62">
        <f t="shared" si="26"/>
        <v>0</v>
      </c>
      <c r="AB36" s="63">
        <f t="shared" si="27"/>
        <v>0</v>
      </c>
      <c r="AC36" s="69"/>
      <c r="AD36" s="70"/>
      <c r="AE36" s="70"/>
      <c r="AF36" s="62">
        <f t="shared" si="41"/>
        <v>0</v>
      </c>
      <c r="AG36" s="63">
        <f t="shared" si="42"/>
        <v>0</v>
      </c>
      <c r="AH36" s="89"/>
      <c r="AI36" s="66"/>
      <c r="AJ36" s="66"/>
      <c r="AK36" s="62">
        <f t="shared" si="37"/>
        <v>0</v>
      </c>
      <c r="AL36" s="72">
        <f t="shared" si="38"/>
        <v>0</v>
      </c>
      <c r="AM36" s="73">
        <f t="shared" ref="AM36:AM65" si="44">+D36+R36-AC36-AH36</f>
        <v>0</v>
      </c>
      <c r="AN36" s="80">
        <f t="shared" ref="AN36:AO36" si="45">+G36+S36-AF36-AK36</f>
        <v>0</v>
      </c>
      <c r="AO36" s="80">
        <f t="shared" si="45"/>
        <v>0</v>
      </c>
      <c r="AP36" s="75" t="e">
        <f t="shared" si="34"/>
        <v>#DIV/0!</v>
      </c>
      <c r="AQ36" s="76">
        <f t="shared" si="8"/>
        <v>0</v>
      </c>
      <c r="AR36" s="90">
        <f t="shared" ref="AR36:AR65" si="46">(D36+J36+O36)-(X36+AH36)</f>
        <v>0</v>
      </c>
    </row>
    <row r="37" spans="1:49" x14ac:dyDescent="0.25">
      <c r="A37" t="str">
        <f t="shared" si="10"/>
        <v>46190E</v>
      </c>
      <c r="B37" s="51">
        <f t="shared" si="25"/>
        <v>46190</v>
      </c>
      <c r="C37" s="52" t="s">
        <v>88</v>
      </c>
      <c r="D37" s="91"/>
      <c r="E37" s="62"/>
      <c r="F37" s="62"/>
      <c r="G37" s="62">
        <f t="shared" si="43"/>
        <v>0</v>
      </c>
      <c r="H37" s="72">
        <f t="shared" ref="H37:H65" si="47">+D37*F37%</f>
        <v>0</v>
      </c>
      <c r="I37" s="119"/>
      <c r="J37" s="120"/>
      <c r="K37" s="121"/>
      <c r="L37" s="122"/>
      <c r="M37" s="58"/>
      <c r="N37" s="58"/>
      <c r="O37" s="59"/>
      <c r="P37" s="56"/>
      <c r="Q37" s="60"/>
      <c r="R37" s="61">
        <f t="shared" si="12"/>
        <v>0</v>
      </c>
      <c r="S37" s="62">
        <f t="shared" si="13"/>
        <v>0</v>
      </c>
      <c r="T37" s="63">
        <f t="shared" si="14"/>
        <v>0</v>
      </c>
      <c r="U37" s="64"/>
      <c r="V37" s="65"/>
      <c r="W37" s="66"/>
      <c r="X37" s="67"/>
      <c r="Y37" s="68"/>
      <c r="Z37" s="68"/>
      <c r="AA37" s="62">
        <f t="shared" si="26"/>
        <v>0</v>
      </c>
      <c r="AB37" s="63">
        <f t="shared" si="27"/>
        <v>0</v>
      </c>
      <c r="AC37" s="69"/>
      <c r="AD37" s="70"/>
      <c r="AE37" s="70"/>
      <c r="AF37" s="62">
        <f t="shared" ref="AF37:AF55" si="48">AC37*AD37%</f>
        <v>0</v>
      </c>
      <c r="AG37" s="63">
        <f t="shared" ref="AG37:AG55" si="49">AC37*AE37%</f>
        <v>0</v>
      </c>
      <c r="AH37" s="89"/>
      <c r="AI37" s="66"/>
      <c r="AJ37" s="66"/>
      <c r="AK37" s="62">
        <f t="shared" ref="AK37:AK49" si="50">AH37*AI37%</f>
        <v>0</v>
      </c>
      <c r="AL37" s="72">
        <f t="shared" ref="AL37:AL49" si="51">AH37*AJ37%</f>
        <v>0</v>
      </c>
      <c r="AM37" s="73">
        <f t="shared" si="44"/>
        <v>0</v>
      </c>
      <c r="AN37" s="80">
        <f t="shared" ref="AN37:AN49" si="52">+G37+S37-AF37-AK37</f>
        <v>0</v>
      </c>
      <c r="AO37" s="80">
        <f t="shared" ref="AO37:AO49" si="53">+H37+T37-AG37-AL37</f>
        <v>0</v>
      </c>
      <c r="AP37" s="75" t="e">
        <f t="shared" si="34"/>
        <v>#DIV/0!</v>
      </c>
      <c r="AQ37" s="76">
        <f t="shared" si="8"/>
        <v>0</v>
      </c>
      <c r="AR37" s="90">
        <f t="shared" si="46"/>
        <v>0</v>
      </c>
    </row>
    <row r="38" spans="1:49" x14ac:dyDescent="0.25">
      <c r="A38" t="str">
        <f t="shared" si="10"/>
        <v>46191M</v>
      </c>
      <c r="B38" s="51">
        <f t="shared" si="25"/>
        <v>46191</v>
      </c>
      <c r="C38" s="52" t="s">
        <v>87</v>
      </c>
      <c r="D38" s="91"/>
      <c r="E38" s="62"/>
      <c r="F38" s="62"/>
      <c r="G38" s="62">
        <f t="shared" si="43"/>
        <v>0</v>
      </c>
      <c r="H38" s="72">
        <f t="shared" si="47"/>
        <v>0</v>
      </c>
      <c r="I38" s="119"/>
      <c r="J38" s="120"/>
      <c r="K38" s="121"/>
      <c r="L38" s="122"/>
      <c r="M38" s="58"/>
      <c r="N38" s="58"/>
      <c r="O38" s="59"/>
      <c r="P38" s="56"/>
      <c r="Q38" s="60"/>
      <c r="R38" s="61">
        <f t="shared" si="12"/>
        <v>0</v>
      </c>
      <c r="S38" s="62">
        <f t="shared" si="13"/>
        <v>0</v>
      </c>
      <c r="T38" s="63">
        <f t="shared" si="14"/>
        <v>0</v>
      </c>
      <c r="U38" s="64"/>
      <c r="V38" s="65"/>
      <c r="W38" s="66"/>
      <c r="X38" s="67"/>
      <c r="Y38" s="68"/>
      <c r="Z38" s="68"/>
      <c r="AA38" s="62">
        <f t="shared" si="26"/>
        <v>0</v>
      </c>
      <c r="AB38" s="63">
        <f t="shared" si="27"/>
        <v>0</v>
      </c>
      <c r="AC38" s="69"/>
      <c r="AD38" s="70"/>
      <c r="AE38" s="70"/>
      <c r="AF38" s="62">
        <f t="shared" si="48"/>
        <v>0</v>
      </c>
      <c r="AG38" s="63">
        <f t="shared" si="49"/>
        <v>0</v>
      </c>
      <c r="AH38" s="89"/>
      <c r="AI38" s="66"/>
      <c r="AJ38" s="66"/>
      <c r="AK38" s="62">
        <f t="shared" si="50"/>
        <v>0</v>
      </c>
      <c r="AL38" s="72">
        <f t="shared" si="51"/>
        <v>0</v>
      </c>
      <c r="AM38" s="73">
        <f t="shared" si="44"/>
        <v>0</v>
      </c>
      <c r="AN38" s="80">
        <f t="shared" si="52"/>
        <v>0</v>
      </c>
      <c r="AO38" s="80">
        <f t="shared" si="53"/>
        <v>0</v>
      </c>
      <c r="AP38" s="75" t="e">
        <f t="shared" si="34"/>
        <v>#DIV/0!</v>
      </c>
      <c r="AQ38" s="76">
        <f t="shared" si="8"/>
        <v>0</v>
      </c>
      <c r="AR38" s="90">
        <f t="shared" si="46"/>
        <v>0</v>
      </c>
    </row>
    <row r="39" spans="1:49" x14ac:dyDescent="0.25">
      <c r="A39" t="str">
        <f t="shared" si="10"/>
        <v>46191E</v>
      </c>
      <c r="B39" s="51">
        <f t="shared" si="25"/>
        <v>46191</v>
      </c>
      <c r="C39" s="52" t="s">
        <v>88</v>
      </c>
      <c r="D39" s="91"/>
      <c r="E39" s="62"/>
      <c r="F39" s="62"/>
      <c r="G39" s="62">
        <f t="shared" si="43"/>
        <v>0</v>
      </c>
      <c r="H39" s="72">
        <f t="shared" si="47"/>
        <v>0</v>
      </c>
      <c r="I39" s="119"/>
      <c r="J39" s="120"/>
      <c r="K39" s="121"/>
      <c r="L39" s="122"/>
      <c r="M39" s="58"/>
      <c r="N39" s="58"/>
      <c r="O39" s="59"/>
      <c r="P39" s="56"/>
      <c r="Q39" s="60"/>
      <c r="R39" s="61">
        <f t="shared" si="12"/>
        <v>0</v>
      </c>
      <c r="S39" s="62">
        <f t="shared" si="13"/>
        <v>0</v>
      </c>
      <c r="T39" s="63">
        <f t="shared" si="14"/>
        <v>0</v>
      </c>
      <c r="U39" s="64"/>
      <c r="V39" s="65"/>
      <c r="W39" s="66"/>
      <c r="X39" s="67"/>
      <c r="Y39" s="68"/>
      <c r="Z39" s="68"/>
      <c r="AA39" s="62">
        <f t="shared" si="26"/>
        <v>0</v>
      </c>
      <c r="AB39" s="63">
        <f t="shared" si="27"/>
        <v>0</v>
      </c>
      <c r="AC39" s="69"/>
      <c r="AD39" s="70"/>
      <c r="AE39" s="70"/>
      <c r="AF39" s="62">
        <f t="shared" si="48"/>
        <v>0</v>
      </c>
      <c r="AG39" s="63">
        <f t="shared" si="49"/>
        <v>0</v>
      </c>
      <c r="AH39" s="89"/>
      <c r="AI39" s="66"/>
      <c r="AJ39" s="66"/>
      <c r="AK39" s="62">
        <f t="shared" si="50"/>
        <v>0</v>
      </c>
      <c r="AL39" s="72">
        <f t="shared" si="51"/>
        <v>0</v>
      </c>
      <c r="AM39" s="73">
        <f t="shared" si="44"/>
        <v>0</v>
      </c>
      <c r="AN39" s="80">
        <f t="shared" si="52"/>
        <v>0</v>
      </c>
      <c r="AO39" s="80">
        <f t="shared" si="53"/>
        <v>0</v>
      </c>
      <c r="AP39" s="75" t="e">
        <f t="shared" si="34"/>
        <v>#DIV/0!</v>
      </c>
      <c r="AQ39" s="76">
        <f t="shared" si="8"/>
        <v>0</v>
      </c>
      <c r="AR39" s="90">
        <f t="shared" si="46"/>
        <v>0</v>
      </c>
    </row>
    <row r="40" spans="1:49" x14ac:dyDescent="0.25">
      <c r="A40" t="str">
        <f t="shared" si="10"/>
        <v>46192M</v>
      </c>
      <c r="B40" s="51">
        <f t="shared" si="25"/>
        <v>46192</v>
      </c>
      <c r="C40" s="52" t="s">
        <v>87</v>
      </c>
      <c r="D40" s="91"/>
      <c r="E40" s="62"/>
      <c r="F40" s="62"/>
      <c r="G40" s="62">
        <f t="shared" si="43"/>
        <v>0</v>
      </c>
      <c r="H40" s="72">
        <f t="shared" si="47"/>
        <v>0</v>
      </c>
      <c r="I40" s="119"/>
      <c r="J40" s="120"/>
      <c r="K40" s="121"/>
      <c r="L40" s="122"/>
      <c r="M40" s="58"/>
      <c r="N40" s="58"/>
      <c r="O40" s="59"/>
      <c r="P40" s="56"/>
      <c r="Q40" s="60"/>
      <c r="R40" s="61">
        <f t="shared" si="12"/>
        <v>0</v>
      </c>
      <c r="S40" s="62">
        <f t="shared" si="13"/>
        <v>0</v>
      </c>
      <c r="T40" s="63">
        <f t="shared" si="14"/>
        <v>0</v>
      </c>
      <c r="U40" s="64"/>
      <c r="V40" s="65"/>
      <c r="W40" s="66"/>
      <c r="X40" s="67"/>
      <c r="Y40" s="68"/>
      <c r="Z40" s="68"/>
      <c r="AA40" s="62">
        <f t="shared" si="26"/>
        <v>0</v>
      </c>
      <c r="AB40" s="63">
        <f t="shared" si="27"/>
        <v>0</v>
      </c>
      <c r="AC40" s="69"/>
      <c r="AD40" s="70"/>
      <c r="AE40" s="70"/>
      <c r="AF40" s="62">
        <f t="shared" si="48"/>
        <v>0</v>
      </c>
      <c r="AG40" s="63">
        <f t="shared" si="49"/>
        <v>0</v>
      </c>
      <c r="AH40" s="89"/>
      <c r="AI40" s="66"/>
      <c r="AJ40" s="66"/>
      <c r="AK40" s="62">
        <f t="shared" si="50"/>
        <v>0</v>
      </c>
      <c r="AL40" s="72">
        <f t="shared" si="51"/>
        <v>0</v>
      </c>
      <c r="AM40" s="73">
        <f t="shared" si="44"/>
        <v>0</v>
      </c>
      <c r="AN40" s="80">
        <f t="shared" si="52"/>
        <v>0</v>
      </c>
      <c r="AO40" s="80">
        <f t="shared" si="53"/>
        <v>0</v>
      </c>
      <c r="AP40" s="75" t="e">
        <f t="shared" si="34"/>
        <v>#DIV/0!</v>
      </c>
      <c r="AQ40" s="76">
        <f t="shared" si="8"/>
        <v>0</v>
      </c>
      <c r="AR40" s="90">
        <f t="shared" si="46"/>
        <v>0</v>
      </c>
    </row>
    <row r="41" spans="1:49" x14ac:dyDescent="0.25">
      <c r="A41" t="str">
        <f t="shared" si="10"/>
        <v>46192E</v>
      </c>
      <c r="B41" s="51">
        <f t="shared" si="25"/>
        <v>46192</v>
      </c>
      <c r="C41" s="52" t="s">
        <v>88</v>
      </c>
      <c r="D41" s="91"/>
      <c r="E41" s="62"/>
      <c r="F41" s="62"/>
      <c r="G41" s="62">
        <f t="shared" si="43"/>
        <v>0</v>
      </c>
      <c r="H41" s="72">
        <f t="shared" si="47"/>
        <v>0</v>
      </c>
      <c r="I41" s="119"/>
      <c r="J41" s="120"/>
      <c r="K41" s="121"/>
      <c r="L41" s="122"/>
      <c r="M41" s="58"/>
      <c r="N41" s="58"/>
      <c r="O41" s="59"/>
      <c r="P41" s="56"/>
      <c r="Q41" s="60"/>
      <c r="R41" s="61">
        <f t="shared" si="12"/>
        <v>0</v>
      </c>
      <c r="S41" s="62">
        <f t="shared" si="13"/>
        <v>0</v>
      </c>
      <c r="T41" s="63">
        <f t="shared" si="14"/>
        <v>0</v>
      </c>
      <c r="U41" s="64"/>
      <c r="V41" s="65"/>
      <c r="W41" s="66"/>
      <c r="X41" s="67"/>
      <c r="Y41" s="68"/>
      <c r="Z41" s="68"/>
      <c r="AA41" s="62">
        <f t="shared" si="26"/>
        <v>0</v>
      </c>
      <c r="AB41" s="63">
        <f t="shared" si="27"/>
        <v>0</v>
      </c>
      <c r="AC41" s="69"/>
      <c r="AD41" s="70"/>
      <c r="AE41" s="70"/>
      <c r="AF41" s="62">
        <f t="shared" si="48"/>
        <v>0</v>
      </c>
      <c r="AG41" s="63">
        <f t="shared" si="49"/>
        <v>0</v>
      </c>
      <c r="AH41" s="89"/>
      <c r="AI41" s="66"/>
      <c r="AJ41" s="66"/>
      <c r="AK41" s="62">
        <f t="shared" si="50"/>
        <v>0</v>
      </c>
      <c r="AL41" s="72">
        <f t="shared" si="51"/>
        <v>0</v>
      </c>
      <c r="AM41" s="73">
        <f t="shared" si="44"/>
        <v>0</v>
      </c>
      <c r="AN41" s="80">
        <f t="shared" si="52"/>
        <v>0</v>
      </c>
      <c r="AO41" s="80">
        <f t="shared" si="53"/>
        <v>0</v>
      </c>
      <c r="AP41" s="75" t="e">
        <f t="shared" si="34"/>
        <v>#DIV/0!</v>
      </c>
      <c r="AQ41" s="76">
        <f t="shared" si="8"/>
        <v>0</v>
      </c>
      <c r="AR41" s="90">
        <f t="shared" si="46"/>
        <v>0</v>
      </c>
      <c r="AS41" s="90">
        <f>SUM(J28:J41)</f>
        <v>0</v>
      </c>
      <c r="AT41" s="83">
        <f t="shared" ref="AT41" si="54">SUM(AM28:AM41)</f>
        <v>0</v>
      </c>
      <c r="AU41" s="83">
        <f t="shared" ref="AU41" si="55">SUM(AN28:AN41)</f>
        <v>0</v>
      </c>
      <c r="AV41" s="83">
        <f t="shared" ref="AV41" si="56">SUM(AO28:AO41)</f>
        <v>0</v>
      </c>
      <c r="AW41" s="83">
        <f>-SUM(AQ28:AQ41)</f>
        <v>0</v>
      </c>
    </row>
    <row r="42" spans="1:49" x14ac:dyDescent="0.25">
      <c r="A42" t="str">
        <f t="shared" si="10"/>
        <v>46193M</v>
      </c>
      <c r="B42" s="51">
        <f t="shared" si="25"/>
        <v>46193</v>
      </c>
      <c r="C42" s="52" t="s">
        <v>87</v>
      </c>
      <c r="D42" s="91"/>
      <c r="E42" s="62"/>
      <c r="F42" s="62"/>
      <c r="G42" s="62">
        <f t="shared" si="43"/>
        <v>0</v>
      </c>
      <c r="H42" s="72">
        <f t="shared" si="47"/>
        <v>0</v>
      </c>
      <c r="I42" s="119"/>
      <c r="J42" s="120"/>
      <c r="K42" s="121"/>
      <c r="L42" s="122"/>
      <c r="M42" s="58"/>
      <c r="N42" s="58"/>
      <c r="O42" s="59"/>
      <c r="P42" s="56"/>
      <c r="Q42" s="60"/>
      <c r="R42" s="61">
        <f t="shared" si="12"/>
        <v>0</v>
      </c>
      <c r="S42" s="62">
        <f t="shared" si="13"/>
        <v>0</v>
      </c>
      <c r="T42" s="63">
        <f t="shared" si="14"/>
        <v>0</v>
      </c>
      <c r="U42" s="64"/>
      <c r="V42" s="65"/>
      <c r="W42" s="66"/>
      <c r="X42" s="67"/>
      <c r="Y42" s="68"/>
      <c r="Z42" s="68"/>
      <c r="AA42" s="62">
        <f t="shared" si="26"/>
        <v>0</v>
      </c>
      <c r="AB42" s="63">
        <f t="shared" si="27"/>
        <v>0</v>
      </c>
      <c r="AC42" s="69"/>
      <c r="AD42" s="70"/>
      <c r="AE42" s="70"/>
      <c r="AF42" s="62">
        <f t="shared" si="48"/>
        <v>0</v>
      </c>
      <c r="AG42" s="63">
        <f t="shared" si="49"/>
        <v>0</v>
      </c>
      <c r="AH42" s="89"/>
      <c r="AI42" s="66"/>
      <c r="AJ42" s="66"/>
      <c r="AK42" s="62">
        <f t="shared" si="50"/>
        <v>0</v>
      </c>
      <c r="AL42" s="72">
        <f t="shared" si="51"/>
        <v>0</v>
      </c>
      <c r="AM42" s="73">
        <f t="shared" si="44"/>
        <v>0</v>
      </c>
      <c r="AN42" s="80">
        <f t="shared" si="52"/>
        <v>0</v>
      </c>
      <c r="AO42" s="80">
        <f t="shared" si="53"/>
        <v>0</v>
      </c>
      <c r="AP42" s="75" t="e">
        <f t="shared" si="34"/>
        <v>#DIV/0!</v>
      </c>
      <c r="AQ42" s="76">
        <f t="shared" si="8"/>
        <v>0</v>
      </c>
      <c r="AR42" s="90">
        <f t="shared" si="46"/>
        <v>0</v>
      </c>
    </row>
    <row r="43" spans="1:49" x14ac:dyDescent="0.25">
      <c r="A43" t="str">
        <f t="shared" si="10"/>
        <v>46193E</v>
      </c>
      <c r="B43" s="51">
        <f t="shared" si="25"/>
        <v>46193</v>
      </c>
      <c r="C43" s="52" t="s">
        <v>88</v>
      </c>
      <c r="D43" s="91"/>
      <c r="E43" s="62"/>
      <c r="F43" s="62"/>
      <c r="G43" s="62">
        <f t="shared" si="43"/>
        <v>0</v>
      </c>
      <c r="H43" s="72">
        <f t="shared" si="47"/>
        <v>0</v>
      </c>
      <c r="I43" s="119"/>
      <c r="J43" s="120"/>
      <c r="K43" s="121"/>
      <c r="L43" s="122"/>
      <c r="M43" s="58"/>
      <c r="N43" s="58"/>
      <c r="O43" s="59"/>
      <c r="P43" s="56"/>
      <c r="Q43" s="60"/>
      <c r="R43" s="61">
        <f t="shared" si="12"/>
        <v>0</v>
      </c>
      <c r="S43" s="62">
        <f t="shared" si="13"/>
        <v>0</v>
      </c>
      <c r="T43" s="63">
        <f t="shared" si="14"/>
        <v>0</v>
      </c>
      <c r="U43" s="64"/>
      <c r="V43" s="65"/>
      <c r="W43" s="66"/>
      <c r="X43" s="67"/>
      <c r="Y43" s="68"/>
      <c r="Z43" s="68"/>
      <c r="AA43" s="62">
        <f t="shared" si="26"/>
        <v>0</v>
      </c>
      <c r="AB43" s="63">
        <f t="shared" si="27"/>
        <v>0</v>
      </c>
      <c r="AC43" s="69"/>
      <c r="AD43" s="70"/>
      <c r="AE43" s="70"/>
      <c r="AF43" s="62">
        <f t="shared" si="48"/>
        <v>0</v>
      </c>
      <c r="AG43" s="63">
        <f t="shared" si="49"/>
        <v>0</v>
      </c>
      <c r="AH43" s="89"/>
      <c r="AI43" s="66"/>
      <c r="AJ43" s="66"/>
      <c r="AK43" s="62">
        <f t="shared" si="50"/>
        <v>0</v>
      </c>
      <c r="AL43" s="72">
        <f t="shared" si="51"/>
        <v>0</v>
      </c>
      <c r="AM43" s="73">
        <f t="shared" si="44"/>
        <v>0</v>
      </c>
      <c r="AN43" s="80">
        <f t="shared" si="52"/>
        <v>0</v>
      </c>
      <c r="AO43" s="80">
        <f t="shared" si="53"/>
        <v>0</v>
      </c>
      <c r="AP43" s="75" t="e">
        <f t="shared" si="34"/>
        <v>#DIV/0!</v>
      </c>
      <c r="AQ43" s="76">
        <f t="shared" si="8"/>
        <v>0</v>
      </c>
      <c r="AR43" s="90">
        <f t="shared" si="46"/>
        <v>0</v>
      </c>
    </row>
    <row r="44" spans="1:49" x14ac:dyDescent="0.25">
      <c r="A44" t="str">
        <f t="shared" si="10"/>
        <v>46194M</v>
      </c>
      <c r="B44" s="51">
        <f t="shared" si="25"/>
        <v>46194</v>
      </c>
      <c r="C44" s="52" t="s">
        <v>87</v>
      </c>
      <c r="D44" s="91"/>
      <c r="E44" s="62"/>
      <c r="F44" s="62"/>
      <c r="G44" s="62">
        <f t="shared" si="43"/>
        <v>0</v>
      </c>
      <c r="H44" s="72">
        <f t="shared" si="47"/>
        <v>0</v>
      </c>
      <c r="I44" s="119"/>
      <c r="J44" s="120"/>
      <c r="K44" s="121"/>
      <c r="L44" s="122"/>
      <c r="M44" s="58"/>
      <c r="N44" s="58"/>
      <c r="O44" s="59"/>
      <c r="P44" s="56"/>
      <c r="Q44" s="60"/>
      <c r="R44" s="61">
        <f t="shared" si="12"/>
        <v>0</v>
      </c>
      <c r="S44" s="62">
        <f t="shared" si="13"/>
        <v>0</v>
      </c>
      <c r="T44" s="63">
        <f t="shared" si="14"/>
        <v>0</v>
      </c>
      <c r="U44" s="64"/>
      <c r="V44" s="65"/>
      <c r="W44" s="66"/>
      <c r="X44" s="67"/>
      <c r="Y44" s="68"/>
      <c r="Z44" s="68"/>
      <c r="AA44" s="62">
        <f t="shared" si="26"/>
        <v>0</v>
      </c>
      <c r="AB44" s="63">
        <f t="shared" si="27"/>
        <v>0</v>
      </c>
      <c r="AC44" s="69"/>
      <c r="AD44" s="70"/>
      <c r="AE44" s="70"/>
      <c r="AF44" s="62">
        <f t="shared" si="48"/>
        <v>0</v>
      </c>
      <c r="AG44" s="63">
        <f t="shared" si="49"/>
        <v>0</v>
      </c>
      <c r="AH44" s="89"/>
      <c r="AI44" s="66"/>
      <c r="AJ44" s="66"/>
      <c r="AK44" s="62">
        <f t="shared" si="50"/>
        <v>0</v>
      </c>
      <c r="AL44" s="72">
        <f t="shared" si="51"/>
        <v>0</v>
      </c>
      <c r="AM44" s="73">
        <f t="shared" si="44"/>
        <v>0</v>
      </c>
      <c r="AN44" s="80">
        <f t="shared" si="52"/>
        <v>0</v>
      </c>
      <c r="AO44" s="80">
        <f t="shared" si="53"/>
        <v>0</v>
      </c>
      <c r="AP44" s="75" t="e">
        <f t="shared" si="34"/>
        <v>#DIV/0!</v>
      </c>
      <c r="AQ44" s="76">
        <f t="shared" si="8"/>
        <v>0</v>
      </c>
      <c r="AR44" s="90">
        <f t="shared" si="46"/>
        <v>0</v>
      </c>
    </row>
    <row r="45" spans="1:49" x14ac:dyDescent="0.25">
      <c r="A45" t="str">
        <f t="shared" si="10"/>
        <v>46194E</v>
      </c>
      <c r="B45" s="51">
        <f t="shared" si="25"/>
        <v>46194</v>
      </c>
      <c r="C45" s="52" t="s">
        <v>88</v>
      </c>
      <c r="D45" s="91"/>
      <c r="E45" s="62"/>
      <c r="F45" s="62"/>
      <c r="G45" s="62">
        <f t="shared" si="43"/>
        <v>0</v>
      </c>
      <c r="H45" s="72">
        <f t="shared" si="47"/>
        <v>0</v>
      </c>
      <c r="I45" s="119"/>
      <c r="J45" s="120"/>
      <c r="K45" s="121"/>
      <c r="L45" s="122"/>
      <c r="M45" s="58"/>
      <c r="N45" s="58"/>
      <c r="O45" s="59"/>
      <c r="P45" s="56"/>
      <c r="Q45" s="60"/>
      <c r="R45" s="61">
        <f t="shared" si="12"/>
        <v>0</v>
      </c>
      <c r="S45" s="62">
        <f t="shared" si="13"/>
        <v>0</v>
      </c>
      <c r="T45" s="63">
        <f t="shared" si="14"/>
        <v>0</v>
      </c>
      <c r="U45" s="64"/>
      <c r="V45" s="65"/>
      <c r="W45" s="66"/>
      <c r="X45" s="67"/>
      <c r="Y45" s="68"/>
      <c r="Z45" s="68"/>
      <c r="AA45" s="62">
        <f t="shared" si="26"/>
        <v>0</v>
      </c>
      <c r="AB45" s="63">
        <f t="shared" si="27"/>
        <v>0</v>
      </c>
      <c r="AC45" s="69"/>
      <c r="AD45" s="70"/>
      <c r="AE45" s="70"/>
      <c r="AF45" s="62">
        <f t="shared" si="48"/>
        <v>0</v>
      </c>
      <c r="AG45" s="63">
        <f t="shared" si="49"/>
        <v>0</v>
      </c>
      <c r="AH45" s="89"/>
      <c r="AI45" s="66"/>
      <c r="AJ45" s="66"/>
      <c r="AK45" s="62">
        <f t="shared" si="50"/>
        <v>0</v>
      </c>
      <c r="AL45" s="72">
        <f t="shared" si="51"/>
        <v>0</v>
      </c>
      <c r="AM45" s="73">
        <f t="shared" si="44"/>
        <v>0</v>
      </c>
      <c r="AN45" s="80">
        <f t="shared" si="52"/>
        <v>0</v>
      </c>
      <c r="AO45" s="80">
        <f t="shared" si="53"/>
        <v>0</v>
      </c>
      <c r="AP45" s="75" t="e">
        <f t="shared" si="34"/>
        <v>#DIV/0!</v>
      </c>
      <c r="AQ45" s="76">
        <f t="shared" si="8"/>
        <v>0</v>
      </c>
      <c r="AR45" s="90">
        <f t="shared" si="46"/>
        <v>0</v>
      </c>
    </row>
    <row r="46" spans="1:49" x14ac:dyDescent="0.25">
      <c r="A46" t="str">
        <f t="shared" si="10"/>
        <v>46195M</v>
      </c>
      <c r="B46" s="51">
        <f t="shared" si="25"/>
        <v>46195</v>
      </c>
      <c r="C46" s="52" t="s">
        <v>87</v>
      </c>
      <c r="D46" s="91"/>
      <c r="E46" s="62"/>
      <c r="F46" s="62"/>
      <c r="G46" s="62">
        <f t="shared" si="43"/>
        <v>0</v>
      </c>
      <c r="H46" s="72">
        <f t="shared" si="47"/>
        <v>0</v>
      </c>
      <c r="I46" s="119"/>
      <c r="J46" s="120"/>
      <c r="K46" s="121"/>
      <c r="L46" s="122"/>
      <c r="M46" s="58"/>
      <c r="N46" s="58"/>
      <c r="O46" s="59"/>
      <c r="P46" s="56"/>
      <c r="Q46" s="60"/>
      <c r="R46" s="61">
        <f t="shared" si="12"/>
        <v>0</v>
      </c>
      <c r="S46" s="62">
        <f t="shared" si="13"/>
        <v>0</v>
      </c>
      <c r="T46" s="63">
        <f t="shared" si="14"/>
        <v>0</v>
      </c>
      <c r="U46" s="64"/>
      <c r="V46" s="65"/>
      <c r="W46" s="66"/>
      <c r="X46" s="67"/>
      <c r="Y46" s="68"/>
      <c r="Z46" s="68"/>
      <c r="AA46" s="62">
        <f t="shared" si="26"/>
        <v>0</v>
      </c>
      <c r="AB46" s="63">
        <f t="shared" si="27"/>
        <v>0</v>
      </c>
      <c r="AC46" s="69"/>
      <c r="AD46" s="70"/>
      <c r="AE46" s="70"/>
      <c r="AF46" s="62">
        <f t="shared" si="48"/>
        <v>0</v>
      </c>
      <c r="AG46" s="63">
        <f t="shared" si="49"/>
        <v>0</v>
      </c>
      <c r="AH46" s="89"/>
      <c r="AI46" s="66"/>
      <c r="AJ46" s="66"/>
      <c r="AK46" s="62">
        <f t="shared" si="50"/>
        <v>0</v>
      </c>
      <c r="AL46" s="72">
        <f t="shared" si="51"/>
        <v>0</v>
      </c>
      <c r="AM46" s="73">
        <f t="shared" si="44"/>
        <v>0</v>
      </c>
      <c r="AN46" s="80">
        <f t="shared" si="52"/>
        <v>0</v>
      </c>
      <c r="AO46" s="80">
        <f t="shared" si="53"/>
        <v>0</v>
      </c>
      <c r="AP46" s="75" t="e">
        <f t="shared" si="34"/>
        <v>#DIV/0!</v>
      </c>
      <c r="AQ46" s="76">
        <f t="shared" si="8"/>
        <v>0</v>
      </c>
      <c r="AR46" s="90">
        <f t="shared" si="46"/>
        <v>0</v>
      </c>
    </row>
    <row r="47" spans="1:49" x14ac:dyDescent="0.25">
      <c r="A47" t="str">
        <f t="shared" si="10"/>
        <v>46195E</v>
      </c>
      <c r="B47" s="51">
        <f t="shared" si="25"/>
        <v>46195</v>
      </c>
      <c r="C47" s="52" t="s">
        <v>88</v>
      </c>
      <c r="D47" s="91"/>
      <c r="E47" s="62"/>
      <c r="F47" s="62"/>
      <c r="G47" s="62">
        <f t="shared" si="43"/>
        <v>0</v>
      </c>
      <c r="H47" s="72">
        <f t="shared" si="47"/>
        <v>0</v>
      </c>
      <c r="I47" s="119"/>
      <c r="J47" s="120"/>
      <c r="K47" s="121"/>
      <c r="L47" s="122"/>
      <c r="M47" s="58"/>
      <c r="N47" s="58"/>
      <c r="O47" s="59"/>
      <c r="P47" s="56"/>
      <c r="Q47" s="60"/>
      <c r="R47" s="61">
        <f t="shared" si="12"/>
        <v>0</v>
      </c>
      <c r="S47" s="62">
        <f t="shared" si="13"/>
        <v>0</v>
      </c>
      <c r="T47" s="63">
        <f t="shared" si="14"/>
        <v>0</v>
      </c>
      <c r="U47" s="64"/>
      <c r="V47" s="65"/>
      <c r="W47" s="66"/>
      <c r="X47" s="67"/>
      <c r="Y47" s="68"/>
      <c r="Z47" s="68"/>
      <c r="AA47" s="62">
        <f t="shared" si="26"/>
        <v>0</v>
      </c>
      <c r="AB47" s="63">
        <f t="shared" si="27"/>
        <v>0</v>
      </c>
      <c r="AC47" s="69"/>
      <c r="AD47" s="70"/>
      <c r="AE47" s="70"/>
      <c r="AF47" s="62">
        <f t="shared" si="48"/>
        <v>0</v>
      </c>
      <c r="AG47" s="63">
        <f t="shared" si="49"/>
        <v>0</v>
      </c>
      <c r="AH47" s="89"/>
      <c r="AI47" s="66"/>
      <c r="AJ47" s="66"/>
      <c r="AK47" s="62">
        <f t="shared" si="50"/>
        <v>0</v>
      </c>
      <c r="AL47" s="72">
        <f t="shared" si="51"/>
        <v>0</v>
      </c>
      <c r="AM47" s="73">
        <f t="shared" si="44"/>
        <v>0</v>
      </c>
      <c r="AN47" s="80">
        <f t="shared" si="52"/>
        <v>0</v>
      </c>
      <c r="AO47" s="80">
        <f t="shared" si="53"/>
        <v>0</v>
      </c>
      <c r="AP47" s="75" t="e">
        <f t="shared" si="34"/>
        <v>#DIV/0!</v>
      </c>
      <c r="AQ47" s="76">
        <f t="shared" si="8"/>
        <v>0</v>
      </c>
      <c r="AR47" s="90">
        <f t="shared" si="46"/>
        <v>0</v>
      </c>
    </row>
    <row r="48" spans="1:49" x14ac:dyDescent="0.25">
      <c r="A48" t="str">
        <f t="shared" si="10"/>
        <v>46196M</v>
      </c>
      <c r="B48" s="51">
        <f t="shared" si="25"/>
        <v>46196</v>
      </c>
      <c r="C48" s="99" t="s">
        <v>87</v>
      </c>
      <c r="D48" s="91"/>
      <c r="E48" s="62"/>
      <c r="F48" s="62"/>
      <c r="G48" s="62">
        <f t="shared" si="43"/>
        <v>0</v>
      </c>
      <c r="H48" s="72">
        <f t="shared" si="47"/>
        <v>0</v>
      </c>
      <c r="I48" s="119"/>
      <c r="J48" s="120"/>
      <c r="K48" s="121"/>
      <c r="L48" s="122"/>
      <c r="M48" s="58"/>
      <c r="N48" s="58"/>
      <c r="O48" s="59"/>
      <c r="P48" s="56"/>
      <c r="Q48" s="60"/>
      <c r="R48" s="61">
        <f t="shared" si="12"/>
        <v>0</v>
      </c>
      <c r="S48" s="62">
        <f t="shared" si="13"/>
        <v>0</v>
      </c>
      <c r="T48" s="63">
        <f t="shared" si="14"/>
        <v>0</v>
      </c>
      <c r="U48" s="64"/>
      <c r="V48" s="65"/>
      <c r="W48" s="66"/>
      <c r="X48" s="67"/>
      <c r="Y48" s="68"/>
      <c r="Z48" s="68"/>
      <c r="AA48" s="62">
        <f t="shared" si="26"/>
        <v>0</v>
      </c>
      <c r="AB48" s="63">
        <f t="shared" si="27"/>
        <v>0</v>
      </c>
      <c r="AC48" s="69"/>
      <c r="AD48" s="70"/>
      <c r="AE48" s="70"/>
      <c r="AF48" s="62">
        <f t="shared" si="48"/>
        <v>0</v>
      </c>
      <c r="AG48" s="63">
        <f t="shared" si="49"/>
        <v>0</v>
      </c>
      <c r="AH48" s="89"/>
      <c r="AI48" s="66"/>
      <c r="AJ48" s="66"/>
      <c r="AK48" s="62">
        <f t="shared" si="50"/>
        <v>0</v>
      </c>
      <c r="AL48" s="72">
        <f t="shared" si="51"/>
        <v>0</v>
      </c>
      <c r="AM48" s="73">
        <f t="shared" si="44"/>
        <v>0</v>
      </c>
      <c r="AN48" s="80">
        <f t="shared" si="52"/>
        <v>0</v>
      </c>
      <c r="AO48" s="80">
        <f t="shared" si="53"/>
        <v>0</v>
      </c>
      <c r="AP48" s="75" t="e">
        <f t="shared" si="34"/>
        <v>#DIV/0!</v>
      </c>
      <c r="AQ48" s="76">
        <f t="shared" si="8"/>
        <v>0</v>
      </c>
      <c r="AR48" s="90">
        <f t="shared" si="46"/>
        <v>0</v>
      </c>
    </row>
    <row r="49" spans="1:49" x14ac:dyDescent="0.25">
      <c r="A49" t="str">
        <f t="shared" si="10"/>
        <v>46196E</v>
      </c>
      <c r="B49" s="51">
        <f t="shared" si="25"/>
        <v>46196</v>
      </c>
      <c r="C49" s="52" t="s">
        <v>88</v>
      </c>
      <c r="D49" s="91"/>
      <c r="E49" s="62"/>
      <c r="F49" s="62"/>
      <c r="G49" s="62">
        <f t="shared" si="43"/>
        <v>0</v>
      </c>
      <c r="H49" s="72">
        <f t="shared" si="47"/>
        <v>0</v>
      </c>
      <c r="I49" s="119"/>
      <c r="J49" s="120"/>
      <c r="K49" s="121"/>
      <c r="L49" s="122"/>
      <c r="M49" s="58"/>
      <c r="N49" s="58"/>
      <c r="O49" s="59"/>
      <c r="P49" s="56"/>
      <c r="Q49" s="60"/>
      <c r="R49" s="61">
        <f t="shared" si="12"/>
        <v>0</v>
      </c>
      <c r="S49" s="62">
        <f t="shared" si="13"/>
        <v>0</v>
      </c>
      <c r="T49" s="63">
        <f t="shared" si="14"/>
        <v>0</v>
      </c>
      <c r="U49" s="64"/>
      <c r="V49" s="65"/>
      <c r="W49" s="66"/>
      <c r="X49" s="67"/>
      <c r="Y49" s="68"/>
      <c r="Z49" s="68"/>
      <c r="AA49" s="62">
        <f t="shared" si="26"/>
        <v>0</v>
      </c>
      <c r="AB49" s="63">
        <f t="shared" si="27"/>
        <v>0</v>
      </c>
      <c r="AC49" s="69"/>
      <c r="AD49" s="70"/>
      <c r="AE49" s="70"/>
      <c r="AF49" s="62">
        <f t="shared" si="48"/>
        <v>0</v>
      </c>
      <c r="AG49" s="63">
        <f t="shared" si="49"/>
        <v>0</v>
      </c>
      <c r="AH49" s="89"/>
      <c r="AI49" s="66"/>
      <c r="AJ49" s="66"/>
      <c r="AK49" s="62">
        <f t="shared" si="50"/>
        <v>0</v>
      </c>
      <c r="AL49" s="72">
        <f t="shared" si="51"/>
        <v>0</v>
      </c>
      <c r="AM49" s="73">
        <f t="shared" si="44"/>
        <v>0</v>
      </c>
      <c r="AN49" s="80">
        <f t="shared" si="52"/>
        <v>0</v>
      </c>
      <c r="AO49" s="80">
        <f t="shared" si="53"/>
        <v>0</v>
      </c>
      <c r="AP49" s="75" t="e">
        <f t="shared" si="34"/>
        <v>#DIV/0!</v>
      </c>
      <c r="AQ49" s="76">
        <f t="shared" si="8"/>
        <v>0</v>
      </c>
      <c r="AR49" s="90">
        <f t="shared" si="46"/>
        <v>0</v>
      </c>
      <c r="AS49" s="90">
        <f>SUM(J36:J49)</f>
        <v>0</v>
      </c>
      <c r="AT49" s="83">
        <f>SUM(AM36:AM49)</f>
        <v>0</v>
      </c>
      <c r="AU49" s="83">
        <f>SUM(AN36:AN49)</f>
        <v>0</v>
      </c>
      <c r="AV49" s="83">
        <f>SUM(AO36:AO49)</f>
        <v>0</v>
      </c>
      <c r="AW49" s="83">
        <f>-SUM(AQ36:AQ49)</f>
        <v>0</v>
      </c>
    </row>
    <row r="50" spans="1:49" x14ac:dyDescent="0.25">
      <c r="A50" t="str">
        <f t="shared" si="10"/>
        <v>46197M</v>
      </c>
      <c r="B50" s="51">
        <f t="shared" si="25"/>
        <v>46197</v>
      </c>
      <c r="C50" s="52" t="s">
        <v>87</v>
      </c>
      <c r="D50" s="91"/>
      <c r="E50" s="62"/>
      <c r="F50" s="62"/>
      <c r="G50" s="62">
        <f t="shared" si="43"/>
        <v>0</v>
      </c>
      <c r="H50" s="72">
        <f t="shared" si="47"/>
        <v>0</v>
      </c>
      <c r="I50" s="119"/>
      <c r="J50" s="120"/>
      <c r="K50" s="121"/>
      <c r="L50" s="122"/>
      <c r="M50" s="58"/>
      <c r="N50" s="58"/>
      <c r="O50" s="59"/>
      <c r="P50" s="56"/>
      <c r="Q50" s="60"/>
      <c r="R50" s="61">
        <f t="shared" si="12"/>
        <v>0</v>
      </c>
      <c r="S50" s="62">
        <f t="shared" si="13"/>
        <v>0</v>
      </c>
      <c r="T50" s="63">
        <f t="shared" si="14"/>
        <v>0</v>
      </c>
      <c r="U50" s="64"/>
      <c r="V50" s="65"/>
      <c r="W50" s="66"/>
      <c r="X50" s="67"/>
      <c r="Y50" s="68"/>
      <c r="Z50" s="68"/>
      <c r="AA50" s="62">
        <f t="shared" si="26"/>
        <v>0</v>
      </c>
      <c r="AB50" s="63">
        <f t="shared" si="27"/>
        <v>0</v>
      </c>
      <c r="AC50" s="69"/>
      <c r="AD50" s="70"/>
      <c r="AE50" s="70"/>
      <c r="AF50" s="62">
        <f t="shared" si="48"/>
        <v>0</v>
      </c>
      <c r="AG50" s="63">
        <f t="shared" si="49"/>
        <v>0</v>
      </c>
      <c r="AH50" s="89"/>
      <c r="AI50" s="66"/>
      <c r="AJ50" s="66"/>
      <c r="AK50" s="62">
        <f t="shared" ref="AK50" si="57">AH50*AI50%</f>
        <v>0</v>
      </c>
      <c r="AL50" s="72">
        <f t="shared" ref="AL50" si="58">AH50*AJ50%</f>
        <v>0</v>
      </c>
      <c r="AM50" s="73">
        <f t="shared" si="44"/>
        <v>0</v>
      </c>
      <c r="AN50" s="80">
        <f t="shared" ref="AN50" si="59">+G50+S50-AF50-AK50</f>
        <v>0</v>
      </c>
      <c r="AO50" s="80">
        <f t="shared" ref="AO50" si="60">+H50+T50-AG50-AL50</f>
        <v>0</v>
      </c>
      <c r="AP50" s="75" t="e">
        <f t="shared" si="34"/>
        <v>#DIV/0!</v>
      </c>
      <c r="AQ50" s="76">
        <f t="shared" si="8"/>
        <v>0</v>
      </c>
      <c r="AR50" s="90">
        <f t="shared" si="46"/>
        <v>0</v>
      </c>
    </row>
    <row r="51" spans="1:49" x14ac:dyDescent="0.25">
      <c r="A51" t="str">
        <f t="shared" si="10"/>
        <v>46197E</v>
      </c>
      <c r="B51" s="51">
        <f t="shared" si="25"/>
        <v>46197</v>
      </c>
      <c r="C51" s="52" t="s">
        <v>88</v>
      </c>
      <c r="D51" s="91"/>
      <c r="E51" s="62"/>
      <c r="F51" s="62"/>
      <c r="G51" s="62">
        <f t="shared" si="43"/>
        <v>0</v>
      </c>
      <c r="H51" s="72">
        <f t="shared" si="47"/>
        <v>0</v>
      </c>
      <c r="I51" s="119"/>
      <c r="J51" s="120"/>
      <c r="K51" s="121"/>
      <c r="L51" s="122"/>
      <c r="M51" s="58"/>
      <c r="N51" s="58"/>
      <c r="O51" s="59"/>
      <c r="P51" s="56"/>
      <c r="Q51" s="60"/>
      <c r="R51" s="61">
        <f t="shared" si="12"/>
        <v>0</v>
      </c>
      <c r="S51" s="62">
        <f t="shared" si="13"/>
        <v>0</v>
      </c>
      <c r="T51" s="63">
        <f t="shared" si="14"/>
        <v>0</v>
      </c>
      <c r="U51" s="64"/>
      <c r="V51" s="85"/>
      <c r="W51" s="66"/>
      <c r="X51" s="67"/>
      <c r="Y51" s="68"/>
      <c r="Z51" s="68"/>
      <c r="AA51" s="62">
        <f t="shared" si="26"/>
        <v>0</v>
      </c>
      <c r="AB51" s="63">
        <f t="shared" si="27"/>
        <v>0</v>
      </c>
      <c r="AC51" s="69"/>
      <c r="AD51" s="70"/>
      <c r="AE51" s="70"/>
      <c r="AF51" s="62">
        <f t="shared" si="48"/>
        <v>0</v>
      </c>
      <c r="AG51" s="63">
        <f t="shared" si="49"/>
        <v>0</v>
      </c>
      <c r="AH51" s="89"/>
      <c r="AI51" s="66"/>
      <c r="AJ51" s="66"/>
      <c r="AK51" s="62">
        <f t="shared" ref="AK51:AK63" si="61">AH51*AI51%</f>
        <v>0</v>
      </c>
      <c r="AL51" s="72">
        <f t="shared" ref="AL51:AL63" si="62">AH51*AJ51%</f>
        <v>0</v>
      </c>
      <c r="AM51" s="73">
        <f t="shared" si="44"/>
        <v>0</v>
      </c>
      <c r="AN51" s="80">
        <f t="shared" ref="AN51:AN63" si="63">+G51+S51-AF51-AK51</f>
        <v>0</v>
      </c>
      <c r="AO51" s="80">
        <f t="shared" ref="AO51:AO63" si="64">+H51+T51-AG51-AL51</f>
        <v>0</v>
      </c>
      <c r="AP51" s="75" t="e">
        <f t="shared" si="34"/>
        <v>#DIV/0!</v>
      </c>
      <c r="AQ51" s="76">
        <f t="shared" si="8"/>
        <v>0</v>
      </c>
      <c r="AR51" s="90">
        <f t="shared" si="46"/>
        <v>0</v>
      </c>
    </row>
    <row r="52" spans="1:49" x14ac:dyDescent="0.25">
      <c r="A52" t="str">
        <f t="shared" si="10"/>
        <v>46198M</v>
      </c>
      <c r="B52" s="51">
        <f t="shared" si="25"/>
        <v>46198</v>
      </c>
      <c r="C52" s="52" t="s">
        <v>87</v>
      </c>
      <c r="D52" s="91"/>
      <c r="E52" s="62"/>
      <c r="F52" s="62"/>
      <c r="G52" s="62">
        <f t="shared" si="43"/>
        <v>0</v>
      </c>
      <c r="H52" s="72">
        <f t="shared" si="47"/>
        <v>0</v>
      </c>
      <c r="I52" s="119"/>
      <c r="J52" s="120"/>
      <c r="K52" s="121"/>
      <c r="L52" s="122"/>
      <c r="M52" s="58"/>
      <c r="N52" s="58"/>
      <c r="O52" s="59"/>
      <c r="P52" s="56"/>
      <c r="Q52" s="60"/>
      <c r="R52" s="61">
        <f t="shared" si="12"/>
        <v>0</v>
      </c>
      <c r="S52" s="62">
        <f t="shared" si="13"/>
        <v>0</v>
      </c>
      <c r="T52" s="63">
        <f t="shared" si="14"/>
        <v>0</v>
      </c>
      <c r="U52" s="64"/>
      <c r="V52" s="65"/>
      <c r="W52" s="66"/>
      <c r="X52" s="67"/>
      <c r="Y52" s="68"/>
      <c r="Z52" s="68"/>
      <c r="AA52" s="62">
        <f t="shared" si="26"/>
        <v>0</v>
      </c>
      <c r="AB52" s="63">
        <f t="shared" si="27"/>
        <v>0</v>
      </c>
      <c r="AC52" s="69"/>
      <c r="AD52" s="70"/>
      <c r="AE52" s="70"/>
      <c r="AF52" s="62">
        <f t="shared" si="48"/>
        <v>0</v>
      </c>
      <c r="AG52" s="63">
        <f t="shared" si="49"/>
        <v>0</v>
      </c>
      <c r="AH52" s="89"/>
      <c r="AI52" s="66"/>
      <c r="AJ52" s="66"/>
      <c r="AK52" s="62">
        <f t="shared" si="61"/>
        <v>0</v>
      </c>
      <c r="AL52" s="72">
        <f t="shared" si="62"/>
        <v>0</v>
      </c>
      <c r="AM52" s="73">
        <f t="shared" si="44"/>
        <v>0</v>
      </c>
      <c r="AN52" s="80">
        <f t="shared" si="63"/>
        <v>0</v>
      </c>
      <c r="AO52" s="80">
        <f t="shared" si="64"/>
        <v>0</v>
      </c>
      <c r="AP52" s="75" t="e">
        <f t="shared" si="34"/>
        <v>#DIV/0!</v>
      </c>
      <c r="AQ52" s="76">
        <f t="shared" si="8"/>
        <v>0</v>
      </c>
      <c r="AR52" s="90">
        <f t="shared" si="46"/>
        <v>0</v>
      </c>
    </row>
    <row r="53" spans="1:49" x14ac:dyDescent="0.25">
      <c r="A53" t="str">
        <f t="shared" si="10"/>
        <v>46198E</v>
      </c>
      <c r="B53" s="51">
        <f t="shared" si="25"/>
        <v>46198</v>
      </c>
      <c r="C53" s="52" t="s">
        <v>88</v>
      </c>
      <c r="D53" s="91"/>
      <c r="E53" s="62"/>
      <c r="F53" s="62"/>
      <c r="G53" s="62">
        <f t="shared" si="43"/>
        <v>0</v>
      </c>
      <c r="H53" s="72">
        <f t="shared" si="47"/>
        <v>0</v>
      </c>
      <c r="I53" s="119"/>
      <c r="J53" s="120"/>
      <c r="K53" s="121"/>
      <c r="L53" s="122"/>
      <c r="M53" s="58"/>
      <c r="N53" s="58"/>
      <c r="O53" s="59"/>
      <c r="P53" s="56"/>
      <c r="Q53" s="60"/>
      <c r="R53" s="61">
        <f t="shared" si="12"/>
        <v>0</v>
      </c>
      <c r="S53" s="62">
        <f t="shared" si="13"/>
        <v>0</v>
      </c>
      <c r="T53" s="63">
        <f t="shared" si="14"/>
        <v>0</v>
      </c>
      <c r="U53" s="64"/>
      <c r="V53" s="65"/>
      <c r="W53" s="66"/>
      <c r="X53" s="67"/>
      <c r="Y53" s="68"/>
      <c r="Z53" s="68"/>
      <c r="AA53" s="62">
        <f t="shared" si="26"/>
        <v>0</v>
      </c>
      <c r="AB53" s="63">
        <f t="shared" si="27"/>
        <v>0</v>
      </c>
      <c r="AC53" s="69"/>
      <c r="AD53" s="70"/>
      <c r="AE53" s="70"/>
      <c r="AF53" s="62">
        <f t="shared" si="48"/>
        <v>0</v>
      </c>
      <c r="AG53" s="63">
        <f t="shared" si="49"/>
        <v>0</v>
      </c>
      <c r="AH53" s="89"/>
      <c r="AI53" s="66"/>
      <c r="AJ53" s="66"/>
      <c r="AK53" s="62">
        <f t="shared" si="61"/>
        <v>0</v>
      </c>
      <c r="AL53" s="72">
        <f t="shared" si="62"/>
        <v>0</v>
      </c>
      <c r="AM53" s="73">
        <f t="shared" si="44"/>
        <v>0</v>
      </c>
      <c r="AN53" s="80">
        <f t="shared" si="63"/>
        <v>0</v>
      </c>
      <c r="AO53" s="80">
        <f t="shared" si="64"/>
        <v>0</v>
      </c>
      <c r="AP53" s="75" t="e">
        <f t="shared" si="34"/>
        <v>#DIV/0!</v>
      </c>
      <c r="AQ53" s="76">
        <f t="shared" si="8"/>
        <v>0</v>
      </c>
      <c r="AR53" s="90">
        <f t="shared" si="46"/>
        <v>0</v>
      </c>
    </row>
    <row r="54" spans="1:49" x14ac:dyDescent="0.25">
      <c r="A54" t="str">
        <f t="shared" si="10"/>
        <v>46199M</v>
      </c>
      <c r="B54" s="51">
        <f t="shared" si="25"/>
        <v>46199</v>
      </c>
      <c r="C54" s="52" t="s">
        <v>87</v>
      </c>
      <c r="D54" s="91"/>
      <c r="E54" s="62"/>
      <c r="F54" s="62"/>
      <c r="G54" s="62">
        <f t="shared" si="43"/>
        <v>0</v>
      </c>
      <c r="H54" s="72">
        <f t="shared" si="47"/>
        <v>0</v>
      </c>
      <c r="I54" s="119"/>
      <c r="J54" s="120"/>
      <c r="K54" s="121"/>
      <c r="L54" s="122"/>
      <c r="M54" s="58"/>
      <c r="N54" s="58"/>
      <c r="O54" s="59"/>
      <c r="P54" s="56"/>
      <c r="Q54" s="60"/>
      <c r="R54" s="61">
        <f t="shared" si="12"/>
        <v>0</v>
      </c>
      <c r="S54" s="62">
        <f t="shared" si="13"/>
        <v>0</v>
      </c>
      <c r="T54" s="63">
        <f t="shared" si="14"/>
        <v>0</v>
      </c>
      <c r="U54" s="64"/>
      <c r="V54" s="65"/>
      <c r="W54" s="66"/>
      <c r="X54" s="67"/>
      <c r="Y54" s="68"/>
      <c r="Z54" s="68"/>
      <c r="AA54" s="62">
        <f t="shared" si="26"/>
        <v>0</v>
      </c>
      <c r="AB54" s="63">
        <f t="shared" si="27"/>
        <v>0</v>
      </c>
      <c r="AC54" s="69"/>
      <c r="AD54" s="70"/>
      <c r="AE54" s="70"/>
      <c r="AF54" s="62">
        <f t="shared" si="48"/>
        <v>0</v>
      </c>
      <c r="AG54" s="63">
        <f>AC54*AE54%</f>
        <v>0</v>
      </c>
      <c r="AH54" s="89"/>
      <c r="AI54" s="66"/>
      <c r="AJ54" s="66"/>
      <c r="AK54" s="62">
        <f t="shared" si="61"/>
        <v>0</v>
      </c>
      <c r="AL54" s="72">
        <f t="shared" si="62"/>
        <v>0</v>
      </c>
      <c r="AM54" s="73">
        <f t="shared" si="44"/>
        <v>0</v>
      </c>
      <c r="AN54" s="80">
        <f t="shared" si="63"/>
        <v>0</v>
      </c>
      <c r="AO54" s="80">
        <f t="shared" si="64"/>
        <v>0</v>
      </c>
      <c r="AP54" s="75" t="e">
        <f t="shared" si="34"/>
        <v>#DIV/0!</v>
      </c>
      <c r="AQ54" s="76">
        <f t="shared" si="8"/>
        <v>0</v>
      </c>
      <c r="AR54" s="90">
        <f t="shared" si="46"/>
        <v>0</v>
      </c>
    </row>
    <row r="55" spans="1:49" x14ac:dyDescent="0.25">
      <c r="A55" t="str">
        <f t="shared" si="10"/>
        <v>46199E</v>
      </c>
      <c r="B55" s="51">
        <f t="shared" si="25"/>
        <v>46199</v>
      </c>
      <c r="C55" s="52" t="s">
        <v>88</v>
      </c>
      <c r="D55" s="91"/>
      <c r="E55" s="62"/>
      <c r="F55" s="62"/>
      <c r="G55" s="62">
        <f t="shared" si="43"/>
        <v>0</v>
      </c>
      <c r="H55" s="72">
        <f t="shared" si="47"/>
        <v>0</v>
      </c>
      <c r="I55" s="119"/>
      <c r="J55" s="120"/>
      <c r="K55" s="121"/>
      <c r="L55" s="122"/>
      <c r="M55" s="58"/>
      <c r="N55" s="58"/>
      <c r="O55" s="59"/>
      <c r="P55" s="56"/>
      <c r="Q55" s="60"/>
      <c r="R55" s="61">
        <f t="shared" si="12"/>
        <v>0</v>
      </c>
      <c r="S55" s="62">
        <f t="shared" si="13"/>
        <v>0</v>
      </c>
      <c r="T55" s="63">
        <f t="shared" si="14"/>
        <v>0</v>
      </c>
      <c r="U55" s="64"/>
      <c r="V55" s="65"/>
      <c r="W55" s="66"/>
      <c r="X55" s="67"/>
      <c r="Y55" s="68"/>
      <c r="Z55" s="68"/>
      <c r="AA55" s="62">
        <f t="shared" si="26"/>
        <v>0</v>
      </c>
      <c r="AB55" s="63">
        <f t="shared" si="27"/>
        <v>0</v>
      </c>
      <c r="AC55" s="69"/>
      <c r="AD55" s="70"/>
      <c r="AE55" s="70"/>
      <c r="AF55" s="62">
        <f t="shared" si="48"/>
        <v>0</v>
      </c>
      <c r="AG55" s="63">
        <f t="shared" si="49"/>
        <v>0</v>
      </c>
      <c r="AH55" s="89"/>
      <c r="AI55" s="66"/>
      <c r="AJ55" s="66"/>
      <c r="AK55" s="62">
        <f t="shared" si="61"/>
        <v>0</v>
      </c>
      <c r="AL55" s="72">
        <f t="shared" si="62"/>
        <v>0</v>
      </c>
      <c r="AM55" s="73">
        <f t="shared" si="44"/>
        <v>0</v>
      </c>
      <c r="AN55" s="80">
        <f t="shared" si="63"/>
        <v>0</v>
      </c>
      <c r="AO55" s="80">
        <f t="shared" si="64"/>
        <v>0</v>
      </c>
      <c r="AP55" s="75" t="e">
        <f t="shared" si="34"/>
        <v>#DIV/0!</v>
      </c>
      <c r="AQ55" s="76">
        <f t="shared" si="8"/>
        <v>0</v>
      </c>
      <c r="AR55" s="90">
        <f t="shared" si="46"/>
        <v>0</v>
      </c>
    </row>
    <row r="56" spans="1:49" x14ac:dyDescent="0.25">
      <c r="A56" t="str">
        <f t="shared" si="10"/>
        <v>46200M</v>
      </c>
      <c r="B56" s="51">
        <f t="shared" si="25"/>
        <v>46200</v>
      </c>
      <c r="C56" s="52" t="s">
        <v>87</v>
      </c>
      <c r="D56" s="91"/>
      <c r="E56" s="62"/>
      <c r="F56" s="62"/>
      <c r="G56" s="62">
        <f t="shared" si="43"/>
        <v>0</v>
      </c>
      <c r="H56" s="72">
        <f t="shared" si="47"/>
        <v>0</v>
      </c>
      <c r="I56" s="119"/>
      <c r="J56" s="120"/>
      <c r="K56" s="121"/>
      <c r="L56" s="122"/>
      <c r="M56" s="58"/>
      <c r="N56" s="58"/>
      <c r="O56" s="59"/>
      <c r="P56" s="56"/>
      <c r="Q56" s="60"/>
      <c r="R56" s="61">
        <f t="shared" si="12"/>
        <v>0</v>
      </c>
      <c r="S56" s="62">
        <f t="shared" si="13"/>
        <v>0</v>
      </c>
      <c r="T56" s="63">
        <f t="shared" si="14"/>
        <v>0</v>
      </c>
      <c r="U56" s="64"/>
      <c r="V56" s="65"/>
      <c r="W56" s="66"/>
      <c r="X56" s="67"/>
      <c r="Y56" s="68"/>
      <c r="Z56" s="68"/>
      <c r="AA56" s="62">
        <f t="shared" si="26"/>
        <v>0</v>
      </c>
      <c r="AB56" s="63">
        <f t="shared" si="27"/>
        <v>0</v>
      </c>
      <c r="AC56" s="69"/>
      <c r="AD56" s="70"/>
      <c r="AE56" s="70"/>
      <c r="AF56" s="62">
        <f t="shared" ref="AF56:AF63" si="65">AC56*AD56%</f>
        <v>0</v>
      </c>
      <c r="AG56" s="63">
        <f t="shared" ref="AG56:AG63" si="66">AC56*AE56%</f>
        <v>0</v>
      </c>
      <c r="AH56" s="89"/>
      <c r="AI56" s="66"/>
      <c r="AJ56" s="66"/>
      <c r="AK56" s="62">
        <f t="shared" si="61"/>
        <v>0</v>
      </c>
      <c r="AL56" s="72">
        <f t="shared" si="62"/>
        <v>0</v>
      </c>
      <c r="AM56" s="73">
        <f t="shared" si="44"/>
        <v>0</v>
      </c>
      <c r="AN56" s="80">
        <f t="shared" si="63"/>
        <v>0</v>
      </c>
      <c r="AO56" s="80">
        <f t="shared" si="64"/>
        <v>0</v>
      </c>
      <c r="AP56" s="75" t="e">
        <f t="shared" si="34"/>
        <v>#DIV/0!</v>
      </c>
      <c r="AQ56" s="76">
        <f t="shared" si="8"/>
        <v>0</v>
      </c>
      <c r="AR56" s="90">
        <f t="shared" si="46"/>
        <v>0</v>
      </c>
    </row>
    <row r="57" spans="1:49" x14ac:dyDescent="0.25">
      <c r="A57" t="str">
        <f t="shared" si="10"/>
        <v>46200E</v>
      </c>
      <c r="B57" s="51">
        <f t="shared" si="25"/>
        <v>46200</v>
      </c>
      <c r="C57" s="52" t="s">
        <v>88</v>
      </c>
      <c r="D57" s="91"/>
      <c r="E57" s="62"/>
      <c r="F57" s="62"/>
      <c r="G57" s="62">
        <f t="shared" si="43"/>
        <v>0</v>
      </c>
      <c r="H57" s="72">
        <f t="shared" si="47"/>
        <v>0</v>
      </c>
      <c r="I57" s="119"/>
      <c r="J57" s="120"/>
      <c r="K57" s="121"/>
      <c r="L57" s="122"/>
      <c r="M57" s="58"/>
      <c r="N57" s="58"/>
      <c r="O57" s="59"/>
      <c r="P57" s="56"/>
      <c r="Q57" s="60"/>
      <c r="R57" s="61">
        <f t="shared" si="12"/>
        <v>0</v>
      </c>
      <c r="S57" s="62">
        <f t="shared" si="13"/>
        <v>0</v>
      </c>
      <c r="T57" s="63">
        <f t="shared" si="14"/>
        <v>0</v>
      </c>
      <c r="U57" s="64"/>
      <c r="V57" s="65"/>
      <c r="W57" s="66"/>
      <c r="X57" s="67"/>
      <c r="Y57" s="68"/>
      <c r="Z57" s="68"/>
      <c r="AA57" s="62">
        <f t="shared" si="26"/>
        <v>0</v>
      </c>
      <c r="AB57" s="63">
        <f t="shared" si="27"/>
        <v>0</v>
      </c>
      <c r="AC57" s="69"/>
      <c r="AD57" s="70"/>
      <c r="AE57" s="70"/>
      <c r="AF57" s="62">
        <f t="shared" si="65"/>
        <v>0</v>
      </c>
      <c r="AG57" s="63">
        <f t="shared" si="66"/>
        <v>0</v>
      </c>
      <c r="AH57" s="89"/>
      <c r="AI57" s="66"/>
      <c r="AJ57" s="66"/>
      <c r="AK57" s="62">
        <f t="shared" si="61"/>
        <v>0</v>
      </c>
      <c r="AL57" s="72">
        <f t="shared" si="62"/>
        <v>0</v>
      </c>
      <c r="AM57" s="73">
        <f t="shared" si="44"/>
        <v>0</v>
      </c>
      <c r="AN57" s="80">
        <f t="shared" si="63"/>
        <v>0</v>
      </c>
      <c r="AO57" s="80">
        <f t="shared" si="64"/>
        <v>0</v>
      </c>
      <c r="AP57" s="75" t="e">
        <f t="shared" si="34"/>
        <v>#DIV/0!</v>
      </c>
      <c r="AQ57" s="76">
        <f t="shared" si="8"/>
        <v>0</v>
      </c>
      <c r="AR57" s="90">
        <f t="shared" si="46"/>
        <v>0</v>
      </c>
    </row>
    <row r="58" spans="1:49" x14ac:dyDescent="0.25">
      <c r="A58" t="str">
        <f t="shared" si="10"/>
        <v>46201M</v>
      </c>
      <c r="B58" s="51">
        <f t="shared" si="25"/>
        <v>46201</v>
      </c>
      <c r="C58" s="52" t="s">
        <v>87</v>
      </c>
      <c r="D58" s="91"/>
      <c r="E58" s="62"/>
      <c r="F58" s="62"/>
      <c r="G58" s="62">
        <f t="shared" si="43"/>
        <v>0</v>
      </c>
      <c r="H58" s="72">
        <f t="shared" si="47"/>
        <v>0</v>
      </c>
      <c r="I58" s="119"/>
      <c r="J58" s="120"/>
      <c r="K58" s="121"/>
      <c r="L58" s="122"/>
      <c r="M58" s="58"/>
      <c r="N58" s="58"/>
      <c r="O58" s="59"/>
      <c r="P58" s="56"/>
      <c r="Q58" s="60"/>
      <c r="R58" s="61">
        <f t="shared" si="12"/>
        <v>0</v>
      </c>
      <c r="S58" s="62">
        <f t="shared" si="13"/>
        <v>0</v>
      </c>
      <c r="T58" s="63">
        <f t="shared" si="14"/>
        <v>0</v>
      </c>
      <c r="U58" s="64"/>
      <c r="V58" s="65"/>
      <c r="W58" s="66"/>
      <c r="X58" s="67"/>
      <c r="Y58" s="68"/>
      <c r="Z58" s="68"/>
      <c r="AA58" s="62">
        <f t="shared" si="26"/>
        <v>0</v>
      </c>
      <c r="AB58" s="63">
        <f t="shared" si="27"/>
        <v>0</v>
      </c>
      <c r="AC58" s="69"/>
      <c r="AD58" s="70"/>
      <c r="AE58" s="70"/>
      <c r="AF58" s="62">
        <f t="shared" si="65"/>
        <v>0</v>
      </c>
      <c r="AG58" s="63">
        <f t="shared" si="66"/>
        <v>0</v>
      </c>
      <c r="AH58" s="89"/>
      <c r="AI58" s="66"/>
      <c r="AJ58" s="66"/>
      <c r="AK58" s="62">
        <f t="shared" si="61"/>
        <v>0</v>
      </c>
      <c r="AL58" s="72">
        <f t="shared" si="62"/>
        <v>0</v>
      </c>
      <c r="AM58" s="73">
        <f t="shared" si="44"/>
        <v>0</v>
      </c>
      <c r="AN58" s="80">
        <f t="shared" si="63"/>
        <v>0</v>
      </c>
      <c r="AO58" s="80">
        <f t="shared" si="64"/>
        <v>0</v>
      </c>
      <c r="AP58" s="75" t="e">
        <f t="shared" si="34"/>
        <v>#DIV/0!</v>
      </c>
      <c r="AQ58" s="76">
        <f t="shared" si="8"/>
        <v>0</v>
      </c>
      <c r="AR58" s="90">
        <f t="shared" si="46"/>
        <v>0</v>
      </c>
    </row>
    <row r="59" spans="1:49" x14ac:dyDescent="0.25">
      <c r="A59" t="str">
        <f t="shared" si="10"/>
        <v>46201E</v>
      </c>
      <c r="B59" s="51">
        <f t="shared" si="25"/>
        <v>46201</v>
      </c>
      <c r="C59" s="52" t="s">
        <v>88</v>
      </c>
      <c r="D59" s="91"/>
      <c r="E59" s="62"/>
      <c r="F59" s="62"/>
      <c r="G59" s="62">
        <f t="shared" si="43"/>
        <v>0</v>
      </c>
      <c r="H59" s="72">
        <f t="shared" si="47"/>
        <v>0</v>
      </c>
      <c r="I59" s="119"/>
      <c r="J59" s="120"/>
      <c r="K59" s="121"/>
      <c r="L59" s="122"/>
      <c r="M59" s="58"/>
      <c r="N59" s="58"/>
      <c r="O59" s="59"/>
      <c r="P59" s="56"/>
      <c r="Q59" s="60"/>
      <c r="R59" s="61">
        <f t="shared" si="12"/>
        <v>0</v>
      </c>
      <c r="S59" s="62">
        <f t="shared" si="13"/>
        <v>0</v>
      </c>
      <c r="T59" s="63">
        <f t="shared" si="14"/>
        <v>0</v>
      </c>
      <c r="U59" s="64"/>
      <c r="V59" s="65"/>
      <c r="W59" s="66"/>
      <c r="X59" s="67"/>
      <c r="Y59" s="68"/>
      <c r="Z59" s="68"/>
      <c r="AA59" s="62">
        <f t="shared" si="26"/>
        <v>0</v>
      </c>
      <c r="AB59" s="63">
        <f t="shared" si="27"/>
        <v>0</v>
      </c>
      <c r="AC59" s="69"/>
      <c r="AD59" s="70"/>
      <c r="AE59" s="70"/>
      <c r="AF59" s="62">
        <f t="shared" si="65"/>
        <v>0</v>
      </c>
      <c r="AG59" s="63">
        <f t="shared" si="66"/>
        <v>0</v>
      </c>
      <c r="AH59" s="89"/>
      <c r="AI59" s="66"/>
      <c r="AJ59" s="66"/>
      <c r="AK59" s="62">
        <f t="shared" si="61"/>
        <v>0</v>
      </c>
      <c r="AL59" s="72">
        <f t="shared" si="62"/>
        <v>0</v>
      </c>
      <c r="AM59" s="73">
        <f t="shared" si="44"/>
        <v>0</v>
      </c>
      <c r="AN59" s="80">
        <f t="shared" si="63"/>
        <v>0</v>
      </c>
      <c r="AO59" s="80">
        <f t="shared" si="64"/>
        <v>0</v>
      </c>
      <c r="AP59" s="75" t="e">
        <f t="shared" si="34"/>
        <v>#DIV/0!</v>
      </c>
      <c r="AQ59" s="76">
        <f t="shared" si="8"/>
        <v>0</v>
      </c>
      <c r="AR59" s="90">
        <f t="shared" si="46"/>
        <v>0</v>
      </c>
    </row>
    <row r="60" spans="1:49" x14ac:dyDescent="0.25">
      <c r="A60" t="str">
        <f t="shared" si="10"/>
        <v>46202M</v>
      </c>
      <c r="B60" s="51">
        <f t="shared" si="25"/>
        <v>46202</v>
      </c>
      <c r="C60" s="52" t="s">
        <v>87</v>
      </c>
      <c r="D60" s="91"/>
      <c r="E60" s="62"/>
      <c r="F60" s="62"/>
      <c r="G60" s="62">
        <f t="shared" si="43"/>
        <v>0</v>
      </c>
      <c r="H60" s="72">
        <f t="shared" si="47"/>
        <v>0</v>
      </c>
      <c r="I60" s="119"/>
      <c r="J60" s="120"/>
      <c r="K60" s="121"/>
      <c r="L60" s="122"/>
      <c r="M60" s="58"/>
      <c r="N60" s="58"/>
      <c r="O60" s="59"/>
      <c r="P60" s="56"/>
      <c r="Q60" s="60"/>
      <c r="R60" s="61">
        <f t="shared" si="12"/>
        <v>0</v>
      </c>
      <c r="S60" s="62">
        <f t="shared" si="13"/>
        <v>0</v>
      </c>
      <c r="T60" s="63">
        <f t="shared" si="14"/>
        <v>0</v>
      </c>
      <c r="U60" s="64"/>
      <c r="V60" s="65"/>
      <c r="W60" s="66"/>
      <c r="X60" s="67"/>
      <c r="Y60" s="68"/>
      <c r="Z60" s="68"/>
      <c r="AA60" s="62">
        <f t="shared" si="26"/>
        <v>0</v>
      </c>
      <c r="AB60" s="63">
        <f t="shared" si="27"/>
        <v>0</v>
      </c>
      <c r="AC60" s="69"/>
      <c r="AD60" s="70"/>
      <c r="AE60" s="70"/>
      <c r="AF60" s="62">
        <f t="shared" si="65"/>
        <v>0</v>
      </c>
      <c r="AG60" s="63">
        <f t="shared" si="66"/>
        <v>0</v>
      </c>
      <c r="AH60" s="89"/>
      <c r="AI60" s="66"/>
      <c r="AJ60" s="66"/>
      <c r="AK60" s="62">
        <f t="shared" si="61"/>
        <v>0</v>
      </c>
      <c r="AL60" s="72">
        <f t="shared" si="62"/>
        <v>0</v>
      </c>
      <c r="AM60" s="73">
        <f t="shared" si="44"/>
        <v>0</v>
      </c>
      <c r="AN60" s="80">
        <f t="shared" si="63"/>
        <v>0</v>
      </c>
      <c r="AO60" s="80">
        <f t="shared" si="64"/>
        <v>0</v>
      </c>
      <c r="AP60" s="75" t="e">
        <f t="shared" si="34"/>
        <v>#DIV/0!</v>
      </c>
      <c r="AQ60" s="76">
        <f t="shared" si="8"/>
        <v>0</v>
      </c>
      <c r="AR60" s="90">
        <f t="shared" si="46"/>
        <v>0</v>
      </c>
    </row>
    <row r="61" spans="1:49" x14ac:dyDescent="0.25">
      <c r="A61" t="str">
        <f t="shared" si="10"/>
        <v>46202E</v>
      </c>
      <c r="B61" s="51">
        <f t="shared" si="25"/>
        <v>46202</v>
      </c>
      <c r="C61" s="52" t="s">
        <v>88</v>
      </c>
      <c r="D61" s="91"/>
      <c r="E61" s="62"/>
      <c r="F61" s="62"/>
      <c r="G61" s="62">
        <f t="shared" si="43"/>
        <v>0</v>
      </c>
      <c r="H61" s="72">
        <f t="shared" si="47"/>
        <v>0</v>
      </c>
      <c r="I61" s="119"/>
      <c r="J61" s="120"/>
      <c r="K61" s="121"/>
      <c r="L61" s="122"/>
      <c r="M61" s="58"/>
      <c r="N61" s="58"/>
      <c r="O61" s="59"/>
      <c r="P61" s="56"/>
      <c r="Q61" s="60"/>
      <c r="R61" s="61">
        <f t="shared" si="12"/>
        <v>0</v>
      </c>
      <c r="S61" s="62">
        <f t="shared" si="13"/>
        <v>0</v>
      </c>
      <c r="T61" s="63">
        <f t="shared" si="14"/>
        <v>0</v>
      </c>
      <c r="U61" s="64"/>
      <c r="V61" s="65"/>
      <c r="W61" s="66"/>
      <c r="X61" s="67"/>
      <c r="Y61" s="68"/>
      <c r="Z61" s="68"/>
      <c r="AA61" s="62">
        <f t="shared" si="26"/>
        <v>0</v>
      </c>
      <c r="AB61" s="63">
        <f t="shared" si="27"/>
        <v>0</v>
      </c>
      <c r="AC61" s="69"/>
      <c r="AD61" s="70"/>
      <c r="AE61" s="70"/>
      <c r="AF61" s="62">
        <f t="shared" si="65"/>
        <v>0</v>
      </c>
      <c r="AG61" s="63">
        <f t="shared" si="66"/>
        <v>0</v>
      </c>
      <c r="AH61" s="89"/>
      <c r="AI61" s="66"/>
      <c r="AJ61" s="66"/>
      <c r="AK61" s="62">
        <f t="shared" si="61"/>
        <v>0</v>
      </c>
      <c r="AL61" s="72">
        <f t="shared" si="62"/>
        <v>0</v>
      </c>
      <c r="AM61" s="73">
        <f t="shared" si="44"/>
        <v>0</v>
      </c>
      <c r="AN61" s="80">
        <f t="shared" si="63"/>
        <v>0</v>
      </c>
      <c r="AO61" s="80">
        <f t="shared" si="64"/>
        <v>0</v>
      </c>
      <c r="AP61" s="75" t="e">
        <f t="shared" si="34"/>
        <v>#DIV/0!</v>
      </c>
      <c r="AQ61" s="76">
        <f t="shared" si="8"/>
        <v>0</v>
      </c>
      <c r="AR61" s="90">
        <f t="shared" si="46"/>
        <v>0</v>
      </c>
    </row>
    <row r="62" spans="1:49" x14ac:dyDescent="0.25">
      <c r="A62" t="str">
        <f t="shared" si="10"/>
        <v>46203M</v>
      </c>
      <c r="B62" s="51">
        <f t="shared" si="25"/>
        <v>46203</v>
      </c>
      <c r="C62" s="52" t="s">
        <v>87</v>
      </c>
      <c r="D62" s="91"/>
      <c r="E62" s="62"/>
      <c r="F62" s="62"/>
      <c r="G62" s="62">
        <f t="shared" si="43"/>
        <v>0</v>
      </c>
      <c r="H62" s="72">
        <f t="shared" si="47"/>
        <v>0</v>
      </c>
      <c r="I62" s="119"/>
      <c r="J62" s="120"/>
      <c r="K62" s="121"/>
      <c r="L62" s="122"/>
      <c r="M62" s="58"/>
      <c r="N62" s="58"/>
      <c r="O62" s="59"/>
      <c r="P62" s="56"/>
      <c r="Q62" s="60"/>
      <c r="R62" s="61">
        <f t="shared" si="12"/>
        <v>0</v>
      </c>
      <c r="S62" s="62">
        <f t="shared" si="13"/>
        <v>0</v>
      </c>
      <c r="T62" s="63">
        <f t="shared" si="14"/>
        <v>0</v>
      </c>
      <c r="U62" s="64"/>
      <c r="V62" s="65"/>
      <c r="W62" s="66"/>
      <c r="X62" s="67"/>
      <c r="Y62" s="68"/>
      <c r="Z62" s="68"/>
      <c r="AA62" s="62">
        <f t="shared" si="26"/>
        <v>0</v>
      </c>
      <c r="AB62" s="63">
        <f t="shared" si="27"/>
        <v>0</v>
      </c>
      <c r="AC62" s="69"/>
      <c r="AD62" s="70"/>
      <c r="AE62" s="70"/>
      <c r="AF62" s="62">
        <f t="shared" si="65"/>
        <v>0</v>
      </c>
      <c r="AG62" s="63">
        <f t="shared" si="66"/>
        <v>0</v>
      </c>
      <c r="AH62" s="89"/>
      <c r="AI62" s="66"/>
      <c r="AJ62" s="66"/>
      <c r="AK62" s="62">
        <f t="shared" si="61"/>
        <v>0</v>
      </c>
      <c r="AL62" s="72">
        <f t="shared" si="62"/>
        <v>0</v>
      </c>
      <c r="AM62" s="73">
        <f t="shared" si="44"/>
        <v>0</v>
      </c>
      <c r="AN62" s="80">
        <f t="shared" si="63"/>
        <v>0</v>
      </c>
      <c r="AO62" s="80">
        <f t="shared" si="64"/>
        <v>0</v>
      </c>
      <c r="AP62" s="75" t="e">
        <f t="shared" si="34"/>
        <v>#DIV/0!</v>
      </c>
      <c r="AQ62" s="76">
        <f t="shared" si="8"/>
        <v>0</v>
      </c>
      <c r="AR62" s="90">
        <f t="shared" si="46"/>
        <v>0</v>
      </c>
    </row>
    <row r="63" spans="1:49" x14ac:dyDescent="0.25">
      <c r="A63" t="str">
        <f t="shared" si="10"/>
        <v>46203E</v>
      </c>
      <c r="B63" s="51">
        <f t="shared" si="25"/>
        <v>46203</v>
      </c>
      <c r="C63" s="52" t="s">
        <v>88</v>
      </c>
      <c r="D63" s="91"/>
      <c r="E63" s="62"/>
      <c r="F63" s="62"/>
      <c r="G63" s="62">
        <f t="shared" si="43"/>
        <v>0</v>
      </c>
      <c r="H63" s="72">
        <f t="shared" si="47"/>
        <v>0</v>
      </c>
      <c r="I63" s="119"/>
      <c r="J63" s="120"/>
      <c r="K63" s="121"/>
      <c r="L63" s="122"/>
      <c r="M63" s="58"/>
      <c r="N63" s="58"/>
      <c r="O63" s="59"/>
      <c r="P63" s="56"/>
      <c r="Q63" s="60"/>
      <c r="R63" s="61">
        <f t="shared" si="12"/>
        <v>0</v>
      </c>
      <c r="S63" s="62">
        <f t="shared" si="13"/>
        <v>0</v>
      </c>
      <c r="T63" s="63">
        <f t="shared" si="14"/>
        <v>0</v>
      </c>
      <c r="U63" s="64"/>
      <c r="V63" s="65"/>
      <c r="W63" s="66"/>
      <c r="X63" s="67"/>
      <c r="Y63" s="68"/>
      <c r="Z63" s="68"/>
      <c r="AA63" s="62">
        <f t="shared" si="26"/>
        <v>0</v>
      </c>
      <c r="AB63" s="63">
        <f t="shared" si="27"/>
        <v>0</v>
      </c>
      <c r="AC63" s="69"/>
      <c r="AD63" s="70"/>
      <c r="AE63" s="70"/>
      <c r="AF63" s="62">
        <f t="shared" si="65"/>
        <v>0</v>
      </c>
      <c r="AG63" s="63">
        <f t="shared" si="66"/>
        <v>0</v>
      </c>
      <c r="AH63" s="89"/>
      <c r="AI63" s="66"/>
      <c r="AJ63" s="66"/>
      <c r="AK63" s="62">
        <f t="shared" si="61"/>
        <v>0</v>
      </c>
      <c r="AL63" s="72">
        <f t="shared" si="62"/>
        <v>0</v>
      </c>
      <c r="AM63" s="73">
        <f t="shared" si="44"/>
        <v>0</v>
      </c>
      <c r="AN63" s="80">
        <f t="shared" si="63"/>
        <v>0</v>
      </c>
      <c r="AO63" s="80">
        <f t="shared" si="64"/>
        <v>0</v>
      </c>
      <c r="AP63" s="75" t="e">
        <f t="shared" si="34"/>
        <v>#DIV/0!</v>
      </c>
      <c r="AQ63" s="76">
        <f t="shared" si="8"/>
        <v>0</v>
      </c>
      <c r="AR63" s="90">
        <f t="shared" si="46"/>
        <v>0</v>
      </c>
      <c r="AS63" s="90">
        <f>SUM(J50:J63)</f>
        <v>0</v>
      </c>
      <c r="AT63" s="83">
        <f>SUM(AM50:AM63)</f>
        <v>0</v>
      </c>
      <c r="AU63" s="83">
        <f>SUM(AN50:AN63)</f>
        <v>0</v>
      </c>
      <c r="AV63" s="83">
        <f>SUM(AO50:AO63)</f>
        <v>0</v>
      </c>
      <c r="AW63" s="83">
        <f>-SUM(AQ50:AQ63)</f>
        <v>0</v>
      </c>
    </row>
    <row r="64" spans="1:49" x14ac:dyDescent="0.25">
      <c r="A64" t="str">
        <f t="shared" si="10"/>
        <v>46204M</v>
      </c>
      <c r="B64" s="51">
        <f t="shared" si="25"/>
        <v>46204</v>
      </c>
      <c r="C64" s="52" t="s">
        <v>87</v>
      </c>
      <c r="D64" s="91"/>
      <c r="E64" s="62"/>
      <c r="F64" s="62"/>
      <c r="G64" s="62">
        <f t="shared" si="43"/>
        <v>0</v>
      </c>
      <c r="H64" s="72">
        <f t="shared" si="47"/>
        <v>0</v>
      </c>
      <c r="I64" s="119"/>
      <c r="J64" s="120"/>
      <c r="K64" s="121"/>
      <c r="L64" s="122"/>
      <c r="M64" s="58"/>
      <c r="N64" s="58"/>
      <c r="O64" s="59"/>
      <c r="P64" s="56"/>
      <c r="Q64" s="60"/>
      <c r="R64" s="61">
        <f t="shared" si="12"/>
        <v>0</v>
      </c>
      <c r="S64" s="62">
        <f t="shared" si="13"/>
        <v>0</v>
      </c>
      <c r="T64" s="63">
        <f t="shared" si="14"/>
        <v>0</v>
      </c>
      <c r="U64" s="64"/>
      <c r="V64" s="65"/>
      <c r="W64" s="66"/>
      <c r="X64" s="67"/>
      <c r="Y64" s="68"/>
      <c r="Z64" s="68"/>
      <c r="AA64" s="62">
        <f t="shared" si="26"/>
        <v>0</v>
      </c>
      <c r="AB64" s="63">
        <f t="shared" si="27"/>
        <v>0</v>
      </c>
      <c r="AC64" s="69"/>
      <c r="AD64" s="70"/>
      <c r="AE64" s="70"/>
      <c r="AF64" s="62">
        <f t="shared" ref="AF64:AF65" si="67">AC64*AD64%</f>
        <v>0</v>
      </c>
      <c r="AG64" s="63">
        <f t="shared" ref="AG64:AG65" si="68">AC64*AE64%</f>
        <v>0</v>
      </c>
      <c r="AH64" s="89"/>
      <c r="AI64" s="66"/>
      <c r="AJ64" s="66"/>
      <c r="AK64" s="62">
        <f t="shared" ref="AK64:AK65" si="69">AH64*AI64%</f>
        <v>0</v>
      </c>
      <c r="AL64" s="72">
        <f t="shared" ref="AL64:AL65" si="70">AH64*AJ64%</f>
        <v>0</v>
      </c>
      <c r="AM64" s="73">
        <f t="shared" si="44"/>
        <v>0</v>
      </c>
      <c r="AN64" s="80">
        <f t="shared" ref="AN64:AN65" si="71">+G64+S64-AF64-AK64</f>
        <v>0</v>
      </c>
      <c r="AO64" s="80">
        <f t="shared" ref="AO64:AO65" si="72">+H64+T64-AG64-AL64</f>
        <v>0</v>
      </c>
      <c r="AP64" s="75" t="e">
        <f t="shared" si="34"/>
        <v>#DIV/0!</v>
      </c>
      <c r="AQ64" s="76">
        <f t="shared" si="8"/>
        <v>0</v>
      </c>
      <c r="AR64" s="90">
        <f t="shared" si="46"/>
        <v>0</v>
      </c>
      <c r="AT64">
        <v>745</v>
      </c>
    </row>
    <row r="65" spans="1:49" x14ac:dyDescent="0.25">
      <c r="A65" t="str">
        <f t="shared" si="10"/>
        <v>46204E</v>
      </c>
      <c r="B65" s="51">
        <f t="shared" si="25"/>
        <v>46204</v>
      </c>
      <c r="C65" s="52" t="s">
        <v>88</v>
      </c>
      <c r="D65" s="91"/>
      <c r="E65" s="62"/>
      <c r="F65" s="62"/>
      <c r="G65" s="62">
        <f t="shared" si="43"/>
        <v>0</v>
      </c>
      <c r="H65" s="72">
        <f t="shared" si="47"/>
        <v>0</v>
      </c>
      <c r="I65" s="119"/>
      <c r="J65" s="120"/>
      <c r="K65" s="121"/>
      <c r="L65" s="122"/>
      <c r="M65" s="58"/>
      <c r="N65" s="58"/>
      <c r="O65" s="59"/>
      <c r="P65" s="56"/>
      <c r="Q65" s="60"/>
      <c r="R65" s="61">
        <f t="shared" si="12"/>
        <v>0</v>
      </c>
      <c r="S65" s="62">
        <f t="shared" si="13"/>
        <v>0</v>
      </c>
      <c r="T65" s="63">
        <f t="shared" si="14"/>
        <v>0</v>
      </c>
      <c r="U65" s="64"/>
      <c r="V65" s="65"/>
      <c r="W65" s="66"/>
      <c r="X65" s="67"/>
      <c r="Y65" s="68"/>
      <c r="Z65" s="68"/>
      <c r="AA65" s="62">
        <f t="shared" si="26"/>
        <v>0</v>
      </c>
      <c r="AB65" s="63">
        <f t="shared" si="27"/>
        <v>0</v>
      </c>
      <c r="AC65" s="69"/>
      <c r="AD65" s="70"/>
      <c r="AE65" s="70"/>
      <c r="AF65" s="62">
        <f t="shared" si="67"/>
        <v>0</v>
      </c>
      <c r="AG65" s="63">
        <f t="shared" si="68"/>
        <v>0</v>
      </c>
      <c r="AH65" s="89"/>
      <c r="AI65" s="66"/>
      <c r="AJ65" s="66"/>
      <c r="AK65" s="62">
        <f t="shared" si="69"/>
        <v>0</v>
      </c>
      <c r="AL65" s="72">
        <f t="shared" si="70"/>
        <v>0</v>
      </c>
      <c r="AM65" s="73">
        <f t="shared" si="44"/>
        <v>0</v>
      </c>
      <c r="AN65" s="80">
        <f t="shared" si="71"/>
        <v>0</v>
      </c>
      <c r="AO65" s="80">
        <f t="shared" si="72"/>
        <v>0</v>
      </c>
      <c r="AP65" s="75" t="e">
        <f t="shared" si="34"/>
        <v>#DIV/0!</v>
      </c>
      <c r="AQ65" s="76">
        <f t="shared" si="8"/>
        <v>0</v>
      </c>
      <c r="AR65" s="90">
        <f t="shared" si="46"/>
        <v>0</v>
      </c>
      <c r="AS65" s="90">
        <f>SUM(J62:J65)</f>
        <v>0</v>
      </c>
      <c r="AT65" s="83">
        <f>SUM(AM62:AM65)</f>
        <v>0</v>
      </c>
      <c r="AU65" s="83">
        <f>SUM(AN62:AN65)</f>
        <v>0</v>
      </c>
      <c r="AV65" s="83">
        <f>SUM(AO62:AO65)</f>
        <v>0</v>
      </c>
      <c r="AW65" s="83">
        <f>-SUM(AQ62:AQ65)</f>
        <v>0</v>
      </c>
    </row>
    <row r="66" spans="1:49" ht="15.75" thickBot="1" x14ac:dyDescent="0.3">
      <c r="J66" s="83">
        <f>SUM(J4:J65)</f>
        <v>73171.714999999997</v>
      </c>
      <c r="AM66" s="94">
        <f>-SUM(AM4:AM65)</f>
        <v>78.284999999998035</v>
      </c>
      <c r="AN66" s="94">
        <f>-SUM(AN4:AN65)</f>
        <v>-14.575021599999843</v>
      </c>
      <c r="AO66" s="94">
        <f>-SUM(AO4:AO65)</f>
        <v>68.916592700000422</v>
      </c>
      <c r="AP66" s="95"/>
      <c r="AQ66" s="94">
        <f>-SUM(AQ4:AQ65)</f>
        <v>14082.025472848864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29" priority="2" operator="lessThan">
      <formula>0.1</formula>
    </cfRule>
    <cfRule type="cellIs" dxfId="28" priority="3" operator="greaterThan">
      <formula>0.1</formula>
    </cfRule>
  </conditionalFormatting>
  <conditionalFormatting sqref="AP1:AQ1">
    <cfRule type="cellIs" dxfId="27" priority="1" operator="lessThan">
      <formula>1</formula>
    </cfRule>
  </conditionalFormatting>
  <conditionalFormatting sqref="AQ4:AQ65">
    <cfRule type="cellIs" dxfId="26" priority="8" operator="lessThan">
      <formula>0</formula>
    </cfRule>
    <cfRule type="cellIs" dxfId="25" priority="9" operator="greaterThan">
      <formula>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0"/>
  <dimension ref="A1:AW66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C25" sqref="AC25:AE25"/>
    </sheetView>
  </sheetViews>
  <sheetFormatPr defaultRowHeight="15" x14ac:dyDescent="0.25"/>
  <cols>
    <col min="1" max="1" width="5.28515625" customWidth="1"/>
    <col min="2" max="2" width="10.85546875" bestFit="1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7.140625" bestFit="1" customWidth="1"/>
    <col min="10" max="10" width="8.140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7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7.7109375" customWidth="1"/>
    <col min="23" max="23" width="8" bestFit="1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8.140625" bestFit="1" customWidth="1"/>
    <col min="35" max="36" width="5.85546875" style="77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8.140625" bestFit="1" customWidth="1"/>
    <col min="44" max="44" width="3.42578125" bestFit="1" customWidth="1"/>
    <col min="45" max="45" width="5.5703125" bestFit="1" customWidth="1"/>
    <col min="46" max="48" width="3.85546875" bestFit="1" customWidth="1"/>
    <col min="49" max="49" width="7.85546875" bestFit="1" customWidth="1"/>
  </cols>
  <sheetData>
    <row r="1" spans="1:44" ht="15.75" thickBot="1" x14ac:dyDescent="0.3">
      <c r="B1" s="43" t="s">
        <v>98</v>
      </c>
      <c r="C1" s="44"/>
      <c r="X1" t="s">
        <v>94</v>
      </c>
      <c r="AG1">
        <v>392</v>
      </c>
      <c r="AI1"/>
      <c r="AJ1"/>
      <c r="AP1" s="126">
        <f>Sumarry!$K$4</f>
        <v>448.91</v>
      </c>
      <c r="AQ1" s="126">
        <f>Sumarry!$L$4</f>
        <v>299.27333333333337</v>
      </c>
    </row>
    <row r="2" spans="1:44" x14ac:dyDescent="0.25">
      <c r="B2" s="259" t="s">
        <v>64</v>
      </c>
      <c r="C2" s="261" t="s">
        <v>65</v>
      </c>
      <c r="D2" s="263" t="s">
        <v>66</v>
      </c>
      <c r="E2" s="263"/>
      <c r="F2" s="263"/>
      <c r="G2" s="263"/>
      <c r="H2" s="264"/>
      <c r="I2" s="255" t="s">
        <v>67</v>
      </c>
      <c r="J2" s="256"/>
      <c r="K2" s="256"/>
      <c r="L2" s="257"/>
      <c r="M2" s="255" t="s">
        <v>68</v>
      </c>
      <c r="N2" s="265"/>
      <c r="O2" s="256"/>
      <c r="P2" s="256"/>
      <c r="Q2" s="257"/>
      <c r="R2" s="265" t="s">
        <v>69</v>
      </c>
      <c r="S2" s="256"/>
      <c r="T2" s="257"/>
      <c r="U2" s="252" t="s">
        <v>70</v>
      </c>
      <c r="V2" s="253"/>
      <c r="W2" s="253"/>
      <c r="X2" s="253"/>
      <c r="Y2" s="253"/>
      <c r="Z2" s="253"/>
      <c r="AA2" s="253"/>
      <c r="AB2" s="254"/>
      <c r="AC2" s="255" t="s">
        <v>71</v>
      </c>
      <c r="AD2" s="256"/>
      <c r="AE2" s="256"/>
      <c r="AF2" s="256"/>
      <c r="AG2" s="257"/>
      <c r="AH2" s="255" t="s">
        <v>72</v>
      </c>
      <c r="AI2" s="256"/>
      <c r="AJ2" s="256"/>
      <c r="AK2" s="256"/>
      <c r="AL2" s="258"/>
      <c r="AM2" s="252" t="s">
        <v>73</v>
      </c>
      <c r="AN2" s="253"/>
      <c r="AO2" s="253"/>
      <c r="AP2" s="253"/>
      <c r="AQ2" s="254"/>
    </row>
    <row r="3" spans="1:44" x14ac:dyDescent="0.25">
      <c r="B3" s="260"/>
      <c r="C3" s="26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87">
        <v>1790</v>
      </c>
      <c r="E4" s="88">
        <v>3.82</v>
      </c>
      <c r="F4" s="88">
        <v>8.09</v>
      </c>
      <c r="G4" s="62">
        <f t="shared" ref="G4" si="0">+D4*E4%</f>
        <v>68.378</v>
      </c>
      <c r="H4" s="63">
        <f t="shared" ref="H4" si="1">+D4*F4%</f>
        <v>144.81100000000001</v>
      </c>
      <c r="I4" s="144">
        <v>554.70000000000005</v>
      </c>
      <c r="J4" s="145">
        <v>571.34100000000001</v>
      </c>
      <c r="K4" s="146">
        <v>4.1729583558680359</v>
      </c>
      <c r="L4" s="147">
        <v>8.1283035875247869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571.34100000000001</v>
      </c>
      <c r="S4" s="62">
        <f>+J4*K4%+O4*P4%</f>
        <v>23.841821999999997</v>
      </c>
      <c r="T4" s="63">
        <f>+J4*L4%+O4*Q4%</f>
        <v>46.440330999999993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" si="2">X4*Y4%</f>
        <v>0</v>
      </c>
      <c r="AB4" s="63">
        <f t="shared" ref="AB4" si="3">X4*Z4%</f>
        <v>0</v>
      </c>
      <c r="AC4" s="69"/>
      <c r="AD4" s="70"/>
      <c r="AE4" s="70"/>
      <c r="AF4" s="62">
        <f t="shared" ref="AF4" si="4">AC4*AD4%</f>
        <v>0</v>
      </c>
      <c r="AG4" s="63">
        <f t="shared" ref="AG4" si="5">AC4*AE4%</f>
        <v>0</v>
      </c>
      <c r="AH4" s="66">
        <v>2361</v>
      </c>
      <c r="AI4" s="66">
        <v>3.9</v>
      </c>
      <c r="AJ4" s="66">
        <v>8.09</v>
      </c>
      <c r="AK4" s="62">
        <f t="shared" ref="AK4" si="6">AH4*AI4%</f>
        <v>92.078999999999994</v>
      </c>
      <c r="AL4" s="72">
        <f t="shared" ref="AL4" si="7">AH4*AJ4%</f>
        <v>191.00489999999999</v>
      </c>
      <c r="AM4" s="73">
        <f>+D4+R4-AC4-AH4</f>
        <v>0.3409999999998945</v>
      </c>
      <c r="AN4" s="74">
        <f t="shared" ref="AN4:AO4" si="8">+G4+S4-AF4-AK4</f>
        <v>0.140822</v>
      </c>
      <c r="AO4" s="74">
        <f t="shared" si="8"/>
        <v>0.24643100000000118</v>
      </c>
      <c r="AP4" s="75">
        <f>(AN4+AO4)/(S4+T4)</f>
        <v>5.5099763378051499E-3</v>
      </c>
      <c r="AQ4" s="76">
        <f t="shared" ref="AQ4:AQ65" si="9">($AP$1*AN4+$AQ$1*AO4)</f>
        <v>136.96663082666703</v>
      </c>
      <c r="AR4" s="90">
        <f>(D4+J4+O4)-(X4+AH4)</f>
        <v>0.3409999999998945</v>
      </c>
    </row>
    <row r="5" spans="1:44" x14ac:dyDescent="0.25">
      <c r="A5" t="str">
        <f t="shared" ref="A5:A65" si="10">CONCATENATE(B5,C5)</f>
        <v>46174E</v>
      </c>
      <c r="B5" s="51">
        <f>+B4</f>
        <v>46174</v>
      </c>
      <c r="C5" s="52" t="s">
        <v>88</v>
      </c>
      <c r="D5" s="91">
        <v>2361</v>
      </c>
      <c r="E5" s="62">
        <v>3.9</v>
      </c>
      <c r="F5" s="62">
        <v>8.09</v>
      </c>
      <c r="G5" s="62">
        <f t="shared" ref="G5:G65" si="11">+D5*E5%</f>
        <v>92.078999999999994</v>
      </c>
      <c r="H5" s="63">
        <f t="shared" ref="H5:H65" si="12">+D5*F5%</f>
        <v>191.00489999999999</v>
      </c>
      <c r="I5" s="144">
        <v>642.20000000000005</v>
      </c>
      <c r="J5" s="145">
        <v>661.46600000000001</v>
      </c>
      <c r="K5" s="146">
        <v>3.7226720647773286</v>
      </c>
      <c r="L5" s="147">
        <v>7.9459669884771111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3">+J5+O5</f>
        <v>661.46600000000001</v>
      </c>
      <c r="S5" s="62">
        <f t="shared" ref="S5:S65" si="14">+J5*K5%+O5*P5%</f>
        <v>24.624210000000005</v>
      </c>
      <c r="T5" s="63">
        <f t="shared" ref="T5:T65" si="15">+J5*L5%+O5*Q5%</f>
        <v>52.559870000000011</v>
      </c>
      <c r="U5" s="64" t="s">
        <v>316</v>
      </c>
      <c r="V5" s="65" t="s">
        <v>317</v>
      </c>
      <c r="W5" s="66" t="s">
        <v>183</v>
      </c>
      <c r="X5" s="67">
        <v>2455</v>
      </c>
      <c r="Y5" s="68">
        <v>3.8</v>
      </c>
      <c r="Z5" s="68">
        <v>7.92</v>
      </c>
      <c r="AA5" s="62">
        <f t="shared" ref="AA5:AA65" si="16">X5*Y5%</f>
        <v>93.289999999999992</v>
      </c>
      <c r="AB5" s="63">
        <f t="shared" ref="AB5:AB65" si="17">X5*Z5%</f>
        <v>194.43599999999998</v>
      </c>
      <c r="AC5" s="69">
        <v>2455</v>
      </c>
      <c r="AD5" s="70">
        <v>3.8</v>
      </c>
      <c r="AE5" s="70">
        <v>7.93</v>
      </c>
      <c r="AF5" s="62">
        <f t="shared" ref="AF5:AF65" si="18">AC5*AD5%</f>
        <v>93.289999999999992</v>
      </c>
      <c r="AG5" s="63">
        <f t="shared" ref="AG5:AG65" si="19">AC5*AE5%</f>
        <v>194.6815</v>
      </c>
      <c r="AH5" s="66">
        <v>567</v>
      </c>
      <c r="AI5" s="66">
        <v>3.86</v>
      </c>
      <c r="AJ5" s="66">
        <v>8.0500000000000007</v>
      </c>
      <c r="AK5" s="62">
        <f t="shared" ref="AK5:AK65" si="20">AH5*AI5%</f>
        <v>21.886199999999999</v>
      </c>
      <c r="AL5" s="72">
        <f t="shared" ref="AL5:AL65" si="21">AH5*AJ5%</f>
        <v>45.643500000000003</v>
      </c>
      <c r="AM5" s="73">
        <f t="shared" ref="AM5:AM65" si="22">+D5+R5-AC5-AH5</f>
        <v>0.4659999999998945</v>
      </c>
      <c r="AN5" s="74">
        <f t="shared" ref="AN5:AN65" si="23">+G5+S5-AF5-AK5</f>
        <v>1.5270100000000078</v>
      </c>
      <c r="AO5" s="74">
        <f t="shared" ref="AO5:AO65" si="24">+H5+T5-AG5-AL5</f>
        <v>3.2397700000000071</v>
      </c>
      <c r="AP5" s="75">
        <f t="shared" ref="AP5:AP65" si="25">(AN5+AO5)/(S5+T5)</f>
        <v>6.1758590631643386E-2</v>
      </c>
      <c r="AQ5" s="76">
        <f t="shared" si="9"/>
        <v>1655.066826233339</v>
      </c>
      <c r="AR5" s="90">
        <f t="shared" ref="AR5:AR65" si="26">(D5+J5+O5)-(X5+AH5)</f>
        <v>0.4659999999998945</v>
      </c>
    </row>
    <row r="6" spans="1:44" x14ac:dyDescent="0.25">
      <c r="A6" t="str">
        <f t="shared" si="10"/>
        <v>46175M</v>
      </c>
      <c r="B6" s="51">
        <f>+B4+1</f>
        <v>46175</v>
      </c>
      <c r="C6" s="52" t="s">
        <v>87</v>
      </c>
      <c r="D6" s="91">
        <v>567</v>
      </c>
      <c r="E6" s="62">
        <v>3.86</v>
      </c>
      <c r="F6" s="62">
        <v>8.0500000000000007</v>
      </c>
      <c r="G6" s="62">
        <f t="shared" si="11"/>
        <v>21.886199999999999</v>
      </c>
      <c r="H6" s="63">
        <f t="shared" si="12"/>
        <v>45.643500000000003</v>
      </c>
      <c r="I6" s="144">
        <v>527.30000000000007</v>
      </c>
      <c r="J6" s="145">
        <v>543.11900000000003</v>
      </c>
      <c r="K6" s="146">
        <v>4.0760477906315193</v>
      </c>
      <c r="L6" s="147">
        <v>8.1225867627536505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3"/>
        <v>543.11900000000003</v>
      </c>
      <c r="S6" s="62">
        <f t="shared" si="14"/>
        <v>22.137790000000003</v>
      </c>
      <c r="T6" s="63">
        <f t="shared" si="15"/>
        <v>44.115312000000003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f t="shared" si="16"/>
        <v>0</v>
      </c>
      <c r="AB6" s="63">
        <f t="shared" si="17"/>
        <v>0</v>
      </c>
      <c r="AC6" s="69"/>
      <c r="AD6" s="70"/>
      <c r="AE6" s="70"/>
      <c r="AF6" s="62">
        <f t="shared" si="18"/>
        <v>0</v>
      </c>
      <c r="AG6" s="63">
        <f t="shared" si="19"/>
        <v>0</v>
      </c>
      <c r="AH6" s="66">
        <v>1110</v>
      </c>
      <c r="AI6" s="66">
        <v>3.96</v>
      </c>
      <c r="AJ6" s="66">
        <v>8.08</v>
      </c>
      <c r="AK6" s="62">
        <f t="shared" si="20"/>
        <v>43.955999999999996</v>
      </c>
      <c r="AL6" s="72">
        <f t="shared" si="21"/>
        <v>89.688000000000002</v>
      </c>
      <c r="AM6" s="73">
        <f t="shared" si="22"/>
        <v>0.11900000000014188</v>
      </c>
      <c r="AN6" s="74">
        <f t="shared" si="23"/>
        <v>6.7990000000001771E-2</v>
      </c>
      <c r="AO6" s="74">
        <f t="shared" si="24"/>
        <v>7.081200000000365E-2</v>
      </c>
      <c r="AP6" s="75">
        <f t="shared" si="25"/>
        <v>2.0950264336303133E-3</v>
      </c>
      <c r="AQ6" s="76">
        <f t="shared" si="9"/>
        <v>51.713534180001886</v>
      </c>
      <c r="AR6" s="90">
        <f t="shared" si="26"/>
        <v>0.11900000000014188</v>
      </c>
    </row>
    <row r="7" spans="1:44" x14ac:dyDescent="0.25">
      <c r="A7" t="str">
        <f t="shared" si="10"/>
        <v>46175E</v>
      </c>
      <c r="B7" s="51">
        <f>+B5+1</f>
        <v>46175</v>
      </c>
      <c r="C7" s="52" t="s">
        <v>88</v>
      </c>
      <c r="D7" s="91">
        <v>1110</v>
      </c>
      <c r="E7" s="62">
        <v>3.96</v>
      </c>
      <c r="F7" s="62">
        <v>8.08</v>
      </c>
      <c r="G7" s="62">
        <f t="shared" si="11"/>
        <v>43.955999999999996</v>
      </c>
      <c r="H7" s="63">
        <f t="shared" si="12"/>
        <v>89.688000000000002</v>
      </c>
      <c r="I7" s="144">
        <v>640.79999999999995</v>
      </c>
      <c r="J7" s="145">
        <v>660.024</v>
      </c>
      <c r="K7" s="146">
        <v>3.7163857677902623</v>
      </c>
      <c r="L7" s="147">
        <v>7.9709737827715355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3"/>
        <v>660.024</v>
      </c>
      <c r="S7" s="62">
        <f t="shared" si="14"/>
        <v>24.529038000000003</v>
      </c>
      <c r="T7" s="63">
        <f t="shared" si="15"/>
        <v>52.610340000000001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16"/>
        <v>0</v>
      </c>
      <c r="AB7" s="63">
        <f t="shared" si="17"/>
        <v>0</v>
      </c>
      <c r="AC7" s="69"/>
      <c r="AD7" s="70"/>
      <c r="AE7" s="70"/>
      <c r="AF7" s="62">
        <f t="shared" si="18"/>
        <v>0</v>
      </c>
      <c r="AG7" s="63">
        <f t="shared" si="19"/>
        <v>0</v>
      </c>
      <c r="AH7" s="66">
        <v>1770</v>
      </c>
      <c r="AI7" s="66">
        <v>3.86</v>
      </c>
      <c r="AJ7" s="66">
        <v>8.0299999999999994</v>
      </c>
      <c r="AK7" s="62">
        <f t="shared" si="20"/>
        <v>68.321999999999989</v>
      </c>
      <c r="AL7" s="72">
        <f t="shared" si="21"/>
        <v>142.131</v>
      </c>
      <c r="AM7" s="73">
        <f t="shared" si="22"/>
        <v>2.3999999999887223E-2</v>
      </c>
      <c r="AN7" s="74">
        <f t="shared" si="23"/>
        <v>0.16303800000001445</v>
      </c>
      <c r="AO7" s="74">
        <f t="shared" si="24"/>
        <v>0.16733999999999583</v>
      </c>
      <c r="AP7" s="75">
        <f t="shared" si="25"/>
        <v>4.2828709352570908E-3</v>
      </c>
      <c r="AQ7" s="76">
        <f t="shared" si="9"/>
        <v>123.26978818000525</v>
      </c>
      <c r="AR7" s="90">
        <f t="shared" si="26"/>
        <v>2.3999999999887223E-2</v>
      </c>
    </row>
    <row r="8" spans="1:44" x14ac:dyDescent="0.25">
      <c r="A8" t="str">
        <f t="shared" si="10"/>
        <v>46176M</v>
      </c>
      <c r="B8" s="51">
        <f>+B6+1</f>
        <v>46176</v>
      </c>
      <c r="C8" s="52" t="s">
        <v>87</v>
      </c>
      <c r="D8" s="91">
        <v>1770</v>
      </c>
      <c r="E8" s="62">
        <v>3.86</v>
      </c>
      <c r="F8" s="62">
        <v>8.0299999999999994</v>
      </c>
      <c r="G8" s="62">
        <f t="shared" si="11"/>
        <v>68.321999999999989</v>
      </c>
      <c r="H8" s="63">
        <f t="shared" si="12"/>
        <v>142.131</v>
      </c>
      <c r="I8" s="144">
        <v>498.40000000000009</v>
      </c>
      <c r="J8" s="145">
        <v>513.35200000000009</v>
      </c>
      <c r="K8" s="146">
        <v>4.0746990369181377</v>
      </c>
      <c r="L8" s="147">
        <v>7.9695626003210256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3"/>
        <v>513.35200000000009</v>
      </c>
      <c r="S8" s="62">
        <f t="shared" si="14"/>
        <v>20.917549000000001</v>
      </c>
      <c r="T8" s="63">
        <f t="shared" si="15"/>
        <v>40.911909000000001</v>
      </c>
      <c r="U8" s="64" t="s">
        <v>167</v>
      </c>
      <c r="V8" s="65" t="s">
        <v>187</v>
      </c>
      <c r="W8" s="66">
        <v>0</v>
      </c>
      <c r="X8" s="67">
        <v>0</v>
      </c>
      <c r="Y8" s="68">
        <v>0</v>
      </c>
      <c r="Z8" s="68">
        <v>0</v>
      </c>
      <c r="AA8" s="62">
        <f t="shared" si="16"/>
        <v>0</v>
      </c>
      <c r="AB8" s="63">
        <f t="shared" si="17"/>
        <v>0</v>
      </c>
      <c r="AC8" s="69"/>
      <c r="AD8" s="70"/>
      <c r="AE8" s="70"/>
      <c r="AF8" s="62">
        <f t="shared" si="18"/>
        <v>0</v>
      </c>
      <c r="AG8" s="63">
        <f t="shared" si="19"/>
        <v>0</v>
      </c>
      <c r="AH8" s="66">
        <v>2283</v>
      </c>
      <c r="AI8" s="66">
        <v>3.9</v>
      </c>
      <c r="AJ8" s="66">
        <v>8.01</v>
      </c>
      <c r="AK8" s="62">
        <f t="shared" si="20"/>
        <v>89.037000000000006</v>
      </c>
      <c r="AL8" s="72">
        <f t="shared" si="21"/>
        <v>182.8683</v>
      </c>
      <c r="AM8" s="73">
        <f t="shared" si="22"/>
        <v>0.35199999999986176</v>
      </c>
      <c r="AN8" s="74">
        <f t="shared" si="23"/>
        <v>0.20254899999997633</v>
      </c>
      <c r="AO8" s="74">
        <f t="shared" si="24"/>
        <v>0.17460900000000379</v>
      </c>
      <c r="AP8" s="75">
        <f t="shared" si="25"/>
        <v>6.0999726052908326E-3</v>
      </c>
      <c r="AQ8" s="76">
        <f t="shared" si="9"/>
        <v>143.18208904999051</v>
      </c>
      <c r="AR8" s="90">
        <f t="shared" si="26"/>
        <v>0.35199999999986176</v>
      </c>
    </row>
    <row r="9" spans="1:44" x14ac:dyDescent="0.25">
      <c r="A9" t="str">
        <f t="shared" si="10"/>
        <v>46176E</v>
      </c>
      <c r="B9" s="51">
        <f t="shared" ref="B9:B65" si="27">+B7+1</f>
        <v>46176</v>
      </c>
      <c r="C9" s="52" t="s">
        <v>88</v>
      </c>
      <c r="D9" s="91">
        <v>2283</v>
      </c>
      <c r="E9" s="62">
        <v>3.9</v>
      </c>
      <c r="F9" s="62">
        <v>8.01</v>
      </c>
      <c r="G9" s="62">
        <f t="shared" si="11"/>
        <v>89.037000000000006</v>
      </c>
      <c r="H9" s="63">
        <f t="shared" si="12"/>
        <v>182.8683</v>
      </c>
      <c r="I9" s="144">
        <v>569.90000000000009</v>
      </c>
      <c r="J9" s="145">
        <v>586.99700000000007</v>
      </c>
      <c r="K9" s="146">
        <v>3.7334795578171613</v>
      </c>
      <c r="L9" s="147">
        <v>7.9620986137918921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3"/>
        <v>586.99700000000007</v>
      </c>
      <c r="S9" s="62">
        <f t="shared" si="14"/>
        <v>21.915413000000004</v>
      </c>
      <c r="T9" s="63">
        <f t="shared" si="15"/>
        <v>46.737279999999998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16"/>
        <v>0</v>
      </c>
      <c r="AB9" s="63">
        <f t="shared" si="17"/>
        <v>0</v>
      </c>
      <c r="AC9" s="69"/>
      <c r="AD9" s="70"/>
      <c r="AE9" s="70"/>
      <c r="AF9" s="62">
        <f t="shared" si="18"/>
        <v>0</v>
      </c>
      <c r="AG9" s="63">
        <f t="shared" si="19"/>
        <v>0</v>
      </c>
      <c r="AH9" s="66">
        <v>2870</v>
      </c>
      <c r="AI9" s="66">
        <v>3.86</v>
      </c>
      <c r="AJ9" s="66">
        <v>7.99</v>
      </c>
      <c r="AK9" s="62">
        <f t="shared" si="20"/>
        <v>110.78199999999998</v>
      </c>
      <c r="AL9" s="72">
        <f t="shared" si="21"/>
        <v>229.31299999999999</v>
      </c>
      <c r="AM9" s="73">
        <f t="shared" si="22"/>
        <v>-2.9999999997016857E-3</v>
      </c>
      <c r="AN9" s="74">
        <f t="shared" si="23"/>
        <v>0.17041300000002479</v>
      </c>
      <c r="AO9" s="74">
        <f t="shared" si="24"/>
        <v>0.29258000000001516</v>
      </c>
      <c r="AP9" s="75">
        <f t="shared" si="25"/>
        <v>6.7439889065974432E-3</v>
      </c>
      <c r="AQ9" s="76">
        <f t="shared" si="9"/>
        <v>164.06149169668237</v>
      </c>
      <c r="AR9" s="90">
        <f t="shared" si="26"/>
        <v>-2.9999999997016857E-3</v>
      </c>
    </row>
    <row r="10" spans="1:44" x14ac:dyDescent="0.25">
      <c r="A10" t="str">
        <f t="shared" si="10"/>
        <v>46177M</v>
      </c>
      <c r="B10" s="51">
        <f t="shared" si="27"/>
        <v>46177</v>
      </c>
      <c r="C10" s="52" t="s">
        <v>87</v>
      </c>
      <c r="D10" s="91">
        <v>2870</v>
      </c>
      <c r="E10" s="62">
        <v>3.86</v>
      </c>
      <c r="F10" s="62">
        <v>7.99</v>
      </c>
      <c r="G10" s="62">
        <f t="shared" si="11"/>
        <v>110.78199999999998</v>
      </c>
      <c r="H10" s="63">
        <f t="shared" si="12"/>
        <v>229.31299999999999</v>
      </c>
      <c r="I10" s="144">
        <v>517.4</v>
      </c>
      <c r="J10" s="145">
        <v>532.92200000000003</v>
      </c>
      <c r="K10" s="146">
        <v>4.0720332431387698</v>
      </c>
      <c r="L10" s="147">
        <v>8.0077116350985698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3"/>
        <v>532.92200000000003</v>
      </c>
      <c r="S10" s="62">
        <f t="shared" si="14"/>
        <v>21.700760999999996</v>
      </c>
      <c r="T10" s="63">
        <f t="shared" si="15"/>
        <v>42.674857000000003</v>
      </c>
      <c r="U10" s="64" t="s">
        <v>316</v>
      </c>
      <c r="V10" s="65" t="s">
        <v>318</v>
      </c>
      <c r="W10" s="66" t="s">
        <v>183</v>
      </c>
      <c r="X10" s="67">
        <v>3363</v>
      </c>
      <c r="Y10" s="68">
        <v>4</v>
      </c>
      <c r="Z10" s="68">
        <v>8</v>
      </c>
      <c r="AA10" s="62">
        <f t="shared" si="16"/>
        <v>134.52000000000001</v>
      </c>
      <c r="AB10" s="63">
        <f t="shared" si="17"/>
        <v>269.04000000000002</v>
      </c>
      <c r="AC10" s="69">
        <v>3353</v>
      </c>
      <c r="AD10" s="70">
        <v>3.9</v>
      </c>
      <c r="AE10" s="70">
        <v>8</v>
      </c>
      <c r="AF10" s="62">
        <f t="shared" si="18"/>
        <v>130.767</v>
      </c>
      <c r="AG10" s="63">
        <f t="shared" si="19"/>
        <v>268.24</v>
      </c>
      <c r="AH10" s="66">
        <v>40</v>
      </c>
      <c r="AI10" s="66">
        <v>3.89</v>
      </c>
      <c r="AJ10" s="66">
        <v>7.99</v>
      </c>
      <c r="AK10" s="62">
        <f t="shared" si="20"/>
        <v>1.556</v>
      </c>
      <c r="AL10" s="72">
        <f t="shared" si="21"/>
        <v>3.1959999999999997</v>
      </c>
      <c r="AM10" s="73">
        <f t="shared" si="22"/>
        <v>9.9220000000000255</v>
      </c>
      <c r="AN10" s="74">
        <f t="shared" si="23"/>
        <v>0.15976099999998628</v>
      </c>
      <c r="AO10" s="74">
        <f t="shared" si="24"/>
        <v>0.55185699999995386</v>
      </c>
      <c r="AP10" s="75">
        <f t="shared" si="25"/>
        <v>1.1054154074294713E-2</v>
      </c>
      <c r="AQ10" s="76">
        <f t="shared" si="9"/>
        <v>236.87439442331339</v>
      </c>
      <c r="AR10" s="90">
        <f t="shared" si="26"/>
        <v>-7.7999999999974534E-2</v>
      </c>
    </row>
    <row r="11" spans="1:44" x14ac:dyDescent="0.25">
      <c r="A11" t="str">
        <f t="shared" si="10"/>
        <v>46177E</v>
      </c>
      <c r="B11" s="51">
        <f t="shared" si="27"/>
        <v>46177</v>
      </c>
      <c r="C11" s="52" t="s">
        <v>88</v>
      </c>
      <c r="D11" s="91">
        <v>40</v>
      </c>
      <c r="E11" s="62">
        <v>3.89</v>
      </c>
      <c r="F11" s="62">
        <v>7.99</v>
      </c>
      <c r="G11" s="62">
        <f t="shared" si="11"/>
        <v>1.556</v>
      </c>
      <c r="H11" s="63">
        <f t="shared" si="12"/>
        <v>3.1959999999999997</v>
      </c>
      <c r="I11" s="144">
        <v>701.4</v>
      </c>
      <c r="J11" s="145">
        <v>722.44200000000001</v>
      </c>
      <c r="K11" s="146">
        <v>3.9337040205303686</v>
      </c>
      <c r="L11" s="147">
        <v>7.9718990590248078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3"/>
        <v>722.44200000000001</v>
      </c>
      <c r="S11" s="62">
        <f t="shared" si="14"/>
        <v>28.418730000000007</v>
      </c>
      <c r="T11" s="63">
        <f t="shared" si="15"/>
        <v>57.592347000000004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f t="shared" si="16"/>
        <v>0</v>
      </c>
      <c r="AB11" s="63">
        <f t="shared" si="17"/>
        <v>0</v>
      </c>
      <c r="AC11" s="69"/>
      <c r="AD11" s="70"/>
      <c r="AE11" s="70"/>
      <c r="AF11" s="62">
        <f t="shared" si="18"/>
        <v>0</v>
      </c>
      <c r="AG11" s="63">
        <f t="shared" si="19"/>
        <v>0</v>
      </c>
      <c r="AH11" s="66">
        <v>762</v>
      </c>
      <c r="AI11" s="66">
        <v>3.91</v>
      </c>
      <c r="AJ11" s="66">
        <v>7.97</v>
      </c>
      <c r="AK11" s="62">
        <f t="shared" si="20"/>
        <v>29.794200000000004</v>
      </c>
      <c r="AL11" s="72">
        <f t="shared" si="21"/>
        <v>60.731399999999994</v>
      </c>
      <c r="AM11" s="73">
        <f t="shared" si="22"/>
        <v>0.44200000000000728</v>
      </c>
      <c r="AN11" s="74">
        <f t="shared" si="23"/>
        <v>0.18053000000000452</v>
      </c>
      <c r="AO11" s="74">
        <f t="shared" si="24"/>
        <v>5.6947000000008074E-2</v>
      </c>
      <c r="AP11" s="75">
        <f t="shared" si="25"/>
        <v>2.7610048412719276E-3</v>
      </c>
      <c r="AQ11" s="76">
        <f t="shared" si="9"/>
        <v>98.084440813337793</v>
      </c>
      <c r="AR11" s="90">
        <f t="shared" si="26"/>
        <v>0.44200000000000728</v>
      </c>
    </row>
    <row r="12" spans="1:44" x14ac:dyDescent="0.25">
      <c r="A12" t="str">
        <f t="shared" si="10"/>
        <v>46178M</v>
      </c>
      <c r="B12" s="51">
        <f t="shared" si="27"/>
        <v>46178</v>
      </c>
      <c r="C12" s="52" t="s">
        <v>87</v>
      </c>
      <c r="D12" s="91">
        <v>762</v>
      </c>
      <c r="E12" s="62">
        <v>3.91</v>
      </c>
      <c r="F12" s="62">
        <v>7.97</v>
      </c>
      <c r="G12" s="62">
        <f t="shared" si="11"/>
        <v>29.794200000000004</v>
      </c>
      <c r="H12" s="63">
        <f t="shared" si="12"/>
        <v>60.731399999999994</v>
      </c>
      <c r="I12" s="144">
        <v>501</v>
      </c>
      <c r="J12" s="145">
        <v>516.03</v>
      </c>
      <c r="K12" s="146">
        <v>4.2699999999999996</v>
      </c>
      <c r="L12" s="147">
        <v>8.01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3"/>
        <v>516.03</v>
      </c>
      <c r="S12" s="62">
        <f t="shared" si="14"/>
        <v>22.034480999999996</v>
      </c>
      <c r="T12" s="63">
        <f t="shared" si="15"/>
        <v>41.334003000000003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16"/>
        <v>0</v>
      </c>
      <c r="AB12" s="63">
        <f t="shared" si="17"/>
        <v>0</v>
      </c>
      <c r="AC12" s="69"/>
      <c r="AD12" s="70"/>
      <c r="AE12" s="70"/>
      <c r="AF12" s="62">
        <f t="shared" si="18"/>
        <v>0</v>
      </c>
      <c r="AG12" s="63">
        <f t="shared" si="19"/>
        <v>0</v>
      </c>
      <c r="AH12" s="66">
        <v>1278</v>
      </c>
      <c r="AI12" s="66">
        <v>4.0599999999999996</v>
      </c>
      <c r="AJ12" s="66">
        <v>7.98</v>
      </c>
      <c r="AK12" s="62">
        <f t="shared" si="20"/>
        <v>51.886799999999994</v>
      </c>
      <c r="AL12" s="72">
        <f t="shared" si="21"/>
        <v>101.98440000000001</v>
      </c>
      <c r="AM12" s="73">
        <f t="shared" si="22"/>
        <v>2.9999999999972715E-2</v>
      </c>
      <c r="AN12" s="74">
        <f t="shared" si="23"/>
        <v>-5.8118999999990706E-2</v>
      </c>
      <c r="AO12" s="74">
        <f t="shared" si="24"/>
        <v>8.1002999999995495E-2</v>
      </c>
      <c r="AP12" s="75">
        <f t="shared" si="25"/>
        <v>3.6112588712087211E-4</v>
      </c>
      <c r="AQ12" s="76">
        <f t="shared" si="9"/>
        <v>-1.8481624699971739</v>
      </c>
      <c r="AR12" s="90">
        <f t="shared" si="26"/>
        <v>2.9999999999972715E-2</v>
      </c>
    </row>
    <row r="13" spans="1:44" x14ac:dyDescent="0.25">
      <c r="A13" t="str">
        <f t="shared" si="10"/>
        <v>46178E</v>
      </c>
      <c r="B13" s="51">
        <f t="shared" si="27"/>
        <v>46178</v>
      </c>
      <c r="C13" s="52" t="s">
        <v>88</v>
      </c>
      <c r="D13" s="91">
        <v>1278</v>
      </c>
      <c r="E13" s="62">
        <v>4.0599999999999996</v>
      </c>
      <c r="F13" s="62">
        <v>7.98</v>
      </c>
      <c r="G13" s="62">
        <f t="shared" si="11"/>
        <v>51.886799999999994</v>
      </c>
      <c r="H13" s="63">
        <f t="shared" si="12"/>
        <v>101.98440000000001</v>
      </c>
      <c r="I13" s="144">
        <v>607.20000000000005</v>
      </c>
      <c r="J13" s="145">
        <v>625.41600000000005</v>
      </c>
      <c r="K13" s="146">
        <v>3.91</v>
      </c>
      <c r="L13" s="147">
        <v>8.01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3"/>
        <v>625.41600000000005</v>
      </c>
      <c r="S13" s="62">
        <f t="shared" si="14"/>
        <v>24.453765600000004</v>
      </c>
      <c r="T13" s="63">
        <f t="shared" si="15"/>
        <v>50.095821600000008</v>
      </c>
      <c r="U13" s="64" t="s">
        <v>167</v>
      </c>
      <c r="V13" s="6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16"/>
        <v>0</v>
      </c>
      <c r="AB13" s="63">
        <f t="shared" si="17"/>
        <v>0</v>
      </c>
      <c r="AC13" s="69"/>
      <c r="AD13" s="70"/>
      <c r="AE13" s="70"/>
      <c r="AF13" s="62">
        <f t="shared" si="18"/>
        <v>0</v>
      </c>
      <c r="AG13" s="63">
        <f t="shared" si="19"/>
        <v>0</v>
      </c>
      <c r="AH13" s="66">
        <v>1903</v>
      </c>
      <c r="AI13" s="66">
        <v>4.01</v>
      </c>
      <c r="AJ13" s="66">
        <v>7.98</v>
      </c>
      <c r="AK13" s="62">
        <f t="shared" si="20"/>
        <v>76.310299999999998</v>
      </c>
      <c r="AL13" s="72">
        <f t="shared" si="21"/>
        <v>151.85940000000002</v>
      </c>
      <c r="AM13" s="73">
        <f t="shared" si="22"/>
        <v>0.41600000000016735</v>
      </c>
      <c r="AN13" s="74">
        <f t="shared" si="23"/>
        <v>3.0265599999992787E-2</v>
      </c>
      <c r="AO13" s="74">
        <f t="shared" si="24"/>
        <v>0.22082159999999362</v>
      </c>
      <c r="AP13" s="75">
        <f t="shared" si="25"/>
        <v>3.3680562083647104E-3</v>
      </c>
      <c r="AQ13" s="76">
        <f t="shared" si="9"/>
        <v>79.672546799994862</v>
      </c>
      <c r="AR13" s="90">
        <f t="shared" si="26"/>
        <v>0.41600000000016735</v>
      </c>
    </row>
    <row r="14" spans="1:44" x14ac:dyDescent="0.25">
      <c r="A14" t="str">
        <f t="shared" si="10"/>
        <v>46179M</v>
      </c>
      <c r="B14" s="51">
        <f t="shared" si="27"/>
        <v>46179</v>
      </c>
      <c r="C14" s="52" t="s">
        <v>87</v>
      </c>
      <c r="D14" s="91">
        <v>1903</v>
      </c>
      <c r="E14" s="62">
        <v>4.01</v>
      </c>
      <c r="F14" s="62">
        <v>7.98</v>
      </c>
      <c r="G14" s="62">
        <f t="shared" si="11"/>
        <v>76.310299999999998</v>
      </c>
      <c r="H14" s="63">
        <f t="shared" si="12"/>
        <v>151.85940000000002</v>
      </c>
      <c r="I14" s="144">
        <v>587.5</v>
      </c>
      <c r="J14" s="145">
        <v>605.125</v>
      </c>
      <c r="K14" s="146">
        <v>4.26</v>
      </c>
      <c r="L14" s="147">
        <v>8.19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3"/>
        <v>605.125</v>
      </c>
      <c r="S14" s="62">
        <f t="shared" si="14"/>
        <v>25.778324999999999</v>
      </c>
      <c r="T14" s="63">
        <f t="shared" si="15"/>
        <v>49.559737499999997</v>
      </c>
      <c r="U14" s="64" t="s">
        <v>167</v>
      </c>
      <c r="V14" s="65" t="s">
        <v>167</v>
      </c>
      <c r="W14" s="66">
        <v>0</v>
      </c>
      <c r="X14" s="67">
        <v>0</v>
      </c>
      <c r="Y14" s="68">
        <v>0</v>
      </c>
      <c r="Z14" s="68">
        <v>0</v>
      </c>
      <c r="AA14" s="62">
        <f t="shared" si="16"/>
        <v>0</v>
      </c>
      <c r="AB14" s="63">
        <f t="shared" si="17"/>
        <v>0</v>
      </c>
      <c r="AC14" s="69"/>
      <c r="AD14" s="70"/>
      <c r="AE14" s="70"/>
      <c r="AF14" s="62">
        <f t="shared" si="18"/>
        <v>0</v>
      </c>
      <c r="AG14" s="63">
        <f t="shared" si="19"/>
        <v>0</v>
      </c>
      <c r="AH14" s="66">
        <v>2508</v>
      </c>
      <c r="AI14" s="66">
        <v>4.07</v>
      </c>
      <c r="AJ14" s="66">
        <v>8.0299999999999994</v>
      </c>
      <c r="AK14" s="62">
        <f t="shared" si="20"/>
        <v>102.07559999999999</v>
      </c>
      <c r="AL14" s="72">
        <f t="shared" si="21"/>
        <v>201.39239999999998</v>
      </c>
      <c r="AM14" s="73">
        <f t="shared" si="22"/>
        <v>0.125</v>
      </c>
      <c r="AN14" s="74">
        <f t="shared" si="23"/>
        <v>1.3024999999998954E-2</v>
      </c>
      <c r="AO14" s="74">
        <f t="shared" si="24"/>
        <v>2.6737500000052705E-2</v>
      </c>
      <c r="AP14" s="75">
        <f t="shared" si="25"/>
        <v>5.2778766377289921E-4</v>
      </c>
      <c r="AQ14" s="76">
        <f t="shared" si="9"/>
        <v>13.848873500015305</v>
      </c>
      <c r="AR14" s="90">
        <f t="shared" si="26"/>
        <v>0.125</v>
      </c>
    </row>
    <row r="15" spans="1:44" x14ac:dyDescent="0.25">
      <c r="A15" t="str">
        <f t="shared" si="10"/>
        <v>46179E</v>
      </c>
      <c r="B15" s="51">
        <f t="shared" si="27"/>
        <v>46179</v>
      </c>
      <c r="C15" s="52" t="s">
        <v>88</v>
      </c>
      <c r="D15" s="91">
        <v>2508</v>
      </c>
      <c r="E15" s="62">
        <v>4.07</v>
      </c>
      <c r="F15" s="62">
        <v>8.0299999999999994</v>
      </c>
      <c r="G15" s="62">
        <f t="shared" si="11"/>
        <v>102.07559999999999</v>
      </c>
      <c r="H15" s="63">
        <f t="shared" si="12"/>
        <v>201.39239999999998</v>
      </c>
      <c r="I15" s="144">
        <v>547.6</v>
      </c>
      <c r="J15" s="145">
        <v>564.02800000000002</v>
      </c>
      <c r="K15" s="146">
        <v>3.85</v>
      </c>
      <c r="L15" s="147">
        <v>7.94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3"/>
        <v>564.02800000000002</v>
      </c>
      <c r="S15" s="62">
        <f t="shared" si="14"/>
        <v>21.715078000000002</v>
      </c>
      <c r="T15" s="63">
        <f t="shared" si="15"/>
        <v>44.7838232</v>
      </c>
      <c r="U15" s="64" t="s">
        <v>316</v>
      </c>
      <c r="V15" s="65" t="s">
        <v>380</v>
      </c>
      <c r="W15" s="66" t="s">
        <v>183</v>
      </c>
      <c r="X15" s="67">
        <v>2379</v>
      </c>
      <c r="Y15" s="68">
        <v>4</v>
      </c>
      <c r="Z15" s="68">
        <v>7.9</v>
      </c>
      <c r="AA15" s="62">
        <f t="shared" si="16"/>
        <v>95.16</v>
      </c>
      <c r="AB15" s="63">
        <f t="shared" si="17"/>
        <v>187.941</v>
      </c>
      <c r="AC15" s="69">
        <v>2379</v>
      </c>
      <c r="AD15" s="70">
        <v>4</v>
      </c>
      <c r="AE15" s="70">
        <v>7.9</v>
      </c>
      <c r="AF15" s="62">
        <f t="shared" si="18"/>
        <v>95.16</v>
      </c>
      <c r="AG15" s="63">
        <f t="shared" si="19"/>
        <v>187.941</v>
      </c>
      <c r="AH15" s="66">
        <v>693</v>
      </c>
      <c r="AI15" s="66">
        <v>4.0199999999999996</v>
      </c>
      <c r="AJ15" s="66">
        <v>8.01</v>
      </c>
      <c r="AK15" s="62">
        <f t="shared" si="20"/>
        <v>27.858599999999996</v>
      </c>
      <c r="AL15" s="72">
        <f t="shared" si="21"/>
        <v>55.509300000000003</v>
      </c>
      <c r="AM15" s="73">
        <f t="shared" si="22"/>
        <v>2.8000000000247383E-2</v>
      </c>
      <c r="AN15" s="74">
        <f t="shared" si="23"/>
        <v>0.77207800000000759</v>
      </c>
      <c r="AO15" s="74">
        <f t="shared" si="24"/>
        <v>2.7259231999999756</v>
      </c>
      <c r="AP15" s="75">
        <f t="shared" si="25"/>
        <v>5.2602390970032796E-2</v>
      </c>
      <c r="AQ15" s="76">
        <f t="shared" si="9"/>
        <v>1162.3896574546629</v>
      </c>
      <c r="AR15" s="90">
        <f t="shared" si="26"/>
        <v>2.8000000000247383E-2</v>
      </c>
    </row>
    <row r="16" spans="1:44" x14ac:dyDescent="0.25">
      <c r="A16" t="str">
        <f t="shared" si="10"/>
        <v>46180M</v>
      </c>
      <c r="B16" s="51">
        <f t="shared" si="27"/>
        <v>46180</v>
      </c>
      <c r="C16" s="52" t="s">
        <v>87</v>
      </c>
      <c r="D16" s="91">
        <v>693</v>
      </c>
      <c r="E16" s="62">
        <v>4.0199999999999996</v>
      </c>
      <c r="F16" s="62">
        <v>8.01</v>
      </c>
      <c r="G16" s="62">
        <f t="shared" si="11"/>
        <v>27.858599999999996</v>
      </c>
      <c r="H16" s="63">
        <f t="shared" si="12"/>
        <v>55.509300000000003</v>
      </c>
      <c r="I16" s="144">
        <v>469.1</v>
      </c>
      <c r="J16" s="145">
        <v>483.17300000000006</v>
      </c>
      <c r="K16" s="146">
        <v>4</v>
      </c>
      <c r="L16" s="147">
        <v>8.01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3"/>
        <v>483.17300000000006</v>
      </c>
      <c r="S16" s="62">
        <f t="shared" si="14"/>
        <v>19.326920000000001</v>
      </c>
      <c r="T16" s="63">
        <f t="shared" si="15"/>
        <v>38.70215730000001</v>
      </c>
      <c r="U16" s="64" t="s">
        <v>167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16"/>
        <v>0</v>
      </c>
      <c r="AB16" s="63">
        <f t="shared" si="17"/>
        <v>0</v>
      </c>
      <c r="AC16" s="69"/>
      <c r="AD16" s="70"/>
      <c r="AE16" s="70"/>
      <c r="AF16" s="62">
        <f t="shared" si="18"/>
        <v>0</v>
      </c>
      <c r="AG16" s="63">
        <f t="shared" si="19"/>
        <v>0</v>
      </c>
      <c r="AH16" s="66">
        <v>1176</v>
      </c>
      <c r="AI16" s="66">
        <v>4.01</v>
      </c>
      <c r="AJ16" s="66">
        <v>8.01</v>
      </c>
      <c r="AK16" s="62">
        <f t="shared" si="20"/>
        <v>47.157599999999995</v>
      </c>
      <c r="AL16" s="72">
        <f t="shared" si="21"/>
        <v>94.197600000000008</v>
      </c>
      <c r="AM16" s="73">
        <f t="shared" si="22"/>
        <v>0.17300000000000182</v>
      </c>
      <c r="AN16" s="74">
        <f t="shared" si="23"/>
        <v>2.7920000000001721E-2</v>
      </c>
      <c r="AO16" s="74">
        <f t="shared" si="24"/>
        <v>1.3857299999997963E-2</v>
      </c>
      <c r="AP16" s="75">
        <f t="shared" si="25"/>
        <v>7.1993734768551409E-4</v>
      </c>
      <c r="AQ16" s="76">
        <f t="shared" si="9"/>
        <v>16.680687562000163</v>
      </c>
      <c r="AR16" s="90">
        <f t="shared" si="26"/>
        <v>0.17300000000000182</v>
      </c>
    </row>
    <row r="17" spans="1:49" x14ac:dyDescent="0.25">
      <c r="A17" t="str">
        <f t="shared" si="10"/>
        <v>46180E</v>
      </c>
      <c r="B17" s="51">
        <f t="shared" si="27"/>
        <v>46180</v>
      </c>
      <c r="C17" s="52" t="s">
        <v>88</v>
      </c>
      <c r="D17" s="91">
        <v>1176</v>
      </c>
      <c r="E17" s="62">
        <v>4.01</v>
      </c>
      <c r="F17" s="62">
        <v>8.01</v>
      </c>
      <c r="G17" s="62">
        <f t="shared" si="11"/>
        <v>47.157599999999995</v>
      </c>
      <c r="H17" s="63">
        <f t="shared" si="12"/>
        <v>94.197600000000008</v>
      </c>
      <c r="I17" s="144">
        <v>580.70000000000005</v>
      </c>
      <c r="J17" s="145">
        <v>598.12100000000009</v>
      </c>
      <c r="K17" s="146">
        <v>3.84</v>
      </c>
      <c r="L17" s="147">
        <v>8.01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3"/>
        <v>598.12100000000009</v>
      </c>
      <c r="S17" s="62">
        <f t="shared" si="14"/>
        <v>22.967846400000003</v>
      </c>
      <c r="T17" s="63">
        <f t="shared" si="15"/>
        <v>47.909492100000008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16"/>
        <v>0</v>
      </c>
      <c r="AB17" s="63">
        <f t="shared" si="17"/>
        <v>0</v>
      </c>
      <c r="AC17" s="69"/>
      <c r="AD17" s="70"/>
      <c r="AE17" s="70"/>
      <c r="AF17" s="62">
        <f t="shared" si="18"/>
        <v>0</v>
      </c>
      <c r="AG17" s="63">
        <f t="shared" si="19"/>
        <v>0</v>
      </c>
      <c r="AH17" s="66">
        <v>1774</v>
      </c>
      <c r="AI17" s="66">
        <v>3.95</v>
      </c>
      <c r="AJ17" s="66">
        <v>8.01</v>
      </c>
      <c r="AK17" s="62">
        <f t="shared" si="20"/>
        <v>70.073000000000008</v>
      </c>
      <c r="AL17" s="72">
        <f t="shared" si="21"/>
        <v>142.09740000000002</v>
      </c>
      <c r="AM17" s="73">
        <f t="shared" si="22"/>
        <v>0.12100000000009459</v>
      </c>
      <c r="AN17" s="74">
        <f t="shared" si="23"/>
        <v>5.2446399999993787E-2</v>
      </c>
      <c r="AO17" s="74">
        <f t="shared" si="24"/>
        <v>9.6920999999952073E-3</v>
      </c>
      <c r="AP17" s="75">
        <f t="shared" si="25"/>
        <v>8.7670475944845179E-4</v>
      </c>
      <c r="AQ17" s="76">
        <f t="shared" si="9"/>
        <v>26.444300497995776</v>
      </c>
      <c r="AR17" s="90">
        <f t="shared" si="26"/>
        <v>0.12100000000009459</v>
      </c>
    </row>
    <row r="18" spans="1:49" x14ac:dyDescent="0.25">
      <c r="A18" t="str">
        <f t="shared" si="10"/>
        <v>46181M</v>
      </c>
      <c r="B18" s="51">
        <f t="shared" si="27"/>
        <v>46181</v>
      </c>
      <c r="C18" s="52" t="s">
        <v>87</v>
      </c>
      <c r="D18" s="91">
        <v>1774</v>
      </c>
      <c r="E18" s="62">
        <v>3.95</v>
      </c>
      <c r="F18" s="62">
        <v>8.01</v>
      </c>
      <c r="G18" s="62">
        <f t="shared" si="11"/>
        <v>70.073000000000008</v>
      </c>
      <c r="H18" s="63">
        <f t="shared" si="12"/>
        <v>142.09740000000002</v>
      </c>
      <c r="I18" s="144">
        <v>561.70000000000005</v>
      </c>
      <c r="J18" s="145">
        <v>578.55100000000004</v>
      </c>
      <c r="K18" s="146">
        <v>4.1900000000000004</v>
      </c>
      <c r="L18" s="147">
        <v>8.06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3"/>
        <v>578.55100000000004</v>
      </c>
      <c r="S18" s="62">
        <f t="shared" si="14"/>
        <v>24.241286900000006</v>
      </c>
      <c r="T18" s="63">
        <f t="shared" si="15"/>
        <v>46.63121060000001</v>
      </c>
      <c r="U18" s="64" t="s">
        <v>167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16"/>
        <v>0</v>
      </c>
      <c r="AB18" s="63">
        <f t="shared" si="17"/>
        <v>0</v>
      </c>
      <c r="AC18" s="69"/>
      <c r="AD18" s="70"/>
      <c r="AE18" s="70"/>
      <c r="AF18" s="62">
        <f t="shared" si="18"/>
        <v>0</v>
      </c>
      <c r="AG18" s="63">
        <f t="shared" si="19"/>
        <v>0</v>
      </c>
      <c r="AH18" s="66">
        <v>2352</v>
      </c>
      <c r="AI18" s="66">
        <v>4</v>
      </c>
      <c r="AJ18" s="66">
        <v>8.02</v>
      </c>
      <c r="AK18" s="62">
        <f t="shared" si="20"/>
        <v>94.08</v>
      </c>
      <c r="AL18" s="72">
        <f t="shared" si="21"/>
        <v>188.63039999999998</v>
      </c>
      <c r="AM18" s="73">
        <f t="shared" si="22"/>
        <v>0.55099999999993088</v>
      </c>
      <c r="AN18" s="74">
        <f t="shared" si="23"/>
        <v>0.23428690000001495</v>
      </c>
      <c r="AO18" s="74">
        <f t="shared" si="24"/>
        <v>9.8210600000044224E-2</v>
      </c>
      <c r="AP18" s="75">
        <f t="shared" si="25"/>
        <v>4.6914884014078824E-3</v>
      </c>
      <c r="AQ18" s="76">
        <f t="shared" si="9"/>
        <v>134.56554590968662</v>
      </c>
      <c r="AR18" s="90">
        <f t="shared" si="26"/>
        <v>0.55099999999993088</v>
      </c>
    </row>
    <row r="19" spans="1:49" x14ac:dyDescent="0.25">
      <c r="A19" t="str">
        <f t="shared" si="10"/>
        <v>46181E</v>
      </c>
      <c r="B19" s="51">
        <f t="shared" si="27"/>
        <v>46181</v>
      </c>
      <c r="C19" s="52" t="s">
        <v>88</v>
      </c>
      <c r="D19" s="91">
        <v>2352</v>
      </c>
      <c r="E19" s="62">
        <v>4</v>
      </c>
      <c r="F19" s="62">
        <v>8.02</v>
      </c>
      <c r="G19" s="62">
        <f t="shared" si="11"/>
        <v>94.08</v>
      </c>
      <c r="H19" s="63">
        <f t="shared" si="12"/>
        <v>188.63039999999998</v>
      </c>
      <c r="I19" s="144">
        <v>595.20000000000005</v>
      </c>
      <c r="J19" s="145">
        <v>613.05600000000004</v>
      </c>
      <c r="K19" s="146">
        <v>3.96</v>
      </c>
      <c r="L19" s="147">
        <v>7.97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3"/>
        <v>613.05600000000004</v>
      </c>
      <c r="S19" s="62">
        <f t="shared" si="14"/>
        <v>24.277017600000001</v>
      </c>
      <c r="T19" s="63">
        <f t="shared" si="15"/>
        <v>48.860563200000001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16"/>
        <v>0</v>
      </c>
      <c r="AB19" s="63">
        <f t="shared" si="17"/>
        <v>0</v>
      </c>
      <c r="AC19" s="69"/>
      <c r="AD19" s="70"/>
      <c r="AE19" s="70"/>
      <c r="AF19" s="62">
        <f t="shared" si="18"/>
        <v>0</v>
      </c>
      <c r="AG19" s="63">
        <f t="shared" si="19"/>
        <v>0</v>
      </c>
      <c r="AH19" s="66">
        <v>2965</v>
      </c>
      <c r="AI19" s="66">
        <v>3.99</v>
      </c>
      <c r="AJ19" s="66">
        <v>8</v>
      </c>
      <c r="AK19" s="62">
        <f t="shared" si="20"/>
        <v>118.30350000000001</v>
      </c>
      <c r="AL19" s="72">
        <f t="shared" si="21"/>
        <v>237.20000000000002</v>
      </c>
      <c r="AM19" s="73">
        <f t="shared" si="22"/>
        <v>5.6000000000040018E-2</v>
      </c>
      <c r="AN19" s="74">
        <f t="shared" si="23"/>
        <v>5.3517599999992171E-2</v>
      </c>
      <c r="AO19" s="74">
        <f t="shared" si="24"/>
        <v>0.29096319999996467</v>
      </c>
      <c r="AP19" s="75">
        <f t="shared" si="25"/>
        <v>4.7100382078806317E-3</v>
      </c>
      <c r="AQ19" s="76">
        <f t="shared" si="9"/>
        <v>111.10211255731926</v>
      </c>
      <c r="AR19" s="90">
        <f t="shared" si="26"/>
        <v>5.6000000000040018E-2</v>
      </c>
    </row>
    <row r="20" spans="1:49" x14ac:dyDescent="0.25">
      <c r="A20" t="str">
        <f t="shared" si="10"/>
        <v>46182M</v>
      </c>
      <c r="B20" s="51">
        <f t="shared" si="27"/>
        <v>46182</v>
      </c>
      <c r="C20" s="52" t="s">
        <v>87</v>
      </c>
      <c r="D20" s="91">
        <v>2965</v>
      </c>
      <c r="E20" s="62">
        <v>3.99</v>
      </c>
      <c r="F20" s="62">
        <v>8</v>
      </c>
      <c r="G20" s="62">
        <f t="shared" si="11"/>
        <v>118.30350000000001</v>
      </c>
      <c r="H20" s="63">
        <f t="shared" si="12"/>
        <v>237.20000000000002</v>
      </c>
      <c r="I20" s="144">
        <v>540.70000000000005</v>
      </c>
      <c r="J20" s="145">
        <v>556.92100000000005</v>
      </c>
      <c r="K20" s="146">
        <v>4.05</v>
      </c>
      <c r="L20" s="147">
        <v>8.0500000000000007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3"/>
        <v>556.92100000000005</v>
      </c>
      <c r="S20" s="62">
        <f t="shared" si="14"/>
        <v>22.555300500000001</v>
      </c>
      <c r="T20" s="63">
        <f t="shared" si="15"/>
        <v>44.832140500000008</v>
      </c>
      <c r="U20" s="64" t="s">
        <v>316</v>
      </c>
      <c r="V20" s="65" t="s">
        <v>410</v>
      </c>
      <c r="W20" s="66" t="s">
        <v>183</v>
      </c>
      <c r="X20" s="67">
        <v>2904</v>
      </c>
      <c r="Y20" s="68">
        <v>4</v>
      </c>
      <c r="Z20" s="68">
        <v>7.96</v>
      </c>
      <c r="AA20" s="62">
        <f t="shared" si="16"/>
        <v>116.16</v>
      </c>
      <c r="AB20" s="63">
        <f t="shared" si="17"/>
        <v>231.1584</v>
      </c>
      <c r="AC20" s="69">
        <v>2899</v>
      </c>
      <c r="AD20" s="70">
        <v>4</v>
      </c>
      <c r="AE20" s="70">
        <v>7.94</v>
      </c>
      <c r="AF20" s="62">
        <f t="shared" si="18"/>
        <v>115.96000000000001</v>
      </c>
      <c r="AG20" s="63">
        <f t="shared" si="19"/>
        <v>230.1806</v>
      </c>
      <c r="AH20" s="66">
        <v>617</v>
      </c>
      <c r="AI20" s="66">
        <v>3.99</v>
      </c>
      <c r="AJ20" s="66">
        <v>8</v>
      </c>
      <c r="AK20" s="62">
        <f t="shared" si="20"/>
        <v>24.618300000000001</v>
      </c>
      <c r="AL20" s="72">
        <f t="shared" si="21"/>
        <v>49.36</v>
      </c>
      <c r="AM20" s="73">
        <f t="shared" si="22"/>
        <v>5.9210000000002765</v>
      </c>
      <c r="AN20" s="74">
        <f t="shared" si="23"/>
        <v>0.28050050000002003</v>
      </c>
      <c r="AO20" s="74">
        <f t="shared" si="24"/>
        <v>2.4915405000000277</v>
      </c>
      <c r="AP20" s="75">
        <f t="shared" si="25"/>
        <v>4.1135869812893584E-2</v>
      </c>
      <c r="AQ20" s="76">
        <f t="shared" si="9"/>
        <v>871.57111002501733</v>
      </c>
      <c r="AR20" s="90">
        <f t="shared" si="26"/>
        <v>0.92100000000027649</v>
      </c>
    </row>
    <row r="21" spans="1:49" x14ac:dyDescent="0.25">
      <c r="A21" t="str">
        <f t="shared" si="10"/>
        <v>46182E</v>
      </c>
      <c r="B21" s="51">
        <f t="shared" si="27"/>
        <v>46182</v>
      </c>
      <c r="C21" s="52" t="s">
        <v>88</v>
      </c>
      <c r="D21" s="91">
        <v>617</v>
      </c>
      <c r="E21" s="62">
        <v>3.99</v>
      </c>
      <c r="F21" s="62">
        <v>8</v>
      </c>
      <c r="G21" s="62">
        <f t="shared" si="11"/>
        <v>24.618300000000001</v>
      </c>
      <c r="H21" s="63">
        <f t="shared" si="12"/>
        <v>49.36</v>
      </c>
      <c r="I21" s="144">
        <v>603.79999999999995</v>
      </c>
      <c r="J21" s="145">
        <v>621.91399999999999</v>
      </c>
      <c r="K21" s="146">
        <v>3.9</v>
      </c>
      <c r="L21" s="147">
        <v>7.97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3"/>
        <v>621.91399999999999</v>
      </c>
      <c r="S21" s="62">
        <f t="shared" si="14"/>
        <v>24.254646000000001</v>
      </c>
      <c r="T21" s="63">
        <f t="shared" si="15"/>
        <v>49.566545799999993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16"/>
        <v>0</v>
      </c>
      <c r="AB21" s="63">
        <f t="shared" si="17"/>
        <v>0</v>
      </c>
      <c r="AC21" s="69"/>
      <c r="AD21" s="70"/>
      <c r="AE21" s="70"/>
      <c r="AF21" s="62">
        <f t="shared" si="18"/>
        <v>0</v>
      </c>
      <c r="AG21" s="63">
        <f t="shared" si="19"/>
        <v>0</v>
      </c>
      <c r="AH21" s="66">
        <v>1238</v>
      </c>
      <c r="AI21" s="66">
        <v>3.94</v>
      </c>
      <c r="AJ21" s="66">
        <v>7.98</v>
      </c>
      <c r="AK21" s="62">
        <f t="shared" si="20"/>
        <v>48.777199999999993</v>
      </c>
      <c r="AL21" s="72">
        <f t="shared" si="21"/>
        <v>98.792400000000015</v>
      </c>
      <c r="AM21" s="73">
        <f t="shared" si="22"/>
        <v>0.91399999999998727</v>
      </c>
      <c r="AN21" s="74">
        <f t="shared" si="23"/>
        <v>9.5746000000005438E-2</v>
      </c>
      <c r="AO21" s="74">
        <f t="shared" si="24"/>
        <v>0.13414579999997045</v>
      </c>
      <c r="AP21" s="75">
        <f t="shared" si="25"/>
        <v>3.1141708010189008E-3</v>
      </c>
      <c r="AQ21" s="76">
        <f t="shared" si="9"/>
        <v>83.127597578660271</v>
      </c>
      <c r="AR21" s="90">
        <f t="shared" si="26"/>
        <v>0.91399999999998727</v>
      </c>
    </row>
    <row r="22" spans="1:49" x14ac:dyDescent="0.25">
      <c r="A22" t="str">
        <f t="shared" si="10"/>
        <v>46183M</v>
      </c>
      <c r="B22" s="51">
        <f t="shared" si="27"/>
        <v>46183</v>
      </c>
      <c r="C22" s="52" t="s">
        <v>87</v>
      </c>
      <c r="D22" s="91">
        <v>1238</v>
      </c>
      <c r="E22" s="62">
        <v>3.94</v>
      </c>
      <c r="F22" s="62">
        <v>7.98</v>
      </c>
      <c r="G22" s="62">
        <f t="shared" si="11"/>
        <v>48.777199999999993</v>
      </c>
      <c r="H22" s="63">
        <f t="shared" si="12"/>
        <v>98.792400000000015</v>
      </c>
      <c r="I22" s="144">
        <v>553.29999999999995</v>
      </c>
      <c r="J22" s="145">
        <v>569.899</v>
      </c>
      <c r="K22" s="146">
        <v>4.2300000000000004</v>
      </c>
      <c r="L22" s="147">
        <v>8.09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3"/>
        <v>569.899</v>
      </c>
      <c r="S22" s="62">
        <f t="shared" si="14"/>
        <v>24.106727700000004</v>
      </c>
      <c r="T22" s="63">
        <f t="shared" si="15"/>
        <v>46.104829100000003</v>
      </c>
      <c r="U22" s="64" t="s">
        <v>167</v>
      </c>
      <c r="V22" s="65" t="s">
        <v>167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16"/>
        <v>0</v>
      </c>
      <c r="AB22" s="63">
        <f t="shared" si="17"/>
        <v>0</v>
      </c>
      <c r="AC22" s="69"/>
      <c r="AD22" s="70"/>
      <c r="AE22" s="70"/>
      <c r="AF22" s="62">
        <f t="shared" si="18"/>
        <v>0</v>
      </c>
      <c r="AG22" s="63">
        <f t="shared" si="19"/>
        <v>0</v>
      </c>
      <c r="AH22" s="66">
        <v>1808</v>
      </c>
      <c r="AI22" s="66">
        <v>4.04</v>
      </c>
      <c r="AJ22" s="66">
        <v>8.01</v>
      </c>
      <c r="AK22" s="62">
        <f t="shared" si="20"/>
        <v>73.043199999999999</v>
      </c>
      <c r="AL22" s="72">
        <f t="shared" si="21"/>
        <v>144.82080000000002</v>
      </c>
      <c r="AM22" s="73">
        <f t="shared" si="22"/>
        <v>-0.10100000000011278</v>
      </c>
      <c r="AN22" s="74">
        <f t="shared" si="23"/>
        <v>-0.15927229999999781</v>
      </c>
      <c r="AO22" s="74">
        <f t="shared" si="24"/>
        <v>7.6429099999984373E-2</v>
      </c>
      <c r="AP22" s="75">
        <f t="shared" si="25"/>
        <v>-1.1799083195946657E-3</v>
      </c>
      <c r="AQ22" s="76">
        <f t="shared" si="9"/>
        <v>-48.625736672337027</v>
      </c>
      <c r="AR22" s="90">
        <f t="shared" si="26"/>
        <v>-0.10100000000011278</v>
      </c>
    </row>
    <row r="23" spans="1:49" x14ac:dyDescent="0.25">
      <c r="A23" t="str">
        <f t="shared" si="10"/>
        <v>46183E</v>
      </c>
      <c r="B23" s="51">
        <f t="shared" si="27"/>
        <v>46183</v>
      </c>
      <c r="C23" s="52" t="s">
        <v>88</v>
      </c>
      <c r="D23" s="91">
        <v>1808</v>
      </c>
      <c r="E23" s="62">
        <v>4.04</v>
      </c>
      <c r="F23" s="62">
        <v>8.01</v>
      </c>
      <c r="G23" s="62">
        <f t="shared" si="11"/>
        <v>73.043199999999999</v>
      </c>
      <c r="H23" s="63">
        <f t="shared" si="12"/>
        <v>144.82080000000002</v>
      </c>
      <c r="I23" s="144">
        <v>586.5</v>
      </c>
      <c r="J23" s="145">
        <v>604.09500000000003</v>
      </c>
      <c r="K23" s="146">
        <v>3.68</v>
      </c>
      <c r="L23" s="147">
        <v>8.01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3"/>
        <v>604.09500000000003</v>
      </c>
      <c r="S23" s="62">
        <f t="shared" si="14"/>
        <v>22.230696000000002</v>
      </c>
      <c r="T23" s="63">
        <f t="shared" si="15"/>
        <v>48.388009500000003</v>
      </c>
      <c r="U23" s="64" t="s">
        <v>167</v>
      </c>
      <c r="V23" s="65" t="s">
        <v>187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16"/>
        <v>0</v>
      </c>
      <c r="AB23" s="63">
        <f t="shared" si="17"/>
        <v>0</v>
      </c>
      <c r="AC23" s="69"/>
      <c r="AD23" s="70"/>
      <c r="AE23" s="70"/>
      <c r="AF23" s="62">
        <f t="shared" si="18"/>
        <v>0</v>
      </c>
      <c r="AG23" s="63">
        <f t="shared" si="19"/>
        <v>0</v>
      </c>
      <c r="AH23" s="66">
        <v>2412</v>
      </c>
      <c r="AI23" s="66">
        <v>3.94</v>
      </c>
      <c r="AJ23" s="66">
        <v>8.01</v>
      </c>
      <c r="AK23" s="62">
        <f t="shared" si="20"/>
        <v>95.032799999999995</v>
      </c>
      <c r="AL23" s="72">
        <f t="shared" si="21"/>
        <v>193.2012</v>
      </c>
      <c r="AM23" s="73">
        <f t="shared" si="22"/>
        <v>9.5000000000254659E-2</v>
      </c>
      <c r="AN23" s="74">
        <f t="shared" si="23"/>
        <v>0.24109600000001308</v>
      </c>
      <c r="AO23" s="74">
        <f t="shared" si="24"/>
        <v>7.6095000000293567E-3</v>
      </c>
      <c r="AP23" s="75">
        <f t="shared" si="25"/>
        <v>3.5218076887580788E-3</v>
      </c>
      <c r="AQ23" s="76">
        <f t="shared" si="9"/>
        <v>110.50772579001466</v>
      </c>
      <c r="AR23" s="90">
        <f t="shared" si="26"/>
        <v>9.5000000000254659E-2</v>
      </c>
    </row>
    <row r="24" spans="1:49" x14ac:dyDescent="0.25">
      <c r="A24" t="str">
        <f t="shared" si="10"/>
        <v>46184M</v>
      </c>
      <c r="B24" s="51">
        <f t="shared" si="27"/>
        <v>46184</v>
      </c>
      <c r="C24" s="52" t="s">
        <v>87</v>
      </c>
      <c r="D24" s="91">
        <v>2412</v>
      </c>
      <c r="E24" s="62">
        <v>3.94</v>
      </c>
      <c r="F24" s="62">
        <v>8.01</v>
      </c>
      <c r="G24" s="62">
        <f t="shared" si="11"/>
        <v>95.032799999999995</v>
      </c>
      <c r="H24" s="63">
        <f t="shared" si="12"/>
        <v>193.2012</v>
      </c>
      <c r="I24" s="144">
        <v>569.6</v>
      </c>
      <c r="J24" s="145">
        <v>586.68799999999999</v>
      </c>
      <c r="K24" s="146">
        <v>4.1500000000000004</v>
      </c>
      <c r="L24" s="147">
        <v>8.02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3"/>
        <v>586.68799999999999</v>
      </c>
      <c r="S24" s="62">
        <f t="shared" si="14"/>
        <v>24.347552</v>
      </c>
      <c r="T24" s="63">
        <f t="shared" si="15"/>
        <v>47.052377599999993</v>
      </c>
      <c r="U24" s="64" t="s">
        <v>167</v>
      </c>
      <c r="V24" s="65" t="s">
        <v>167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16"/>
        <v>0</v>
      </c>
      <c r="AB24" s="63">
        <f t="shared" si="17"/>
        <v>0</v>
      </c>
      <c r="AC24" s="69"/>
      <c r="AD24" s="70"/>
      <c r="AE24" s="70"/>
      <c r="AF24" s="62">
        <f t="shared" si="18"/>
        <v>0</v>
      </c>
      <c r="AG24" s="63">
        <f t="shared" si="19"/>
        <v>0</v>
      </c>
      <c r="AH24" s="66">
        <v>2998</v>
      </c>
      <c r="AI24" s="66">
        <v>3.98</v>
      </c>
      <c r="AJ24" s="66">
        <v>8.01</v>
      </c>
      <c r="AK24" s="62">
        <f t="shared" si="20"/>
        <v>119.32040000000001</v>
      </c>
      <c r="AL24" s="72">
        <f t="shared" si="21"/>
        <v>240.13980000000001</v>
      </c>
      <c r="AM24" s="73">
        <f t="shared" si="22"/>
        <v>0.68800000000010186</v>
      </c>
      <c r="AN24" s="74">
        <f t="shared" si="23"/>
        <v>5.9951999999981354E-2</v>
      </c>
      <c r="AO24" s="74">
        <f t="shared" si="24"/>
        <v>0.11377759999999171</v>
      </c>
      <c r="AP24" s="75">
        <f t="shared" si="25"/>
        <v>2.4331900741814327E-3</v>
      </c>
      <c r="AQ24" s="76">
        <f t="shared" si="9"/>
        <v>60.963653930655823</v>
      </c>
      <c r="AR24" s="90">
        <f t="shared" si="26"/>
        <v>0.68800000000010186</v>
      </c>
    </row>
    <row r="25" spans="1:49" x14ac:dyDescent="0.25">
      <c r="A25" t="str">
        <f t="shared" si="10"/>
        <v>46184E</v>
      </c>
      <c r="B25" s="51">
        <f t="shared" si="27"/>
        <v>46184</v>
      </c>
      <c r="C25" s="52" t="s">
        <v>88</v>
      </c>
      <c r="D25" s="91">
        <v>2998</v>
      </c>
      <c r="E25" s="62">
        <v>3.98</v>
      </c>
      <c r="F25" s="62">
        <v>8.01</v>
      </c>
      <c r="G25" s="62">
        <f t="shared" si="11"/>
        <v>119.32040000000001</v>
      </c>
      <c r="H25" s="63">
        <f t="shared" si="12"/>
        <v>240.13980000000001</v>
      </c>
      <c r="I25" s="144">
        <v>647.70000000000005</v>
      </c>
      <c r="J25" s="145">
        <v>667.13100000000009</v>
      </c>
      <c r="K25" s="146">
        <v>3.84</v>
      </c>
      <c r="L25" s="147">
        <v>7.97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3"/>
        <v>667.13100000000009</v>
      </c>
      <c r="S25" s="62">
        <f t="shared" si="14"/>
        <v>25.617830400000003</v>
      </c>
      <c r="T25" s="63">
        <f t="shared" si="15"/>
        <v>53.170340700000004</v>
      </c>
      <c r="U25" s="64" t="s">
        <v>316</v>
      </c>
      <c r="V25" s="65" t="s">
        <v>465</v>
      </c>
      <c r="W25" s="66" t="s">
        <v>183</v>
      </c>
      <c r="X25" s="67">
        <v>2931</v>
      </c>
      <c r="Y25" s="68">
        <v>4</v>
      </c>
      <c r="Z25" s="68">
        <v>8</v>
      </c>
      <c r="AA25" s="62">
        <f t="shared" si="16"/>
        <v>117.24000000000001</v>
      </c>
      <c r="AB25" s="63">
        <f t="shared" si="17"/>
        <v>234.48000000000002</v>
      </c>
      <c r="AC25" s="226">
        <v>2931</v>
      </c>
      <c r="AD25" s="227">
        <v>4</v>
      </c>
      <c r="AE25" s="227">
        <v>8</v>
      </c>
      <c r="AF25" s="62">
        <f t="shared" si="18"/>
        <v>117.24000000000001</v>
      </c>
      <c r="AG25" s="63">
        <f t="shared" si="19"/>
        <v>234.48000000000002</v>
      </c>
      <c r="AH25" s="66">
        <v>734</v>
      </c>
      <c r="AI25" s="66">
        <v>3.95</v>
      </c>
      <c r="AJ25" s="66">
        <v>8</v>
      </c>
      <c r="AK25" s="62">
        <f t="shared" si="20"/>
        <v>28.992999999999999</v>
      </c>
      <c r="AL25" s="72">
        <f t="shared" si="21"/>
        <v>58.72</v>
      </c>
      <c r="AM25" s="73">
        <f t="shared" si="22"/>
        <v>0.13100000000031287</v>
      </c>
      <c r="AN25" s="74">
        <f t="shared" si="23"/>
        <v>-1.2947695999999986</v>
      </c>
      <c r="AO25" s="74">
        <f t="shared" si="24"/>
        <v>0.11014070000001652</v>
      </c>
      <c r="AP25" s="75">
        <f t="shared" si="25"/>
        <v>-1.5035618716119458E-2</v>
      </c>
      <c r="AQ25" s="76">
        <f t="shared" si="9"/>
        <v>-548.27284671132782</v>
      </c>
      <c r="AR25" s="90">
        <f t="shared" si="26"/>
        <v>0.13100000000031287</v>
      </c>
    </row>
    <row r="26" spans="1:49" x14ac:dyDescent="0.25">
      <c r="A26" t="str">
        <f t="shared" si="10"/>
        <v>46185M</v>
      </c>
      <c r="B26" s="51">
        <f t="shared" si="27"/>
        <v>46185</v>
      </c>
      <c r="C26" s="52" t="s">
        <v>87</v>
      </c>
      <c r="D26" s="91"/>
      <c r="E26" s="62"/>
      <c r="F26" s="62"/>
      <c r="G26" s="62">
        <f t="shared" si="11"/>
        <v>0</v>
      </c>
      <c r="H26" s="63">
        <f t="shared" si="12"/>
        <v>0</v>
      </c>
      <c r="I26" s="144"/>
      <c r="J26" s="145"/>
      <c r="K26" s="146"/>
      <c r="L26" s="147"/>
      <c r="M26" s="58"/>
      <c r="N26" s="58"/>
      <c r="O26" s="59"/>
      <c r="P26" s="56"/>
      <c r="Q26" s="60"/>
      <c r="R26" s="61">
        <f t="shared" si="13"/>
        <v>0</v>
      </c>
      <c r="S26" s="62">
        <f t="shared" si="14"/>
        <v>0</v>
      </c>
      <c r="T26" s="63">
        <f t="shared" si="15"/>
        <v>0</v>
      </c>
      <c r="U26" s="64"/>
      <c r="V26" s="65"/>
      <c r="W26" s="66"/>
      <c r="X26" s="67"/>
      <c r="Y26" s="68"/>
      <c r="Z26" s="68"/>
      <c r="AA26" s="62">
        <f t="shared" si="16"/>
        <v>0</v>
      </c>
      <c r="AB26" s="63">
        <f t="shared" si="17"/>
        <v>0</v>
      </c>
      <c r="AC26" s="69"/>
      <c r="AD26" s="70"/>
      <c r="AE26" s="70"/>
      <c r="AF26" s="62">
        <f t="shared" si="18"/>
        <v>0</v>
      </c>
      <c r="AG26" s="63">
        <f t="shared" si="19"/>
        <v>0</v>
      </c>
      <c r="AH26" s="66"/>
      <c r="AI26" s="66"/>
      <c r="AJ26" s="66"/>
      <c r="AK26" s="62">
        <f t="shared" si="20"/>
        <v>0</v>
      </c>
      <c r="AL26" s="72">
        <f t="shared" si="21"/>
        <v>0</v>
      </c>
      <c r="AM26" s="73">
        <f t="shared" si="22"/>
        <v>0</v>
      </c>
      <c r="AN26" s="74">
        <f t="shared" si="23"/>
        <v>0</v>
      </c>
      <c r="AO26" s="74">
        <f t="shared" si="24"/>
        <v>0</v>
      </c>
      <c r="AP26" s="75" t="e">
        <f t="shared" si="25"/>
        <v>#DIV/0!</v>
      </c>
      <c r="AQ26" s="76">
        <f t="shared" si="9"/>
        <v>0</v>
      </c>
      <c r="AR26" s="90">
        <f t="shared" si="26"/>
        <v>0</v>
      </c>
    </row>
    <row r="27" spans="1:49" x14ac:dyDescent="0.25">
      <c r="A27" t="str">
        <f t="shared" si="10"/>
        <v>46185E</v>
      </c>
      <c r="B27" s="51">
        <f t="shared" si="27"/>
        <v>46185</v>
      </c>
      <c r="C27" s="52" t="s">
        <v>88</v>
      </c>
      <c r="D27" s="91"/>
      <c r="E27" s="62"/>
      <c r="F27" s="62"/>
      <c r="G27" s="62">
        <f t="shared" si="11"/>
        <v>0</v>
      </c>
      <c r="H27" s="63">
        <f t="shared" si="12"/>
        <v>0</v>
      </c>
      <c r="I27" s="144"/>
      <c r="J27" s="145"/>
      <c r="K27" s="146"/>
      <c r="L27" s="147"/>
      <c r="M27" s="58"/>
      <c r="N27" s="58"/>
      <c r="O27" s="59"/>
      <c r="P27" s="56"/>
      <c r="Q27" s="60"/>
      <c r="R27" s="61">
        <f t="shared" si="13"/>
        <v>0</v>
      </c>
      <c r="S27" s="62">
        <f t="shared" si="14"/>
        <v>0</v>
      </c>
      <c r="T27" s="63">
        <f t="shared" si="15"/>
        <v>0</v>
      </c>
      <c r="U27" s="64"/>
      <c r="V27" s="65"/>
      <c r="W27" s="66"/>
      <c r="X27" s="67"/>
      <c r="Y27" s="68"/>
      <c r="Z27" s="68"/>
      <c r="AA27" s="62">
        <f t="shared" si="16"/>
        <v>0</v>
      </c>
      <c r="AB27" s="63">
        <f t="shared" si="17"/>
        <v>0</v>
      </c>
      <c r="AC27" s="69"/>
      <c r="AD27" s="70"/>
      <c r="AE27" s="70"/>
      <c r="AF27" s="62">
        <f t="shared" si="18"/>
        <v>0</v>
      </c>
      <c r="AG27" s="63">
        <f t="shared" si="19"/>
        <v>0</v>
      </c>
      <c r="AH27" s="66"/>
      <c r="AI27" s="66"/>
      <c r="AJ27" s="66"/>
      <c r="AK27" s="62">
        <f t="shared" si="20"/>
        <v>0</v>
      </c>
      <c r="AL27" s="72">
        <f t="shared" si="21"/>
        <v>0</v>
      </c>
      <c r="AM27" s="73">
        <f t="shared" si="22"/>
        <v>0</v>
      </c>
      <c r="AN27" s="74">
        <f t="shared" si="23"/>
        <v>0</v>
      </c>
      <c r="AO27" s="74">
        <f t="shared" si="24"/>
        <v>0</v>
      </c>
      <c r="AP27" s="75" t="e">
        <f t="shared" si="25"/>
        <v>#DIV/0!</v>
      </c>
      <c r="AQ27" s="76">
        <f t="shared" si="9"/>
        <v>0</v>
      </c>
      <c r="AR27" s="90">
        <f t="shared" si="26"/>
        <v>0</v>
      </c>
    </row>
    <row r="28" spans="1:49" x14ac:dyDescent="0.25">
      <c r="A28" t="str">
        <f t="shared" si="10"/>
        <v>46186M</v>
      </c>
      <c r="B28" s="51">
        <f t="shared" si="27"/>
        <v>46186</v>
      </c>
      <c r="C28" s="52" t="s">
        <v>87</v>
      </c>
      <c r="D28" s="91"/>
      <c r="E28" s="62"/>
      <c r="F28" s="62"/>
      <c r="G28" s="62">
        <f t="shared" si="11"/>
        <v>0</v>
      </c>
      <c r="H28" s="63">
        <f t="shared" si="12"/>
        <v>0</v>
      </c>
      <c r="I28" s="144"/>
      <c r="J28" s="145"/>
      <c r="K28" s="146"/>
      <c r="L28" s="147"/>
      <c r="M28" s="58"/>
      <c r="N28" s="58"/>
      <c r="O28" s="59"/>
      <c r="P28" s="56"/>
      <c r="Q28" s="60"/>
      <c r="R28" s="61">
        <f t="shared" si="13"/>
        <v>0</v>
      </c>
      <c r="S28" s="62">
        <f t="shared" si="14"/>
        <v>0</v>
      </c>
      <c r="T28" s="63">
        <f t="shared" si="15"/>
        <v>0</v>
      </c>
      <c r="U28" s="64"/>
      <c r="V28" s="65"/>
      <c r="W28" s="66"/>
      <c r="X28" s="67"/>
      <c r="Y28" s="68"/>
      <c r="Z28" s="68"/>
      <c r="AA28" s="62">
        <f t="shared" si="16"/>
        <v>0</v>
      </c>
      <c r="AB28" s="63">
        <f t="shared" si="17"/>
        <v>0</v>
      </c>
      <c r="AC28" s="69"/>
      <c r="AD28" s="70"/>
      <c r="AE28" s="70"/>
      <c r="AF28" s="62">
        <f t="shared" si="18"/>
        <v>0</v>
      </c>
      <c r="AG28" s="63">
        <f t="shared" si="19"/>
        <v>0</v>
      </c>
      <c r="AH28" s="66"/>
      <c r="AI28" s="66"/>
      <c r="AJ28" s="66"/>
      <c r="AK28" s="62">
        <f t="shared" si="20"/>
        <v>0</v>
      </c>
      <c r="AL28" s="72">
        <f t="shared" si="21"/>
        <v>0</v>
      </c>
      <c r="AM28" s="73">
        <f t="shared" si="22"/>
        <v>0</v>
      </c>
      <c r="AN28" s="74">
        <f t="shared" si="23"/>
        <v>0</v>
      </c>
      <c r="AO28" s="74">
        <f t="shared" si="24"/>
        <v>0</v>
      </c>
      <c r="AP28" s="75" t="e">
        <f t="shared" si="25"/>
        <v>#DIV/0!</v>
      </c>
      <c r="AQ28" s="76">
        <f t="shared" si="9"/>
        <v>0</v>
      </c>
      <c r="AR28" s="90">
        <f t="shared" si="26"/>
        <v>0</v>
      </c>
    </row>
    <row r="29" spans="1:49" x14ac:dyDescent="0.25">
      <c r="A29" t="str">
        <f t="shared" si="10"/>
        <v>46186E</v>
      </c>
      <c r="B29" s="51">
        <f t="shared" si="27"/>
        <v>46186</v>
      </c>
      <c r="C29" s="52" t="s">
        <v>88</v>
      </c>
      <c r="D29" s="91"/>
      <c r="E29" s="62"/>
      <c r="F29" s="62"/>
      <c r="G29" s="62">
        <f t="shared" si="11"/>
        <v>0</v>
      </c>
      <c r="H29" s="63">
        <f t="shared" si="12"/>
        <v>0</v>
      </c>
      <c r="I29" s="144"/>
      <c r="J29" s="145"/>
      <c r="K29" s="146"/>
      <c r="L29" s="147"/>
      <c r="M29" s="58"/>
      <c r="N29" s="58"/>
      <c r="O29" s="59"/>
      <c r="P29" s="56"/>
      <c r="Q29" s="60"/>
      <c r="R29" s="61">
        <f t="shared" si="13"/>
        <v>0</v>
      </c>
      <c r="S29" s="62">
        <f t="shared" si="14"/>
        <v>0</v>
      </c>
      <c r="T29" s="63">
        <f t="shared" si="15"/>
        <v>0</v>
      </c>
      <c r="U29" s="64"/>
      <c r="V29" s="65"/>
      <c r="W29" s="66"/>
      <c r="X29" s="67"/>
      <c r="Y29" s="68"/>
      <c r="Z29" s="68"/>
      <c r="AA29" s="62">
        <f t="shared" si="16"/>
        <v>0</v>
      </c>
      <c r="AB29" s="63">
        <f t="shared" si="17"/>
        <v>0</v>
      </c>
      <c r="AC29" s="69"/>
      <c r="AD29" s="70"/>
      <c r="AE29" s="70"/>
      <c r="AF29" s="62">
        <f t="shared" si="18"/>
        <v>0</v>
      </c>
      <c r="AG29" s="63">
        <f t="shared" si="19"/>
        <v>0</v>
      </c>
      <c r="AH29" s="66"/>
      <c r="AI29" s="66"/>
      <c r="AJ29" s="66"/>
      <c r="AK29" s="62">
        <f t="shared" si="20"/>
        <v>0</v>
      </c>
      <c r="AL29" s="72">
        <f t="shared" si="21"/>
        <v>0</v>
      </c>
      <c r="AM29" s="73">
        <f t="shared" si="22"/>
        <v>0</v>
      </c>
      <c r="AN29" s="74">
        <f t="shared" si="23"/>
        <v>0</v>
      </c>
      <c r="AO29" s="74">
        <f t="shared" si="24"/>
        <v>0</v>
      </c>
      <c r="AP29" s="75" t="e">
        <f t="shared" si="25"/>
        <v>#DIV/0!</v>
      </c>
      <c r="AQ29" s="76">
        <f t="shared" si="9"/>
        <v>0</v>
      </c>
      <c r="AR29" s="90">
        <f t="shared" si="26"/>
        <v>0</v>
      </c>
      <c r="AS29" s="90">
        <f>SUM(J16:J29)</f>
        <v>5879.549</v>
      </c>
      <c r="AT29" s="83">
        <f>SUM(AM16:AM29)</f>
        <v>8.5490000000008877</v>
      </c>
      <c r="AU29" s="83">
        <f>SUM(AN16:AN29)</f>
        <v>-0.40857649999997392</v>
      </c>
      <c r="AV29" s="83">
        <f>SUM(AO16:AO29)</f>
        <v>3.3463664000000222</v>
      </c>
      <c r="AW29" s="83">
        <f>-SUM(AQ16:AQ29)</f>
        <v>-818.06415046768473</v>
      </c>
    </row>
    <row r="30" spans="1:49" x14ac:dyDescent="0.25">
      <c r="A30" t="str">
        <f t="shared" si="10"/>
        <v>46187M</v>
      </c>
      <c r="B30" s="51">
        <f t="shared" si="27"/>
        <v>46187</v>
      </c>
      <c r="C30" s="52" t="s">
        <v>87</v>
      </c>
      <c r="D30" s="79"/>
      <c r="E30" s="62"/>
      <c r="F30" s="62"/>
      <c r="G30" s="62">
        <f t="shared" si="11"/>
        <v>0</v>
      </c>
      <c r="H30" s="63">
        <f t="shared" si="12"/>
        <v>0</v>
      </c>
      <c r="I30" s="144"/>
      <c r="J30" s="145"/>
      <c r="K30" s="146"/>
      <c r="L30" s="147"/>
      <c r="M30" s="58"/>
      <c r="N30" s="58"/>
      <c r="O30" s="59"/>
      <c r="P30" s="56"/>
      <c r="Q30" s="60"/>
      <c r="R30" s="61">
        <f t="shared" si="13"/>
        <v>0</v>
      </c>
      <c r="S30" s="62">
        <f t="shared" si="14"/>
        <v>0</v>
      </c>
      <c r="T30" s="63">
        <f t="shared" si="15"/>
        <v>0</v>
      </c>
      <c r="U30" s="64"/>
      <c r="V30" s="65"/>
      <c r="W30" s="66"/>
      <c r="X30" s="67"/>
      <c r="Y30" s="68"/>
      <c r="Z30" s="68"/>
      <c r="AA30" s="62">
        <f t="shared" si="16"/>
        <v>0</v>
      </c>
      <c r="AB30" s="63">
        <f t="shared" si="17"/>
        <v>0</v>
      </c>
      <c r="AC30" s="69"/>
      <c r="AD30" s="70"/>
      <c r="AE30" s="70"/>
      <c r="AF30" s="62">
        <f t="shared" si="18"/>
        <v>0</v>
      </c>
      <c r="AG30" s="63">
        <f t="shared" si="19"/>
        <v>0</v>
      </c>
      <c r="AH30" s="66"/>
      <c r="AI30" s="66"/>
      <c r="AJ30" s="66"/>
      <c r="AK30" s="62">
        <f t="shared" si="20"/>
        <v>0</v>
      </c>
      <c r="AL30" s="72">
        <f t="shared" si="21"/>
        <v>0</v>
      </c>
      <c r="AM30" s="73">
        <f t="shared" si="22"/>
        <v>0</v>
      </c>
      <c r="AN30" s="74">
        <f t="shared" si="23"/>
        <v>0</v>
      </c>
      <c r="AO30" s="74">
        <f t="shared" si="24"/>
        <v>0</v>
      </c>
      <c r="AP30" s="75" t="e">
        <f t="shared" si="25"/>
        <v>#DIV/0!</v>
      </c>
      <c r="AQ30" s="76">
        <f t="shared" si="9"/>
        <v>0</v>
      </c>
      <c r="AR30" s="90">
        <f t="shared" si="26"/>
        <v>0</v>
      </c>
    </row>
    <row r="31" spans="1:49" x14ac:dyDescent="0.25">
      <c r="A31" t="str">
        <f t="shared" si="10"/>
        <v>46187E</v>
      </c>
      <c r="B31" s="51">
        <f t="shared" si="27"/>
        <v>46187</v>
      </c>
      <c r="C31" s="52" t="s">
        <v>88</v>
      </c>
      <c r="D31" s="79"/>
      <c r="E31" s="62"/>
      <c r="F31" s="62"/>
      <c r="G31" s="62">
        <f t="shared" si="11"/>
        <v>0</v>
      </c>
      <c r="H31" s="63">
        <f t="shared" si="12"/>
        <v>0</v>
      </c>
      <c r="I31" s="144"/>
      <c r="J31" s="145"/>
      <c r="K31" s="146"/>
      <c r="L31" s="147"/>
      <c r="M31" s="58"/>
      <c r="N31" s="58"/>
      <c r="O31" s="59"/>
      <c r="P31" s="56"/>
      <c r="Q31" s="60"/>
      <c r="R31" s="61">
        <f t="shared" si="13"/>
        <v>0</v>
      </c>
      <c r="S31" s="62">
        <f t="shared" si="14"/>
        <v>0</v>
      </c>
      <c r="T31" s="63">
        <f t="shared" si="15"/>
        <v>0</v>
      </c>
      <c r="U31" s="64"/>
      <c r="V31" s="65"/>
      <c r="W31" s="66"/>
      <c r="X31" s="67"/>
      <c r="Y31" s="68"/>
      <c r="Z31" s="68"/>
      <c r="AA31" s="62">
        <f t="shared" si="16"/>
        <v>0</v>
      </c>
      <c r="AB31" s="63">
        <f t="shared" si="17"/>
        <v>0</v>
      </c>
      <c r="AC31" s="69"/>
      <c r="AD31" s="70"/>
      <c r="AE31" s="70"/>
      <c r="AF31" s="62">
        <f t="shared" si="18"/>
        <v>0</v>
      </c>
      <c r="AG31" s="63">
        <f t="shared" si="19"/>
        <v>0</v>
      </c>
      <c r="AH31" s="66"/>
      <c r="AI31" s="66"/>
      <c r="AJ31" s="66"/>
      <c r="AK31" s="62">
        <f t="shared" si="20"/>
        <v>0</v>
      </c>
      <c r="AL31" s="72">
        <f t="shared" si="21"/>
        <v>0</v>
      </c>
      <c r="AM31" s="73">
        <f t="shared" si="22"/>
        <v>0</v>
      </c>
      <c r="AN31" s="74">
        <f t="shared" si="23"/>
        <v>0</v>
      </c>
      <c r="AO31" s="74">
        <f t="shared" si="24"/>
        <v>0</v>
      </c>
      <c r="AP31" s="75" t="e">
        <f t="shared" si="25"/>
        <v>#DIV/0!</v>
      </c>
      <c r="AQ31" s="76">
        <f t="shared" si="9"/>
        <v>0</v>
      </c>
      <c r="AR31" s="90">
        <f t="shared" si="26"/>
        <v>0</v>
      </c>
    </row>
    <row r="32" spans="1:49" x14ac:dyDescent="0.25">
      <c r="A32" t="str">
        <f t="shared" si="10"/>
        <v>46188M</v>
      </c>
      <c r="B32" s="51">
        <f t="shared" si="27"/>
        <v>46188</v>
      </c>
      <c r="C32" s="52" t="s">
        <v>87</v>
      </c>
      <c r="D32" s="79"/>
      <c r="E32" s="62"/>
      <c r="F32" s="62"/>
      <c r="G32" s="62">
        <f t="shared" si="11"/>
        <v>0</v>
      </c>
      <c r="H32" s="63">
        <f t="shared" si="12"/>
        <v>0</v>
      </c>
      <c r="I32" s="144"/>
      <c r="J32" s="145"/>
      <c r="K32" s="146"/>
      <c r="L32" s="147"/>
      <c r="M32" s="58"/>
      <c r="N32" s="58"/>
      <c r="O32" s="59"/>
      <c r="P32" s="56"/>
      <c r="Q32" s="60"/>
      <c r="R32" s="61">
        <f t="shared" si="13"/>
        <v>0</v>
      </c>
      <c r="S32" s="62">
        <f t="shared" si="14"/>
        <v>0</v>
      </c>
      <c r="T32" s="63">
        <f t="shared" si="15"/>
        <v>0</v>
      </c>
      <c r="U32" s="64"/>
      <c r="V32" s="65"/>
      <c r="W32" s="66"/>
      <c r="X32" s="67"/>
      <c r="Y32" s="68"/>
      <c r="Z32" s="68"/>
      <c r="AA32" s="62">
        <f t="shared" si="16"/>
        <v>0</v>
      </c>
      <c r="AB32" s="63">
        <f t="shared" si="17"/>
        <v>0</v>
      </c>
      <c r="AC32" s="69"/>
      <c r="AD32" s="70"/>
      <c r="AE32" s="70"/>
      <c r="AF32" s="62">
        <f t="shared" si="18"/>
        <v>0</v>
      </c>
      <c r="AG32" s="63">
        <f t="shared" si="19"/>
        <v>0</v>
      </c>
      <c r="AH32" s="66"/>
      <c r="AI32" s="66"/>
      <c r="AJ32" s="66"/>
      <c r="AK32" s="62">
        <f t="shared" si="20"/>
        <v>0</v>
      </c>
      <c r="AL32" s="72">
        <f t="shared" si="21"/>
        <v>0</v>
      </c>
      <c r="AM32" s="73">
        <f t="shared" si="22"/>
        <v>0</v>
      </c>
      <c r="AN32" s="74">
        <f t="shared" si="23"/>
        <v>0</v>
      </c>
      <c r="AO32" s="74">
        <f t="shared" si="24"/>
        <v>0</v>
      </c>
      <c r="AP32" s="75" t="e">
        <f t="shared" si="25"/>
        <v>#DIV/0!</v>
      </c>
      <c r="AQ32" s="76">
        <f t="shared" si="9"/>
        <v>0</v>
      </c>
      <c r="AR32" s="90">
        <f t="shared" si="26"/>
        <v>0</v>
      </c>
    </row>
    <row r="33" spans="1:44" x14ac:dyDescent="0.25">
      <c r="A33" t="str">
        <f t="shared" si="10"/>
        <v>46188E</v>
      </c>
      <c r="B33" s="51">
        <f t="shared" si="27"/>
        <v>46188</v>
      </c>
      <c r="C33" s="52" t="s">
        <v>88</v>
      </c>
      <c r="D33" s="79"/>
      <c r="E33" s="62"/>
      <c r="F33" s="62"/>
      <c r="G33" s="62">
        <f t="shared" si="11"/>
        <v>0</v>
      </c>
      <c r="H33" s="63">
        <f t="shared" si="12"/>
        <v>0</v>
      </c>
      <c r="I33" s="144"/>
      <c r="J33" s="145"/>
      <c r="K33" s="146"/>
      <c r="L33" s="147"/>
      <c r="M33" s="58"/>
      <c r="N33" s="58"/>
      <c r="O33" s="59"/>
      <c r="P33" s="56"/>
      <c r="Q33" s="60"/>
      <c r="R33" s="61">
        <f t="shared" si="13"/>
        <v>0</v>
      </c>
      <c r="S33" s="62">
        <f t="shared" si="14"/>
        <v>0</v>
      </c>
      <c r="T33" s="63">
        <f t="shared" si="15"/>
        <v>0</v>
      </c>
      <c r="U33" s="64"/>
      <c r="V33" s="65"/>
      <c r="W33" s="66"/>
      <c r="X33" s="67"/>
      <c r="Y33" s="68"/>
      <c r="Z33" s="68"/>
      <c r="AA33" s="62">
        <f t="shared" si="16"/>
        <v>0</v>
      </c>
      <c r="AB33" s="63">
        <f t="shared" si="17"/>
        <v>0</v>
      </c>
      <c r="AC33" s="69"/>
      <c r="AD33" s="70"/>
      <c r="AE33" s="70"/>
      <c r="AF33" s="62">
        <f t="shared" si="18"/>
        <v>0</v>
      </c>
      <c r="AG33" s="63">
        <f t="shared" si="19"/>
        <v>0</v>
      </c>
      <c r="AH33" s="66"/>
      <c r="AI33" s="66"/>
      <c r="AJ33" s="66"/>
      <c r="AK33" s="62">
        <f t="shared" si="20"/>
        <v>0</v>
      </c>
      <c r="AL33" s="72">
        <f t="shared" si="21"/>
        <v>0</v>
      </c>
      <c r="AM33" s="73">
        <f t="shared" si="22"/>
        <v>0</v>
      </c>
      <c r="AN33" s="74">
        <f t="shared" si="23"/>
        <v>0</v>
      </c>
      <c r="AO33" s="74">
        <f t="shared" si="24"/>
        <v>0</v>
      </c>
      <c r="AP33" s="75" t="e">
        <f t="shared" si="25"/>
        <v>#DIV/0!</v>
      </c>
      <c r="AQ33" s="76">
        <f t="shared" si="9"/>
        <v>0</v>
      </c>
      <c r="AR33" s="90">
        <f t="shared" si="26"/>
        <v>0</v>
      </c>
    </row>
    <row r="34" spans="1:44" x14ac:dyDescent="0.25">
      <c r="A34" t="str">
        <f t="shared" si="10"/>
        <v>46189M</v>
      </c>
      <c r="B34" s="51">
        <f t="shared" si="27"/>
        <v>46189</v>
      </c>
      <c r="C34" s="52" t="s">
        <v>87</v>
      </c>
      <c r="D34" s="79"/>
      <c r="E34" s="62"/>
      <c r="F34" s="62"/>
      <c r="G34" s="62">
        <f t="shared" si="11"/>
        <v>0</v>
      </c>
      <c r="H34" s="63">
        <f t="shared" si="12"/>
        <v>0</v>
      </c>
      <c r="I34" s="144"/>
      <c r="J34" s="145"/>
      <c r="K34" s="146"/>
      <c r="L34" s="147"/>
      <c r="M34" s="58"/>
      <c r="N34" s="58"/>
      <c r="O34" s="59"/>
      <c r="P34" s="56"/>
      <c r="Q34" s="60"/>
      <c r="R34" s="61">
        <f t="shared" si="13"/>
        <v>0</v>
      </c>
      <c r="S34" s="62">
        <f t="shared" si="14"/>
        <v>0</v>
      </c>
      <c r="T34" s="63">
        <f t="shared" si="15"/>
        <v>0</v>
      </c>
      <c r="U34" s="64"/>
      <c r="V34" s="65"/>
      <c r="W34" s="66"/>
      <c r="X34" s="67"/>
      <c r="Y34" s="68"/>
      <c r="Z34" s="68"/>
      <c r="AA34" s="62">
        <f t="shared" si="16"/>
        <v>0</v>
      </c>
      <c r="AB34" s="63">
        <f t="shared" si="17"/>
        <v>0</v>
      </c>
      <c r="AC34" s="69"/>
      <c r="AD34" s="70"/>
      <c r="AE34" s="70"/>
      <c r="AF34" s="62">
        <f t="shared" si="18"/>
        <v>0</v>
      </c>
      <c r="AG34" s="63">
        <f t="shared" si="19"/>
        <v>0</v>
      </c>
      <c r="AH34" s="66"/>
      <c r="AI34" s="66"/>
      <c r="AJ34" s="66"/>
      <c r="AK34" s="62">
        <f t="shared" si="20"/>
        <v>0</v>
      </c>
      <c r="AL34" s="72">
        <f t="shared" si="21"/>
        <v>0</v>
      </c>
      <c r="AM34" s="73">
        <f t="shared" si="22"/>
        <v>0</v>
      </c>
      <c r="AN34" s="74">
        <f t="shared" si="23"/>
        <v>0</v>
      </c>
      <c r="AO34" s="74">
        <f t="shared" si="24"/>
        <v>0</v>
      </c>
      <c r="AP34" s="75" t="e">
        <f t="shared" si="25"/>
        <v>#DIV/0!</v>
      </c>
      <c r="AQ34" s="76">
        <f t="shared" si="9"/>
        <v>0</v>
      </c>
      <c r="AR34" s="90">
        <f t="shared" si="26"/>
        <v>0</v>
      </c>
    </row>
    <row r="35" spans="1:44" x14ac:dyDescent="0.25">
      <c r="A35" t="str">
        <f t="shared" si="10"/>
        <v>46189E</v>
      </c>
      <c r="B35" s="51">
        <f t="shared" si="27"/>
        <v>46189</v>
      </c>
      <c r="C35" s="52" t="s">
        <v>88</v>
      </c>
      <c r="D35" s="79"/>
      <c r="E35" s="62"/>
      <c r="F35" s="62"/>
      <c r="G35" s="62">
        <f t="shared" si="11"/>
        <v>0</v>
      </c>
      <c r="H35" s="63">
        <f t="shared" si="12"/>
        <v>0</v>
      </c>
      <c r="I35" s="144"/>
      <c r="J35" s="145"/>
      <c r="K35" s="146"/>
      <c r="L35" s="147"/>
      <c r="M35" s="58"/>
      <c r="N35" s="58"/>
      <c r="O35" s="59"/>
      <c r="P35" s="56"/>
      <c r="Q35" s="60"/>
      <c r="R35" s="61">
        <f t="shared" si="13"/>
        <v>0</v>
      </c>
      <c r="S35" s="62">
        <f t="shared" si="14"/>
        <v>0</v>
      </c>
      <c r="T35" s="63">
        <f t="shared" si="15"/>
        <v>0</v>
      </c>
      <c r="U35" s="64"/>
      <c r="V35" s="65"/>
      <c r="W35" s="66"/>
      <c r="X35" s="67"/>
      <c r="Y35" s="68"/>
      <c r="Z35" s="68"/>
      <c r="AA35" s="62">
        <f t="shared" si="16"/>
        <v>0</v>
      </c>
      <c r="AB35" s="63">
        <f t="shared" si="17"/>
        <v>0</v>
      </c>
      <c r="AC35" s="69"/>
      <c r="AD35" s="70"/>
      <c r="AE35" s="70"/>
      <c r="AF35" s="62">
        <f t="shared" si="18"/>
        <v>0</v>
      </c>
      <c r="AG35" s="63">
        <f t="shared" si="19"/>
        <v>0</v>
      </c>
      <c r="AH35" s="66"/>
      <c r="AI35" s="66"/>
      <c r="AJ35" s="66"/>
      <c r="AK35" s="62">
        <f t="shared" si="20"/>
        <v>0</v>
      </c>
      <c r="AL35" s="72">
        <f t="shared" si="21"/>
        <v>0</v>
      </c>
      <c r="AM35" s="73">
        <f t="shared" si="22"/>
        <v>0</v>
      </c>
      <c r="AN35" s="74">
        <f t="shared" si="23"/>
        <v>0</v>
      </c>
      <c r="AO35" s="74">
        <f t="shared" si="24"/>
        <v>0</v>
      </c>
      <c r="AP35" s="75" t="e">
        <f t="shared" si="25"/>
        <v>#DIV/0!</v>
      </c>
      <c r="AQ35" s="76">
        <f t="shared" si="9"/>
        <v>0</v>
      </c>
      <c r="AR35" s="90">
        <f t="shared" si="26"/>
        <v>0</v>
      </c>
    </row>
    <row r="36" spans="1:44" x14ac:dyDescent="0.25">
      <c r="A36" t="str">
        <f t="shared" si="10"/>
        <v>46190M</v>
      </c>
      <c r="B36" s="51">
        <f t="shared" si="27"/>
        <v>46190</v>
      </c>
      <c r="C36" s="52" t="s">
        <v>87</v>
      </c>
      <c r="D36" s="79"/>
      <c r="E36" s="62"/>
      <c r="F36" s="62"/>
      <c r="G36" s="62">
        <f t="shared" si="11"/>
        <v>0</v>
      </c>
      <c r="H36" s="63">
        <f t="shared" si="12"/>
        <v>0</v>
      </c>
      <c r="I36" s="144"/>
      <c r="J36" s="145"/>
      <c r="K36" s="146"/>
      <c r="L36" s="147"/>
      <c r="M36" s="58"/>
      <c r="N36" s="58"/>
      <c r="O36" s="59"/>
      <c r="P36" s="56"/>
      <c r="Q36" s="60"/>
      <c r="R36" s="61">
        <f t="shared" si="13"/>
        <v>0</v>
      </c>
      <c r="S36" s="62">
        <f t="shared" si="14"/>
        <v>0</v>
      </c>
      <c r="T36" s="63">
        <f t="shared" si="15"/>
        <v>0</v>
      </c>
      <c r="U36" s="64"/>
      <c r="V36" s="65"/>
      <c r="W36" s="66"/>
      <c r="X36" s="67"/>
      <c r="Y36" s="68"/>
      <c r="Z36" s="68"/>
      <c r="AA36" s="62">
        <f t="shared" si="16"/>
        <v>0</v>
      </c>
      <c r="AB36" s="63">
        <f t="shared" si="17"/>
        <v>0</v>
      </c>
      <c r="AC36" s="69"/>
      <c r="AD36" s="70"/>
      <c r="AE36" s="70"/>
      <c r="AF36" s="62">
        <f t="shared" si="18"/>
        <v>0</v>
      </c>
      <c r="AG36" s="63">
        <f t="shared" si="19"/>
        <v>0</v>
      </c>
      <c r="AH36" s="66"/>
      <c r="AI36" s="66"/>
      <c r="AJ36" s="66"/>
      <c r="AK36" s="62">
        <f t="shared" si="20"/>
        <v>0</v>
      </c>
      <c r="AL36" s="72">
        <f t="shared" si="21"/>
        <v>0</v>
      </c>
      <c r="AM36" s="73">
        <f t="shared" si="22"/>
        <v>0</v>
      </c>
      <c r="AN36" s="74">
        <f t="shared" si="23"/>
        <v>0</v>
      </c>
      <c r="AO36" s="74">
        <f t="shared" si="24"/>
        <v>0</v>
      </c>
      <c r="AP36" s="75" t="e">
        <f t="shared" si="25"/>
        <v>#DIV/0!</v>
      </c>
      <c r="AQ36" s="76">
        <f t="shared" si="9"/>
        <v>0</v>
      </c>
      <c r="AR36" s="90">
        <f t="shared" si="26"/>
        <v>0</v>
      </c>
    </row>
    <row r="37" spans="1:44" x14ac:dyDescent="0.25">
      <c r="A37" t="str">
        <f t="shared" si="10"/>
        <v>46190E</v>
      </c>
      <c r="B37" s="51">
        <f t="shared" si="27"/>
        <v>46190</v>
      </c>
      <c r="C37" s="52" t="s">
        <v>88</v>
      </c>
      <c r="D37" s="79"/>
      <c r="E37" s="62"/>
      <c r="F37" s="62"/>
      <c r="G37" s="62">
        <f t="shared" si="11"/>
        <v>0</v>
      </c>
      <c r="H37" s="63">
        <f t="shared" si="12"/>
        <v>0</v>
      </c>
      <c r="I37" s="144"/>
      <c r="J37" s="145"/>
      <c r="K37" s="146"/>
      <c r="L37" s="147"/>
      <c r="M37" s="58"/>
      <c r="N37" s="58"/>
      <c r="O37" s="59"/>
      <c r="P37" s="56"/>
      <c r="Q37" s="60"/>
      <c r="R37" s="61">
        <f t="shared" si="13"/>
        <v>0</v>
      </c>
      <c r="S37" s="62">
        <f t="shared" si="14"/>
        <v>0</v>
      </c>
      <c r="T37" s="63">
        <f t="shared" si="15"/>
        <v>0</v>
      </c>
      <c r="U37" s="64"/>
      <c r="V37" s="65"/>
      <c r="W37" s="66"/>
      <c r="X37" s="67"/>
      <c r="Y37" s="68"/>
      <c r="Z37" s="68"/>
      <c r="AA37" s="62">
        <f t="shared" si="16"/>
        <v>0</v>
      </c>
      <c r="AB37" s="63">
        <f t="shared" si="17"/>
        <v>0</v>
      </c>
      <c r="AC37" s="69"/>
      <c r="AD37" s="70"/>
      <c r="AE37" s="70"/>
      <c r="AF37" s="62">
        <f t="shared" si="18"/>
        <v>0</v>
      </c>
      <c r="AG37" s="63">
        <f t="shared" si="19"/>
        <v>0</v>
      </c>
      <c r="AH37" s="66"/>
      <c r="AI37" s="66"/>
      <c r="AJ37" s="66"/>
      <c r="AK37" s="62">
        <f t="shared" si="20"/>
        <v>0</v>
      </c>
      <c r="AL37" s="72">
        <f t="shared" si="21"/>
        <v>0</v>
      </c>
      <c r="AM37" s="73">
        <f t="shared" si="22"/>
        <v>0</v>
      </c>
      <c r="AN37" s="74">
        <f t="shared" si="23"/>
        <v>0</v>
      </c>
      <c r="AO37" s="74">
        <f t="shared" si="24"/>
        <v>0</v>
      </c>
      <c r="AP37" s="75" t="e">
        <f t="shared" si="25"/>
        <v>#DIV/0!</v>
      </c>
      <c r="AQ37" s="76">
        <f t="shared" si="9"/>
        <v>0</v>
      </c>
      <c r="AR37" s="90">
        <f t="shared" si="26"/>
        <v>0</v>
      </c>
    </row>
    <row r="38" spans="1:44" x14ac:dyDescent="0.25">
      <c r="A38" t="str">
        <f t="shared" si="10"/>
        <v>46191M</v>
      </c>
      <c r="B38" s="51">
        <f t="shared" si="27"/>
        <v>46191</v>
      </c>
      <c r="C38" s="52" t="s">
        <v>87</v>
      </c>
      <c r="D38" s="79"/>
      <c r="E38" s="62"/>
      <c r="F38" s="62"/>
      <c r="G38" s="62">
        <f t="shared" si="11"/>
        <v>0</v>
      </c>
      <c r="H38" s="63">
        <f t="shared" si="12"/>
        <v>0</v>
      </c>
      <c r="I38" s="144"/>
      <c r="J38" s="145"/>
      <c r="K38" s="146"/>
      <c r="L38" s="147"/>
      <c r="M38" s="58"/>
      <c r="N38" s="58"/>
      <c r="O38" s="59"/>
      <c r="P38" s="56"/>
      <c r="Q38" s="60"/>
      <c r="R38" s="61">
        <f t="shared" si="13"/>
        <v>0</v>
      </c>
      <c r="S38" s="62">
        <f t="shared" si="14"/>
        <v>0</v>
      </c>
      <c r="T38" s="63">
        <f t="shared" si="15"/>
        <v>0</v>
      </c>
      <c r="U38" s="64"/>
      <c r="V38" s="65"/>
      <c r="W38" s="66"/>
      <c r="X38" s="67"/>
      <c r="Y38" s="68"/>
      <c r="Z38" s="68"/>
      <c r="AA38" s="62">
        <f t="shared" si="16"/>
        <v>0</v>
      </c>
      <c r="AB38" s="63">
        <f t="shared" si="17"/>
        <v>0</v>
      </c>
      <c r="AC38" s="69"/>
      <c r="AD38" s="70"/>
      <c r="AE38" s="70"/>
      <c r="AF38" s="62">
        <f t="shared" si="18"/>
        <v>0</v>
      </c>
      <c r="AG38" s="63">
        <f t="shared" si="19"/>
        <v>0</v>
      </c>
      <c r="AH38" s="66"/>
      <c r="AI38" s="66"/>
      <c r="AJ38" s="66"/>
      <c r="AK38" s="62">
        <f t="shared" si="20"/>
        <v>0</v>
      </c>
      <c r="AL38" s="72">
        <f t="shared" si="21"/>
        <v>0</v>
      </c>
      <c r="AM38" s="73">
        <f t="shared" si="22"/>
        <v>0</v>
      </c>
      <c r="AN38" s="74">
        <f t="shared" si="23"/>
        <v>0</v>
      </c>
      <c r="AO38" s="74">
        <f t="shared" si="24"/>
        <v>0</v>
      </c>
      <c r="AP38" s="75" t="e">
        <f t="shared" si="25"/>
        <v>#DIV/0!</v>
      </c>
      <c r="AQ38" s="76">
        <f t="shared" si="9"/>
        <v>0</v>
      </c>
      <c r="AR38" s="90">
        <f t="shared" si="26"/>
        <v>0</v>
      </c>
    </row>
    <row r="39" spans="1:44" x14ac:dyDescent="0.25">
      <c r="A39" t="str">
        <f t="shared" si="10"/>
        <v>46191E</v>
      </c>
      <c r="B39" s="51">
        <f t="shared" si="27"/>
        <v>46191</v>
      </c>
      <c r="C39" s="52" t="s">
        <v>88</v>
      </c>
      <c r="D39" s="79"/>
      <c r="E39" s="62"/>
      <c r="F39" s="62"/>
      <c r="G39" s="62">
        <f t="shared" si="11"/>
        <v>0</v>
      </c>
      <c r="H39" s="63">
        <f t="shared" si="12"/>
        <v>0</v>
      </c>
      <c r="I39" s="144"/>
      <c r="J39" s="145"/>
      <c r="K39" s="146"/>
      <c r="L39" s="147"/>
      <c r="M39" s="58"/>
      <c r="N39" s="58"/>
      <c r="O39" s="59"/>
      <c r="P39" s="56"/>
      <c r="Q39" s="60"/>
      <c r="R39" s="61">
        <f t="shared" si="13"/>
        <v>0</v>
      </c>
      <c r="S39" s="62">
        <f t="shared" si="14"/>
        <v>0</v>
      </c>
      <c r="T39" s="63">
        <f t="shared" si="15"/>
        <v>0</v>
      </c>
      <c r="U39" s="64"/>
      <c r="V39" s="65"/>
      <c r="W39" s="66"/>
      <c r="X39" s="67"/>
      <c r="Y39" s="68"/>
      <c r="Z39" s="68"/>
      <c r="AA39" s="62">
        <f t="shared" si="16"/>
        <v>0</v>
      </c>
      <c r="AB39" s="63">
        <f t="shared" si="17"/>
        <v>0</v>
      </c>
      <c r="AC39" s="69"/>
      <c r="AD39" s="70"/>
      <c r="AE39" s="70"/>
      <c r="AF39" s="62">
        <f t="shared" si="18"/>
        <v>0</v>
      </c>
      <c r="AG39" s="63">
        <f t="shared" si="19"/>
        <v>0</v>
      </c>
      <c r="AH39" s="66"/>
      <c r="AI39" s="66"/>
      <c r="AJ39" s="66"/>
      <c r="AK39" s="62">
        <f t="shared" si="20"/>
        <v>0</v>
      </c>
      <c r="AL39" s="72">
        <f t="shared" si="21"/>
        <v>0</v>
      </c>
      <c r="AM39" s="73">
        <f t="shared" si="22"/>
        <v>0</v>
      </c>
      <c r="AN39" s="74">
        <f t="shared" si="23"/>
        <v>0</v>
      </c>
      <c r="AO39" s="74">
        <f t="shared" si="24"/>
        <v>0</v>
      </c>
      <c r="AP39" s="75" t="e">
        <f t="shared" si="25"/>
        <v>#DIV/0!</v>
      </c>
      <c r="AQ39" s="76">
        <f t="shared" si="9"/>
        <v>0</v>
      </c>
      <c r="AR39" s="90">
        <f t="shared" si="26"/>
        <v>0</v>
      </c>
    </row>
    <row r="40" spans="1:44" x14ac:dyDescent="0.25">
      <c r="A40" t="str">
        <f t="shared" si="10"/>
        <v>46192M</v>
      </c>
      <c r="B40" s="51">
        <f t="shared" si="27"/>
        <v>46192</v>
      </c>
      <c r="C40" s="52" t="s">
        <v>87</v>
      </c>
      <c r="D40" s="79"/>
      <c r="E40" s="62"/>
      <c r="F40" s="62"/>
      <c r="G40" s="62">
        <f t="shared" si="11"/>
        <v>0</v>
      </c>
      <c r="H40" s="63">
        <f t="shared" si="12"/>
        <v>0</v>
      </c>
      <c r="I40" s="144"/>
      <c r="J40" s="145"/>
      <c r="K40" s="146"/>
      <c r="L40" s="147"/>
      <c r="M40" s="58"/>
      <c r="N40" s="58"/>
      <c r="O40" s="59"/>
      <c r="P40" s="56"/>
      <c r="Q40" s="60"/>
      <c r="R40" s="61">
        <f t="shared" si="13"/>
        <v>0</v>
      </c>
      <c r="S40" s="62">
        <f t="shared" si="14"/>
        <v>0</v>
      </c>
      <c r="T40" s="63">
        <f t="shared" si="15"/>
        <v>0</v>
      </c>
      <c r="U40" s="64"/>
      <c r="V40" s="65"/>
      <c r="W40" s="66"/>
      <c r="X40" s="67"/>
      <c r="Y40" s="68"/>
      <c r="Z40" s="68"/>
      <c r="AA40" s="62">
        <f t="shared" si="16"/>
        <v>0</v>
      </c>
      <c r="AB40" s="63">
        <f t="shared" si="17"/>
        <v>0</v>
      </c>
      <c r="AC40" s="69"/>
      <c r="AD40" s="70"/>
      <c r="AE40" s="70"/>
      <c r="AF40" s="62">
        <f t="shared" si="18"/>
        <v>0</v>
      </c>
      <c r="AG40" s="63">
        <f t="shared" si="19"/>
        <v>0</v>
      </c>
      <c r="AH40" s="66"/>
      <c r="AI40" s="66"/>
      <c r="AJ40" s="66"/>
      <c r="AK40" s="62">
        <f t="shared" si="20"/>
        <v>0</v>
      </c>
      <c r="AL40" s="72">
        <f t="shared" si="21"/>
        <v>0</v>
      </c>
      <c r="AM40" s="73">
        <f t="shared" si="22"/>
        <v>0</v>
      </c>
      <c r="AN40" s="74">
        <f t="shared" si="23"/>
        <v>0</v>
      </c>
      <c r="AO40" s="74">
        <f t="shared" si="24"/>
        <v>0</v>
      </c>
      <c r="AP40" s="75" t="e">
        <f t="shared" si="25"/>
        <v>#DIV/0!</v>
      </c>
      <c r="AQ40" s="76">
        <f t="shared" si="9"/>
        <v>0</v>
      </c>
      <c r="AR40" s="90">
        <f t="shared" si="26"/>
        <v>0</v>
      </c>
    </row>
    <row r="41" spans="1:44" x14ac:dyDescent="0.25">
      <c r="A41" t="str">
        <f t="shared" si="10"/>
        <v>46192E</v>
      </c>
      <c r="B41" s="51">
        <f t="shared" si="27"/>
        <v>46192</v>
      </c>
      <c r="C41" s="52" t="s">
        <v>88</v>
      </c>
      <c r="D41" s="79"/>
      <c r="E41" s="62"/>
      <c r="F41" s="62"/>
      <c r="G41" s="62">
        <f t="shared" si="11"/>
        <v>0</v>
      </c>
      <c r="H41" s="63">
        <f t="shared" si="12"/>
        <v>0</v>
      </c>
      <c r="I41" s="144"/>
      <c r="J41" s="145"/>
      <c r="K41" s="146"/>
      <c r="L41" s="147"/>
      <c r="M41" s="58"/>
      <c r="N41" s="58"/>
      <c r="O41" s="59"/>
      <c r="P41" s="56"/>
      <c r="Q41" s="60"/>
      <c r="R41" s="61">
        <f t="shared" si="13"/>
        <v>0</v>
      </c>
      <c r="S41" s="62">
        <f t="shared" si="14"/>
        <v>0</v>
      </c>
      <c r="T41" s="63">
        <f t="shared" si="15"/>
        <v>0</v>
      </c>
      <c r="U41" s="64"/>
      <c r="V41" s="65"/>
      <c r="W41" s="66"/>
      <c r="X41" s="67"/>
      <c r="Y41" s="68"/>
      <c r="Z41" s="68"/>
      <c r="AA41" s="62">
        <f t="shared" si="16"/>
        <v>0</v>
      </c>
      <c r="AB41" s="63">
        <f t="shared" si="17"/>
        <v>0</v>
      </c>
      <c r="AC41" s="69"/>
      <c r="AD41" s="70"/>
      <c r="AE41" s="70"/>
      <c r="AF41" s="62">
        <f t="shared" si="18"/>
        <v>0</v>
      </c>
      <c r="AG41" s="63">
        <f t="shared" si="19"/>
        <v>0</v>
      </c>
      <c r="AH41" s="66"/>
      <c r="AI41" s="66"/>
      <c r="AJ41" s="66"/>
      <c r="AK41" s="62">
        <f t="shared" si="20"/>
        <v>0</v>
      </c>
      <c r="AL41" s="72">
        <f t="shared" si="21"/>
        <v>0</v>
      </c>
      <c r="AM41" s="73">
        <f t="shared" si="22"/>
        <v>0</v>
      </c>
      <c r="AN41" s="74">
        <f t="shared" si="23"/>
        <v>0</v>
      </c>
      <c r="AO41" s="74">
        <f t="shared" si="24"/>
        <v>0</v>
      </c>
      <c r="AP41" s="75" t="e">
        <f t="shared" si="25"/>
        <v>#DIV/0!</v>
      </c>
      <c r="AQ41" s="76">
        <f t="shared" si="9"/>
        <v>0</v>
      </c>
      <c r="AR41" s="90">
        <f t="shared" si="26"/>
        <v>0</v>
      </c>
    </row>
    <row r="42" spans="1:44" x14ac:dyDescent="0.25">
      <c r="A42" t="str">
        <f t="shared" si="10"/>
        <v>46193M</v>
      </c>
      <c r="B42" s="51">
        <f t="shared" si="27"/>
        <v>46193</v>
      </c>
      <c r="C42" s="52" t="s">
        <v>87</v>
      </c>
      <c r="D42" s="79"/>
      <c r="E42" s="62"/>
      <c r="F42" s="62"/>
      <c r="G42" s="62">
        <f t="shared" si="11"/>
        <v>0</v>
      </c>
      <c r="H42" s="63">
        <f t="shared" si="12"/>
        <v>0</v>
      </c>
      <c r="I42" s="144"/>
      <c r="J42" s="145"/>
      <c r="K42" s="146"/>
      <c r="L42" s="147"/>
      <c r="M42" s="58"/>
      <c r="N42" s="58"/>
      <c r="O42" s="59"/>
      <c r="P42" s="56"/>
      <c r="Q42" s="60"/>
      <c r="R42" s="61">
        <f t="shared" si="13"/>
        <v>0</v>
      </c>
      <c r="S42" s="62">
        <f t="shared" si="14"/>
        <v>0</v>
      </c>
      <c r="T42" s="63">
        <f t="shared" si="15"/>
        <v>0</v>
      </c>
      <c r="U42" s="64"/>
      <c r="V42" s="65"/>
      <c r="W42" s="66"/>
      <c r="X42" s="67"/>
      <c r="Y42" s="68"/>
      <c r="Z42" s="68"/>
      <c r="AA42" s="62">
        <f t="shared" si="16"/>
        <v>0</v>
      </c>
      <c r="AB42" s="63">
        <f t="shared" si="17"/>
        <v>0</v>
      </c>
      <c r="AC42" s="69"/>
      <c r="AD42" s="70"/>
      <c r="AE42" s="70"/>
      <c r="AF42" s="62">
        <f t="shared" si="18"/>
        <v>0</v>
      </c>
      <c r="AG42" s="63">
        <f t="shared" si="19"/>
        <v>0</v>
      </c>
      <c r="AH42" s="66"/>
      <c r="AI42" s="66"/>
      <c r="AJ42" s="66"/>
      <c r="AK42" s="62">
        <f t="shared" si="20"/>
        <v>0</v>
      </c>
      <c r="AL42" s="72">
        <f t="shared" si="21"/>
        <v>0</v>
      </c>
      <c r="AM42" s="73">
        <f t="shared" si="22"/>
        <v>0</v>
      </c>
      <c r="AN42" s="74">
        <f t="shared" si="23"/>
        <v>0</v>
      </c>
      <c r="AO42" s="74">
        <f t="shared" si="24"/>
        <v>0</v>
      </c>
      <c r="AP42" s="75" t="e">
        <f t="shared" si="25"/>
        <v>#DIV/0!</v>
      </c>
      <c r="AQ42" s="76">
        <f t="shared" si="9"/>
        <v>0</v>
      </c>
      <c r="AR42" s="90">
        <f t="shared" si="26"/>
        <v>0</v>
      </c>
    </row>
    <row r="43" spans="1:44" x14ac:dyDescent="0.25">
      <c r="A43" t="str">
        <f t="shared" si="10"/>
        <v>46193E</v>
      </c>
      <c r="B43" s="51">
        <f t="shared" si="27"/>
        <v>46193</v>
      </c>
      <c r="C43" s="52" t="s">
        <v>88</v>
      </c>
      <c r="D43" s="79"/>
      <c r="E43" s="62"/>
      <c r="F43" s="62"/>
      <c r="G43" s="62">
        <f t="shared" si="11"/>
        <v>0</v>
      </c>
      <c r="H43" s="63">
        <f t="shared" si="12"/>
        <v>0</v>
      </c>
      <c r="I43" s="144"/>
      <c r="J43" s="145"/>
      <c r="K43" s="146"/>
      <c r="L43" s="147"/>
      <c r="M43" s="58"/>
      <c r="N43" s="58"/>
      <c r="O43" s="59"/>
      <c r="P43" s="56"/>
      <c r="Q43" s="60"/>
      <c r="R43" s="61">
        <f t="shared" si="13"/>
        <v>0</v>
      </c>
      <c r="S43" s="62">
        <f t="shared" si="14"/>
        <v>0</v>
      </c>
      <c r="T43" s="63">
        <f t="shared" si="15"/>
        <v>0</v>
      </c>
      <c r="U43" s="64"/>
      <c r="V43" s="65"/>
      <c r="W43" s="66"/>
      <c r="X43" s="67"/>
      <c r="Y43" s="68"/>
      <c r="Z43" s="68"/>
      <c r="AA43" s="62">
        <f t="shared" si="16"/>
        <v>0</v>
      </c>
      <c r="AB43" s="63">
        <f t="shared" si="17"/>
        <v>0</v>
      </c>
      <c r="AC43" s="69"/>
      <c r="AD43" s="70"/>
      <c r="AE43" s="70"/>
      <c r="AF43" s="62">
        <f t="shared" si="18"/>
        <v>0</v>
      </c>
      <c r="AG43" s="63">
        <f t="shared" si="19"/>
        <v>0</v>
      </c>
      <c r="AH43" s="66"/>
      <c r="AI43" s="66"/>
      <c r="AJ43" s="66"/>
      <c r="AK43" s="62">
        <f t="shared" si="20"/>
        <v>0</v>
      </c>
      <c r="AL43" s="72">
        <f t="shared" si="21"/>
        <v>0</v>
      </c>
      <c r="AM43" s="73">
        <f t="shared" si="22"/>
        <v>0</v>
      </c>
      <c r="AN43" s="74">
        <f t="shared" si="23"/>
        <v>0</v>
      </c>
      <c r="AO43" s="74">
        <f t="shared" si="24"/>
        <v>0</v>
      </c>
      <c r="AP43" s="75" t="e">
        <f t="shared" si="25"/>
        <v>#DIV/0!</v>
      </c>
      <c r="AQ43" s="76">
        <f t="shared" si="9"/>
        <v>0</v>
      </c>
      <c r="AR43" s="90">
        <f t="shared" si="26"/>
        <v>0</v>
      </c>
    </row>
    <row r="44" spans="1:44" x14ac:dyDescent="0.25">
      <c r="A44" t="str">
        <f t="shared" si="10"/>
        <v>46194M</v>
      </c>
      <c r="B44" s="51">
        <f t="shared" si="27"/>
        <v>46194</v>
      </c>
      <c r="C44" s="52" t="s">
        <v>87</v>
      </c>
      <c r="D44" s="79"/>
      <c r="E44" s="62"/>
      <c r="F44" s="62"/>
      <c r="G44" s="62">
        <f t="shared" si="11"/>
        <v>0</v>
      </c>
      <c r="H44" s="63">
        <f t="shared" si="12"/>
        <v>0</v>
      </c>
      <c r="I44" s="144"/>
      <c r="J44" s="145"/>
      <c r="K44" s="146"/>
      <c r="L44" s="147"/>
      <c r="M44" s="58"/>
      <c r="N44" s="58"/>
      <c r="O44" s="59"/>
      <c r="P44" s="56"/>
      <c r="Q44" s="60"/>
      <c r="R44" s="61">
        <f t="shared" si="13"/>
        <v>0</v>
      </c>
      <c r="S44" s="62">
        <f t="shared" si="14"/>
        <v>0</v>
      </c>
      <c r="T44" s="63">
        <f t="shared" si="15"/>
        <v>0</v>
      </c>
      <c r="U44" s="64"/>
      <c r="V44" s="65"/>
      <c r="W44" s="66"/>
      <c r="X44" s="67"/>
      <c r="Y44" s="68"/>
      <c r="Z44" s="68"/>
      <c r="AA44" s="62">
        <f t="shared" si="16"/>
        <v>0</v>
      </c>
      <c r="AB44" s="63">
        <f t="shared" si="17"/>
        <v>0</v>
      </c>
      <c r="AC44" s="69"/>
      <c r="AD44" s="70"/>
      <c r="AE44" s="70"/>
      <c r="AF44" s="62">
        <f t="shared" si="18"/>
        <v>0</v>
      </c>
      <c r="AG44" s="63">
        <f t="shared" si="19"/>
        <v>0</v>
      </c>
      <c r="AH44" s="66"/>
      <c r="AI44" s="66"/>
      <c r="AJ44" s="66"/>
      <c r="AK44" s="62">
        <f t="shared" si="20"/>
        <v>0</v>
      </c>
      <c r="AL44" s="72">
        <f t="shared" si="21"/>
        <v>0</v>
      </c>
      <c r="AM44" s="73">
        <f t="shared" si="22"/>
        <v>0</v>
      </c>
      <c r="AN44" s="74">
        <f t="shared" si="23"/>
        <v>0</v>
      </c>
      <c r="AO44" s="74">
        <f t="shared" si="24"/>
        <v>0</v>
      </c>
      <c r="AP44" s="75" t="e">
        <f t="shared" si="25"/>
        <v>#DIV/0!</v>
      </c>
      <c r="AQ44" s="76">
        <f t="shared" si="9"/>
        <v>0</v>
      </c>
      <c r="AR44" s="90">
        <f t="shared" si="26"/>
        <v>0</v>
      </c>
    </row>
    <row r="45" spans="1:44" x14ac:dyDescent="0.25">
      <c r="A45" t="str">
        <f t="shared" si="10"/>
        <v>46194E</v>
      </c>
      <c r="B45" s="51">
        <f t="shared" si="27"/>
        <v>46194</v>
      </c>
      <c r="C45" s="52" t="s">
        <v>88</v>
      </c>
      <c r="D45" s="79"/>
      <c r="E45" s="62"/>
      <c r="F45" s="62"/>
      <c r="G45" s="62">
        <f t="shared" si="11"/>
        <v>0</v>
      </c>
      <c r="H45" s="63">
        <f t="shared" si="12"/>
        <v>0</v>
      </c>
      <c r="I45" s="144"/>
      <c r="J45" s="145"/>
      <c r="K45" s="146"/>
      <c r="L45" s="147"/>
      <c r="M45" s="58"/>
      <c r="N45" s="58"/>
      <c r="O45" s="59"/>
      <c r="P45" s="56"/>
      <c r="Q45" s="60"/>
      <c r="R45" s="61">
        <f t="shared" si="13"/>
        <v>0</v>
      </c>
      <c r="S45" s="62">
        <f t="shared" si="14"/>
        <v>0</v>
      </c>
      <c r="T45" s="63">
        <f t="shared" si="15"/>
        <v>0</v>
      </c>
      <c r="U45" s="64"/>
      <c r="V45" s="65"/>
      <c r="W45" s="66"/>
      <c r="X45" s="67"/>
      <c r="Y45" s="68"/>
      <c r="Z45" s="68"/>
      <c r="AA45" s="62">
        <f t="shared" si="16"/>
        <v>0</v>
      </c>
      <c r="AB45" s="63">
        <f t="shared" si="17"/>
        <v>0</v>
      </c>
      <c r="AC45" s="69"/>
      <c r="AD45" s="70"/>
      <c r="AE45" s="70"/>
      <c r="AF45" s="62">
        <f t="shared" si="18"/>
        <v>0</v>
      </c>
      <c r="AG45" s="63">
        <f t="shared" si="19"/>
        <v>0</v>
      </c>
      <c r="AH45" s="66"/>
      <c r="AI45" s="66"/>
      <c r="AJ45" s="66"/>
      <c r="AK45" s="62">
        <f t="shared" si="20"/>
        <v>0</v>
      </c>
      <c r="AL45" s="72">
        <f t="shared" si="21"/>
        <v>0</v>
      </c>
      <c r="AM45" s="73">
        <f t="shared" si="22"/>
        <v>0</v>
      </c>
      <c r="AN45" s="74">
        <f t="shared" si="23"/>
        <v>0</v>
      </c>
      <c r="AO45" s="74">
        <f t="shared" si="24"/>
        <v>0</v>
      </c>
      <c r="AP45" s="75" t="e">
        <f t="shared" si="25"/>
        <v>#DIV/0!</v>
      </c>
      <c r="AQ45" s="76">
        <f t="shared" si="9"/>
        <v>0</v>
      </c>
      <c r="AR45" s="90">
        <f t="shared" si="26"/>
        <v>0</v>
      </c>
    </row>
    <row r="46" spans="1:44" x14ac:dyDescent="0.25">
      <c r="A46" t="str">
        <f t="shared" si="10"/>
        <v>46195M</v>
      </c>
      <c r="B46" s="51">
        <f t="shared" si="27"/>
        <v>46195</v>
      </c>
      <c r="C46" s="52" t="s">
        <v>87</v>
      </c>
      <c r="D46" s="79"/>
      <c r="E46" s="62"/>
      <c r="F46" s="62"/>
      <c r="G46" s="62">
        <f t="shared" si="11"/>
        <v>0</v>
      </c>
      <c r="H46" s="63">
        <f t="shared" si="12"/>
        <v>0</v>
      </c>
      <c r="I46" s="144"/>
      <c r="J46" s="145"/>
      <c r="K46" s="146"/>
      <c r="L46" s="147"/>
      <c r="M46" s="58"/>
      <c r="N46" s="58"/>
      <c r="O46" s="59"/>
      <c r="P46" s="56"/>
      <c r="Q46" s="60"/>
      <c r="R46" s="61">
        <f t="shared" si="13"/>
        <v>0</v>
      </c>
      <c r="S46" s="62">
        <f t="shared" si="14"/>
        <v>0</v>
      </c>
      <c r="T46" s="63">
        <f t="shared" si="15"/>
        <v>0</v>
      </c>
      <c r="U46" s="64"/>
      <c r="V46" s="65"/>
      <c r="W46" s="66"/>
      <c r="X46" s="67"/>
      <c r="Y46" s="68"/>
      <c r="Z46" s="68"/>
      <c r="AA46" s="62">
        <f t="shared" si="16"/>
        <v>0</v>
      </c>
      <c r="AB46" s="63">
        <f t="shared" si="17"/>
        <v>0</v>
      </c>
      <c r="AC46" s="69"/>
      <c r="AD46" s="70"/>
      <c r="AE46" s="70"/>
      <c r="AF46" s="62">
        <f t="shared" si="18"/>
        <v>0</v>
      </c>
      <c r="AG46" s="63">
        <f t="shared" si="19"/>
        <v>0</v>
      </c>
      <c r="AH46" s="66"/>
      <c r="AI46" s="66"/>
      <c r="AJ46" s="66"/>
      <c r="AK46" s="62">
        <f t="shared" si="20"/>
        <v>0</v>
      </c>
      <c r="AL46" s="72">
        <f t="shared" si="21"/>
        <v>0</v>
      </c>
      <c r="AM46" s="73">
        <f t="shared" si="22"/>
        <v>0</v>
      </c>
      <c r="AN46" s="74">
        <f t="shared" si="23"/>
        <v>0</v>
      </c>
      <c r="AO46" s="74">
        <f t="shared" si="24"/>
        <v>0</v>
      </c>
      <c r="AP46" s="75" t="e">
        <f t="shared" si="25"/>
        <v>#DIV/0!</v>
      </c>
      <c r="AQ46" s="76">
        <f t="shared" si="9"/>
        <v>0</v>
      </c>
      <c r="AR46" s="90">
        <f>(D46+J46+O46)-(X46+AH46)</f>
        <v>0</v>
      </c>
    </row>
    <row r="47" spans="1:44" x14ac:dyDescent="0.25">
      <c r="A47" t="str">
        <f t="shared" si="10"/>
        <v>46195E</v>
      </c>
      <c r="B47" s="51">
        <f t="shared" si="27"/>
        <v>46195</v>
      </c>
      <c r="C47" s="52" t="s">
        <v>88</v>
      </c>
      <c r="D47" s="79"/>
      <c r="E47" s="62"/>
      <c r="F47" s="62"/>
      <c r="G47" s="62">
        <f t="shared" si="11"/>
        <v>0</v>
      </c>
      <c r="H47" s="63">
        <f t="shared" si="12"/>
        <v>0</v>
      </c>
      <c r="I47" s="144"/>
      <c r="J47" s="145"/>
      <c r="K47" s="146"/>
      <c r="L47" s="147"/>
      <c r="M47" s="58"/>
      <c r="N47" s="58"/>
      <c r="O47" s="59"/>
      <c r="P47" s="56"/>
      <c r="Q47" s="60"/>
      <c r="R47" s="61">
        <f t="shared" si="13"/>
        <v>0</v>
      </c>
      <c r="S47" s="62">
        <f t="shared" si="14"/>
        <v>0</v>
      </c>
      <c r="T47" s="63">
        <f t="shared" si="15"/>
        <v>0</v>
      </c>
      <c r="U47" s="64"/>
      <c r="V47" s="65"/>
      <c r="W47" s="66"/>
      <c r="X47" s="67"/>
      <c r="Y47" s="68"/>
      <c r="Z47" s="68"/>
      <c r="AA47" s="62">
        <f t="shared" si="16"/>
        <v>0</v>
      </c>
      <c r="AB47" s="63">
        <f t="shared" si="17"/>
        <v>0</v>
      </c>
      <c r="AC47" s="69"/>
      <c r="AD47" s="70"/>
      <c r="AE47" s="70"/>
      <c r="AF47" s="62">
        <f t="shared" si="18"/>
        <v>0</v>
      </c>
      <c r="AG47" s="63">
        <f t="shared" si="19"/>
        <v>0</v>
      </c>
      <c r="AH47" s="66"/>
      <c r="AI47" s="66"/>
      <c r="AJ47" s="66"/>
      <c r="AK47" s="62">
        <f t="shared" si="20"/>
        <v>0</v>
      </c>
      <c r="AL47" s="72">
        <f t="shared" si="21"/>
        <v>0</v>
      </c>
      <c r="AM47" s="73">
        <f t="shared" si="22"/>
        <v>0</v>
      </c>
      <c r="AN47" s="74">
        <f t="shared" si="23"/>
        <v>0</v>
      </c>
      <c r="AO47" s="74">
        <f t="shared" si="24"/>
        <v>0</v>
      </c>
      <c r="AP47" s="75" t="e">
        <f t="shared" si="25"/>
        <v>#DIV/0!</v>
      </c>
      <c r="AQ47" s="76">
        <f t="shared" si="9"/>
        <v>0</v>
      </c>
      <c r="AR47" s="90">
        <f t="shared" si="26"/>
        <v>0</v>
      </c>
    </row>
    <row r="48" spans="1:44" x14ac:dyDescent="0.25">
      <c r="A48" t="str">
        <f t="shared" si="10"/>
        <v>46196M</v>
      </c>
      <c r="B48" s="51">
        <f t="shared" si="27"/>
        <v>46196</v>
      </c>
      <c r="C48" s="52" t="s">
        <v>87</v>
      </c>
      <c r="D48" s="79"/>
      <c r="E48" s="62"/>
      <c r="F48" s="62"/>
      <c r="G48" s="62">
        <f t="shared" si="11"/>
        <v>0</v>
      </c>
      <c r="H48" s="63">
        <f t="shared" si="12"/>
        <v>0</v>
      </c>
      <c r="I48" s="144"/>
      <c r="J48" s="145"/>
      <c r="K48" s="146"/>
      <c r="L48" s="147"/>
      <c r="M48" s="58"/>
      <c r="N48" s="58"/>
      <c r="O48" s="59"/>
      <c r="P48" s="56"/>
      <c r="Q48" s="60"/>
      <c r="R48" s="61">
        <f t="shared" si="13"/>
        <v>0</v>
      </c>
      <c r="S48" s="62">
        <f t="shared" si="14"/>
        <v>0</v>
      </c>
      <c r="T48" s="63">
        <f t="shared" si="15"/>
        <v>0</v>
      </c>
      <c r="U48" s="64"/>
      <c r="V48" s="65"/>
      <c r="W48" s="66"/>
      <c r="X48" s="67"/>
      <c r="Y48" s="68"/>
      <c r="Z48" s="68"/>
      <c r="AA48" s="62">
        <f t="shared" si="16"/>
        <v>0</v>
      </c>
      <c r="AB48" s="63">
        <f t="shared" si="17"/>
        <v>0</v>
      </c>
      <c r="AC48" s="69"/>
      <c r="AD48" s="70"/>
      <c r="AE48" s="70"/>
      <c r="AF48" s="62">
        <f t="shared" si="18"/>
        <v>0</v>
      </c>
      <c r="AG48" s="63">
        <f t="shared" si="19"/>
        <v>0</v>
      </c>
      <c r="AH48" s="66"/>
      <c r="AI48" s="66"/>
      <c r="AJ48" s="66"/>
      <c r="AK48" s="62">
        <f t="shared" si="20"/>
        <v>0</v>
      </c>
      <c r="AL48" s="72">
        <f t="shared" si="21"/>
        <v>0</v>
      </c>
      <c r="AM48" s="73">
        <f t="shared" si="22"/>
        <v>0</v>
      </c>
      <c r="AN48" s="74">
        <f t="shared" si="23"/>
        <v>0</v>
      </c>
      <c r="AO48" s="74">
        <f t="shared" si="24"/>
        <v>0</v>
      </c>
      <c r="AP48" s="75" t="e">
        <f t="shared" si="25"/>
        <v>#DIV/0!</v>
      </c>
      <c r="AQ48" s="76">
        <f t="shared" si="9"/>
        <v>0</v>
      </c>
      <c r="AR48" s="90">
        <f t="shared" si="26"/>
        <v>0</v>
      </c>
    </row>
    <row r="49" spans="1:49" x14ac:dyDescent="0.25">
      <c r="A49" t="str">
        <f t="shared" si="10"/>
        <v>46196E</v>
      </c>
      <c r="B49" s="51">
        <f t="shared" si="27"/>
        <v>46196</v>
      </c>
      <c r="C49" s="52" t="s">
        <v>88</v>
      </c>
      <c r="D49" s="79"/>
      <c r="E49" s="62"/>
      <c r="F49" s="62"/>
      <c r="G49" s="62">
        <f t="shared" si="11"/>
        <v>0</v>
      </c>
      <c r="H49" s="63">
        <f t="shared" si="12"/>
        <v>0</v>
      </c>
      <c r="I49" s="144"/>
      <c r="J49" s="145"/>
      <c r="K49" s="146"/>
      <c r="L49" s="147"/>
      <c r="M49" s="58"/>
      <c r="N49" s="58"/>
      <c r="O49" s="59"/>
      <c r="P49" s="56"/>
      <c r="Q49" s="60"/>
      <c r="R49" s="61">
        <f t="shared" si="13"/>
        <v>0</v>
      </c>
      <c r="S49" s="62">
        <f t="shared" si="14"/>
        <v>0</v>
      </c>
      <c r="T49" s="63">
        <f t="shared" si="15"/>
        <v>0</v>
      </c>
      <c r="U49" s="64"/>
      <c r="V49" s="65"/>
      <c r="W49" s="66"/>
      <c r="X49" s="67"/>
      <c r="Y49" s="68"/>
      <c r="Z49" s="68"/>
      <c r="AA49" s="62">
        <f t="shared" si="16"/>
        <v>0</v>
      </c>
      <c r="AB49" s="63">
        <f t="shared" si="17"/>
        <v>0</v>
      </c>
      <c r="AC49" s="69"/>
      <c r="AD49" s="70"/>
      <c r="AE49" s="70"/>
      <c r="AF49" s="62">
        <f t="shared" si="18"/>
        <v>0</v>
      </c>
      <c r="AG49" s="63">
        <f t="shared" si="19"/>
        <v>0</v>
      </c>
      <c r="AH49" s="66"/>
      <c r="AI49" s="66"/>
      <c r="AJ49" s="66"/>
      <c r="AK49" s="62">
        <f t="shared" si="20"/>
        <v>0</v>
      </c>
      <c r="AL49" s="72">
        <f t="shared" si="21"/>
        <v>0</v>
      </c>
      <c r="AM49" s="73">
        <f t="shared" si="22"/>
        <v>0</v>
      </c>
      <c r="AN49" s="74">
        <f t="shared" si="23"/>
        <v>0</v>
      </c>
      <c r="AO49" s="74">
        <f t="shared" si="24"/>
        <v>0</v>
      </c>
      <c r="AP49" s="75" t="e">
        <f t="shared" si="25"/>
        <v>#DIV/0!</v>
      </c>
      <c r="AQ49" s="76">
        <f t="shared" si="9"/>
        <v>0</v>
      </c>
      <c r="AR49" s="90">
        <f t="shared" si="26"/>
        <v>0</v>
      </c>
    </row>
    <row r="50" spans="1:49" x14ac:dyDescent="0.25">
      <c r="A50" t="str">
        <f t="shared" si="10"/>
        <v>46197M</v>
      </c>
      <c r="B50" s="51">
        <f t="shared" si="27"/>
        <v>46197</v>
      </c>
      <c r="C50" s="52" t="s">
        <v>87</v>
      </c>
      <c r="D50" s="79"/>
      <c r="E50" s="62"/>
      <c r="F50" s="62"/>
      <c r="G50" s="62">
        <f t="shared" si="11"/>
        <v>0</v>
      </c>
      <c r="H50" s="63">
        <f t="shared" si="12"/>
        <v>0</v>
      </c>
      <c r="I50" s="144"/>
      <c r="J50" s="145"/>
      <c r="K50" s="146"/>
      <c r="L50" s="147"/>
      <c r="M50" s="58"/>
      <c r="N50" s="58"/>
      <c r="O50" s="59"/>
      <c r="P50" s="56"/>
      <c r="Q50" s="60"/>
      <c r="R50" s="61">
        <f t="shared" si="13"/>
        <v>0</v>
      </c>
      <c r="S50" s="62">
        <f t="shared" si="14"/>
        <v>0</v>
      </c>
      <c r="T50" s="63">
        <f t="shared" si="15"/>
        <v>0</v>
      </c>
      <c r="U50" s="64"/>
      <c r="V50" s="65"/>
      <c r="W50" s="66"/>
      <c r="X50" s="67"/>
      <c r="Y50" s="68"/>
      <c r="Z50" s="68"/>
      <c r="AA50" s="62">
        <f t="shared" si="16"/>
        <v>0</v>
      </c>
      <c r="AB50" s="63">
        <f t="shared" si="17"/>
        <v>0</v>
      </c>
      <c r="AC50" s="69"/>
      <c r="AD50" s="70"/>
      <c r="AE50" s="70"/>
      <c r="AF50" s="62">
        <f t="shared" si="18"/>
        <v>0</v>
      </c>
      <c r="AG50" s="63">
        <f t="shared" si="19"/>
        <v>0</v>
      </c>
      <c r="AH50" s="66"/>
      <c r="AI50" s="66"/>
      <c r="AJ50" s="66"/>
      <c r="AK50" s="62">
        <f t="shared" si="20"/>
        <v>0</v>
      </c>
      <c r="AL50" s="72">
        <f t="shared" si="21"/>
        <v>0</v>
      </c>
      <c r="AM50" s="73">
        <f t="shared" si="22"/>
        <v>0</v>
      </c>
      <c r="AN50" s="74">
        <f t="shared" si="23"/>
        <v>0</v>
      </c>
      <c r="AO50" s="74">
        <f t="shared" si="24"/>
        <v>0</v>
      </c>
      <c r="AP50" s="75" t="e">
        <f t="shared" si="25"/>
        <v>#DIV/0!</v>
      </c>
      <c r="AQ50" s="76">
        <f t="shared" si="9"/>
        <v>0</v>
      </c>
      <c r="AR50" s="90">
        <f t="shared" ref="AR50:AR59" si="28">(D50+J50+O50)-(X50+AH50)</f>
        <v>0</v>
      </c>
    </row>
    <row r="51" spans="1:49" x14ac:dyDescent="0.25">
      <c r="A51" t="str">
        <f t="shared" si="10"/>
        <v>46197E</v>
      </c>
      <c r="B51" s="51">
        <f t="shared" si="27"/>
        <v>46197</v>
      </c>
      <c r="C51" s="52" t="s">
        <v>88</v>
      </c>
      <c r="D51" s="79"/>
      <c r="E51" s="62"/>
      <c r="F51" s="62"/>
      <c r="G51" s="62">
        <f t="shared" si="11"/>
        <v>0</v>
      </c>
      <c r="H51" s="63">
        <f t="shared" si="12"/>
        <v>0</v>
      </c>
      <c r="I51" s="144"/>
      <c r="J51" s="145"/>
      <c r="K51" s="146"/>
      <c r="L51" s="147"/>
      <c r="M51" s="58"/>
      <c r="N51" s="58"/>
      <c r="O51" s="59"/>
      <c r="P51" s="56"/>
      <c r="Q51" s="60"/>
      <c r="R51" s="61">
        <f t="shared" si="13"/>
        <v>0</v>
      </c>
      <c r="S51" s="62">
        <f t="shared" si="14"/>
        <v>0</v>
      </c>
      <c r="T51" s="63">
        <f t="shared" si="15"/>
        <v>0</v>
      </c>
      <c r="U51" s="64"/>
      <c r="V51" s="65"/>
      <c r="W51" s="66"/>
      <c r="X51" s="67"/>
      <c r="Y51" s="68"/>
      <c r="Z51" s="68"/>
      <c r="AA51" s="62">
        <f t="shared" si="16"/>
        <v>0</v>
      </c>
      <c r="AB51" s="63">
        <f t="shared" si="17"/>
        <v>0</v>
      </c>
      <c r="AC51" s="69"/>
      <c r="AD51" s="70"/>
      <c r="AE51" s="70"/>
      <c r="AF51" s="62">
        <f t="shared" si="18"/>
        <v>0</v>
      </c>
      <c r="AG51" s="63">
        <f t="shared" si="19"/>
        <v>0</v>
      </c>
      <c r="AH51" s="66"/>
      <c r="AI51" s="66"/>
      <c r="AJ51" s="66"/>
      <c r="AK51" s="62">
        <f t="shared" si="20"/>
        <v>0</v>
      </c>
      <c r="AL51" s="72">
        <f t="shared" si="21"/>
        <v>0</v>
      </c>
      <c r="AM51" s="73">
        <f t="shared" si="22"/>
        <v>0</v>
      </c>
      <c r="AN51" s="74">
        <f t="shared" si="23"/>
        <v>0</v>
      </c>
      <c r="AO51" s="74">
        <f t="shared" si="24"/>
        <v>0</v>
      </c>
      <c r="AP51" s="75" t="e">
        <f t="shared" si="25"/>
        <v>#DIV/0!</v>
      </c>
      <c r="AQ51" s="76">
        <f t="shared" si="9"/>
        <v>0</v>
      </c>
      <c r="AR51" s="90">
        <f t="shared" si="28"/>
        <v>0</v>
      </c>
      <c r="AS51" s="90">
        <f>SUM(J38:J51)</f>
        <v>0</v>
      </c>
      <c r="AT51" s="83">
        <f>SUM(AM38:AM51)</f>
        <v>0</v>
      </c>
      <c r="AU51" s="83">
        <f>SUM(AN38:AN51)</f>
        <v>0</v>
      </c>
      <c r="AV51" s="83">
        <f>SUM(AO38:AO51)</f>
        <v>0</v>
      </c>
      <c r="AW51" s="83">
        <f>-SUM(AQ38:AQ51)</f>
        <v>0</v>
      </c>
    </row>
    <row r="52" spans="1:49" x14ac:dyDescent="0.25">
      <c r="A52" t="str">
        <f t="shared" si="10"/>
        <v>46198M</v>
      </c>
      <c r="B52" s="51">
        <f t="shared" si="27"/>
        <v>46198</v>
      </c>
      <c r="C52" s="52" t="s">
        <v>87</v>
      </c>
      <c r="D52" s="79"/>
      <c r="E52" s="62"/>
      <c r="F52" s="62"/>
      <c r="G52" s="62">
        <f t="shared" si="11"/>
        <v>0</v>
      </c>
      <c r="H52" s="63">
        <f t="shared" si="12"/>
        <v>0</v>
      </c>
      <c r="I52" s="144"/>
      <c r="J52" s="145"/>
      <c r="K52" s="146"/>
      <c r="L52" s="147"/>
      <c r="M52" s="58"/>
      <c r="N52" s="58"/>
      <c r="O52" s="59"/>
      <c r="P52" s="56"/>
      <c r="Q52" s="60"/>
      <c r="R52" s="61">
        <f t="shared" si="13"/>
        <v>0</v>
      </c>
      <c r="S52" s="62">
        <f t="shared" si="14"/>
        <v>0</v>
      </c>
      <c r="T52" s="63">
        <f t="shared" si="15"/>
        <v>0</v>
      </c>
      <c r="U52" s="64"/>
      <c r="V52" s="65"/>
      <c r="W52" s="66"/>
      <c r="X52" s="67"/>
      <c r="Y52" s="68"/>
      <c r="Z52" s="68"/>
      <c r="AA52" s="62">
        <f t="shared" si="16"/>
        <v>0</v>
      </c>
      <c r="AB52" s="63">
        <f t="shared" si="17"/>
        <v>0</v>
      </c>
      <c r="AC52" s="69"/>
      <c r="AD52" s="70"/>
      <c r="AE52" s="70"/>
      <c r="AF52" s="62">
        <f t="shared" si="18"/>
        <v>0</v>
      </c>
      <c r="AG52" s="63">
        <f t="shared" si="19"/>
        <v>0</v>
      </c>
      <c r="AH52" s="66"/>
      <c r="AI52" s="66"/>
      <c r="AJ52" s="66"/>
      <c r="AK52" s="62">
        <f t="shared" si="20"/>
        <v>0</v>
      </c>
      <c r="AL52" s="72">
        <f t="shared" si="21"/>
        <v>0</v>
      </c>
      <c r="AM52" s="73">
        <f t="shared" si="22"/>
        <v>0</v>
      </c>
      <c r="AN52" s="74">
        <f t="shared" si="23"/>
        <v>0</v>
      </c>
      <c r="AO52" s="74">
        <f t="shared" si="24"/>
        <v>0</v>
      </c>
      <c r="AP52" s="75" t="e">
        <f t="shared" si="25"/>
        <v>#DIV/0!</v>
      </c>
      <c r="AQ52" s="76">
        <f t="shared" si="9"/>
        <v>0</v>
      </c>
      <c r="AR52" s="90">
        <f t="shared" si="28"/>
        <v>0</v>
      </c>
    </row>
    <row r="53" spans="1:49" x14ac:dyDescent="0.25">
      <c r="A53" t="str">
        <f t="shared" si="10"/>
        <v>46198E</v>
      </c>
      <c r="B53" s="51">
        <f t="shared" si="27"/>
        <v>46198</v>
      </c>
      <c r="C53" s="52" t="s">
        <v>88</v>
      </c>
      <c r="D53" s="79"/>
      <c r="E53" s="62"/>
      <c r="F53" s="62"/>
      <c r="G53" s="62">
        <f t="shared" si="11"/>
        <v>0</v>
      </c>
      <c r="H53" s="63">
        <f t="shared" si="12"/>
        <v>0</v>
      </c>
      <c r="I53" s="144"/>
      <c r="J53" s="145"/>
      <c r="K53" s="146"/>
      <c r="L53" s="147"/>
      <c r="M53" s="58"/>
      <c r="N53" s="58"/>
      <c r="O53" s="59"/>
      <c r="P53" s="56"/>
      <c r="Q53" s="60"/>
      <c r="R53" s="61">
        <f t="shared" si="13"/>
        <v>0</v>
      </c>
      <c r="S53" s="62">
        <f t="shared" si="14"/>
        <v>0</v>
      </c>
      <c r="T53" s="63">
        <f t="shared" si="15"/>
        <v>0</v>
      </c>
      <c r="U53" s="64"/>
      <c r="V53" s="85"/>
      <c r="W53" s="66"/>
      <c r="X53" s="67"/>
      <c r="Y53" s="68"/>
      <c r="Z53" s="68"/>
      <c r="AA53" s="62">
        <f t="shared" si="16"/>
        <v>0</v>
      </c>
      <c r="AB53" s="63">
        <f t="shared" si="17"/>
        <v>0</v>
      </c>
      <c r="AC53" s="69"/>
      <c r="AD53" s="70"/>
      <c r="AE53" s="70"/>
      <c r="AF53" s="62">
        <f t="shared" si="18"/>
        <v>0</v>
      </c>
      <c r="AG53" s="63">
        <f t="shared" si="19"/>
        <v>0</v>
      </c>
      <c r="AH53" s="66"/>
      <c r="AI53" s="66"/>
      <c r="AJ53" s="66"/>
      <c r="AK53" s="62">
        <f t="shared" si="20"/>
        <v>0</v>
      </c>
      <c r="AL53" s="72">
        <f t="shared" si="21"/>
        <v>0</v>
      </c>
      <c r="AM53" s="73">
        <f t="shared" si="22"/>
        <v>0</v>
      </c>
      <c r="AN53" s="74">
        <f t="shared" si="23"/>
        <v>0</v>
      </c>
      <c r="AO53" s="74">
        <f t="shared" si="24"/>
        <v>0</v>
      </c>
      <c r="AP53" s="75" t="e">
        <f t="shared" si="25"/>
        <v>#DIV/0!</v>
      </c>
      <c r="AQ53" s="76">
        <f t="shared" si="9"/>
        <v>0</v>
      </c>
      <c r="AR53" s="90">
        <f t="shared" si="28"/>
        <v>0</v>
      </c>
    </row>
    <row r="54" spans="1:49" x14ac:dyDescent="0.25">
      <c r="A54" t="str">
        <f t="shared" si="10"/>
        <v>46199M</v>
      </c>
      <c r="B54" s="51">
        <f t="shared" si="27"/>
        <v>46199</v>
      </c>
      <c r="C54" s="52" t="s">
        <v>87</v>
      </c>
      <c r="D54" s="79"/>
      <c r="E54" s="62"/>
      <c r="F54" s="62"/>
      <c r="G54" s="62">
        <f t="shared" si="11"/>
        <v>0</v>
      </c>
      <c r="H54" s="63">
        <f t="shared" si="12"/>
        <v>0</v>
      </c>
      <c r="I54" s="144"/>
      <c r="J54" s="145"/>
      <c r="K54" s="146"/>
      <c r="L54" s="147"/>
      <c r="M54" s="58"/>
      <c r="N54" s="58"/>
      <c r="O54" s="59"/>
      <c r="P54" s="56"/>
      <c r="Q54" s="60"/>
      <c r="R54" s="61">
        <f t="shared" si="13"/>
        <v>0</v>
      </c>
      <c r="S54" s="62">
        <f t="shared" si="14"/>
        <v>0</v>
      </c>
      <c r="T54" s="63">
        <f t="shared" si="15"/>
        <v>0</v>
      </c>
      <c r="U54" s="64"/>
      <c r="V54" s="65"/>
      <c r="W54" s="66"/>
      <c r="X54" s="67"/>
      <c r="Y54" s="68"/>
      <c r="Z54" s="68"/>
      <c r="AA54" s="62">
        <f t="shared" si="16"/>
        <v>0</v>
      </c>
      <c r="AB54" s="63">
        <f t="shared" si="17"/>
        <v>0</v>
      </c>
      <c r="AC54" s="69"/>
      <c r="AD54" s="70"/>
      <c r="AE54" s="70"/>
      <c r="AF54" s="62">
        <f t="shared" si="18"/>
        <v>0</v>
      </c>
      <c r="AG54" s="63">
        <f t="shared" si="19"/>
        <v>0</v>
      </c>
      <c r="AH54" s="66"/>
      <c r="AI54" s="66"/>
      <c r="AJ54" s="66"/>
      <c r="AK54" s="62">
        <f t="shared" si="20"/>
        <v>0</v>
      </c>
      <c r="AL54" s="72">
        <f t="shared" si="21"/>
        <v>0</v>
      </c>
      <c r="AM54" s="73">
        <f t="shared" si="22"/>
        <v>0</v>
      </c>
      <c r="AN54" s="74">
        <f t="shared" si="23"/>
        <v>0</v>
      </c>
      <c r="AO54" s="74">
        <f t="shared" si="24"/>
        <v>0</v>
      </c>
      <c r="AP54" s="75" t="e">
        <f t="shared" si="25"/>
        <v>#DIV/0!</v>
      </c>
      <c r="AQ54" s="76">
        <f t="shared" si="9"/>
        <v>0</v>
      </c>
      <c r="AR54" s="90">
        <f t="shared" si="28"/>
        <v>0</v>
      </c>
    </row>
    <row r="55" spans="1:49" x14ac:dyDescent="0.25">
      <c r="A55" t="str">
        <f t="shared" si="10"/>
        <v>46199E</v>
      </c>
      <c r="B55" s="51">
        <f t="shared" si="27"/>
        <v>46199</v>
      </c>
      <c r="C55" s="52" t="s">
        <v>88</v>
      </c>
      <c r="D55" s="79"/>
      <c r="E55" s="62"/>
      <c r="F55" s="62"/>
      <c r="G55" s="62">
        <f t="shared" si="11"/>
        <v>0</v>
      </c>
      <c r="H55" s="63">
        <f t="shared" si="12"/>
        <v>0</v>
      </c>
      <c r="I55" s="144"/>
      <c r="J55" s="145"/>
      <c r="K55" s="146"/>
      <c r="L55" s="147"/>
      <c r="M55" s="58"/>
      <c r="N55" s="58"/>
      <c r="O55" s="59"/>
      <c r="P55" s="56"/>
      <c r="Q55" s="60"/>
      <c r="R55" s="61">
        <f t="shared" si="13"/>
        <v>0</v>
      </c>
      <c r="S55" s="62">
        <f t="shared" si="14"/>
        <v>0</v>
      </c>
      <c r="T55" s="63">
        <f t="shared" si="15"/>
        <v>0</v>
      </c>
      <c r="U55" s="64"/>
      <c r="V55" s="65"/>
      <c r="W55" s="66"/>
      <c r="X55" s="67"/>
      <c r="Y55" s="68"/>
      <c r="Z55" s="68"/>
      <c r="AA55" s="62">
        <f t="shared" si="16"/>
        <v>0</v>
      </c>
      <c r="AB55" s="63">
        <f t="shared" si="17"/>
        <v>0</v>
      </c>
      <c r="AC55" s="69"/>
      <c r="AD55" s="70"/>
      <c r="AE55" s="70"/>
      <c r="AF55" s="62">
        <f t="shared" si="18"/>
        <v>0</v>
      </c>
      <c r="AG55" s="63">
        <f t="shared" si="19"/>
        <v>0</v>
      </c>
      <c r="AH55" s="66"/>
      <c r="AI55" s="66"/>
      <c r="AJ55" s="66"/>
      <c r="AK55" s="62">
        <f t="shared" si="20"/>
        <v>0</v>
      </c>
      <c r="AL55" s="72">
        <f t="shared" si="21"/>
        <v>0</v>
      </c>
      <c r="AM55" s="73">
        <f t="shared" si="22"/>
        <v>0</v>
      </c>
      <c r="AN55" s="74">
        <f t="shared" si="23"/>
        <v>0</v>
      </c>
      <c r="AO55" s="74">
        <f t="shared" si="24"/>
        <v>0</v>
      </c>
      <c r="AP55" s="75" t="e">
        <f t="shared" si="25"/>
        <v>#DIV/0!</v>
      </c>
      <c r="AQ55" s="76">
        <f t="shared" si="9"/>
        <v>0</v>
      </c>
      <c r="AR55" s="90">
        <f t="shared" si="28"/>
        <v>0</v>
      </c>
    </row>
    <row r="56" spans="1:49" x14ac:dyDescent="0.25">
      <c r="A56" t="str">
        <f t="shared" si="10"/>
        <v>46200M</v>
      </c>
      <c r="B56" s="51">
        <f t="shared" si="27"/>
        <v>46200</v>
      </c>
      <c r="C56" s="52" t="s">
        <v>87</v>
      </c>
      <c r="D56" s="91"/>
      <c r="E56" s="62"/>
      <c r="F56" s="62"/>
      <c r="G56" s="62">
        <f t="shared" si="11"/>
        <v>0</v>
      </c>
      <c r="H56" s="63">
        <f t="shared" si="12"/>
        <v>0</v>
      </c>
      <c r="I56" s="144"/>
      <c r="J56" s="145"/>
      <c r="K56" s="146"/>
      <c r="L56" s="147"/>
      <c r="M56" s="58"/>
      <c r="N56" s="58"/>
      <c r="O56" s="59"/>
      <c r="P56" s="56"/>
      <c r="Q56" s="60"/>
      <c r="R56" s="61">
        <f t="shared" si="13"/>
        <v>0</v>
      </c>
      <c r="S56" s="62">
        <f t="shared" si="14"/>
        <v>0</v>
      </c>
      <c r="T56" s="63">
        <f t="shared" si="15"/>
        <v>0</v>
      </c>
      <c r="U56" s="64"/>
      <c r="V56" s="65"/>
      <c r="W56" s="66"/>
      <c r="X56" s="67"/>
      <c r="Y56" s="68"/>
      <c r="Z56" s="68"/>
      <c r="AA56" s="62">
        <f t="shared" si="16"/>
        <v>0</v>
      </c>
      <c r="AB56" s="63">
        <f t="shared" si="17"/>
        <v>0</v>
      </c>
      <c r="AC56" s="69"/>
      <c r="AD56" s="70"/>
      <c r="AE56" s="70"/>
      <c r="AF56" s="62">
        <f t="shared" si="18"/>
        <v>0</v>
      </c>
      <c r="AG56" s="63">
        <f t="shared" si="19"/>
        <v>0</v>
      </c>
      <c r="AH56" s="66"/>
      <c r="AI56" s="66"/>
      <c r="AJ56" s="66"/>
      <c r="AK56" s="62">
        <f t="shared" si="20"/>
        <v>0</v>
      </c>
      <c r="AL56" s="72">
        <f t="shared" si="21"/>
        <v>0</v>
      </c>
      <c r="AM56" s="73">
        <f t="shared" si="22"/>
        <v>0</v>
      </c>
      <c r="AN56" s="74">
        <f t="shared" si="23"/>
        <v>0</v>
      </c>
      <c r="AO56" s="74">
        <f t="shared" si="24"/>
        <v>0</v>
      </c>
      <c r="AP56" s="75" t="e">
        <f t="shared" si="25"/>
        <v>#DIV/0!</v>
      </c>
      <c r="AQ56" s="76">
        <f t="shared" si="9"/>
        <v>0</v>
      </c>
      <c r="AR56" s="90">
        <f t="shared" si="28"/>
        <v>0</v>
      </c>
    </row>
    <row r="57" spans="1:49" x14ac:dyDescent="0.25">
      <c r="A57" t="str">
        <f t="shared" si="10"/>
        <v>46200E</v>
      </c>
      <c r="B57" s="51">
        <f t="shared" si="27"/>
        <v>46200</v>
      </c>
      <c r="C57" s="52" t="s">
        <v>88</v>
      </c>
      <c r="D57" s="91"/>
      <c r="E57" s="62"/>
      <c r="F57" s="62"/>
      <c r="G57" s="62">
        <f t="shared" si="11"/>
        <v>0</v>
      </c>
      <c r="H57" s="63">
        <f t="shared" si="12"/>
        <v>0</v>
      </c>
      <c r="I57" s="144"/>
      <c r="J57" s="145"/>
      <c r="K57" s="146"/>
      <c r="L57" s="147"/>
      <c r="M57" s="58"/>
      <c r="N57" s="58"/>
      <c r="O57" s="59"/>
      <c r="P57" s="56"/>
      <c r="Q57" s="60"/>
      <c r="R57" s="61">
        <f t="shared" si="13"/>
        <v>0</v>
      </c>
      <c r="S57" s="62">
        <f t="shared" si="14"/>
        <v>0</v>
      </c>
      <c r="T57" s="63">
        <f t="shared" si="15"/>
        <v>0</v>
      </c>
      <c r="U57" s="64"/>
      <c r="V57" s="65"/>
      <c r="W57" s="66"/>
      <c r="X57" s="67"/>
      <c r="Y57" s="68"/>
      <c r="Z57" s="68"/>
      <c r="AA57" s="62">
        <f t="shared" si="16"/>
        <v>0</v>
      </c>
      <c r="AB57" s="63">
        <f t="shared" si="17"/>
        <v>0</v>
      </c>
      <c r="AC57" s="69"/>
      <c r="AD57" s="70"/>
      <c r="AE57" s="70"/>
      <c r="AF57" s="62">
        <f t="shared" si="18"/>
        <v>0</v>
      </c>
      <c r="AG57" s="63">
        <f t="shared" si="19"/>
        <v>0</v>
      </c>
      <c r="AH57" s="66"/>
      <c r="AI57" s="66"/>
      <c r="AJ57" s="66"/>
      <c r="AK57" s="62">
        <f t="shared" si="20"/>
        <v>0</v>
      </c>
      <c r="AL57" s="72">
        <f t="shared" si="21"/>
        <v>0</v>
      </c>
      <c r="AM57" s="73">
        <f t="shared" si="22"/>
        <v>0</v>
      </c>
      <c r="AN57" s="74">
        <f t="shared" si="23"/>
        <v>0</v>
      </c>
      <c r="AO57" s="74">
        <f t="shared" si="24"/>
        <v>0</v>
      </c>
      <c r="AP57" s="75" t="e">
        <f t="shared" si="25"/>
        <v>#DIV/0!</v>
      </c>
      <c r="AQ57" s="76">
        <f t="shared" si="9"/>
        <v>0</v>
      </c>
      <c r="AR57" s="90">
        <f t="shared" si="28"/>
        <v>0</v>
      </c>
    </row>
    <row r="58" spans="1:49" x14ac:dyDescent="0.25">
      <c r="A58" t="str">
        <f t="shared" si="10"/>
        <v>46201M</v>
      </c>
      <c r="B58" s="51">
        <f t="shared" si="27"/>
        <v>46201</v>
      </c>
      <c r="C58" s="52" t="s">
        <v>87</v>
      </c>
      <c r="D58" s="91"/>
      <c r="E58" s="62"/>
      <c r="F58" s="62"/>
      <c r="G58" s="62">
        <f t="shared" si="11"/>
        <v>0</v>
      </c>
      <c r="H58" s="63">
        <f t="shared" si="12"/>
        <v>0</v>
      </c>
      <c r="I58" s="144"/>
      <c r="J58" s="145"/>
      <c r="K58" s="146"/>
      <c r="L58" s="147"/>
      <c r="M58" s="58"/>
      <c r="N58" s="58"/>
      <c r="O58" s="59"/>
      <c r="P58" s="56"/>
      <c r="Q58" s="60"/>
      <c r="R58" s="61">
        <f t="shared" si="13"/>
        <v>0</v>
      </c>
      <c r="S58" s="62">
        <f t="shared" si="14"/>
        <v>0</v>
      </c>
      <c r="T58" s="63">
        <f t="shared" si="15"/>
        <v>0</v>
      </c>
      <c r="U58" s="64"/>
      <c r="V58" s="65"/>
      <c r="W58" s="66"/>
      <c r="X58" s="67"/>
      <c r="Y58" s="68"/>
      <c r="Z58" s="68"/>
      <c r="AA58" s="62">
        <f t="shared" si="16"/>
        <v>0</v>
      </c>
      <c r="AB58" s="63">
        <f t="shared" si="17"/>
        <v>0</v>
      </c>
      <c r="AC58" s="69"/>
      <c r="AD58" s="70"/>
      <c r="AE58" s="70"/>
      <c r="AF58" s="62">
        <f t="shared" si="18"/>
        <v>0</v>
      </c>
      <c r="AG58" s="63">
        <f t="shared" si="19"/>
        <v>0</v>
      </c>
      <c r="AH58" s="66"/>
      <c r="AI58" s="66"/>
      <c r="AJ58" s="66"/>
      <c r="AK58" s="62">
        <f t="shared" si="20"/>
        <v>0</v>
      </c>
      <c r="AL58" s="72">
        <f t="shared" si="21"/>
        <v>0</v>
      </c>
      <c r="AM58" s="73">
        <f t="shared" si="22"/>
        <v>0</v>
      </c>
      <c r="AN58" s="74">
        <f t="shared" si="23"/>
        <v>0</v>
      </c>
      <c r="AO58" s="74">
        <f t="shared" si="24"/>
        <v>0</v>
      </c>
      <c r="AP58" s="75" t="e">
        <f t="shared" si="25"/>
        <v>#DIV/0!</v>
      </c>
      <c r="AQ58" s="76">
        <f t="shared" si="9"/>
        <v>0</v>
      </c>
      <c r="AR58" s="90">
        <f t="shared" si="28"/>
        <v>0</v>
      </c>
    </row>
    <row r="59" spans="1:49" x14ac:dyDescent="0.25">
      <c r="A59" t="str">
        <f t="shared" si="10"/>
        <v>46201E</v>
      </c>
      <c r="B59" s="51">
        <f t="shared" si="27"/>
        <v>46201</v>
      </c>
      <c r="C59" s="52" t="s">
        <v>88</v>
      </c>
      <c r="D59" s="91"/>
      <c r="E59" s="62"/>
      <c r="F59" s="62"/>
      <c r="G59" s="62">
        <f t="shared" si="11"/>
        <v>0</v>
      </c>
      <c r="H59" s="63">
        <f t="shared" si="12"/>
        <v>0</v>
      </c>
      <c r="I59" s="144"/>
      <c r="J59" s="145"/>
      <c r="K59" s="146"/>
      <c r="L59" s="147"/>
      <c r="M59" s="58"/>
      <c r="N59" s="58"/>
      <c r="O59" s="59"/>
      <c r="P59" s="56"/>
      <c r="Q59" s="60"/>
      <c r="R59" s="61">
        <f t="shared" si="13"/>
        <v>0</v>
      </c>
      <c r="S59" s="62">
        <f t="shared" si="14"/>
        <v>0</v>
      </c>
      <c r="T59" s="63">
        <f t="shared" si="15"/>
        <v>0</v>
      </c>
      <c r="U59" s="64"/>
      <c r="V59" s="65"/>
      <c r="W59" s="66"/>
      <c r="X59" s="67"/>
      <c r="Y59" s="68"/>
      <c r="Z59" s="68"/>
      <c r="AA59" s="62">
        <f t="shared" si="16"/>
        <v>0</v>
      </c>
      <c r="AB59" s="63">
        <f t="shared" si="17"/>
        <v>0</v>
      </c>
      <c r="AC59" s="69"/>
      <c r="AD59" s="70"/>
      <c r="AE59" s="70"/>
      <c r="AF59" s="62">
        <f t="shared" si="18"/>
        <v>0</v>
      </c>
      <c r="AG59" s="63">
        <f t="shared" si="19"/>
        <v>0</v>
      </c>
      <c r="AH59" s="66"/>
      <c r="AI59" s="66"/>
      <c r="AJ59" s="66"/>
      <c r="AK59" s="62">
        <f t="shared" si="20"/>
        <v>0</v>
      </c>
      <c r="AL59" s="72">
        <f t="shared" si="21"/>
        <v>0</v>
      </c>
      <c r="AM59" s="73">
        <f t="shared" si="22"/>
        <v>0</v>
      </c>
      <c r="AN59" s="74">
        <f t="shared" si="23"/>
        <v>0</v>
      </c>
      <c r="AO59" s="74">
        <f t="shared" si="24"/>
        <v>0</v>
      </c>
      <c r="AP59" s="75" t="e">
        <f t="shared" si="25"/>
        <v>#DIV/0!</v>
      </c>
      <c r="AQ59" s="76">
        <f t="shared" si="9"/>
        <v>0</v>
      </c>
      <c r="AR59" s="90">
        <f t="shared" si="28"/>
        <v>0</v>
      </c>
    </row>
    <row r="60" spans="1:49" x14ac:dyDescent="0.25">
      <c r="A60" t="str">
        <f t="shared" si="10"/>
        <v>46202M</v>
      </c>
      <c r="B60" s="51">
        <f t="shared" si="27"/>
        <v>46202</v>
      </c>
      <c r="C60" s="52" t="s">
        <v>87</v>
      </c>
      <c r="D60" s="91"/>
      <c r="E60" s="62"/>
      <c r="F60" s="62"/>
      <c r="G60" s="62">
        <f t="shared" si="11"/>
        <v>0</v>
      </c>
      <c r="H60" s="63">
        <f t="shared" si="12"/>
        <v>0</v>
      </c>
      <c r="I60" s="144"/>
      <c r="J60" s="145"/>
      <c r="K60" s="146"/>
      <c r="L60" s="147"/>
      <c r="M60" s="58"/>
      <c r="N60" s="58"/>
      <c r="O60" s="59"/>
      <c r="P60" s="56"/>
      <c r="Q60" s="60"/>
      <c r="R60" s="61">
        <f t="shared" si="13"/>
        <v>0</v>
      </c>
      <c r="S60" s="62">
        <f t="shared" si="14"/>
        <v>0</v>
      </c>
      <c r="T60" s="63">
        <f t="shared" si="15"/>
        <v>0</v>
      </c>
      <c r="U60" s="64"/>
      <c r="V60" s="65"/>
      <c r="W60" s="66"/>
      <c r="X60" s="67"/>
      <c r="Y60" s="68"/>
      <c r="Z60" s="68"/>
      <c r="AA60" s="62">
        <f t="shared" si="16"/>
        <v>0</v>
      </c>
      <c r="AB60" s="63">
        <f t="shared" si="17"/>
        <v>0</v>
      </c>
      <c r="AC60" s="69"/>
      <c r="AD60" s="70"/>
      <c r="AE60" s="70"/>
      <c r="AF60" s="62">
        <f t="shared" si="18"/>
        <v>0</v>
      </c>
      <c r="AG60" s="63">
        <f t="shared" si="19"/>
        <v>0</v>
      </c>
      <c r="AH60" s="66"/>
      <c r="AI60" s="66"/>
      <c r="AJ60" s="66"/>
      <c r="AK60" s="62">
        <f t="shared" si="20"/>
        <v>0</v>
      </c>
      <c r="AL60" s="72">
        <f t="shared" si="21"/>
        <v>0</v>
      </c>
      <c r="AM60" s="73">
        <f t="shared" si="22"/>
        <v>0</v>
      </c>
      <c r="AN60" s="74">
        <f t="shared" si="23"/>
        <v>0</v>
      </c>
      <c r="AO60" s="74">
        <f t="shared" si="24"/>
        <v>0</v>
      </c>
      <c r="AP60" s="75" t="e">
        <f t="shared" si="25"/>
        <v>#DIV/0!</v>
      </c>
      <c r="AQ60" s="76">
        <f t="shared" si="9"/>
        <v>0</v>
      </c>
      <c r="AR60" s="90">
        <f>(D60+J60+O60)-(X60+AH60)</f>
        <v>0</v>
      </c>
    </row>
    <row r="61" spans="1:49" x14ac:dyDescent="0.25">
      <c r="A61" t="str">
        <f t="shared" si="10"/>
        <v>46202E</v>
      </c>
      <c r="B61" s="51">
        <f t="shared" si="27"/>
        <v>46202</v>
      </c>
      <c r="C61" s="52" t="s">
        <v>88</v>
      </c>
      <c r="D61" s="91"/>
      <c r="E61" s="62"/>
      <c r="F61" s="62"/>
      <c r="G61" s="62">
        <f t="shared" si="11"/>
        <v>0</v>
      </c>
      <c r="H61" s="63">
        <f t="shared" si="12"/>
        <v>0</v>
      </c>
      <c r="I61" s="144"/>
      <c r="J61" s="145"/>
      <c r="K61" s="146"/>
      <c r="L61" s="147"/>
      <c r="M61" s="58"/>
      <c r="N61" s="58"/>
      <c r="O61" s="59"/>
      <c r="P61" s="56"/>
      <c r="Q61" s="60"/>
      <c r="R61" s="61">
        <f t="shared" si="13"/>
        <v>0</v>
      </c>
      <c r="S61" s="62">
        <f t="shared" si="14"/>
        <v>0</v>
      </c>
      <c r="T61" s="63">
        <f t="shared" si="15"/>
        <v>0</v>
      </c>
      <c r="U61" s="64"/>
      <c r="V61" s="65"/>
      <c r="W61" s="66"/>
      <c r="X61" s="67"/>
      <c r="Y61" s="68"/>
      <c r="Z61" s="68"/>
      <c r="AA61" s="62">
        <f t="shared" si="16"/>
        <v>0</v>
      </c>
      <c r="AB61" s="63">
        <f t="shared" si="17"/>
        <v>0</v>
      </c>
      <c r="AC61" s="69"/>
      <c r="AD61" s="70"/>
      <c r="AE61" s="70"/>
      <c r="AF61" s="62">
        <f t="shared" si="18"/>
        <v>0</v>
      </c>
      <c r="AG61" s="63">
        <f t="shared" si="19"/>
        <v>0</v>
      </c>
      <c r="AH61" s="66"/>
      <c r="AI61" s="66"/>
      <c r="AJ61" s="66"/>
      <c r="AK61" s="62">
        <f t="shared" si="20"/>
        <v>0</v>
      </c>
      <c r="AL61" s="72">
        <f t="shared" si="21"/>
        <v>0</v>
      </c>
      <c r="AM61" s="73">
        <f t="shared" si="22"/>
        <v>0</v>
      </c>
      <c r="AN61" s="74">
        <f t="shared" si="23"/>
        <v>0</v>
      </c>
      <c r="AO61" s="74">
        <f t="shared" si="24"/>
        <v>0</v>
      </c>
      <c r="AP61" s="75" t="e">
        <f t="shared" si="25"/>
        <v>#DIV/0!</v>
      </c>
      <c r="AQ61" s="76">
        <f t="shared" si="9"/>
        <v>0</v>
      </c>
      <c r="AR61" s="90">
        <f>(D61+J61+O61)-(X61+AH61)</f>
        <v>0</v>
      </c>
    </row>
    <row r="62" spans="1:49" x14ac:dyDescent="0.25">
      <c r="A62" t="str">
        <f t="shared" si="10"/>
        <v>46203M</v>
      </c>
      <c r="B62" s="51">
        <f t="shared" si="27"/>
        <v>46203</v>
      </c>
      <c r="C62" s="52" t="s">
        <v>87</v>
      </c>
      <c r="D62" s="91"/>
      <c r="E62" s="62"/>
      <c r="F62" s="62"/>
      <c r="G62" s="62">
        <f t="shared" si="11"/>
        <v>0</v>
      </c>
      <c r="H62" s="63">
        <f t="shared" si="12"/>
        <v>0</v>
      </c>
      <c r="I62" s="144"/>
      <c r="J62" s="145"/>
      <c r="K62" s="146"/>
      <c r="L62" s="147"/>
      <c r="M62" s="58"/>
      <c r="N62" s="58"/>
      <c r="O62" s="59"/>
      <c r="P62" s="56"/>
      <c r="Q62" s="60"/>
      <c r="R62" s="61">
        <f t="shared" si="13"/>
        <v>0</v>
      </c>
      <c r="S62" s="62">
        <f t="shared" si="14"/>
        <v>0</v>
      </c>
      <c r="T62" s="63">
        <f t="shared" si="15"/>
        <v>0</v>
      </c>
      <c r="U62" s="64"/>
      <c r="V62" s="65"/>
      <c r="W62" s="66"/>
      <c r="X62" s="67"/>
      <c r="Y62" s="68"/>
      <c r="Z62" s="68"/>
      <c r="AA62" s="62">
        <f t="shared" si="16"/>
        <v>0</v>
      </c>
      <c r="AB62" s="63">
        <f t="shared" si="17"/>
        <v>0</v>
      </c>
      <c r="AC62" s="69"/>
      <c r="AD62" s="70"/>
      <c r="AE62" s="70"/>
      <c r="AF62" s="62">
        <f t="shared" si="18"/>
        <v>0</v>
      </c>
      <c r="AG62" s="63">
        <f t="shared" si="19"/>
        <v>0</v>
      </c>
      <c r="AH62" s="66"/>
      <c r="AI62" s="66"/>
      <c r="AJ62" s="66"/>
      <c r="AK62" s="62">
        <f t="shared" si="20"/>
        <v>0</v>
      </c>
      <c r="AL62" s="72">
        <f t="shared" si="21"/>
        <v>0</v>
      </c>
      <c r="AM62" s="73">
        <f t="shared" si="22"/>
        <v>0</v>
      </c>
      <c r="AN62" s="74">
        <f t="shared" si="23"/>
        <v>0</v>
      </c>
      <c r="AO62" s="74">
        <f t="shared" si="24"/>
        <v>0</v>
      </c>
      <c r="AP62" s="75" t="e">
        <f t="shared" si="25"/>
        <v>#DIV/0!</v>
      </c>
      <c r="AQ62" s="76">
        <f t="shared" si="9"/>
        <v>0</v>
      </c>
      <c r="AR62" s="90">
        <f>(D62+J62+O62)-(X62+AH62)</f>
        <v>0</v>
      </c>
    </row>
    <row r="63" spans="1:49" x14ac:dyDescent="0.25">
      <c r="A63" t="str">
        <f t="shared" si="10"/>
        <v>46203E</v>
      </c>
      <c r="B63" s="51">
        <f t="shared" si="27"/>
        <v>46203</v>
      </c>
      <c r="C63" s="52" t="s">
        <v>88</v>
      </c>
      <c r="D63" s="91"/>
      <c r="E63" s="62"/>
      <c r="F63" s="62"/>
      <c r="G63" s="62">
        <f t="shared" si="11"/>
        <v>0</v>
      </c>
      <c r="H63" s="63">
        <f t="shared" si="12"/>
        <v>0</v>
      </c>
      <c r="I63" s="144"/>
      <c r="J63" s="145"/>
      <c r="K63" s="146"/>
      <c r="L63" s="147"/>
      <c r="M63" s="58"/>
      <c r="N63" s="58"/>
      <c r="O63" s="59"/>
      <c r="P63" s="56"/>
      <c r="Q63" s="60"/>
      <c r="R63" s="61">
        <f t="shared" si="13"/>
        <v>0</v>
      </c>
      <c r="S63" s="62">
        <f t="shared" si="14"/>
        <v>0</v>
      </c>
      <c r="T63" s="63">
        <f t="shared" si="15"/>
        <v>0</v>
      </c>
      <c r="U63" s="64"/>
      <c r="V63" s="65"/>
      <c r="W63" s="66"/>
      <c r="X63" s="67"/>
      <c r="Y63" s="68"/>
      <c r="Z63" s="68"/>
      <c r="AA63" s="62">
        <f t="shared" si="16"/>
        <v>0</v>
      </c>
      <c r="AB63" s="63">
        <f t="shared" si="17"/>
        <v>0</v>
      </c>
      <c r="AC63" s="69"/>
      <c r="AD63" s="70"/>
      <c r="AE63" s="70"/>
      <c r="AF63" s="62">
        <f t="shared" si="18"/>
        <v>0</v>
      </c>
      <c r="AG63" s="63">
        <f t="shared" si="19"/>
        <v>0</v>
      </c>
      <c r="AH63" s="66"/>
      <c r="AI63" s="66"/>
      <c r="AJ63" s="66"/>
      <c r="AK63" s="62">
        <f t="shared" si="20"/>
        <v>0</v>
      </c>
      <c r="AL63" s="72">
        <f t="shared" si="21"/>
        <v>0</v>
      </c>
      <c r="AM63" s="73">
        <f t="shared" si="22"/>
        <v>0</v>
      </c>
      <c r="AN63" s="74">
        <f t="shared" si="23"/>
        <v>0</v>
      </c>
      <c r="AO63" s="74">
        <f t="shared" si="24"/>
        <v>0</v>
      </c>
      <c r="AP63" s="75" t="e">
        <f t="shared" si="25"/>
        <v>#DIV/0!</v>
      </c>
      <c r="AQ63" s="76">
        <f t="shared" si="9"/>
        <v>0</v>
      </c>
      <c r="AR63" s="90">
        <f>(D63+J63+O63)-(X63+AH63)</f>
        <v>0</v>
      </c>
    </row>
    <row r="64" spans="1:49" x14ac:dyDescent="0.25">
      <c r="A64" t="str">
        <f t="shared" si="10"/>
        <v>46204M</v>
      </c>
      <c r="B64" s="51">
        <f t="shared" si="27"/>
        <v>46204</v>
      </c>
      <c r="C64" s="52" t="s">
        <v>87</v>
      </c>
      <c r="D64" s="91"/>
      <c r="E64" s="62"/>
      <c r="F64" s="62"/>
      <c r="G64" s="62">
        <f t="shared" si="11"/>
        <v>0</v>
      </c>
      <c r="H64" s="63">
        <f t="shared" si="12"/>
        <v>0</v>
      </c>
      <c r="I64" s="144"/>
      <c r="J64" s="145"/>
      <c r="K64" s="146"/>
      <c r="L64" s="147"/>
      <c r="M64" s="58"/>
      <c r="N64" s="58"/>
      <c r="O64" s="59"/>
      <c r="P64" s="56"/>
      <c r="Q64" s="60"/>
      <c r="R64" s="61">
        <f t="shared" si="13"/>
        <v>0</v>
      </c>
      <c r="S64" s="62">
        <f t="shared" si="14"/>
        <v>0</v>
      </c>
      <c r="T64" s="63">
        <f t="shared" si="15"/>
        <v>0</v>
      </c>
      <c r="U64" s="64"/>
      <c r="V64" s="65"/>
      <c r="W64" s="66"/>
      <c r="X64" s="67"/>
      <c r="Y64" s="68"/>
      <c r="Z64" s="68"/>
      <c r="AA64" s="62">
        <f t="shared" si="16"/>
        <v>0</v>
      </c>
      <c r="AB64" s="63">
        <f t="shared" si="17"/>
        <v>0</v>
      </c>
      <c r="AC64" s="69"/>
      <c r="AD64" s="70"/>
      <c r="AE64" s="70"/>
      <c r="AF64" s="62">
        <f t="shared" si="18"/>
        <v>0</v>
      </c>
      <c r="AG64" s="63">
        <f t="shared" si="19"/>
        <v>0</v>
      </c>
      <c r="AH64" s="66"/>
      <c r="AI64" s="66"/>
      <c r="AJ64" s="66"/>
      <c r="AK64" s="62">
        <f t="shared" si="20"/>
        <v>0</v>
      </c>
      <c r="AL64" s="72">
        <f t="shared" si="21"/>
        <v>0</v>
      </c>
      <c r="AM64" s="73">
        <f t="shared" si="22"/>
        <v>0</v>
      </c>
      <c r="AN64" s="74">
        <f t="shared" si="23"/>
        <v>0</v>
      </c>
      <c r="AO64" s="74">
        <f t="shared" si="24"/>
        <v>0</v>
      </c>
      <c r="AP64" s="75" t="e">
        <f t="shared" si="25"/>
        <v>#DIV/0!</v>
      </c>
      <c r="AQ64" s="76">
        <f t="shared" si="9"/>
        <v>0</v>
      </c>
      <c r="AR64" s="90">
        <f t="shared" si="26"/>
        <v>0</v>
      </c>
    </row>
    <row r="65" spans="1:44" x14ac:dyDescent="0.25">
      <c r="A65" t="str">
        <f t="shared" si="10"/>
        <v>46204E</v>
      </c>
      <c r="B65" s="51">
        <f t="shared" si="27"/>
        <v>46204</v>
      </c>
      <c r="C65" s="52" t="s">
        <v>88</v>
      </c>
      <c r="D65" s="91"/>
      <c r="E65" s="62"/>
      <c r="F65" s="62"/>
      <c r="G65" s="62">
        <f t="shared" si="11"/>
        <v>0</v>
      </c>
      <c r="H65" s="63">
        <f t="shared" si="12"/>
        <v>0</v>
      </c>
      <c r="I65" s="144"/>
      <c r="J65" s="145"/>
      <c r="K65" s="146"/>
      <c r="L65" s="147"/>
      <c r="M65" s="58"/>
      <c r="N65" s="58"/>
      <c r="O65" s="59"/>
      <c r="P65" s="56"/>
      <c r="Q65" s="60"/>
      <c r="R65" s="61">
        <f t="shared" si="13"/>
        <v>0</v>
      </c>
      <c r="S65" s="62">
        <f t="shared" si="14"/>
        <v>0</v>
      </c>
      <c r="T65" s="63">
        <f t="shared" si="15"/>
        <v>0</v>
      </c>
      <c r="U65" s="64"/>
      <c r="V65" s="65"/>
      <c r="W65" s="66"/>
      <c r="X65" s="67"/>
      <c r="Y65" s="68"/>
      <c r="Z65" s="68"/>
      <c r="AA65" s="62">
        <f t="shared" si="16"/>
        <v>0</v>
      </c>
      <c r="AB65" s="63">
        <f t="shared" si="17"/>
        <v>0</v>
      </c>
      <c r="AC65" s="69"/>
      <c r="AD65" s="70"/>
      <c r="AE65" s="70"/>
      <c r="AF65" s="62">
        <f t="shared" si="18"/>
        <v>0</v>
      </c>
      <c r="AG65" s="63">
        <f t="shared" si="19"/>
        <v>0</v>
      </c>
      <c r="AH65" s="66"/>
      <c r="AI65" s="66"/>
      <c r="AJ65" s="66"/>
      <c r="AK65" s="62">
        <f t="shared" si="20"/>
        <v>0</v>
      </c>
      <c r="AL65" s="72">
        <f t="shared" si="21"/>
        <v>0</v>
      </c>
      <c r="AM65" s="73">
        <f t="shared" si="22"/>
        <v>0</v>
      </c>
      <c r="AN65" s="74">
        <f t="shared" si="23"/>
        <v>0</v>
      </c>
      <c r="AO65" s="74">
        <f t="shared" si="24"/>
        <v>0</v>
      </c>
      <c r="AP65" s="75" t="e">
        <f t="shared" si="25"/>
        <v>#DIV/0!</v>
      </c>
      <c r="AQ65" s="76">
        <f t="shared" si="9"/>
        <v>0</v>
      </c>
      <c r="AR65" s="90">
        <f t="shared" si="26"/>
        <v>0</v>
      </c>
    </row>
    <row r="66" spans="1:44" x14ac:dyDescent="0.25">
      <c r="J66" s="83">
        <f>SUM(J4:J65)</f>
        <v>12981.811</v>
      </c>
      <c r="AM66" s="127">
        <f>-SUM(AM4:AM65)</f>
        <v>-20.811000000001286</v>
      </c>
      <c r="AN66" s="127">
        <f>-SUM(AN4:AN65)</f>
        <v>-2.9607861000000506</v>
      </c>
      <c r="AO66" s="127">
        <f>-SUM(AO4:AO65)</f>
        <v>-11.201197700000028</v>
      </c>
      <c r="AP66" s="127"/>
      <c r="AQ66" s="127">
        <f>-SUM(AQ4:AQ65)</f>
        <v>-4681.3462611556988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24" priority="2" operator="lessThan">
      <formula>0.1</formula>
    </cfRule>
    <cfRule type="cellIs" dxfId="23" priority="3" operator="greaterThan">
      <formula>0.1</formula>
    </cfRule>
  </conditionalFormatting>
  <conditionalFormatting sqref="AP1:AQ1">
    <cfRule type="cellIs" dxfId="22" priority="1" operator="lessThan">
      <formula>1</formula>
    </cfRule>
  </conditionalFormatting>
  <conditionalFormatting sqref="AQ4:AQ65">
    <cfRule type="cellIs" dxfId="21" priority="12" operator="lessThan">
      <formula>0</formula>
    </cfRule>
    <cfRule type="cellIs" dxfId="20" priority="13" operator="greaterThan">
      <formula>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2"/>
  <dimension ref="A1:AW68"/>
  <sheetViews>
    <sheetView zoomScale="80" zoomScaleNormal="80" workbookViewId="0">
      <pane xSplit="2" ySplit="3" topLeftCell="F4" activePane="bottomRight" state="frozen"/>
      <selection pane="topRight" activeCell="C1" sqref="C1"/>
      <selection pane="bottomLeft" activeCell="A4" sqref="A4"/>
      <selection pane="bottomRight" activeCell="O21" sqref="O21:Q21"/>
    </sheetView>
  </sheetViews>
  <sheetFormatPr defaultRowHeight="15" x14ac:dyDescent="0.25"/>
  <cols>
    <col min="1" max="1" width="3.42578125" customWidth="1"/>
    <col min="2" max="2" width="10.140625" bestFit="1" customWidth="1"/>
    <col min="3" max="3" width="5.7109375" bestFit="1" customWidth="1"/>
    <col min="4" max="4" width="8.14062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8.140625" bestFit="1" customWidth="1"/>
    <col min="10" max="10" width="9.28515625" bestFit="1" customWidth="1"/>
    <col min="11" max="12" width="5.85546875" bestFit="1" customWidth="1"/>
    <col min="13" max="13" width="8.7109375" customWidth="1"/>
    <col min="14" max="14" width="7.5703125" customWidth="1"/>
    <col min="15" max="15" width="7" bestFit="1" customWidth="1"/>
    <col min="16" max="17" width="5.85546875" bestFit="1" customWidth="1"/>
    <col min="18" max="18" width="8.140625" bestFit="1" customWidth="1"/>
    <col min="19" max="19" width="7.28515625" bestFit="1" customWidth="1"/>
    <col min="20" max="20" width="8.140625" bestFit="1" customWidth="1"/>
    <col min="21" max="21" width="9.140625" customWidth="1"/>
    <col min="22" max="22" width="7.85546875" customWidth="1"/>
    <col min="23" max="23" width="10.85546875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8.140625" bestFit="1" customWidth="1"/>
    <col min="29" max="29" width="8.28515625" customWidth="1"/>
    <col min="30" max="31" width="5.85546875" bestFit="1" customWidth="1"/>
    <col min="32" max="32" width="7.28515625" bestFit="1" customWidth="1"/>
    <col min="33" max="33" width="8.140625" bestFit="1" customWidth="1"/>
    <col min="34" max="34" width="9.28515625" bestFit="1" customWidth="1"/>
    <col min="35" max="36" width="5.85546875" style="77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13" bestFit="1" customWidth="1"/>
    <col min="44" max="44" width="5.5703125" bestFit="1" customWidth="1"/>
    <col min="45" max="45" width="6.5703125" bestFit="1" customWidth="1"/>
    <col min="46" max="46" width="7.140625" bestFit="1" customWidth="1"/>
    <col min="47" max="47" width="5.7109375" bestFit="1" customWidth="1"/>
    <col min="48" max="48" width="5.5703125" bestFit="1" customWidth="1"/>
    <col min="49" max="49" width="8.85546875" bestFit="1" customWidth="1"/>
  </cols>
  <sheetData>
    <row r="1" spans="1:44" ht="15.75" thickBot="1" x14ac:dyDescent="0.3">
      <c r="B1" s="43" t="s">
        <v>100</v>
      </c>
      <c r="C1" s="44"/>
      <c r="X1" t="s">
        <v>94</v>
      </c>
      <c r="AG1">
        <v>392</v>
      </c>
      <c r="AI1"/>
      <c r="AJ1"/>
      <c r="AP1" s="126">
        <f>Sumarry!$K$4</f>
        <v>448.91</v>
      </c>
      <c r="AQ1" s="126">
        <f>Sumarry!$L$4</f>
        <v>299.27333333333337</v>
      </c>
    </row>
    <row r="2" spans="1:44" x14ac:dyDescent="0.25">
      <c r="B2" s="259" t="s">
        <v>64</v>
      </c>
      <c r="C2" s="261" t="s">
        <v>65</v>
      </c>
      <c r="D2" s="263" t="s">
        <v>66</v>
      </c>
      <c r="E2" s="263"/>
      <c r="F2" s="263"/>
      <c r="G2" s="263"/>
      <c r="H2" s="264"/>
      <c r="I2" s="255" t="s">
        <v>67</v>
      </c>
      <c r="J2" s="256"/>
      <c r="K2" s="256"/>
      <c r="L2" s="257"/>
      <c r="M2" s="255" t="s">
        <v>68</v>
      </c>
      <c r="N2" s="265"/>
      <c r="O2" s="256"/>
      <c r="P2" s="256"/>
      <c r="Q2" s="257"/>
      <c r="R2" s="265" t="s">
        <v>69</v>
      </c>
      <c r="S2" s="256"/>
      <c r="T2" s="257"/>
      <c r="U2" s="252" t="s">
        <v>70</v>
      </c>
      <c r="V2" s="253"/>
      <c r="W2" s="253"/>
      <c r="X2" s="253"/>
      <c r="Y2" s="253"/>
      <c r="Z2" s="253"/>
      <c r="AA2" s="253"/>
      <c r="AB2" s="254"/>
      <c r="AC2" s="255" t="s">
        <v>71</v>
      </c>
      <c r="AD2" s="256"/>
      <c r="AE2" s="256"/>
      <c r="AF2" s="256"/>
      <c r="AG2" s="257"/>
      <c r="AH2" s="255" t="s">
        <v>72</v>
      </c>
      <c r="AI2" s="256"/>
      <c r="AJ2" s="256"/>
      <c r="AK2" s="256"/>
      <c r="AL2" s="258"/>
      <c r="AM2" s="252" t="s">
        <v>73</v>
      </c>
      <c r="AN2" s="253"/>
      <c r="AO2" s="253"/>
      <c r="AP2" s="253"/>
      <c r="AQ2" s="254"/>
    </row>
    <row r="3" spans="1:44" x14ac:dyDescent="0.25">
      <c r="B3" s="260"/>
      <c r="C3" s="26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55">
        <v>7732.6</v>
      </c>
      <c r="E4" s="54">
        <v>3.93</v>
      </c>
      <c r="F4" s="55">
        <v>8.1999999999999993</v>
      </c>
      <c r="G4" s="62">
        <f t="shared" ref="G4" si="0">+D4*E4%</f>
        <v>303.89118000000002</v>
      </c>
      <c r="H4" s="63">
        <f t="shared" ref="H4" si="1">+D4*F4%</f>
        <v>634.07319999999993</v>
      </c>
      <c r="I4" s="119">
        <v>2981.7</v>
      </c>
      <c r="J4" s="120">
        <v>3071.1509999999998</v>
      </c>
      <c r="K4" s="121">
        <v>4.036163933326625</v>
      </c>
      <c r="L4" s="122">
        <v>8.1672904718784611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3071.1509999999998</v>
      </c>
      <c r="S4" s="62">
        <f>+J4*K4%+O4*P4%</f>
        <v>123.95668899999998</v>
      </c>
      <c r="T4" s="63">
        <f>+J4*L4%+O4*Q4%</f>
        <v>250.82982300000006</v>
      </c>
      <c r="U4" s="64" t="s">
        <v>184</v>
      </c>
      <c r="V4" s="65" t="s">
        <v>198</v>
      </c>
      <c r="W4" s="66" t="s">
        <v>181</v>
      </c>
      <c r="X4" s="67">
        <v>8960</v>
      </c>
      <c r="Y4" s="68">
        <v>4.0599999999999996</v>
      </c>
      <c r="Z4" s="68">
        <v>8.09</v>
      </c>
      <c r="AA4" s="62">
        <f t="shared" ref="AA4" si="2">X4*Y4%</f>
        <v>363.77599999999995</v>
      </c>
      <c r="AB4" s="63">
        <f t="shared" ref="AB4" si="3">X4*Z4%</f>
        <v>724.86400000000003</v>
      </c>
      <c r="AC4" s="69">
        <v>9010</v>
      </c>
      <c r="AD4" s="70">
        <v>3.9570477247502773</v>
      </c>
      <c r="AE4" s="70">
        <v>7.9514095449500566</v>
      </c>
      <c r="AF4" s="62">
        <f t="shared" ref="AF4" si="4">AC4*AD4%</f>
        <v>356.53000000000003</v>
      </c>
      <c r="AG4" s="63">
        <f t="shared" ref="AG4" si="5">AC4*AE4%</f>
        <v>716.42200000000014</v>
      </c>
      <c r="AH4" s="66">
        <v>1843.7</v>
      </c>
      <c r="AI4" s="66">
        <v>3.96</v>
      </c>
      <c r="AJ4" s="66">
        <v>8.19</v>
      </c>
      <c r="AK4" s="62">
        <f t="shared" ref="AK4" si="6">AH4*AI4%</f>
        <v>73.01052</v>
      </c>
      <c r="AL4" s="72">
        <f t="shared" ref="AL4" si="7">AH4*AJ4%</f>
        <v>150.99903</v>
      </c>
      <c r="AM4" s="73">
        <f>+D4+R4-AC4-AH4</f>
        <v>-49.948999999999842</v>
      </c>
      <c r="AN4" s="74">
        <f t="shared" ref="AN4:AO4" si="8">+G4+S4-AF4-AK4</f>
        <v>-1.6926510000000263</v>
      </c>
      <c r="AO4" s="74">
        <f t="shared" si="8"/>
        <v>17.481992999999818</v>
      </c>
      <c r="AP4" s="75">
        <f>(AN4+AO4)/(S4+T4)</f>
        <v>4.2128896036684987E-2</v>
      </c>
      <c r="AQ4" s="76">
        <f t="shared" ref="AQ4" si="9">($AP$1*AN4+$AQ$1*AO4)</f>
        <v>4472.046358009934</v>
      </c>
      <c r="AR4" s="90">
        <f>(D4+J4+O4)-(X4+AH4)</f>
        <v>5.0999999999476131E-2</v>
      </c>
    </row>
    <row r="5" spans="1:44" x14ac:dyDescent="0.25">
      <c r="A5" t="str">
        <f t="shared" ref="A5:A65" si="10">CONCATENATE(B5,C5)</f>
        <v>46174E</v>
      </c>
      <c r="B5" s="51">
        <f>+B4</f>
        <v>46174</v>
      </c>
      <c r="C5" s="52" t="s">
        <v>88</v>
      </c>
      <c r="D5" s="79">
        <v>1843.7</v>
      </c>
      <c r="E5" s="62">
        <v>3.96</v>
      </c>
      <c r="F5" s="62">
        <v>8.19</v>
      </c>
      <c r="G5" s="62">
        <f t="shared" ref="G5:G45" si="11">+D5*E5%</f>
        <v>73.01052</v>
      </c>
      <c r="H5" s="63">
        <f t="shared" ref="H5:H45" si="12">+D5*F5%</f>
        <v>150.99903</v>
      </c>
      <c r="I5" s="119">
        <v>5283.4</v>
      </c>
      <c r="J5" s="120">
        <v>5441.902</v>
      </c>
      <c r="K5" s="121">
        <v>3.8900688950297155</v>
      </c>
      <c r="L5" s="122">
        <v>8.0702369686186923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36" si="13">+J5+O5</f>
        <v>5441.902</v>
      </c>
      <c r="S5" s="62">
        <f t="shared" ref="S5:S36" si="14">+J5*K5%+O5*P5%</f>
        <v>211.693737</v>
      </c>
      <c r="T5" s="63">
        <f t="shared" ref="T5:T36" si="15">+J5*L5%+O5*Q5%</f>
        <v>439.17438699999997</v>
      </c>
      <c r="U5" s="64" t="s">
        <v>179</v>
      </c>
      <c r="V5" s="65" t="s">
        <v>199</v>
      </c>
      <c r="W5" s="66" t="s">
        <v>136</v>
      </c>
      <c r="X5" s="67">
        <v>3000</v>
      </c>
      <c r="Y5" s="68">
        <v>4.1500000000000004</v>
      </c>
      <c r="Z5" s="68">
        <v>8.11</v>
      </c>
      <c r="AA5" s="62">
        <f t="shared" ref="AA5:AA13" si="16">X5*Y5%</f>
        <v>124.5</v>
      </c>
      <c r="AB5" s="63">
        <f t="shared" ref="AB5:AB13" si="17">X5*Z5%</f>
        <v>243.29999999999998</v>
      </c>
      <c r="AC5" s="69">
        <v>3030</v>
      </c>
      <c r="AD5" s="70">
        <v>4.0999999999999996</v>
      </c>
      <c r="AE5" s="70">
        <v>8.1</v>
      </c>
      <c r="AF5" s="62">
        <f t="shared" ref="AF5:AF65" si="18">AC5*AD5%</f>
        <v>124.22999999999999</v>
      </c>
      <c r="AG5" s="63">
        <f t="shared" ref="AG5:AG65" si="19">AC5*AE5%</f>
        <v>245.43</v>
      </c>
      <c r="AH5" s="66">
        <v>4285.6000000000004</v>
      </c>
      <c r="AI5" s="66">
        <v>3.9</v>
      </c>
      <c r="AJ5" s="66">
        <v>8.1</v>
      </c>
      <c r="AK5" s="62">
        <f t="shared" ref="AK5:AK65" si="20">AH5*AI5%</f>
        <v>167.13840000000002</v>
      </c>
      <c r="AL5" s="72">
        <f t="shared" ref="AL5:AL65" si="21">AH5*AJ5%</f>
        <v>347.13360000000006</v>
      </c>
      <c r="AM5" s="73">
        <f t="shared" ref="AM5:AM65" si="22">+D5+R5-AC5-AH5</f>
        <v>-29.998000000000502</v>
      </c>
      <c r="AN5" s="74">
        <f t="shared" ref="AN5:AN65" si="23">+G5+S5-AF5-AK5</f>
        <v>-6.6641430000000241</v>
      </c>
      <c r="AO5" s="74">
        <f t="shared" ref="AO5:AO65" si="24">+H5+T5-AG5-AL5</f>
        <v>-2.3901830000000928</v>
      </c>
      <c r="AP5" s="75">
        <f t="shared" ref="AP5:AP65" si="25">(AN5+AO5)/(S5+T5)</f>
        <v>-1.3911152914288544E-2</v>
      </c>
      <c r="AQ5" s="76">
        <f t="shared" ref="AQ5:AQ65" si="26">($AP$1*AN5+$AQ$1*AO5)</f>
        <v>-3706.9184678167053</v>
      </c>
      <c r="AR5" s="90">
        <f t="shared" ref="AR5:AR35" si="27">(D5+J5+O5)-(X5+AH5)</f>
        <v>1.9999999994979589E-3</v>
      </c>
    </row>
    <row r="6" spans="1:44" x14ac:dyDescent="0.25">
      <c r="A6" t="str">
        <f t="shared" si="10"/>
        <v>46175M</v>
      </c>
      <c r="B6" s="51">
        <f>+B4+1</f>
        <v>46175</v>
      </c>
      <c r="C6" s="52" t="s">
        <v>87</v>
      </c>
      <c r="D6" s="79">
        <v>4285.6000000000004</v>
      </c>
      <c r="E6" s="62">
        <v>3.9</v>
      </c>
      <c r="F6" s="62">
        <v>8.1</v>
      </c>
      <c r="G6" s="62">
        <f t="shared" si="11"/>
        <v>167.13840000000002</v>
      </c>
      <c r="H6" s="63">
        <f t="shared" si="12"/>
        <v>347.13360000000006</v>
      </c>
      <c r="I6" s="119">
        <v>3622.099999999999</v>
      </c>
      <c r="J6" s="120">
        <v>3730.762999999999</v>
      </c>
      <c r="K6" s="121">
        <v>4.0850059357831103</v>
      </c>
      <c r="L6" s="122">
        <v>8.0718975180144135</v>
      </c>
      <c r="M6" s="58">
        <v>0</v>
      </c>
      <c r="N6" s="58" t="s">
        <v>167</v>
      </c>
      <c r="O6" s="59">
        <v>0</v>
      </c>
      <c r="P6" s="56">
        <v>0</v>
      </c>
      <c r="Q6" s="60">
        <v>0</v>
      </c>
      <c r="R6" s="61">
        <f t="shared" si="13"/>
        <v>3730.762999999999</v>
      </c>
      <c r="S6" s="62">
        <f t="shared" si="14"/>
        <v>152.40189000000001</v>
      </c>
      <c r="T6" s="63">
        <f t="shared" si="15"/>
        <v>301.14336600000001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f t="shared" si="16"/>
        <v>0</v>
      </c>
      <c r="AB6" s="63">
        <f t="shared" si="17"/>
        <v>0</v>
      </c>
      <c r="AC6" s="69"/>
      <c r="AD6" s="70"/>
      <c r="AE6" s="70"/>
      <c r="AF6" s="62">
        <f t="shared" si="18"/>
        <v>0</v>
      </c>
      <c r="AG6" s="63">
        <f t="shared" si="19"/>
        <v>0</v>
      </c>
      <c r="AH6" s="66">
        <v>8016.3</v>
      </c>
      <c r="AI6" s="66">
        <v>3.98</v>
      </c>
      <c r="AJ6" s="66">
        <v>8.08</v>
      </c>
      <c r="AK6" s="62">
        <f t="shared" si="20"/>
        <v>319.04874000000001</v>
      </c>
      <c r="AL6" s="72">
        <f t="shared" si="21"/>
        <v>647.71704</v>
      </c>
      <c r="AM6" s="73">
        <f t="shared" si="22"/>
        <v>6.2999999999192369E-2</v>
      </c>
      <c r="AN6" s="74">
        <f t="shared" si="23"/>
        <v>0.49155000000001792</v>
      </c>
      <c r="AO6" s="74">
        <f t="shared" si="24"/>
        <v>0.55992600000013226</v>
      </c>
      <c r="AP6" s="75">
        <f t="shared" si="25"/>
        <v>2.3183485795299557E-3</v>
      </c>
      <c r="AQ6" s="76">
        <f t="shared" si="26"/>
        <v>388.23263094004767</v>
      </c>
      <c r="AR6" s="90">
        <f t="shared" si="27"/>
        <v>6.2999999999192369E-2</v>
      </c>
    </row>
    <row r="7" spans="1:44" x14ac:dyDescent="0.25">
      <c r="A7" t="str">
        <f t="shared" si="10"/>
        <v>46175E</v>
      </c>
      <c r="B7" s="51">
        <f>+B5+1</f>
        <v>46175</v>
      </c>
      <c r="C7" s="52" t="s">
        <v>88</v>
      </c>
      <c r="D7" s="79">
        <v>8016.3</v>
      </c>
      <c r="E7" s="62">
        <v>3.98</v>
      </c>
      <c r="F7" s="62">
        <v>8.08</v>
      </c>
      <c r="G7" s="62">
        <f t="shared" si="11"/>
        <v>319.04874000000001</v>
      </c>
      <c r="H7" s="63">
        <f t="shared" si="12"/>
        <v>647.71704</v>
      </c>
      <c r="I7" s="119">
        <v>8367.2999999999993</v>
      </c>
      <c r="J7" s="120">
        <v>8618.3189999999995</v>
      </c>
      <c r="K7" s="121">
        <v>3.6974555710922279</v>
      </c>
      <c r="L7" s="122">
        <v>7.9843856441145871</v>
      </c>
      <c r="M7" s="58" t="s">
        <v>195</v>
      </c>
      <c r="N7" s="58" t="s">
        <v>196</v>
      </c>
      <c r="O7" s="59">
        <v>2455</v>
      </c>
      <c r="P7" s="56">
        <v>3.8</v>
      </c>
      <c r="Q7" s="60">
        <v>7.93</v>
      </c>
      <c r="R7" s="61">
        <f t="shared" si="13"/>
        <v>11073.319</v>
      </c>
      <c r="S7" s="62">
        <f t="shared" si="14"/>
        <v>411.94851599999993</v>
      </c>
      <c r="T7" s="63">
        <f t="shared" si="15"/>
        <v>882.80132499999991</v>
      </c>
      <c r="U7" s="64" t="s">
        <v>200</v>
      </c>
      <c r="V7" s="65" t="s">
        <v>201</v>
      </c>
      <c r="W7" s="66" t="s">
        <v>181</v>
      </c>
      <c r="X7" s="67">
        <v>15240</v>
      </c>
      <c r="Y7" s="68">
        <v>3.96</v>
      </c>
      <c r="Z7" s="68">
        <v>7.99</v>
      </c>
      <c r="AA7" s="62">
        <f t="shared" si="16"/>
        <v>603.50399999999991</v>
      </c>
      <c r="AB7" s="63">
        <f t="shared" si="17"/>
        <v>1217.6759999999999</v>
      </c>
      <c r="AC7" s="69">
        <v>15300</v>
      </c>
      <c r="AD7" s="70">
        <v>3.8593137254901961</v>
      </c>
      <c r="AE7" s="70">
        <v>7.9720980392156866</v>
      </c>
      <c r="AF7" s="62">
        <f t="shared" si="18"/>
        <v>590.47500000000002</v>
      </c>
      <c r="AG7" s="63">
        <f t="shared" si="19"/>
        <v>1219.731</v>
      </c>
      <c r="AH7" s="66">
        <v>3849.6</v>
      </c>
      <c r="AI7" s="66">
        <v>3.83</v>
      </c>
      <c r="AJ7" s="66">
        <v>8.01</v>
      </c>
      <c r="AK7" s="62">
        <f t="shared" si="20"/>
        <v>147.43968000000001</v>
      </c>
      <c r="AL7" s="72">
        <f t="shared" si="21"/>
        <v>308.35296</v>
      </c>
      <c r="AM7" s="73">
        <f t="shared" si="22"/>
        <v>-59.981000000001131</v>
      </c>
      <c r="AN7" s="74">
        <f t="shared" si="23"/>
        <v>-6.9174240000001532</v>
      </c>
      <c r="AO7" s="74">
        <f t="shared" si="24"/>
        <v>2.4344049999999129</v>
      </c>
      <c r="AP7" s="75">
        <f t="shared" si="25"/>
        <v>-3.4624595872031786E-3</v>
      </c>
      <c r="AQ7" s="76">
        <f t="shared" si="26"/>
        <v>-2376.7483088067615</v>
      </c>
      <c r="AR7" s="90">
        <f>(D7+J7+O7)-(X7+AH7)</f>
        <v>1.9000000000232831E-2</v>
      </c>
    </row>
    <row r="8" spans="1:44" x14ac:dyDescent="0.25">
      <c r="A8" t="str">
        <f t="shared" si="10"/>
        <v>46176M</v>
      </c>
      <c r="B8" s="51">
        <f>+B6+1</f>
        <v>46176</v>
      </c>
      <c r="C8" s="52" t="s">
        <v>87</v>
      </c>
      <c r="D8" s="79">
        <v>3849.6</v>
      </c>
      <c r="E8" s="62">
        <v>3.83</v>
      </c>
      <c r="F8" s="62">
        <v>8.01</v>
      </c>
      <c r="G8" s="62">
        <f t="shared" si="11"/>
        <v>147.43968000000001</v>
      </c>
      <c r="H8" s="63">
        <f t="shared" si="12"/>
        <v>308.35296</v>
      </c>
      <c r="I8" s="119">
        <v>3171.6000000000004</v>
      </c>
      <c r="J8" s="120">
        <v>3266.7480000000005</v>
      </c>
      <c r="K8" s="121">
        <v>4.0623218564762267</v>
      </c>
      <c r="L8" s="122">
        <v>8.0941701349476638</v>
      </c>
      <c r="M8" s="58">
        <v>0</v>
      </c>
      <c r="N8" s="58" t="s">
        <v>167</v>
      </c>
      <c r="O8" s="59">
        <v>0</v>
      </c>
      <c r="P8" s="56">
        <v>0</v>
      </c>
      <c r="Q8" s="60">
        <v>0</v>
      </c>
      <c r="R8" s="61">
        <f t="shared" si="13"/>
        <v>3266.7480000000005</v>
      </c>
      <c r="S8" s="62">
        <f t="shared" si="14"/>
        <v>132.70581800000002</v>
      </c>
      <c r="T8" s="63">
        <f t="shared" si="15"/>
        <v>264.41614100000015</v>
      </c>
      <c r="U8" s="64" t="s">
        <v>179</v>
      </c>
      <c r="V8" s="65" t="s">
        <v>202</v>
      </c>
      <c r="W8" s="66" t="s">
        <v>181</v>
      </c>
      <c r="X8" s="67">
        <v>3000</v>
      </c>
      <c r="Y8" s="68">
        <v>3.8</v>
      </c>
      <c r="Z8" s="68">
        <v>8.17</v>
      </c>
      <c r="AA8" s="62">
        <f t="shared" si="16"/>
        <v>114</v>
      </c>
      <c r="AB8" s="63">
        <f t="shared" si="17"/>
        <v>245.1</v>
      </c>
      <c r="AC8" s="69">
        <v>3000</v>
      </c>
      <c r="AD8" s="70">
        <v>3.7</v>
      </c>
      <c r="AE8" s="70">
        <v>8.15</v>
      </c>
      <c r="AF8" s="62">
        <f t="shared" si="18"/>
        <v>111.00000000000001</v>
      </c>
      <c r="AG8" s="63">
        <f t="shared" si="19"/>
        <v>244.5</v>
      </c>
      <c r="AH8" s="66">
        <v>4116.3</v>
      </c>
      <c r="AI8" s="66">
        <v>3.93</v>
      </c>
      <c r="AJ8" s="66">
        <v>8.0399999999999991</v>
      </c>
      <c r="AK8" s="62">
        <f t="shared" si="20"/>
        <v>161.77059000000003</v>
      </c>
      <c r="AL8" s="72">
        <f t="shared" si="21"/>
        <v>330.95051999999993</v>
      </c>
      <c r="AM8" s="73">
        <f t="shared" si="22"/>
        <v>4.7999999999774445E-2</v>
      </c>
      <c r="AN8" s="74">
        <f t="shared" si="23"/>
        <v>7.3749080000000049</v>
      </c>
      <c r="AO8" s="74">
        <f t="shared" si="24"/>
        <v>-2.6814189999998348</v>
      </c>
      <c r="AP8" s="75">
        <f t="shared" si="25"/>
        <v>1.1818759687373944E-2</v>
      </c>
      <c r="AQ8" s="76">
        <f t="shared" si="26"/>
        <v>2508.1927480867184</v>
      </c>
      <c r="AR8" s="90">
        <f t="shared" si="27"/>
        <v>4.7999999999774445E-2</v>
      </c>
    </row>
    <row r="9" spans="1:44" x14ac:dyDescent="0.25">
      <c r="A9" t="str">
        <f t="shared" si="10"/>
        <v>46176E</v>
      </c>
      <c r="B9" s="51">
        <f t="shared" ref="B9:B65" si="28">+B7+1</f>
        <v>46176</v>
      </c>
      <c r="C9" s="52" t="s">
        <v>88</v>
      </c>
      <c r="D9" s="79">
        <v>4116.3</v>
      </c>
      <c r="E9" s="62">
        <v>3.93</v>
      </c>
      <c r="F9" s="62">
        <v>8.0399999999999991</v>
      </c>
      <c r="G9" s="62">
        <f t="shared" si="11"/>
        <v>161.77059000000003</v>
      </c>
      <c r="H9" s="63">
        <f t="shared" si="12"/>
        <v>330.95051999999993</v>
      </c>
      <c r="I9" s="119">
        <v>5749.0999999999995</v>
      </c>
      <c r="J9" s="120">
        <v>5921.5729999999994</v>
      </c>
      <c r="K9" s="121">
        <v>3.8855212120157931</v>
      </c>
      <c r="L9" s="122">
        <v>8.0155641752622131</v>
      </c>
      <c r="M9" s="58">
        <v>0</v>
      </c>
      <c r="N9" s="58" t="s">
        <v>167</v>
      </c>
      <c r="O9" s="59">
        <v>0</v>
      </c>
      <c r="P9" s="56">
        <v>0</v>
      </c>
      <c r="Q9" s="60">
        <v>0</v>
      </c>
      <c r="R9" s="61">
        <f t="shared" si="13"/>
        <v>5921.5729999999994</v>
      </c>
      <c r="S9" s="62">
        <f t="shared" si="14"/>
        <v>230.08397499999995</v>
      </c>
      <c r="T9" s="63">
        <f t="shared" si="15"/>
        <v>474.64748399999985</v>
      </c>
      <c r="U9" s="64" t="s">
        <v>184</v>
      </c>
      <c r="V9" s="65" t="s">
        <v>203</v>
      </c>
      <c r="W9" s="66" t="s">
        <v>136</v>
      </c>
      <c r="X9" s="67">
        <v>5130</v>
      </c>
      <c r="Y9" s="68">
        <v>4.2</v>
      </c>
      <c r="Z9" s="68">
        <v>8.1199999999999992</v>
      </c>
      <c r="AA9" s="62">
        <f t="shared" si="16"/>
        <v>215.46</v>
      </c>
      <c r="AB9" s="63">
        <f t="shared" si="17"/>
        <v>416.55599999999998</v>
      </c>
      <c r="AC9" s="69">
        <v>5130</v>
      </c>
      <c r="AD9" s="70">
        <v>4.1500000000000004</v>
      </c>
      <c r="AE9" s="70">
        <v>8.11</v>
      </c>
      <c r="AF9" s="62">
        <f t="shared" si="18"/>
        <v>212.89500000000001</v>
      </c>
      <c r="AG9" s="63">
        <f t="shared" si="19"/>
        <v>416.04299999999995</v>
      </c>
      <c r="AH9" s="66">
        <v>4907.8</v>
      </c>
      <c r="AI9" s="66">
        <v>3.9</v>
      </c>
      <c r="AJ9" s="66">
        <v>8.0299999999999994</v>
      </c>
      <c r="AK9" s="62">
        <f t="shared" si="20"/>
        <v>191.4042</v>
      </c>
      <c r="AL9" s="72">
        <f t="shared" si="21"/>
        <v>394.09634</v>
      </c>
      <c r="AM9" s="73">
        <f t="shared" si="22"/>
        <v>7.2999999999410647E-2</v>
      </c>
      <c r="AN9" s="74">
        <f t="shared" si="23"/>
        <v>-12.444635000000034</v>
      </c>
      <c r="AO9" s="74">
        <f t="shared" si="24"/>
        <v>-4.5413360000002285</v>
      </c>
      <c r="AP9" s="75">
        <f t="shared" si="25"/>
        <v>-2.410275684883292E-2</v>
      </c>
      <c r="AQ9" s="76">
        <f t="shared" si="26"/>
        <v>-6945.6218603567504</v>
      </c>
      <c r="AR9" s="90">
        <f t="shared" si="27"/>
        <v>7.3000000000320142E-2</v>
      </c>
    </row>
    <row r="10" spans="1:44" x14ac:dyDescent="0.25">
      <c r="A10" t="str">
        <f t="shared" si="10"/>
        <v>46177M</v>
      </c>
      <c r="B10" s="51">
        <f t="shared" si="28"/>
        <v>46177</v>
      </c>
      <c r="C10" s="52" t="s">
        <v>87</v>
      </c>
      <c r="D10" s="79">
        <v>4907.8</v>
      </c>
      <c r="E10" s="62">
        <v>3.9</v>
      </c>
      <c r="F10" s="62">
        <v>8.0299999999999994</v>
      </c>
      <c r="G10" s="62">
        <f t="shared" si="11"/>
        <v>191.4042</v>
      </c>
      <c r="H10" s="63">
        <f t="shared" si="12"/>
        <v>394.09634</v>
      </c>
      <c r="I10" s="119">
        <v>3444.4999999999995</v>
      </c>
      <c r="J10" s="120">
        <v>3547.8349999999996</v>
      </c>
      <c r="K10" s="121">
        <v>4.0449673392364636</v>
      </c>
      <c r="L10" s="122">
        <v>8.03600812890115</v>
      </c>
      <c r="M10" s="58">
        <v>0</v>
      </c>
      <c r="N10" s="58" t="s">
        <v>167</v>
      </c>
      <c r="O10" s="59">
        <v>0</v>
      </c>
      <c r="P10" s="56">
        <v>0</v>
      </c>
      <c r="Q10" s="60">
        <v>0</v>
      </c>
      <c r="R10" s="61">
        <f t="shared" si="13"/>
        <v>3547.8349999999996</v>
      </c>
      <c r="S10" s="62">
        <f t="shared" si="14"/>
        <v>143.50876699999995</v>
      </c>
      <c r="T10" s="63">
        <f t="shared" si="15"/>
        <v>285.10430900000006</v>
      </c>
      <c r="U10" s="64" t="s">
        <v>187</v>
      </c>
      <c r="V10" s="65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f t="shared" si="16"/>
        <v>0</v>
      </c>
      <c r="AB10" s="63">
        <f t="shared" si="17"/>
        <v>0</v>
      </c>
      <c r="AC10" s="69"/>
      <c r="AD10" s="70"/>
      <c r="AE10" s="70"/>
      <c r="AF10" s="62">
        <f t="shared" si="18"/>
        <v>0</v>
      </c>
      <c r="AG10" s="63">
        <f t="shared" si="19"/>
        <v>0</v>
      </c>
      <c r="AH10" s="66">
        <v>8455.6</v>
      </c>
      <c r="AI10" s="66">
        <v>3.95</v>
      </c>
      <c r="AJ10" s="66">
        <v>8.0299999999999994</v>
      </c>
      <c r="AK10" s="62">
        <f t="shared" si="20"/>
        <v>333.99620000000004</v>
      </c>
      <c r="AL10" s="72">
        <f t="shared" si="21"/>
        <v>678.98468000000003</v>
      </c>
      <c r="AM10" s="73">
        <f t="shared" si="22"/>
        <v>3.4999999999854481E-2</v>
      </c>
      <c r="AN10" s="74">
        <f t="shared" si="23"/>
        <v>0.91676699999993616</v>
      </c>
      <c r="AO10" s="74">
        <f t="shared" si="24"/>
        <v>0.21596900000008645</v>
      </c>
      <c r="AP10" s="75">
        <f t="shared" si="25"/>
        <v>2.6427938470081178E-3</v>
      </c>
      <c r="AQ10" s="76">
        <f t="shared" si="26"/>
        <v>476.17963649666387</v>
      </c>
      <c r="AR10" s="90">
        <f t="shared" si="27"/>
        <v>3.4999999999854481E-2</v>
      </c>
    </row>
    <row r="11" spans="1:44" x14ac:dyDescent="0.25">
      <c r="A11" t="str">
        <f t="shared" si="10"/>
        <v>46177E</v>
      </c>
      <c r="B11" s="51">
        <f t="shared" si="28"/>
        <v>46177</v>
      </c>
      <c r="C11" s="52" t="s">
        <v>88</v>
      </c>
      <c r="D11" s="79">
        <v>8455.6</v>
      </c>
      <c r="E11" s="62">
        <v>3.95</v>
      </c>
      <c r="F11" s="62">
        <v>8.0299999999999994</v>
      </c>
      <c r="G11" s="62">
        <f t="shared" si="11"/>
        <v>333.99620000000004</v>
      </c>
      <c r="H11" s="63">
        <f t="shared" si="12"/>
        <v>678.98468000000003</v>
      </c>
      <c r="I11" s="119">
        <v>7220.1000000000013</v>
      </c>
      <c r="J11" s="120">
        <v>7436.7030000000013</v>
      </c>
      <c r="K11" s="121">
        <v>3.7273278763452025</v>
      </c>
      <c r="L11" s="122">
        <v>8.0050511765764991</v>
      </c>
      <c r="M11" s="58" t="s">
        <v>195</v>
      </c>
      <c r="N11" s="58" t="s">
        <v>197</v>
      </c>
      <c r="O11" s="59">
        <v>3353</v>
      </c>
      <c r="P11" s="56">
        <v>3.9</v>
      </c>
      <c r="Q11" s="60">
        <v>8</v>
      </c>
      <c r="R11" s="61">
        <f t="shared" si="13"/>
        <v>10789.703000000001</v>
      </c>
      <c r="S11" s="62">
        <f t="shared" si="14"/>
        <v>407.95730400000002</v>
      </c>
      <c r="T11" s="63">
        <f t="shared" si="15"/>
        <v>863.55188099999998</v>
      </c>
      <c r="U11" s="64" t="s">
        <v>179</v>
      </c>
      <c r="V11" s="65" t="s">
        <v>204</v>
      </c>
      <c r="W11" s="66" t="s">
        <v>181</v>
      </c>
      <c r="X11" s="67">
        <v>9250</v>
      </c>
      <c r="Y11" s="68">
        <v>4.04</v>
      </c>
      <c r="Z11" s="68">
        <v>8.09</v>
      </c>
      <c r="AA11" s="62">
        <f t="shared" si="16"/>
        <v>373.7</v>
      </c>
      <c r="AB11" s="63">
        <f t="shared" si="17"/>
        <v>748.32500000000005</v>
      </c>
      <c r="AC11" s="69">
        <v>9250</v>
      </c>
      <c r="AD11" s="70">
        <v>3.9674594594594597</v>
      </c>
      <c r="AE11" s="70">
        <v>8.0734918918918925</v>
      </c>
      <c r="AF11" s="62">
        <f t="shared" si="18"/>
        <v>366.99</v>
      </c>
      <c r="AG11" s="63">
        <f t="shared" si="19"/>
        <v>746.79800000000012</v>
      </c>
      <c r="AH11" s="66">
        <v>9900</v>
      </c>
      <c r="AI11" s="66">
        <v>3.6</v>
      </c>
      <c r="AJ11" s="66">
        <v>8.07</v>
      </c>
      <c r="AK11" s="62">
        <f t="shared" si="20"/>
        <v>356.40000000000003</v>
      </c>
      <c r="AL11" s="72">
        <f t="shared" si="21"/>
        <v>798.93000000000006</v>
      </c>
      <c r="AM11" s="73">
        <f t="shared" si="22"/>
        <v>95.302999999999884</v>
      </c>
      <c r="AN11" s="74">
        <f t="shared" si="23"/>
        <v>18.563504000000023</v>
      </c>
      <c r="AO11" s="74">
        <f t="shared" si="24"/>
        <v>-3.1914390000002868</v>
      </c>
      <c r="AP11" s="75">
        <f t="shared" si="25"/>
        <v>1.2089621672689481E-2</v>
      </c>
      <c r="AQ11" s="76">
        <f t="shared" si="26"/>
        <v>7378.2299929799237</v>
      </c>
      <c r="AR11" s="90">
        <f t="shared" si="27"/>
        <v>95.302999999999884</v>
      </c>
    </row>
    <row r="12" spans="1:44" x14ac:dyDescent="0.25">
      <c r="A12" t="str">
        <f t="shared" si="10"/>
        <v>46178M</v>
      </c>
      <c r="B12" s="51">
        <f t="shared" si="28"/>
        <v>46178</v>
      </c>
      <c r="C12" s="52" t="s">
        <v>87</v>
      </c>
      <c r="D12" s="79">
        <v>9900</v>
      </c>
      <c r="E12" s="62">
        <v>3.6</v>
      </c>
      <c r="F12" s="62">
        <v>8.07</v>
      </c>
      <c r="G12" s="62">
        <f t="shared" si="11"/>
        <v>356.40000000000003</v>
      </c>
      <c r="H12" s="63">
        <f t="shared" si="12"/>
        <v>798.93000000000006</v>
      </c>
      <c r="I12" s="119">
        <v>4091</v>
      </c>
      <c r="J12" s="120">
        <v>4213.7300000000005</v>
      </c>
      <c r="K12" s="121">
        <v>4</v>
      </c>
      <c r="L12" s="122">
        <v>8.08</v>
      </c>
      <c r="M12" s="58">
        <v>0</v>
      </c>
      <c r="N12" s="58" t="s">
        <v>167</v>
      </c>
      <c r="O12" s="59">
        <v>0</v>
      </c>
      <c r="P12" s="56">
        <v>0</v>
      </c>
      <c r="Q12" s="60">
        <v>0</v>
      </c>
      <c r="R12" s="61">
        <f t="shared" si="13"/>
        <v>4213.7300000000005</v>
      </c>
      <c r="S12" s="62">
        <f t="shared" si="14"/>
        <v>168.54920000000001</v>
      </c>
      <c r="T12" s="63">
        <f t="shared" si="15"/>
        <v>340.46938400000005</v>
      </c>
      <c r="U12" s="64" t="s">
        <v>316</v>
      </c>
      <c r="V12" s="65" t="s">
        <v>382</v>
      </c>
      <c r="W12" s="66" t="s">
        <v>181</v>
      </c>
      <c r="X12" s="67">
        <v>6280</v>
      </c>
      <c r="Y12" s="68">
        <v>3.87</v>
      </c>
      <c r="Z12" s="68">
        <v>8.0500000000000007</v>
      </c>
      <c r="AA12" s="62">
        <f t="shared" si="16"/>
        <v>243.036</v>
      </c>
      <c r="AB12" s="63">
        <f t="shared" si="17"/>
        <v>505.54</v>
      </c>
      <c r="AC12" s="69">
        <v>6330</v>
      </c>
      <c r="AD12" s="70">
        <v>3.8168246445497629</v>
      </c>
      <c r="AE12" s="70">
        <v>8.043364928909952</v>
      </c>
      <c r="AF12" s="62">
        <f t="shared" si="18"/>
        <v>241.60499999999999</v>
      </c>
      <c r="AG12" s="63">
        <f t="shared" si="19"/>
        <v>509.14499999999992</v>
      </c>
      <c r="AH12" s="66">
        <v>7833.7</v>
      </c>
      <c r="AI12" s="66">
        <v>3.71</v>
      </c>
      <c r="AJ12" s="66">
        <v>8.07</v>
      </c>
      <c r="AK12" s="62">
        <f t="shared" si="20"/>
        <v>290.63027</v>
      </c>
      <c r="AL12" s="72">
        <f t="shared" si="21"/>
        <v>632.17959000000008</v>
      </c>
      <c r="AM12" s="73">
        <f t="shared" si="22"/>
        <v>-49.970000000000255</v>
      </c>
      <c r="AN12" s="74">
        <f t="shared" si="23"/>
        <v>-7.2860699999999952</v>
      </c>
      <c r="AO12" s="74">
        <f t="shared" si="24"/>
        <v>-1.9252060000000029</v>
      </c>
      <c r="AP12" s="75">
        <f t="shared" si="25"/>
        <v>-1.8096148725288971E-2</v>
      </c>
      <c r="AQ12" s="76">
        <f t="shared" si="26"/>
        <v>-3846.952500673332</v>
      </c>
      <c r="AR12" s="90">
        <f t="shared" si="27"/>
        <v>2.9999999998835847E-2</v>
      </c>
    </row>
    <row r="13" spans="1:44" x14ac:dyDescent="0.25">
      <c r="A13" t="str">
        <f t="shared" si="10"/>
        <v>46178E</v>
      </c>
      <c r="B13" s="51">
        <f t="shared" si="28"/>
        <v>46178</v>
      </c>
      <c r="C13" s="52" t="s">
        <v>88</v>
      </c>
      <c r="D13" s="79">
        <v>7833.7</v>
      </c>
      <c r="E13" s="62">
        <v>3.71</v>
      </c>
      <c r="F13" s="62">
        <v>8.07</v>
      </c>
      <c r="G13" s="62">
        <f t="shared" si="11"/>
        <v>290.63027</v>
      </c>
      <c r="H13" s="63">
        <f t="shared" si="12"/>
        <v>632.17959000000008</v>
      </c>
      <c r="I13" s="119">
        <v>6019.5</v>
      </c>
      <c r="J13" s="120">
        <v>6200.085</v>
      </c>
      <c r="K13" s="121">
        <v>3.98</v>
      </c>
      <c r="L13" s="122">
        <v>8.0399999999999991</v>
      </c>
      <c r="M13" s="58">
        <v>0</v>
      </c>
      <c r="N13" s="58" t="s">
        <v>167</v>
      </c>
      <c r="O13" s="59">
        <v>0</v>
      </c>
      <c r="P13" s="56">
        <v>0</v>
      </c>
      <c r="Q13" s="60">
        <v>0</v>
      </c>
      <c r="R13" s="61">
        <f t="shared" si="13"/>
        <v>6200.085</v>
      </c>
      <c r="S13" s="62">
        <f t="shared" si="14"/>
        <v>246.763383</v>
      </c>
      <c r="T13" s="63">
        <f t="shared" si="15"/>
        <v>498.48683399999993</v>
      </c>
      <c r="U13" s="64" t="s">
        <v>179</v>
      </c>
      <c r="V13" s="65" t="s">
        <v>383</v>
      </c>
      <c r="W13" s="66" t="s">
        <v>181</v>
      </c>
      <c r="X13" s="67">
        <v>8000</v>
      </c>
      <c r="Y13" s="68">
        <v>4.09</v>
      </c>
      <c r="Z13" s="68">
        <v>8.01</v>
      </c>
      <c r="AA13" s="62">
        <f t="shared" si="16"/>
        <v>327.2</v>
      </c>
      <c r="AB13" s="63">
        <f t="shared" si="17"/>
        <v>640.80000000000007</v>
      </c>
      <c r="AC13" s="69">
        <v>7960</v>
      </c>
      <c r="AD13" s="70">
        <v>3.9934673366834175</v>
      </c>
      <c r="AE13" s="70">
        <v>7.984472361809047</v>
      </c>
      <c r="AF13" s="62">
        <f t="shared" si="18"/>
        <v>317.88000000000005</v>
      </c>
      <c r="AG13" s="63">
        <f t="shared" si="19"/>
        <v>635.56400000000019</v>
      </c>
      <c r="AH13" s="66">
        <v>6033.7</v>
      </c>
      <c r="AI13" s="66">
        <v>3.82</v>
      </c>
      <c r="AJ13" s="66">
        <v>8.0500000000000007</v>
      </c>
      <c r="AK13" s="62">
        <f t="shared" si="20"/>
        <v>230.48733999999999</v>
      </c>
      <c r="AL13" s="72">
        <f t="shared" si="21"/>
        <v>485.71285</v>
      </c>
      <c r="AM13" s="73">
        <f t="shared" si="22"/>
        <v>40.085000000000036</v>
      </c>
      <c r="AN13" s="74">
        <f t="shared" si="23"/>
        <v>-10.973687000000069</v>
      </c>
      <c r="AO13" s="74">
        <f t="shared" si="24"/>
        <v>9.3895739999998113</v>
      </c>
      <c r="AP13" s="75">
        <f t="shared" si="25"/>
        <v>-2.1256122626533338E-3</v>
      </c>
      <c r="AQ13" s="76">
        <f t="shared" si="26"/>
        <v>-2116.1487216100873</v>
      </c>
      <c r="AR13" s="90">
        <f t="shared" si="27"/>
        <v>8.4999999999126885E-2</v>
      </c>
    </row>
    <row r="14" spans="1:44" x14ac:dyDescent="0.25">
      <c r="A14" t="str">
        <f t="shared" si="10"/>
        <v>46179M</v>
      </c>
      <c r="B14" s="51">
        <f t="shared" si="28"/>
        <v>46179</v>
      </c>
      <c r="C14" s="52" t="s">
        <v>87</v>
      </c>
      <c r="D14" s="79">
        <v>6033.7</v>
      </c>
      <c r="E14" s="62">
        <v>3.82</v>
      </c>
      <c r="F14" s="62">
        <v>8.0500000000000007</v>
      </c>
      <c r="G14" s="62">
        <f t="shared" si="11"/>
        <v>230.48733999999999</v>
      </c>
      <c r="H14" s="63">
        <f t="shared" si="12"/>
        <v>485.71285</v>
      </c>
      <c r="I14" s="119">
        <v>3761.5</v>
      </c>
      <c r="J14" s="120">
        <v>3874.3450000000003</v>
      </c>
      <c r="K14" s="121">
        <v>4.1500000000000004</v>
      </c>
      <c r="L14" s="122">
        <v>8.07</v>
      </c>
      <c r="M14" s="58">
        <v>0</v>
      </c>
      <c r="N14" s="58" t="s">
        <v>167</v>
      </c>
      <c r="O14" s="59">
        <v>0</v>
      </c>
      <c r="P14" s="56">
        <v>0</v>
      </c>
      <c r="Q14" s="60">
        <v>0</v>
      </c>
      <c r="R14" s="61">
        <f t="shared" si="13"/>
        <v>3874.3450000000003</v>
      </c>
      <c r="S14" s="62">
        <f t="shared" si="14"/>
        <v>160.78531750000002</v>
      </c>
      <c r="T14" s="63">
        <f t="shared" si="15"/>
        <v>312.65964150000008</v>
      </c>
      <c r="U14" s="64" t="s">
        <v>184</v>
      </c>
      <c r="V14" s="65" t="s">
        <v>384</v>
      </c>
      <c r="W14" s="66" t="s">
        <v>181</v>
      </c>
      <c r="X14" s="67">
        <v>3830</v>
      </c>
      <c r="Y14" s="68">
        <v>3.85</v>
      </c>
      <c r="Z14" s="68">
        <v>7.93</v>
      </c>
      <c r="AA14" s="62">
        <f t="shared" ref="AA14:AA21" si="29">X14*Y14%</f>
        <v>147.45499999999998</v>
      </c>
      <c r="AB14" s="63">
        <f t="shared" ref="AB14:AB21" si="30">X14*Z14%</f>
        <v>303.71899999999999</v>
      </c>
      <c r="AC14" s="69">
        <v>3880</v>
      </c>
      <c r="AD14" s="70">
        <v>3.8</v>
      </c>
      <c r="AE14" s="70">
        <v>7.92</v>
      </c>
      <c r="AF14" s="62">
        <f t="shared" si="18"/>
        <v>147.44</v>
      </c>
      <c r="AG14" s="63">
        <f t="shared" si="19"/>
        <v>307.29599999999999</v>
      </c>
      <c r="AH14" s="66">
        <v>6078</v>
      </c>
      <c r="AI14" s="66">
        <v>3.94</v>
      </c>
      <c r="AJ14" s="66">
        <v>8.0500000000000007</v>
      </c>
      <c r="AK14" s="62">
        <f t="shared" si="20"/>
        <v>239.47319999999999</v>
      </c>
      <c r="AL14" s="72">
        <f t="shared" si="21"/>
        <v>489.279</v>
      </c>
      <c r="AM14" s="73">
        <f t="shared" si="22"/>
        <v>-49.954999999999927</v>
      </c>
      <c r="AN14" s="74">
        <f t="shared" si="23"/>
        <v>4.3594575000000475</v>
      </c>
      <c r="AO14" s="74">
        <f t="shared" si="24"/>
        <v>1.7974915000000351</v>
      </c>
      <c r="AP14" s="75">
        <f t="shared" si="25"/>
        <v>1.3004571878861384E-2</v>
      </c>
      <c r="AQ14" s="76">
        <f t="shared" si="26"/>
        <v>2494.9453391683655</v>
      </c>
      <c r="AR14" s="90">
        <f t="shared" si="27"/>
        <v>4.500000000007276E-2</v>
      </c>
    </row>
    <row r="15" spans="1:44" x14ac:dyDescent="0.25">
      <c r="A15" t="str">
        <f t="shared" si="10"/>
        <v>46179E</v>
      </c>
      <c r="B15" s="51">
        <f t="shared" si="28"/>
        <v>46179</v>
      </c>
      <c r="C15" s="52" t="s">
        <v>88</v>
      </c>
      <c r="D15" s="79">
        <v>6078</v>
      </c>
      <c r="E15" s="62">
        <v>3.94</v>
      </c>
      <c r="F15" s="62">
        <v>8.0500000000000007</v>
      </c>
      <c r="G15" s="62">
        <f t="shared" si="11"/>
        <v>239.47319999999999</v>
      </c>
      <c r="H15" s="63">
        <f t="shared" si="12"/>
        <v>489.279</v>
      </c>
      <c r="I15" s="119">
        <v>5693.6</v>
      </c>
      <c r="J15" s="120">
        <v>5864.4080000000004</v>
      </c>
      <c r="K15" s="121">
        <v>3.99</v>
      </c>
      <c r="L15" s="122">
        <v>8.0500000000000007</v>
      </c>
      <c r="M15" s="58">
        <v>0</v>
      </c>
      <c r="N15" s="58" t="s">
        <v>167</v>
      </c>
      <c r="O15" s="59">
        <v>0</v>
      </c>
      <c r="P15" s="56">
        <v>0</v>
      </c>
      <c r="Q15" s="60">
        <v>0</v>
      </c>
      <c r="R15" s="61">
        <f t="shared" si="13"/>
        <v>5864.4080000000004</v>
      </c>
      <c r="S15" s="62">
        <f t="shared" si="14"/>
        <v>233.98987920000005</v>
      </c>
      <c r="T15" s="63">
        <f t="shared" si="15"/>
        <v>472.08484400000003</v>
      </c>
      <c r="U15" s="64" t="s">
        <v>179</v>
      </c>
      <c r="V15" s="65" t="s">
        <v>385</v>
      </c>
      <c r="W15" s="66" t="s">
        <v>181</v>
      </c>
      <c r="X15" s="67">
        <v>9250</v>
      </c>
      <c r="Y15" s="68">
        <v>4</v>
      </c>
      <c r="Z15" s="68">
        <v>7.9600000000000017</v>
      </c>
      <c r="AA15" s="62">
        <f t="shared" si="29"/>
        <v>370</v>
      </c>
      <c r="AB15" s="63">
        <f t="shared" si="30"/>
        <v>736.30000000000018</v>
      </c>
      <c r="AC15" s="69">
        <v>9260</v>
      </c>
      <c r="AD15" s="70">
        <v>3.9014038876889847</v>
      </c>
      <c r="AE15" s="70">
        <v>7.9402807775377973</v>
      </c>
      <c r="AF15" s="62">
        <f t="shared" si="18"/>
        <v>361.27</v>
      </c>
      <c r="AG15" s="63">
        <f t="shared" si="19"/>
        <v>735.2700000000001</v>
      </c>
      <c r="AH15" s="66">
        <v>2692.4</v>
      </c>
      <c r="AI15" s="66">
        <v>3.96</v>
      </c>
      <c r="AJ15" s="66">
        <v>8.0500000000000007</v>
      </c>
      <c r="AK15" s="62">
        <f t="shared" si="20"/>
        <v>106.61904</v>
      </c>
      <c r="AL15" s="72">
        <f t="shared" si="21"/>
        <v>216.73820000000001</v>
      </c>
      <c r="AM15" s="73">
        <f t="shared" si="22"/>
        <v>-9.9920000000006439</v>
      </c>
      <c r="AN15" s="74">
        <f t="shared" si="23"/>
        <v>5.5740392000000583</v>
      </c>
      <c r="AO15" s="74">
        <f t="shared" si="24"/>
        <v>9.3556439999998702</v>
      </c>
      <c r="AP15" s="75">
        <f t="shared" si="25"/>
        <v>2.1144622105061538E-2</v>
      </c>
      <c r="AQ15" s="76">
        <f t="shared" si="26"/>
        <v>5302.1367026319876</v>
      </c>
      <c r="AR15" s="90">
        <f t="shared" si="27"/>
        <v>7.9999999998108251E-3</v>
      </c>
    </row>
    <row r="16" spans="1:44" x14ac:dyDescent="0.25">
      <c r="A16" t="str">
        <f t="shared" si="10"/>
        <v>46180M</v>
      </c>
      <c r="B16" s="51">
        <f t="shared" si="28"/>
        <v>46180</v>
      </c>
      <c r="C16" s="52" t="s">
        <v>87</v>
      </c>
      <c r="D16" s="79">
        <v>2692.4</v>
      </c>
      <c r="E16" s="62">
        <v>3.96</v>
      </c>
      <c r="F16" s="62">
        <v>8.0500000000000007</v>
      </c>
      <c r="G16" s="62">
        <f t="shared" si="11"/>
        <v>106.61904</v>
      </c>
      <c r="H16" s="63">
        <f t="shared" si="12"/>
        <v>216.73820000000001</v>
      </c>
      <c r="I16" s="119">
        <v>6886.5</v>
      </c>
      <c r="J16" s="120">
        <v>7093.0950000000003</v>
      </c>
      <c r="K16" s="121">
        <v>3.65</v>
      </c>
      <c r="L16" s="122">
        <v>8.01</v>
      </c>
      <c r="M16" s="58" t="s">
        <v>195</v>
      </c>
      <c r="N16" s="58" t="s">
        <v>381</v>
      </c>
      <c r="O16" s="59">
        <v>2379</v>
      </c>
      <c r="P16" s="56">
        <v>4</v>
      </c>
      <c r="Q16" s="60">
        <v>7.9</v>
      </c>
      <c r="R16" s="61">
        <f t="shared" si="13"/>
        <v>9472.0950000000012</v>
      </c>
      <c r="S16" s="62">
        <f t="shared" si="14"/>
        <v>354.05796750000002</v>
      </c>
      <c r="T16" s="63">
        <f t="shared" si="15"/>
        <v>756.09790950000013</v>
      </c>
      <c r="U16" s="64" t="s">
        <v>316</v>
      </c>
      <c r="V16" s="65" t="s">
        <v>386</v>
      </c>
      <c r="W16" s="66" t="s">
        <v>181</v>
      </c>
      <c r="X16" s="67">
        <v>6280</v>
      </c>
      <c r="Y16" s="68">
        <v>4</v>
      </c>
      <c r="Z16" s="68">
        <v>8.0399999999999991</v>
      </c>
      <c r="AA16" s="62">
        <f t="shared" si="29"/>
        <v>251.20000000000002</v>
      </c>
      <c r="AB16" s="63">
        <f t="shared" si="30"/>
        <v>504.91199999999992</v>
      </c>
      <c r="AC16" s="69">
        <v>6310</v>
      </c>
      <c r="AD16" s="70">
        <v>3.9000000000000004</v>
      </c>
      <c r="AE16" s="70">
        <v>7.8969413629160066</v>
      </c>
      <c r="AF16" s="62">
        <f t="shared" si="18"/>
        <v>246.09000000000003</v>
      </c>
      <c r="AG16" s="63">
        <f t="shared" si="19"/>
        <v>498.29699999999997</v>
      </c>
      <c r="AH16" s="66">
        <v>5884.4</v>
      </c>
      <c r="AI16" s="66">
        <v>3.78</v>
      </c>
      <c r="AJ16" s="66">
        <v>7.99</v>
      </c>
      <c r="AK16" s="62">
        <f t="shared" si="20"/>
        <v>222.43031999999999</v>
      </c>
      <c r="AL16" s="72">
        <f t="shared" si="21"/>
        <v>470.16355999999996</v>
      </c>
      <c r="AM16" s="73">
        <f t="shared" si="22"/>
        <v>-29.904999999998836</v>
      </c>
      <c r="AN16" s="74">
        <f t="shared" si="23"/>
        <v>-7.8433125000000246</v>
      </c>
      <c r="AO16" s="74">
        <f t="shared" si="24"/>
        <v>4.3755495000002043</v>
      </c>
      <c r="AP16" s="75">
        <f t="shared" si="25"/>
        <v>-3.1236721543742452E-3</v>
      </c>
      <c r="AQ16" s="76">
        <f t="shared" si="26"/>
        <v>-2211.45613034495</v>
      </c>
      <c r="AR16" s="90">
        <f t="shared" si="27"/>
        <v>9.5000000001164153E-2</v>
      </c>
    </row>
    <row r="17" spans="1:49" x14ac:dyDescent="0.25">
      <c r="A17" t="str">
        <f t="shared" si="10"/>
        <v>46180E</v>
      </c>
      <c r="B17" s="51">
        <f t="shared" si="28"/>
        <v>46180</v>
      </c>
      <c r="C17" s="52" t="s">
        <v>88</v>
      </c>
      <c r="D17" s="79">
        <v>5884.4</v>
      </c>
      <c r="E17" s="62">
        <v>3.78</v>
      </c>
      <c r="F17" s="62">
        <v>7.99</v>
      </c>
      <c r="G17" s="62">
        <f t="shared" si="11"/>
        <v>222.43031999999999</v>
      </c>
      <c r="H17" s="63">
        <f t="shared" si="12"/>
        <v>470.16355999999996</v>
      </c>
      <c r="I17" s="119">
        <v>5760.8</v>
      </c>
      <c r="J17" s="120">
        <v>5933.6240000000007</v>
      </c>
      <c r="K17" s="121">
        <v>3.97</v>
      </c>
      <c r="L17" s="122">
        <v>8.09</v>
      </c>
      <c r="M17" s="58">
        <v>0</v>
      </c>
      <c r="N17" s="58" t="s">
        <v>167</v>
      </c>
      <c r="O17" s="59">
        <v>0</v>
      </c>
      <c r="P17" s="56">
        <v>0</v>
      </c>
      <c r="Q17" s="60">
        <v>0</v>
      </c>
      <c r="R17" s="61">
        <f t="shared" si="13"/>
        <v>5933.6240000000007</v>
      </c>
      <c r="S17" s="62">
        <f t="shared" si="14"/>
        <v>235.56487280000002</v>
      </c>
      <c r="T17" s="63">
        <f t="shared" si="15"/>
        <v>480.03018160000005</v>
      </c>
      <c r="U17" s="64" t="s">
        <v>184</v>
      </c>
      <c r="V17" s="65" t="s">
        <v>387</v>
      </c>
      <c r="W17" s="66" t="s">
        <v>181</v>
      </c>
      <c r="X17" s="67">
        <v>3830</v>
      </c>
      <c r="Y17" s="68">
        <v>4.0999999999999996</v>
      </c>
      <c r="Z17" s="68">
        <v>7.98</v>
      </c>
      <c r="AA17" s="62">
        <f t="shared" si="29"/>
        <v>157.02999999999997</v>
      </c>
      <c r="AB17" s="63">
        <f t="shared" si="30"/>
        <v>305.63400000000001</v>
      </c>
      <c r="AC17" s="69">
        <v>3870</v>
      </c>
      <c r="AD17" s="70">
        <v>4</v>
      </c>
      <c r="AE17" s="70">
        <v>7.96</v>
      </c>
      <c r="AF17" s="62">
        <f t="shared" si="18"/>
        <v>154.80000000000001</v>
      </c>
      <c r="AG17" s="63">
        <f t="shared" si="19"/>
        <v>308.05200000000002</v>
      </c>
      <c r="AH17" s="66">
        <v>7988</v>
      </c>
      <c r="AI17" s="66">
        <v>3.87</v>
      </c>
      <c r="AJ17" s="66">
        <v>8.0399999999999991</v>
      </c>
      <c r="AK17" s="62">
        <f t="shared" si="20"/>
        <v>309.13560000000001</v>
      </c>
      <c r="AL17" s="72">
        <f t="shared" si="21"/>
        <v>642.23519999999985</v>
      </c>
      <c r="AM17" s="73">
        <f t="shared" si="22"/>
        <v>-39.975999999998749</v>
      </c>
      <c r="AN17" s="74">
        <f t="shared" si="23"/>
        <v>-5.9404071999999815</v>
      </c>
      <c r="AO17" s="74">
        <f t="shared" si="24"/>
        <v>-9.3458399999803987E-2</v>
      </c>
      <c r="AP17" s="75">
        <f t="shared" si="25"/>
        <v>-8.4319554235306425E-3</v>
      </c>
      <c r="AQ17" s="76">
        <f t="shared" si="26"/>
        <v>-2694.6778030479331</v>
      </c>
      <c r="AR17" s="90">
        <f t="shared" si="27"/>
        <v>2.4000000001251465E-2</v>
      </c>
    </row>
    <row r="18" spans="1:49" x14ac:dyDescent="0.25">
      <c r="A18" t="str">
        <f t="shared" si="10"/>
        <v>46181M</v>
      </c>
      <c r="B18" s="51">
        <f t="shared" si="28"/>
        <v>46181</v>
      </c>
      <c r="C18" s="52" t="s">
        <v>87</v>
      </c>
      <c r="D18" s="79">
        <v>7988</v>
      </c>
      <c r="E18" s="62">
        <v>3.87</v>
      </c>
      <c r="F18" s="62">
        <v>8.0399999999999991</v>
      </c>
      <c r="G18" s="62">
        <f t="shared" si="11"/>
        <v>309.13560000000001</v>
      </c>
      <c r="H18" s="63">
        <f t="shared" si="12"/>
        <v>642.23519999999985</v>
      </c>
      <c r="I18" s="119">
        <v>3826.1</v>
      </c>
      <c r="J18" s="120">
        <v>3940.8829999999998</v>
      </c>
      <c r="K18" s="121">
        <v>4.0599999999999996</v>
      </c>
      <c r="L18" s="122">
        <v>8.06</v>
      </c>
      <c r="M18" s="58">
        <v>0</v>
      </c>
      <c r="N18" s="58" t="s">
        <v>167</v>
      </c>
      <c r="O18" s="59">
        <v>0</v>
      </c>
      <c r="P18" s="56">
        <v>0</v>
      </c>
      <c r="Q18" s="60">
        <v>0</v>
      </c>
      <c r="R18" s="61">
        <f t="shared" si="13"/>
        <v>3940.8829999999998</v>
      </c>
      <c r="S18" s="62">
        <f t="shared" si="14"/>
        <v>159.99984979999999</v>
      </c>
      <c r="T18" s="63">
        <f t="shared" si="15"/>
        <v>317.63516980000003</v>
      </c>
      <c r="U18" s="64" t="s">
        <v>179</v>
      </c>
      <c r="V18" s="65" t="s">
        <v>467</v>
      </c>
      <c r="W18" s="66" t="s">
        <v>181</v>
      </c>
      <c r="X18" s="67">
        <v>9250</v>
      </c>
      <c r="Y18" s="68">
        <v>4</v>
      </c>
      <c r="Z18" s="68">
        <v>8.08</v>
      </c>
      <c r="AA18" s="62">
        <f t="shared" si="29"/>
        <v>370</v>
      </c>
      <c r="AB18" s="63">
        <f t="shared" si="30"/>
        <v>747.4</v>
      </c>
      <c r="AC18" s="69">
        <v>9260</v>
      </c>
      <c r="AD18" s="70">
        <v>3.95</v>
      </c>
      <c r="AE18" s="70">
        <v>8.0700000000000021</v>
      </c>
      <c r="AF18" s="62">
        <f t="shared" si="18"/>
        <v>365.77</v>
      </c>
      <c r="AG18" s="63">
        <f t="shared" si="19"/>
        <v>747.28200000000015</v>
      </c>
      <c r="AH18" s="207">
        <v>2678.8</v>
      </c>
      <c r="AI18" s="66">
        <v>3.93</v>
      </c>
      <c r="AJ18" s="66">
        <v>8.0399999999999991</v>
      </c>
      <c r="AK18" s="62">
        <f t="shared" si="20"/>
        <v>105.27684000000001</v>
      </c>
      <c r="AL18" s="72">
        <f t="shared" si="21"/>
        <v>215.37551999999997</v>
      </c>
      <c r="AM18" s="73">
        <f t="shared" si="22"/>
        <v>-9.9170000000003711</v>
      </c>
      <c r="AN18" s="74">
        <f t="shared" si="23"/>
        <v>-1.9113901999999854</v>
      </c>
      <c r="AO18" s="74">
        <f t="shared" si="24"/>
        <v>-2.787150200000184</v>
      </c>
      <c r="AP18" s="75">
        <f t="shared" si="25"/>
        <v>-9.837093611634689E-3</v>
      </c>
      <c r="AQ18" s="76">
        <f t="shared" si="26"/>
        <v>-1692.1619055367155</v>
      </c>
      <c r="AR18" s="90">
        <f t="shared" si="27"/>
        <v>8.3000000000538421E-2</v>
      </c>
    </row>
    <row r="19" spans="1:49" x14ac:dyDescent="0.25">
      <c r="A19" t="str">
        <f t="shared" si="10"/>
        <v>46181E</v>
      </c>
      <c r="B19" s="51">
        <f t="shared" si="28"/>
        <v>46181</v>
      </c>
      <c r="C19" s="52" t="s">
        <v>88</v>
      </c>
      <c r="D19" s="79">
        <v>2678.8</v>
      </c>
      <c r="E19" s="62">
        <v>3.93</v>
      </c>
      <c r="F19" s="62">
        <v>8.0399999999999991</v>
      </c>
      <c r="G19" s="62">
        <f t="shared" si="11"/>
        <v>105.27684000000001</v>
      </c>
      <c r="H19" s="63">
        <f t="shared" si="12"/>
        <v>215.37551999999997</v>
      </c>
      <c r="I19" s="119">
        <v>5208.7</v>
      </c>
      <c r="J19" s="120">
        <v>5364.9610000000002</v>
      </c>
      <c r="K19" s="121">
        <v>3.97</v>
      </c>
      <c r="L19" s="122">
        <v>8.06</v>
      </c>
      <c r="M19" s="58">
        <v>0</v>
      </c>
      <c r="N19" s="58" t="s">
        <v>167</v>
      </c>
      <c r="O19" s="59">
        <v>0</v>
      </c>
      <c r="P19" s="56">
        <v>0</v>
      </c>
      <c r="Q19" s="60">
        <v>0</v>
      </c>
      <c r="R19" s="61">
        <f t="shared" si="13"/>
        <v>5364.9610000000002</v>
      </c>
      <c r="S19" s="62">
        <f t="shared" si="14"/>
        <v>212.9889517</v>
      </c>
      <c r="T19" s="63">
        <f t="shared" si="15"/>
        <v>432.41585660000004</v>
      </c>
      <c r="U19" s="64" t="s">
        <v>316</v>
      </c>
      <c r="V19" s="65" t="s">
        <v>468</v>
      </c>
      <c r="W19" s="66" t="s">
        <v>181</v>
      </c>
      <c r="X19" s="67">
        <v>6280</v>
      </c>
      <c r="Y19" s="68">
        <v>4</v>
      </c>
      <c r="Z19" s="68">
        <v>8.0399999999999991</v>
      </c>
      <c r="AA19" s="62">
        <f t="shared" si="29"/>
        <v>251.20000000000002</v>
      </c>
      <c r="AB19" s="63">
        <f t="shared" si="30"/>
        <v>504.91199999999992</v>
      </c>
      <c r="AC19" s="69">
        <v>6320</v>
      </c>
      <c r="AD19" s="70">
        <v>3.9</v>
      </c>
      <c r="AE19" s="70">
        <v>8.0201265822784809</v>
      </c>
      <c r="AF19" s="62">
        <f t="shared" si="18"/>
        <v>246.48</v>
      </c>
      <c r="AG19" s="63">
        <f t="shared" si="19"/>
        <v>506.87199999999996</v>
      </c>
      <c r="AH19" s="207">
        <v>1763.7</v>
      </c>
      <c r="AI19" s="66">
        <v>3.95</v>
      </c>
      <c r="AJ19" s="66">
        <v>8.0500000000000007</v>
      </c>
      <c r="AK19" s="62">
        <f t="shared" si="20"/>
        <v>69.666150000000002</v>
      </c>
      <c r="AL19" s="72">
        <f t="shared" si="21"/>
        <v>141.97785000000002</v>
      </c>
      <c r="AM19" s="73">
        <f t="shared" si="22"/>
        <v>-39.938999999999623</v>
      </c>
      <c r="AN19" s="74">
        <f t="shared" si="23"/>
        <v>2.1196417000000309</v>
      </c>
      <c r="AO19" s="74">
        <f t="shared" si="24"/>
        <v>-1.0584733999999401</v>
      </c>
      <c r="AP19" s="75">
        <f t="shared" si="25"/>
        <v>1.6441902606756436E-3</v>
      </c>
      <c r="AQ19" s="76">
        <f t="shared" si="26"/>
        <v>634.75549288436514</v>
      </c>
      <c r="AR19" s="90">
        <f t="shared" si="27"/>
        <v>6.1000000000603904E-2</v>
      </c>
      <c r="AS19" s="90">
        <f>SUM(J6:J19)</f>
        <v>75007.072</v>
      </c>
      <c r="AT19" s="83">
        <f>SUM(AM6:AM19)</f>
        <v>-154.02800000000138</v>
      </c>
      <c r="AU19" s="83">
        <f>SUM(AN6:AN19)</f>
        <v>-13.917058500000124</v>
      </c>
      <c r="AV19" s="83">
        <f>SUM(AO6:AO19)</f>
        <v>11.850076999999771</v>
      </c>
      <c r="AW19" s="83">
        <f>-SUM(AQ6:AQ19)</f>
        <v>2701.094687188458</v>
      </c>
    </row>
    <row r="20" spans="1:49" x14ac:dyDescent="0.25">
      <c r="A20" t="str">
        <f t="shared" si="10"/>
        <v>46182M</v>
      </c>
      <c r="B20" s="51">
        <f t="shared" si="28"/>
        <v>46182</v>
      </c>
      <c r="C20" s="52" t="s">
        <v>87</v>
      </c>
      <c r="D20" s="79">
        <v>1763.7</v>
      </c>
      <c r="E20" s="62">
        <v>3.95</v>
      </c>
      <c r="F20" s="62">
        <v>8.0500000000000007</v>
      </c>
      <c r="G20" s="62">
        <f t="shared" si="11"/>
        <v>69.666150000000002</v>
      </c>
      <c r="H20" s="63">
        <f t="shared" si="12"/>
        <v>141.97785000000002</v>
      </c>
      <c r="I20" s="119">
        <v>3781.6</v>
      </c>
      <c r="J20" s="120">
        <v>3895.0480000000002</v>
      </c>
      <c r="K20" s="121">
        <v>4</v>
      </c>
      <c r="L20" s="122">
        <v>8.06</v>
      </c>
      <c r="M20" s="58">
        <v>0</v>
      </c>
      <c r="N20" s="58" t="s">
        <v>167</v>
      </c>
      <c r="O20" s="59">
        <v>0</v>
      </c>
      <c r="P20" s="56">
        <v>0</v>
      </c>
      <c r="Q20" s="60">
        <v>0</v>
      </c>
      <c r="R20" s="61">
        <f t="shared" si="13"/>
        <v>3895.0480000000002</v>
      </c>
      <c r="S20" s="62">
        <f t="shared" si="14"/>
        <v>155.80192000000002</v>
      </c>
      <c r="T20" s="63">
        <f t="shared" si="15"/>
        <v>313.94086880000003</v>
      </c>
      <c r="U20" s="64" t="s">
        <v>167</v>
      </c>
      <c r="V20" s="65" t="s">
        <v>167</v>
      </c>
      <c r="W20" s="66">
        <v>0</v>
      </c>
      <c r="X20" s="67">
        <v>0</v>
      </c>
      <c r="Y20" s="68">
        <v>0</v>
      </c>
      <c r="Z20" s="68">
        <v>0</v>
      </c>
      <c r="AA20" s="62">
        <f t="shared" si="29"/>
        <v>0</v>
      </c>
      <c r="AB20" s="63">
        <f t="shared" si="30"/>
        <v>0</v>
      </c>
      <c r="AC20" s="69"/>
      <c r="AD20" s="70"/>
      <c r="AE20" s="70"/>
      <c r="AF20" s="62">
        <f t="shared" si="18"/>
        <v>0</v>
      </c>
      <c r="AG20" s="63">
        <f t="shared" si="19"/>
        <v>0</v>
      </c>
      <c r="AH20" s="207">
        <v>5558.7</v>
      </c>
      <c r="AI20" s="66">
        <v>3.98</v>
      </c>
      <c r="AJ20" s="66">
        <v>8.0500000000000007</v>
      </c>
      <c r="AK20" s="62">
        <f t="shared" si="20"/>
        <v>221.23626000000002</v>
      </c>
      <c r="AL20" s="72">
        <f t="shared" si="21"/>
        <v>447.47534999999999</v>
      </c>
      <c r="AM20" s="73">
        <f t="shared" si="22"/>
        <v>100.04800000000068</v>
      </c>
      <c r="AN20" s="74">
        <f t="shared" si="23"/>
        <v>4.2318099999999959</v>
      </c>
      <c r="AO20" s="74">
        <f t="shared" si="24"/>
        <v>8.443368800000087</v>
      </c>
      <c r="AP20" s="75">
        <f t="shared" si="25"/>
        <v>2.6983232318222403E-2</v>
      </c>
      <c r="AQ20" s="76">
        <f t="shared" si="26"/>
        <v>4426.5769524386915</v>
      </c>
      <c r="AR20" s="90">
        <f t="shared" si="27"/>
        <v>100.04800000000068</v>
      </c>
    </row>
    <row r="21" spans="1:49" x14ac:dyDescent="0.25">
      <c r="A21" t="str">
        <f t="shared" si="10"/>
        <v>46182E</v>
      </c>
      <c r="B21" s="51">
        <f t="shared" si="28"/>
        <v>46182</v>
      </c>
      <c r="C21" s="52" t="s">
        <v>88</v>
      </c>
      <c r="D21" s="79">
        <v>5558.7</v>
      </c>
      <c r="E21" s="62">
        <v>3.98</v>
      </c>
      <c r="F21" s="62">
        <v>8.0500000000000007</v>
      </c>
      <c r="G21" s="62">
        <f t="shared" si="11"/>
        <v>221.23626000000002</v>
      </c>
      <c r="H21" s="63">
        <f t="shared" si="12"/>
        <v>447.47534999999999</v>
      </c>
      <c r="I21" s="119">
        <v>7941</v>
      </c>
      <c r="J21" s="120">
        <v>8179.2300000000005</v>
      </c>
      <c r="K21" s="121">
        <v>3.68</v>
      </c>
      <c r="L21" s="122">
        <v>8.01</v>
      </c>
      <c r="M21" s="58" t="s">
        <v>195</v>
      </c>
      <c r="N21" s="58" t="s">
        <v>466</v>
      </c>
      <c r="O21" s="59">
        <v>2899</v>
      </c>
      <c r="P21" s="56">
        <v>4</v>
      </c>
      <c r="Q21" s="60">
        <v>7.94</v>
      </c>
      <c r="R21" s="61">
        <f t="shared" si="13"/>
        <v>11078.23</v>
      </c>
      <c r="S21" s="62">
        <f t="shared" si="14"/>
        <v>416.95566400000007</v>
      </c>
      <c r="T21" s="63">
        <f t="shared" si="15"/>
        <v>885.33692300000007</v>
      </c>
      <c r="U21" s="64" t="s">
        <v>179</v>
      </c>
      <c r="V21" s="65" t="s">
        <v>469</v>
      </c>
      <c r="W21" s="66" t="s">
        <v>181</v>
      </c>
      <c r="X21" s="67">
        <v>9250</v>
      </c>
      <c r="Y21" s="68">
        <v>3.98</v>
      </c>
      <c r="Z21" s="68">
        <v>8.08</v>
      </c>
      <c r="AA21" s="62">
        <f t="shared" si="29"/>
        <v>368.15000000000003</v>
      </c>
      <c r="AB21" s="63">
        <f t="shared" si="30"/>
        <v>747.4</v>
      </c>
      <c r="AC21" s="69">
        <v>9270</v>
      </c>
      <c r="AD21" s="70">
        <v>3.9337108953613802</v>
      </c>
      <c r="AE21" s="70">
        <v>8.0667421790722766</v>
      </c>
      <c r="AF21" s="62">
        <f t="shared" si="18"/>
        <v>364.65499999999992</v>
      </c>
      <c r="AG21" s="63">
        <f t="shared" si="19"/>
        <v>747.78700000000003</v>
      </c>
      <c r="AH21" s="207">
        <v>7386.9</v>
      </c>
      <c r="AI21" s="66">
        <v>3.83</v>
      </c>
      <c r="AJ21" s="66">
        <v>8.01</v>
      </c>
      <c r="AK21" s="62">
        <f t="shared" si="20"/>
        <v>282.91827000000001</v>
      </c>
      <c r="AL21" s="72">
        <f t="shared" si="21"/>
        <v>591.69069000000002</v>
      </c>
      <c r="AM21" s="73">
        <f t="shared" si="22"/>
        <v>-19.969999999999345</v>
      </c>
      <c r="AN21" s="74">
        <f t="shared" si="23"/>
        <v>-9.3813459999998372</v>
      </c>
      <c r="AO21" s="74">
        <f t="shared" si="24"/>
        <v>-6.6654170000000477</v>
      </c>
      <c r="AP21" s="75">
        <f t="shared" si="25"/>
        <v>-1.2321933765257533E-2</v>
      </c>
      <c r="AQ21" s="76">
        <f t="shared" si="26"/>
        <v>-6206.1615965066085</v>
      </c>
      <c r="AR21" s="90">
        <f t="shared" si="27"/>
        <v>2.9999999998835847E-2</v>
      </c>
    </row>
    <row r="22" spans="1:49" x14ac:dyDescent="0.25">
      <c r="A22" t="str">
        <f t="shared" si="10"/>
        <v>46183M</v>
      </c>
      <c r="B22" s="51">
        <f t="shared" si="28"/>
        <v>46183</v>
      </c>
      <c r="C22" s="52" t="s">
        <v>87</v>
      </c>
      <c r="D22" s="79">
        <v>7386.9</v>
      </c>
      <c r="E22" s="62">
        <v>3.83</v>
      </c>
      <c r="F22" s="62">
        <v>8.01</v>
      </c>
      <c r="G22" s="62">
        <f t="shared" si="11"/>
        <v>282.91827000000001</v>
      </c>
      <c r="H22" s="63">
        <f t="shared" si="12"/>
        <v>591.69069000000002</v>
      </c>
      <c r="I22" s="119">
        <v>3266.2</v>
      </c>
      <c r="J22" s="120">
        <v>3364.1859999999997</v>
      </c>
      <c r="K22" s="121">
        <v>4.07</v>
      </c>
      <c r="L22" s="122">
        <v>8.11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3"/>
        <v>3364.1859999999997</v>
      </c>
      <c r="S22" s="62">
        <f t="shared" si="14"/>
        <v>136.92237019999999</v>
      </c>
      <c r="T22" s="63">
        <f t="shared" si="15"/>
        <v>272.83548459999997</v>
      </c>
      <c r="U22" s="64" t="s">
        <v>184</v>
      </c>
      <c r="V22" s="65" t="s">
        <v>470</v>
      </c>
      <c r="W22" s="66" t="s">
        <v>136</v>
      </c>
      <c r="X22" s="67">
        <v>3830</v>
      </c>
      <c r="Y22" s="68">
        <v>4.0999999999999996</v>
      </c>
      <c r="Z22" s="68">
        <v>8.1</v>
      </c>
      <c r="AA22" s="62">
        <f t="shared" ref="AA22:AA35" si="31">X22*Y22%</f>
        <v>157.02999999999997</v>
      </c>
      <c r="AB22" s="63">
        <f t="shared" ref="AB22:AB35" si="32">X22*Z22%</f>
        <v>310.23</v>
      </c>
      <c r="AC22" s="226">
        <v>3830</v>
      </c>
      <c r="AD22" s="227">
        <v>4.0999999999999996</v>
      </c>
      <c r="AE22" s="227">
        <v>8.1</v>
      </c>
      <c r="AF22" s="62">
        <f t="shared" si="18"/>
        <v>157.02999999999997</v>
      </c>
      <c r="AG22" s="63">
        <f t="shared" si="19"/>
        <v>310.23</v>
      </c>
      <c r="AH22" s="207">
        <v>6921</v>
      </c>
      <c r="AI22" s="66">
        <v>3.9</v>
      </c>
      <c r="AJ22" s="66">
        <v>8.0399999999999991</v>
      </c>
      <c r="AK22" s="62">
        <f t="shared" si="20"/>
        <v>269.91899999999998</v>
      </c>
      <c r="AL22" s="72">
        <f t="shared" si="21"/>
        <v>556.44839999999988</v>
      </c>
      <c r="AM22" s="73">
        <f t="shared" si="22"/>
        <v>8.5999999999330612E-2</v>
      </c>
      <c r="AN22" s="74">
        <f t="shared" si="23"/>
        <v>-7.1083597999999597</v>
      </c>
      <c r="AO22" s="74">
        <f t="shared" si="24"/>
        <v>-2.1522253999999066</v>
      </c>
      <c r="AP22" s="75">
        <f t="shared" si="25"/>
        <v>-2.2600140769772174E-2</v>
      </c>
      <c r="AQ22" s="76">
        <f t="shared" si="26"/>
        <v>-3835.1174673606206</v>
      </c>
      <c r="AR22" s="90">
        <f t="shared" si="27"/>
        <v>8.5999999999330612E-2</v>
      </c>
    </row>
    <row r="23" spans="1:49" x14ac:dyDescent="0.25">
      <c r="A23" t="str">
        <f t="shared" si="10"/>
        <v>46183E</v>
      </c>
      <c r="B23" s="51">
        <f t="shared" si="28"/>
        <v>46183</v>
      </c>
      <c r="C23" s="52" t="s">
        <v>88</v>
      </c>
      <c r="D23" s="79">
        <v>6921</v>
      </c>
      <c r="E23" s="62">
        <v>3.9</v>
      </c>
      <c r="F23" s="62">
        <v>8.0399999999999991</v>
      </c>
      <c r="G23" s="62">
        <f t="shared" si="11"/>
        <v>269.91899999999998</v>
      </c>
      <c r="H23" s="63">
        <f t="shared" si="12"/>
        <v>556.44839999999988</v>
      </c>
      <c r="I23" s="119">
        <v>5299.9</v>
      </c>
      <c r="J23" s="120">
        <v>5458.8969999999999</v>
      </c>
      <c r="K23" s="121">
        <v>3.97</v>
      </c>
      <c r="L23" s="122">
        <v>8.06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3"/>
        <v>5458.8969999999999</v>
      </c>
      <c r="S23" s="62">
        <f t="shared" si="14"/>
        <v>216.7182109</v>
      </c>
      <c r="T23" s="63">
        <f t="shared" si="15"/>
        <v>439.98709820000005</v>
      </c>
      <c r="U23" s="64" t="s">
        <v>179</v>
      </c>
      <c r="V23" s="65" t="s">
        <v>471</v>
      </c>
      <c r="W23" s="66" t="s">
        <v>181</v>
      </c>
      <c r="X23" s="67">
        <v>9250</v>
      </c>
      <c r="Y23" s="68">
        <v>4.03</v>
      </c>
      <c r="Z23" s="68">
        <v>8.2200000000000006</v>
      </c>
      <c r="AA23" s="62">
        <f t="shared" si="31"/>
        <v>372.77500000000003</v>
      </c>
      <c r="AB23" s="63">
        <f t="shared" si="32"/>
        <v>760.35000000000014</v>
      </c>
      <c r="AC23" s="226">
        <v>9250</v>
      </c>
      <c r="AD23" s="227">
        <v>4.03</v>
      </c>
      <c r="AE23" s="227">
        <v>8.2200000000000006</v>
      </c>
      <c r="AF23" s="62">
        <f t="shared" si="18"/>
        <v>372.77500000000003</v>
      </c>
      <c r="AG23" s="63">
        <f t="shared" si="19"/>
        <v>760.35000000000014</v>
      </c>
      <c r="AH23" s="207">
        <v>3129.9</v>
      </c>
      <c r="AI23" s="66">
        <v>3.93</v>
      </c>
      <c r="AJ23" s="66">
        <v>8.0399999999999991</v>
      </c>
      <c r="AK23" s="62">
        <f t="shared" si="20"/>
        <v>123.00507</v>
      </c>
      <c r="AL23" s="72">
        <f t="shared" si="21"/>
        <v>251.64395999999996</v>
      </c>
      <c r="AM23" s="73">
        <f t="shared" si="22"/>
        <v>-2.9999999992469384E-3</v>
      </c>
      <c r="AN23" s="74">
        <f t="shared" si="23"/>
        <v>-9.1428591000000239</v>
      </c>
      <c r="AO23" s="74">
        <f t="shared" si="24"/>
        <v>-15.558461800000117</v>
      </c>
      <c r="AP23" s="75">
        <f t="shared" si="25"/>
        <v>-3.7614011273721465E-2</v>
      </c>
      <c r="AQ23" s="76">
        <f t="shared" si="26"/>
        <v>-8760.5536030063813</v>
      </c>
      <c r="AR23" s="90">
        <f t="shared" si="27"/>
        <v>-2.999999998792191E-3</v>
      </c>
    </row>
    <row r="24" spans="1:49" x14ac:dyDescent="0.25">
      <c r="A24" t="str">
        <f t="shared" si="10"/>
        <v>46184M</v>
      </c>
      <c r="B24" s="51">
        <f t="shared" si="28"/>
        <v>46184</v>
      </c>
      <c r="C24" s="52" t="s">
        <v>87</v>
      </c>
      <c r="D24" s="79"/>
      <c r="E24" s="62"/>
      <c r="F24" s="62"/>
      <c r="G24" s="62">
        <f t="shared" si="11"/>
        <v>0</v>
      </c>
      <c r="H24" s="63">
        <f t="shared" si="12"/>
        <v>0</v>
      </c>
      <c r="I24" s="119"/>
      <c r="J24" s="120"/>
      <c r="K24" s="121"/>
      <c r="L24" s="122"/>
      <c r="M24" s="58"/>
      <c r="N24" s="58"/>
      <c r="O24" s="59"/>
      <c r="P24" s="56"/>
      <c r="Q24" s="60"/>
      <c r="R24" s="61">
        <f t="shared" si="13"/>
        <v>0</v>
      </c>
      <c r="S24" s="62">
        <f t="shared" si="14"/>
        <v>0</v>
      </c>
      <c r="T24" s="63">
        <f t="shared" si="15"/>
        <v>0</v>
      </c>
      <c r="U24" s="64"/>
      <c r="V24" s="65"/>
      <c r="W24" s="66"/>
      <c r="X24" s="67"/>
      <c r="Y24" s="68"/>
      <c r="Z24" s="68"/>
      <c r="AA24" s="62">
        <f t="shared" si="31"/>
        <v>0</v>
      </c>
      <c r="AB24" s="63">
        <f t="shared" si="32"/>
        <v>0</v>
      </c>
      <c r="AC24" s="69"/>
      <c r="AD24" s="70"/>
      <c r="AE24" s="70"/>
      <c r="AF24" s="62">
        <f t="shared" si="18"/>
        <v>0</v>
      </c>
      <c r="AG24" s="63">
        <f t="shared" si="19"/>
        <v>0</v>
      </c>
      <c r="AH24" s="207"/>
      <c r="AI24" s="66"/>
      <c r="AJ24" s="66"/>
      <c r="AK24" s="62">
        <f t="shared" si="20"/>
        <v>0</v>
      </c>
      <c r="AL24" s="72">
        <f t="shared" si="21"/>
        <v>0</v>
      </c>
      <c r="AM24" s="73">
        <f t="shared" si="22"/>
        <v>0</v>
      </c>
      <c r="AN24" s="74">
        <f t="shared" si="23"/>
        <v>0</v>
      </c>
      <c r="AO24" s="74">
        <f t="shared" si="24"/>
        <v>0</v>
      </c>
      <c r="AP24" s="75" t="e">
        <f t="shared" si="25"/>
        <v>#DIV/0!</v>
      </c>
      <c r="AQ24" s="76">
        <f t="shared" si="26"/>
        <v>0</v>
      </c>
      <c r="AR24" s="90">
        <f t="shared" si="27"/>
        <v>0</v>
      </c>
    </row>
    <row r="25" spans="1:49" x14ac:dyDescent="0.25">
      <c r="A25" t="str">
        <f t="shared" si="10"/>
        <v>46184E</v>
      </c>
      <c r="B25" s="51">
        <f t="shared" si="28"/>
        <v>46184</v>
      </c>
      <c r="C25" s="52" t="s">
        <v>88</v>
      </c>
      <c r="D25" s="79"/>
      <c r="E25" s="62"/>
      <c r="F25" s="62"/>
      <c r="G25" s="62">
        <f t="shared" si="11"/>
        <v>0</v>
      </c>
      <c r="H25" s="63">
        <f t="shared" si="12"/>
        <v>0</v>
      </c>
      <c r="I25" s="119"/>
      <c r="J25" s="120"/>
      <c r="K25" s="121"/>
      <c r="L25" s="122"/>
      <c r="M25" s="58"/>
      <c r="N25" s="58"/>
      <c r="O25" s="59"/>
      <c r="P25" s="56"/>
      <c r="Q25" s="60"/>
      <c r="R25" s="61">
        <f t="shared" si="13"/>
        <v>0</v>
      </c>
      <c r="S25" s="62">
        <f t="shared" si="14"/>
        <v>0</v>
      </c>
      <c r="T25" s="63">
        <f t="shared" si="15"/>
        <v>0</v>
      </c>
      <c r="U25" s="64"/>
      <c r="V25" s="65"/>
      <c r="W25" s="66"/>
      <c r="X25" s="67"/>
      <c r="Y25" s="68"/>
      <c r="Z25" s="68"/>
      <c r="AA25" s="62">
        <f t="shared" si="31"/>
        <v>0</v>
      </c>
      <c r="AB25" s="63">
        <f t="shared" si="32"/>
        <v>0</v>
      </c>
      <c r="AC25" s="69"/>
      <c r="AD25" s="70"/>
      <c r="AE25" s="70"/>
      <c r="AF25" s="62">
        <f t="shared" si="18"/>
        <v>0</v>
      </c>
      <c r="AG25" s="63">
        <f t="shared" si="19"/>
        <v>0</v>
      </c>
      <c r="AH25" s="207"/>
      <c r="AI25" s="66"/>
      <c r="AJ25" s="66"/>
      <c r="AK25" s="62">
        <f t="shared" si="20"/>
        <v>0</v>
      </c>
      <c r="AL25" s="72">
        <f t="shared" si="21"/>
        <v>0</v>
      </c>
      <c r="AM25" s="73">
        <f t="shared" si="22"/>
        <v>0</v>
      </c>
      <c r="AN25" s="74">
        <f t="shared" si="23"/>
        <v>0</v>
      </c>
      <c r="AO25" s="74">
        <f t="shared" si="24"/>
        <v>0</v>
      </c>
      <c r="AP25" s="75" t="e">
        <f t="shared" si="25"/>
        <v>#DIV/0!</v>
      </c>
      <c r="AQ25" s="76">
        <f t="shared" si="26"/>
        <v>0</v>
      </c>
      <c r="AR25" s="90">
        <f t="shared" si="27"/>
        <v>0</v>
      </c>
    </row>
    <row r="26" spans="1:49" x14ac:dyDescent="0.25">
      <c r="A26" t="str">
        <f t="shared" si="10"/>
        <v>46185M</v>
      </c>
      <c r="B26" s="51">
        <f t="shared" si="28"/>
        <v>46185</v>
      </c>
      <c r="C26" s="52" t="s">
        <v>87</v>
      </c>
      <c r="D26" s="79"/>
      <c r="E26" s="62"/>
      <c r="F26" s="62"/>
      <c r="G26" s="62">
        <f t="shared" si="11"/>
        <v>0</v>
      </c>
      <c r="H26" s="63">
        <f t="shared" si="12"/>
        <v>0</v>
      </c>
      <c r="I26" s="119"/>
      <c r="J26" s="120"/>
      <c r="K26" s="121"/>
      <c r="L26" s="122"/>
      <c r="M26" s="58"/>
      <c r="N26" s="58"/>
      <c r="O26" s="59"/>
      <c r="P26" s="56"/>
      <c r="Q26" s="60"/>
      <c r="R26" s="61">
        <f t="shared" si="13"/>
        <v>0</v>
      </c>
      <c r="S26" s="62">
        <f t="shared" si="14"/>
        <v>0</v>
      </c>
      <c r="T26" s="63">
        <f t="shared" si="15"/>
        <v>0</v>
      </c>
      <c r="U26" s="64"/>
      <c r="V26" s="65"/>
      <c r="W26" s="66"/>
      <c r="X26" s="67"/>
      <c r="Y26" s="68"/>
      <c r="Z26" s="68"/>
      <c r="AA26" s="62">
        <f t="shared" si="31"/>
        <v>0</v>
      </c>
      <c r="AB26" s="63">
        <f t="shared" si="32"/>
        <v>0</v>
      </c>
      <c r="AC26" s="69"/>
      <c r="AD26" s="70"/>
      <c r="AE26" s="70"/>
      <c r="AF26" s="62">
        <f t="shared" si="18"/>
        <v>0</v>
      </c>
      <c r="AG26" s="63">
        <f t="shared" si="19"/>
        <v>0</v>
      </c>
      <c r="AH26" s="207"/>
      <c r="AI26" s="66"/>
      <c r="AJ26" s="66"/>
      <c r="AK26" s="62">
        <f t="shared" si="20"/>
        <v>0</v>
      </c>
      <c r="AL26" s="72">
        <f t="shared" si="21"/>
        <v>0</v>
      </c>
      <c r="AM26" s="73">
        <f t="shared" si="22"/>
        <v>0</v>
      </c>
      <c r="AN26" s="74">
        <f t="shared" si="23"/>
        <v>0</v>
      </c>
      <c r="AO26" s="74">
        <f t="shared" si="24"/>
        <v>0</v>
      </c>
      <c r="AP26" s="75" t="e">
        <f t="shared" si="25"/>
        <v>#DIV/0!</v>
      </c>
      <c r="AQ26" s="76">
        <f t="shared" si="26"/>
        <v>0</v>
      </c>
      <c r="AR26" s="90">
        <f t="shared" si="27"/>
        <v>0</v>
      </c>
    </row>
    <row r="27" spans="1:49" x14ac:dyDescent="0.25">
      <c r="A27" t="str">
        <f t="shared" si="10"/>
        <v>46185E</v>
      </c>
      <c r="B27" s="51">
        <f t="shared" si="28"/>
        <v>46185</v>
      </c>
      <c r="C27" s="52" t="s">
        <v>88</v>
      </c>
      <c r="D27" s="79"/>
      <c r="E27" s="62"/>
      <c r="F27" s="62"/>
      <c r="G27" s="62">
        <f t="shared" si="11"/>
        <v>0</v>
      </c>
      <c r="H27" s="63">
        <f t="shared" si="12"/>
        <v>0</v>
      </c>
      <c r="I27" s="119"/>
      <c r="J27" s="120"/>
      <c r="K27" s="121"/>
      <c r="L27" s="122"/>
      <c r="M27" s="58"/>
      <c r="N27" s="58"/>
      <c r="O27" s="59"/>
      <c r="P27" s="56"/>
      <c r="Q27" s="60"/>
      <c r="R27" s="61">
        <f t="shared" si="13"/>
        <v>0</v>
      </c>
      <c r="S27" s="62">
        <f t="shared" si="14"/>
        <v>0</v>
      </c>
      <c r="T27" s="63">
        <f t="shared" si="15"/>
        <v>0</v>
      </c>
      <c r="U27" s="64"/>
      <c r="V27" s="65"/>
      <c r="W27" s="66"/>
      <c r="X27" s="67"/>
      <c r="Y27" s="68"/>
      <c r="Z27" s="68"/>
      <c r="AA27" s="62">
        <f t="shared" si="31"/>
        <v>0</v>
      </c>
      <c r="AB27" s="63">
        <f t="shared" si="32"/>
        <v>0</v>
      </c>
      <c r="AC27" s="69"/>
      <c r="AD27" s="70"/>
      <c r="AE27" s="70"/>
      <c r="AF27" s="62">
        <f t="shared" si="18"/>
        <v>0</v>
      </c>
      <c r="AG27" s="63">
        <f t="shared" si="19"/>
        <v>0</v>
      </c>
      <c r="AH27" s="207"/>
      <c r="AI27" s="66"/>
      <c r="AJ27" s="66"/>
      <c r="AK27" s="62">
        <f t="shared" si="20"/>
        <v>0</v>
      </c>
      <c r="AL27" s="72">
        <f t="shared" si="21"/>
        <v>0</v>
      </c>
      <c r="AM27" s="73">
        <f t="shared" si="22"/>
        <v>0</v>
      </c>
      <c r="AN27" s="74">
        <f t="shared" si="23"/>
        <v>0</v>
      </c>
      <c r="AO27" s="74">
        <f t="shared" si="24"/>
        <v>0</v>
      </c>
      <c r="AP27" s="75" t="e">
        <f t="shared" si="25"/>
        <v>#DIV/0!</v>
      </c>
      <c r="AQ27" s="76">
        <f t="shared" si="26"/>
        <v>0</v>
      </c>
      <c r="AR27" s="90">
        <f t="shared" si="27"/>
        <v>0</v>
      </c>
    </row>
    <row r="28" spans="1:49" x14ac:dyDescent="0.25">
      <c r="A28" t="str">
        <f t="shared" si="10"/>
        <v>46186M</v>
      </c>
      <c r="B28" s="51">
        <f t="shared" si="28"/>
        <v>46186</v>
      </c>
      <c r="C28" s="52" t="s">
        <v>87</v>
      </c>
      <c r="D28" s="79"/>
      <c r="E28" s="62"/>
      <c r="F28" s="62"/>
      <c r="G28" s="62">
        <f t="shared" si="11"/>
        <v>0</v>
      </c>
      <c r="H28" s="63">
        <f t="shared" si="12"/>
        <v>0</v>
      </c>
      <c r="I28" s="119"/>
      <c r="J28" s="120"/>
      <c r="K28" s="121"/>
      <c r="L28" s="122"/>
      <c r="M28" s="58"/>
      <c r="N28" s="58"/>
      <c r="O28" s="59"/>
      <c r="P28" s="56"/>
      <c r="Q28" s="60"/>
      <c r="R28" s="61">
        <f t="shared" si="13"/>
        <v>0</v>
      </c>
      <c r="S28" s="62">
        <f t="shared" si="14"/>
        <v>0</v>
      </c>
      <c r="T28" s="63">
        <f t="shared" si="15"/>
        <v>0</v>
      </c>
      <c r="U28" s="64"/>
      <c r="V28" s="65"/>
      <c r="W28" s="66"/>
      <c r="X28" s="67"/>
      <c r="Y28" s="68"/>
      <c r="Z28" s="68"/>
      <c r="AA28" s="62">
        <f t="shared" si="31"/>
        <v>0</v>
      </c>
      <c r="AB28" s="63">
        <f t="shared" si="32"/>
        <v>0</v>
      </c>
      <c r="AC28" s="69"/>
      <c r="AD28" s="70"/>
      <c r="AE28" s="70"/>
      <c r="AF28" s="62">
        <f t="shared" si="18"/>
        <v>0</v>
      </c>
      <c r="AG28" s="63">
        <f t="shared" si="19"/>
        <v>0</v>
      </c>
      <c r="AH28" s="207"/>
      <c r="AI28" s="66"/>
      <c r="AJ28" s="66"/>
      <c r="AK28" s="62">
        <f t="shared" si="20"/>
        <v>0</v>
      </c>
      <c r="AL28" s="72">
        <f t="shared" si="21"/>
        <v>0</v>
      </c>
      <c r="AM28" s="73">
        <f t="shared" si="22"/>
        <v>0</v>
      </c>
      <c r="AN28" s="74">
        <f t="shared" si="23"/>
        <v>0</v>
      </c>
      <c r="AO28" s="74">
        <f t="shared" si="24"/>
        <v>0</v>
      </c>
      <c r="AP28" s="75" t="e">
        <f t="shared" si="25"/>
        <v>#DIV/0!</v>
      </c>
      <c r="AQ28" s="76">
        <f t="shared" si="26"/>
        <v>0</v>
      </c>
      <c r="AR28" s="90">
        <f t="shared" si="27"/>
        <v>0</v>
      </c>
    </row>
    <row r="29" spans="1:49" x14ac:dyDescent="0.25">
      <c r="A29" t="str">
        <f t="shared" si="10"/>
        <v>46186E</v>
      </c>
      <c r="B29" s="51">
        <f t="shared" si="28"/>
        <v>46186</v>
      </c>
      <c r="C29" s="52" t="s">
        <v>88</v>
      </c>
      <c r="D29" s="79"/>
      <c r="E29" s="62"/>
      <c r="F29" s="62"/>
      <c r="G29" s="62">
        <f t="shared" si="11"/>
        <v>0</v>
      </c>
      <c r="H29" s="63">
        <f t="shared" si="12"/>
        <v>0</v>
      </c>
      <c r="I29" s="119"/>
      <c r="J29" s="120"/>
      <c r="K29" s="121"/>
      <c r="L29" s="122"/>
      <c r="M29" s="58"/>
      <c r="N29" s="58"/>
      <c r="O29" s="59"/>
      <c r="P29" s="56"/>
      <c r="Q29" s="60"/>
      <c r="R29" s="61">
        <f>+J29+O29</f>
        <v>0</v>
      </c>
      <c r="S29" s="62">
        <f t="shared" si="14"/>
        <v>0</v>
      </c>
      <c r="T29" s="63">
        <f t="shared" si="15"/>
        <v>0</v>
      </c>
      <c r="U29" s="64"/>
      <c r="V29" s="65"/>
      <c r="W29" s="66"/>
      <c r="X29" s="67"/>
      <c r="Y29" s="68"/>
      <c r="Z29" s="68"/>
      <c r="AA29" s="62">
        <f t="shared" si="31"/>
        <v>0</v>
      </c>
      <c r="AB29" s="63">
        <f t="shared" si="32"/>
        <v>0</v>
      </c>
      <c r="AC29" s="69"/>
      <c r="AD29" s="70"/>
      <c r="AE29" s="70"/>
      <c r="AF29" s="62">
        <f t="shared" si="18"/>
        <v>0</v>
      </c>
      <c r="AG29" s="63">
        <f t="shared" si="19"/>
        <v>0</v>
      </c>
      <c r="AH29" s="207"/>
      <c r="AI29" s="66"/>
      <c r="AJ29" s="66"/>
      <c r="AK29" s="62">
        <f t="shared" si="20"/>
        <v>0</v>
      </c>
      <c r="AL29" s="72">
        <f t="shared" si="21"/>
        <v>0</v>
      </c>
      <c r="AM29" s="73">
        <f t="shared" si="22"/>
        <v>0</v>
      </c>
      <c r="AN29" s="74">
        <f t="shared" si="23"/>
        <v>0</v>
      </c>
      <c r="AO29" s="74">
        <f t="shared" si="24"/>
        <v>0</v>
      </c>
      <c r="AP29" s="75" t="e">
        <f t="shared" si="25"/>
        <v>#DIV/0!</v>
      </c>
      <c r="AQ29" s="76">
        <f t="shared" si="26"/>
        <v>0</v>
      </c>
      <c r="AR29" s="90">
        <f t="shared" si="27"/>
        <v>0</v>
      </c>
    </row>
    <row r="30" spans="1:49" x14ac:dyDescent="0.25">
      <c r="A30" t="str">
        <f t="shared" si="10"/>
        <v>46187M</v>
      </c>
      <c r="B30" s="51">
        <f t="shared" si="28"/>
        <v>46187</v>
      </c>
      <c r="C30" s="52" t="s">
        <v>87</v>
      </c>
      <c r="D30" s="79"/>
      <c r="E30" s="62"/>
      <c r="F30" s="62"/>
      <c r="G30" s="62">
        <f t="shared" si="11"/>
        <v>0</v>
      </c>
      <c r="H30" s="63">
        <f t="shared" si="12"/>
        <v>0</v>
      </c>
      <c r="I30" s="119"/>
      <c r="J30" s="120"/>
      <c r="K30" s="121"/>
      <c r="L30" s="122"/>
      <c r="M30" s="58"/>
      <c r="N30" s="58"/>
      <c r="O30" s="59"/>
      <c r="P30" s="56"/>
      <c r="Q30" s="60"/>
      <c r="R30" s="61">
        <f t="shared" si="13"/>
        <v>0</v>
      </c>
      <c r="S30" s="62">
        <f t="shared" si="14"/>
        <v>0</v>
      </c>
      <c r="T30" s="63">
        <f t="shared" si="15"/>
        <v>0</v>
      </c>
      <c r="U30" s="64"/>
      <c r="V30" s="65"/>
      <c r="W30" s="66"/>
      <c r="X30" s="67"/>
      <c r="Y30" s="68"/>
      <c r="Z30" s="68"/>
      <c r="AA30" s="62">
        <f t="shared" si="31"/>
        <v>0</v>
      </c>
      <c r="AB30" s="63">
        <f t="shared" si="32"/>
        <v>0</v>
      </c>
      <c r="AC30" s="69"/>
      <c r="AD30" s="70"/>
      <c r="AE30" s="70"/>
      <c r="AF30" s="62">
        <f t="shared" si="18"/>
        <v>0</v>
      </c>
      <c r="AG30" s="63">
        <f t="shared" si="19"/>
        <v>0</v>
      </c>
      <c r="AH30" s="207"/>
      <c r="AI30" s="66"/>
      <c r="AJ30" s="66"/>
      <c r="AK30" s="62">
        <f t="shared" si="20"/>
        <v>0</v>
      </c>
      <c r="AL30" s="72">
        <f t="shared" si="21"/>
        <v>0</v>
      </c>
      <c r="AM30" s="73">
        <f t="shared" si="22"/>
        <v>0</v>
      </c>
      <c r="AN30" s="74">
        <f t="shared" si="23"/>
        <v>0</v>
      </c>
      <c r="AO30" s="74">
        <f t="shared" si="24"/>
        <v>0</v>
      </c>
      <c r="AP30" s="75" t="e">
        <f t="shared" si="25"/>
        <v>#DIV/0!</v>
      </c>
      <c r="AQ30" s="76">
        <f t="shared" si="26"/>
        <v>0</v>
      </c>
      <c r="AR30" s="90">
        <f t="shared" si="27"/>
        <v>0</v>
      </c>
    </row>
    <row r="31" spans="1:49" x14ac:dyDescent="0.25">
      <c r="A31" t="str">
        <f t="shared" si="10"/>
        <v>46187E</v>
      </c>
      <c r="B31" s="51">
        <f t="shared" si="28"/>
        <v>46187</v>
      </c>
      <c r="C31" s="52" t="s">
        <v>88</v>
      </c>
      <c r="D31" s="79"/>
      <c r="E31" s="62"/>
      <c r="F31" s="62"/>
      <c r="G31" s="62">
        <f t="shared" si="11"/>
        <v>0</v>
      </c>
      <c r="H31" s="63">
        <f t="shared" si="12"/>
        <v>0</v>
      </c>
      <c r="I31" s="119"/>
      <c r="J31" s="120"/>
      <c r="K31" s="121"/>
      <c r="L31" s="122"/>
      <c r="M31" s="58"/>
      <c r="N31" s="58"/>
      <c r="O31" s="59"/>
      <c r="P31" s="56"/>
      <c r="Q31" s="60"/>
      <c r="R31" s="61">
        <f t="shared" si="13"/>
        <v>0</v>
      </c>
      <c r="S31" s="62">
        <f t="shared" si="14"/>
        <v>0</v>
      </c>
      <c r="T31" s="63">
        <f t="shared" si="15"/>
        <v>0</v>
      </c>
      <c r="U31" s="64"/>
      <c r="V31" s="85"/>
      <c r="W31" s="66"/>
      <c r="X31" s="67"/>
      <c r="Y31" s="68"/>
      <c r="Z31" s="68"/>
      <c r="AA31" s="62">
        <f t="shared" si="31"/>
        <v>0</v>
      </c>
      <c r="AB31" s="63">
        <f t="shared" si="32"/>
        <v>0</v>
      </c>
      <c r="AC31" s="69"/>
      <c r="AD31" s="70"/>
      <c r="AE31" s="70"/>
      <c r="AF31" s="62">
        <f t="shared" si="18"/>
        <v>0</v>
      </c>
      <c r="AG31" s="63">
        <f t="shared" si="19"/>
        <v>0</v>
      </c>
      <c r="AH31" s="207"/>
      <c r="AI31" s="66"/>
      <c r="AJ31" s="66"/>
      <c r="AK31" s="62">
        <f t="shared" si="20"/>
        <v>0</v>
      </c>
      <c r="AL31" s="72">
        <f t="shared" si="21"/>
        <v>0</v>
      </c>
      <c r="AM31" s="73">
        <f t="shared" si="22"/>
        <v>0</v>
      </c>
      <c r="AN31" s="74">
        <f t="shared" si="23"/>
        <v>0</v>
      </c>
      <c r="AO31" s="74">
        <f t="shared" si="24"/>
        <v>0</v>
      </c>
      <c r="AP31" s="75" t="e">
        <f t="shared" si="25"/>
        <v>#DIV/0!</v>
      </c>
      <c r="AQ31" s="76">
        <f t="shared" si="26"/>
        <v>0</v>
      </c>
      <c r="AR31" s="90">
        <f t="shared" si="27"/>
        <v>0</v>
      </c>
      <c r="AS31" s="90">
        <f>SUM(J18:J31)</f>
        <v>30203.205000000005</v>
      </c>
      <c r="AT31" s="83">
        <f>SUM(AM18:AM31)</f>
        <v>30.305000000001428</v>
      </c>
      <c r="AU31" s="83">
        <f>SUM(AN18:AN31)</f>
        <v>-21.192503399999779</v>
      </c>
      <c r="AV31" s="83">
        <f>SUM(AO18:AO31)</f>
        <v>-19.778359000000108</v>
      </c>
      <c r="AW31" s="83">
        <f>-SUM(AQ18:AQ31)</f>
        <v>15432.662127087269</v>
      </c>
    </row>
    <row r="32" spans="1:49" x14ac:dyDescent="0.25">
      <c r="A32" t="str">
        <f t="shared" si="10"/>
        <v>46188M</v>
      </c>
      <c r="B32" s="51">
        <f t="shared" si="28"/>
        <v>46188</v>
      </c>
      <c r="C32" s="52" t="s">
        <v>87</v>
      </c>
      <c r="D32" s="79"/>
      <c r="E32" s="62"/>
      <c r="F32" s="62"/>
      <c r="G32" s="62">
        <f t="shared" si="11"/>
        <v>0</v>
      </c>
      <c r="H32" s="63">
        <f t="shared" si="12"/>
        <v>0</v>
      </c>
      <c r="I32" s="119"/>
      <c r="J32" s="120"/>
      <c r="K32" s="121"/>
      <c r="L32" s="122"/>
      <c r="M32" s="58"/>
      <c r="N32" s="58"/>
      <c r="O32" s="59"/>
      <c r="P32" s="56"/>
      <c r="Q32" s="60"/>
      <c r="R32" s="61">
        <f t="shared" si="13"/>
        <v>0</v>
      </c>
      <c r="S32" s="62">
        <f t="shared" si="14"/>
        <v>0</v>
      </c>
      <c r="T32" s="63">
        <f t="shared" si="15"/>
        <v>0</v>
      </c>
      <c r="U32" s="64"/>
      <c r="V32" s="65"/>
      <c r="W32" s="66"/>
      <c r="X32" s="67"/>
      <c r="Y32" s="68"/>
      <c r="Z32" s="68"/>
      <c r="AA32" s="62">
        <f t="shared" si="31"/>
        <v>0</v>
      </c>
      <c r="AB32" s="63">
        <f t="shared" si="32"/>
        <v>0</v>
      </c>
      <c r="AC32" s="69"/>
      <c r="AD32" s="70"/>
      <c r="AE32" s="70"/>
      <c r="AF32" s="62">
        <f t="shared" si="18"/>
        <v>0</v>
      </c>
      <c r="AG32" s="63">
        <f t="shared" si="19"/>
        <v>0</v>
      </c>
      <c r="AH32" s="66"/>
      <c r="AI32" s="66"/>
      <c r="AJ32" s="66"/>
      <c r="AK32" s="62">
        <f t="shared" si="20"/>
        <v>0</v>
      </c>
      <c r="AL32" s="72">
        <f t="shared" si="21"/>
        <v>0</v>
      </c>
      <c r="AM32" s="73">
        <f t="shared" si="22"/>
        <v>0</v>
      </c>
      <c r="AN32" s="74">
        <f t="shared" si="23"/>
        <v>0</v>
      </c>
      <c r="AO32" s="74">
        <f t="shared" si="24"/>
        <v>0</v>
      </c>
      <c r="AP32" s="75" t="e">
        <f t="shared" si="25"/>
        <v>#DIV/0!</v>
      </c>
      <c r="AQ32" s="76">
        <f t="shared" si="26"/>
        <v>0</v>
      </c>
      <c r="AR32" s="90">
        <f t="shared" si="27"/>
        <v>0</v>
      </c>
    </row>
    <row r="33" spans="1:49" x14ac:dyDescent="0.25">
      <c r="A33" t="str">
        <f t="shared" si="10"/>
        <v>46188E</v>
      </c>
      <c r="B33" s="51">
        <f t="shared" si="28"/>
        <v>46188</v>
      </c>
      <c r="C33" s="52" t="s">
        <v>88</v>
      </c>
      <c r="D33" s="79"/>
      <c r="E33" s="62"/>
      <c r="F33" s="62"/>
      <c r="G33" s="62">
        <f t="shared" si="11"/>
        <v>0</v>
      </c>
      <c r="H33" s="63">
        <f t="shared" si="12"/>
        <v>0</v>
      </c>
      <c r="I33" s="119"/>
      <c r="J33" s="120"/>
      <c r="K33" s="121"/>
      <c r="L33" s="122"/>
      <c r="M33" s="58"/>
      <c r="N33" s="58"/>
      <c r="O33" s="59"/>
      <c r="P33" s="56"/>
      <c r="Q33" s="60"/>
      <c r="R33" s="61">
        <f t="shared" si="13"/>
        <v>0</v>
      </c>
      <c r="S33" s="62">
        <f t="shared" si="14"/>
        <v>0</v>
      </c>
      <c r="T33" s="63">
        <f t="shared" si="15"/>
        <v>0</v>
      </c>
      <c r="U33" s="64"/>
      <c r="V33" s="65"/>
      <c r="W33" s="66"/>
      <c r="X33" s="67"/>
      <c r="Y33" s="68"/>
      <c r="Z33" s="68"/>
      <c r="AA33" s="62">
        <f t="shared" si="31"/>
        <v>0</v>
      </c>
      <c r="AB33" s="63">
        <f t="shared" si="32"/>
        <v>0</v>
      </c>
      <c r="AC33" s="69"/>
      <c r="AD33" s="70"/>
      <c r="AE33" s="70"/>
      <c r="AF33" s="62">
        <f t="shared" si="18"/>
        <v>0</v>
      </c>
      <c r="AG33" s="63">
        <f t="shared" si="19"/>
        <v>0</v>
      </c>
      <c r="AH33" s="66"/>
      <c r="AI33" s="66"/>
      <c r="AJ33" s="66"/>
      <c r="AK33" s="62">
        <f t="shared" si="20"/>
        <v>0</v>
      </c>
      <c r="AL33" s="72">
        <f t="shared" si="21"/>
        <v>0</v>
      </c>
      <c r="AM33" s="73">
        <f t="shared" si="22"/>
        <v>0</v>
      </c>
      <c r="AN33" s="74">
        <f t="shared" si="23"/>
        <v>0</v>
      </c>
      <c r="AO33" s="74">
        <f t="shared" si="24"/>
        <v>0</v>
      </c>
      <c r="AP33" s="75" t="e">
        <f t="shared" si="25"/>
        <v>#DIV/0!</v>
      </c>
      <c r="AQ33" s="76">
        <f t="shared" si="26"/>
        <v>0</v>
      </c>
      <c r="AR33" s="90">
        <f t="shared" si="27"/>
        <v>0</v>
      </c>
    </row>
    <row r="34" spans="1:49" x14ac:dyDescent="0.25">
      <c r="A34" t="str">
        <f t="shared" si="10"/>
        <v>46189M</v>
      </c>
      <c r="B34" s="51">
        <f t="shared" si="28"/>
        <v>46189</v>
      </c>
      <c r="C34" s="52" t="s">
        <v>87</v>
      </c>
      <c r="D34" s="79"/>
      <c r="E34" s="62"/>
      <c r="F34" s="62"/>
      <c r="G34" s="62">
        <f t="shared" si="11"/>
        <v>0</v>
      </c>
      <c r="H34" s="63">
        <f t="shared" si="12"/>
        <v>0</v>
      </c>
      <c r="I34" s="119"/>
      <c r="J34" s="120"/>
      <c r="K34" s="121"/>
      <c r="L34" s="122"/>
      <c r="M34" s="58"/>
      <c r="N34" s="58"/>
      <c r="O34" s="59"/>
      <c r="P34" s="56"/>
      <c r="Q34" s="60"/>
      <c r="R34" s="61">
        <f t="shared" si="13"/>
        <v>0</v>
      </c>
      <c r="S34" s="62">
        <f t="shared" si="14"/>
        <v>0</v>
      </c>
      <c r="T34" s="63">
        <f t="shared" si="15"/>
        <v>0</v>
      </c>
      <c r="U34" s="64"/>
      <c r="V34" s="65"/>
      <c r="W34" s="66"/>
      <c r="X34" s="67"/>
      <c r="Y34" s="68"/>
      <c r="Z34" s="68"/>
      <c r="AA34" s="62">
        <f t="shared" si="31"/>
        <v>0</v>
      </c>
      <c r="AB34" s="63">
        <f t="shared" si="32"/>
        <v>0</v>
      </c>
      <c r="AC34" s="69"/>
      <c r="AD34" s="70"/>
      <c r="AE34" s="70"/>
      <c r="AF34" s="62">
        <f t="shared" si="18"/>
        <v>0</v>
      </c>
      <c r="AG34" s="63">
        <f t="shared" si="19"/>
        <v>0</v>
      </c>
      <c r="AH34" s="66"/>
      <c r="AI34" s="66"/>
      <c r="AJ34" s="66"/>
      <c r="AK34" s="62">
        <f t="shared" si="20"/>
        <v>0</v>
      </c>
      <c r="AL34" s="72">
        <f t="shared" si="21"/>
        <v>0</v>
      </c>
      <c r="AM34" s="73">
        <f t="shared" si="22"/>
        <v>0</v>
      </c>
      <c r="AN34" s="74">
        <f t="shared" si="23"/>
        <v>0</v>
      </c>
      <c r="AO34" s="74">
        <f t="shared" si="24"/>
        <v>0</v>
      </c>
      <c r="AP34" s="75" t="e">
        <f t="shared" si="25"/>
        <v>#DIV/0!</v>
      </c>
      <c r="AQ34" s="76">
        <f t="shared" si="26"/>
        <v>0</v>
      </c>
      <c r="AR34" s="90">
        <f t="shared" si="27"/>
        <v>0</v>
      </c>
    </row>
    <row r="35" spans="1:49" x14ac:dyDescent="0.25">
      <c r="A35" t="str">
        <f t="shared" si="10"/>
        <v>46189E</v>
      </c>
      <c r="B35" s="51">
        <f t="shared" si="28"/>
        <v>46189</v>
      </c>
      <c r="C35" s="52" t="s">
        <v>88</v>
      </c>
      <c r="D35" s="79"/>
      <c r="E35" s="62"/>
      <c r="F35" s="62"/>
      <c r="G35" s="62">
        <f t="shared" si="11"/>
        <v>0</v>
      </c>
      <c r="H35" s="63">
        <f t="shared" si="12"/>
        <v>0</v>
      </c>
      <c r="I35" s="119"/>
      <c r="J35" s="120"/>
      <c r="K35" s="121"/>
      <c r="L35" s="122"/>
      <c r="M35" s="58"/>
      <c r="N35" s="58"/>
      <c r="O35" s="59"/>
      <c r="P35" s="56"/>
      <c r="Q35" s="60"/>
      <c r="R35" s="61">
        <f t="shared" si="13"/>
        <v>0</v>
      </c>
      <c r="S35" s="62">
        <f t="shared" si="14"/>
        <v>0</v>
      </c>
      <c r="T35" s="63">
        <f t="shared" si="15"/>
        <v>0</v>
      </c>
      <c r="U35" s="64"/>
      <c r="V35" s="65"/>
      <c r="W35" s="66"/>
      <c r="X35" s="67"/>
      <c r="Y35" s="68"/>
      <c r="Z35" s="68"/>
      <c r="AA35" s="62">
        <f t="shared" si="31"/>
        <v>0</v>
      </c>
      <c r="AB35" s="63">
        <f t="shared" si="32"/>
        <v>0</v>
      </c>
      <c r="AC35" s="69"/>
      <c r="AD35" s="70"/>
      <c r="AE35" s="70"/>
      <c r="AF35" s="62">
        <f t="shared" si="18"/>
        <v>0</v>
      </c>
      <c r="AG35" s="63">
        <f t="shared" si="19"/>
        <v>0</v>
      </c>
      <c r="AH35" s="66"/>
      <c r="AI35" s="66"/>
      <c r="AJ35" s="66"/>
      <c r="AK35" s="62">
        <f t="shared" si="20"/>
        <v>0</v>
      </c>
      <c r="AL35" s="72">
        <f t="shared" si="21"/>
        <v>0</v>
      </c>
      <c r="AM35" s="73">
        <f t="shared" si="22"/>
        <v>0</v>
      </c>
      <c r="AN35" s="74">
        <f t="shared" si="23"/>
        <v>0</v>
      </c>
      <c r="AO35" s="74">
        <f t="shared" si="24"/>
        <v>0</v>
      </c>
      <c r="AP35" s="75" t="e">
        <f t="shared" si="25"/>
        <v>#DIV/0!</v>
      </c>
      <c r="AQ35" s="76">
        <f t="shared" si="26"/>
        <v>0</v>
      </c>
      <c r="AR35" s="90">
        <f t="shared" si="27"/>
        <v>0</v>
      </c>
    </row>
    <row r="36" spans="1:49" x14ac:dyDescent="0.25">
      <c r="A36" t="str">
        <f t="shared" si="10"/>
        <v>46190M</v>
      </c>
      <c r="B36" s="51">
        <f t="shared" si="28"/>
        <v>46190</v>
      </c>
      <c r="C36" s="52" t="s">
        <v>87</v>
      </c>
      <c r="D36" s="79"/>
      <c r="E36" s="62"/>
      <c r="F36" s="62"/>
      <c r="G36" s="62">
        <f t="shared" si="11"/>
        <v>0</v>
      </c>
      <c r="H36" s="63">
        <f t="shared" si="12"/>
        <v>0</v>
      </c>
      <c r="I36" s="119"/>
      <c r="J36" s="120"/>
      <c r="K36" s="121"/>
      <c r="L36" s="122"/>
      <c r="M36" s="58"/>
      <c r="N36" s="58"/>
      <c r="O36" s="59"/>
      <c r="P36" s="56"/>
      <c r="Q36" s="60"/>
      <c r="R36" s="61">
        <f t="shared" si="13"/>
        <v>0</v>
      </c>
      <c r="S36" s="62">
        <f t="shared" si="14"/>
        <v>0</v>
      </c>
      <c r="T36" s="63">
        <f t="shared" si="15"/>
        <v>0</v>
      </c>
      <c r="U36" s="64"/>
      <c r="V36" s="85"/>
      <c r="W36" s="66"/>
      <c r="X36" s="67"/>
      <c r="Y36" s="68"/>
      <c r="Z36" s="68"/>
      <c r="AA36" s="62">
        <f t="shared" ref="AA36" si="33">X36*Y36%</f>
        <v>0</v>
      </c>
      <c r="AB36" s="63">
        <f t="shared" ref="AB36" si="34">X36*Z36%</f>
        <v>0</v>
      </c>
      <c r="AC36" s="69"/>
      <c r="AD36" s="70"/>
      <c r="AE36" s="70"/>
      <c r="AF36" s="62">
        <f t="shared" si="18"/>
        <v>0</v>
      </c>
      <c r="AG36" s="63">
        <f t="shared" si="19"/>
        <v>0</v>
      </c>
      <c r="AH36" s="66"/>
      <c r="AI36" s="66"/>
      <c r="AJ36" s="66"/>
      <c r="AK36" s="62">
        <f t="shared" si="20"/>
        <v>0</v>
      </c>
      <c r="AL36" s="72">
        <f t="shared" si="21"/>
        <v>0</v>
      </c>
      <c r="AM36" s="73">
        <f t="shared" si="22"/>
        <v>0</v>
      </c>
      <c r="AN36" s="74">
        <f t="shared" si="23"/>
        <v>0</v>
      </c>
      <c r="AO36" s="74">
        <f t="shared" si="24"/>
        <v>0</v>
      </c>
      <c r="AP36" s="75" t="e">
        <f t="shared" si="25"/>
        <v>#DIV/0!</v>
      </c>
      <c r="AQ36" s="76">
        <f t="shared" si="26"/>
        <v>0</v>
      </c>
      <c r="AR36" s="90">
        <f>(D36+J36+O36)-(X36+AH36)</f>
        <v>0</v>
      </c>
    </row>
    <row r="37" spans="1:49" x14ac:dyDescent="0.25">
      <c r="A37" t="str">
        <f t="shared" si="10"/>
        <v>46190E</v>
      </c>
      <c r="B37" s="51">
        <f t="shared" si="28"/>
        <v>46190</v>
      </c>
      <c r="C37" s="52" t="s">
        <v>88</v>
      </c>
      <c r="D37" s="79"/>
      <c r="E37" s="62"/>
      <c r="F37" s="62"/>
      <c r="G37" s="62">
        <f t="shared" si="11"/>
        <v>0</v>
      </c>
      <c r="H37" s="63">
        <f t="shared" si="12"/>
        <v>0</v>
      </c>
      <c r="I37" s="119"/>
      <c r="J37" s="120"/>
      <c r="K37" s="121"/>
      <c r="L37" s="122"/>
      <c r="M37" s="58"/>
      <c r="N37" s="58"/>
      <c r="O37" s="59"/>
      <c r="P37" s="56"/>
      <c r="Q37" s="60"/>
      <c r="R37" s="61">
        <f t="shared" ref="R37:R49" si="35">+J37+O37</f>
        <v>0</v>
      </c>
      <c r="S37" s="62">
        <f t="shared" ref="S37:S49" si="36">+J37*K37%+O37*P37%</f>
        <v>0</v>
      </c>
      <c r="T37" s="63">
        <f t="shared" ref="T37:T49" si="37">+J37*L37%+O37*Q37%</f>
        <v>0</v>
      </c>
      <c r="U37" s="64"/>
      <c r="V37" s="65"/>
      <c r="W37" s="66"/>
      <c r="X37" s="67"/>
      <c r="Y37" s="68"/>
      <c r="Z37" s="68"/>
      <c r="AA37" s="62">
        <f t="shared" ref="AA37:AA50" si="38">X37*Y37%</f>
        <v>0</v>
      </c>
      <c r="AB37" s="63">
        <f t="shared" ref="AB37:AB50" si="39">X37*Z37%</f>
        <v>0</v>
      </c>
      <c r="AC37" s="69"/>
      <c r="AD37" s="70"/>
      <c r="AE37" s="70"/>
      <c r="AF37" s="62">
        <f t="shared" si="18"/>
        <v>0</v>
      </c>
      <c r="AG37" s="63">
        <f t="shared" si="19"/>
        <v>0</v>
      </c>
      <c r="AH37" s="66"/>
      <c r="AI37" s="66"/>
      <c r="AJ37" s="66"/>
      <c r="AK37" s="62">
        <f t="shared" si="20"/>
        <v>0</v>
      </c>
      <c r="AL37" s="72">
        <f t="shared" si="21"/>
        <v>0</v>
      </c>
      <c r="AM37" s="73">
        <f t="shared" si="22"/>
        <v>0</v>
      </c>
      <c r="AN37" s="74">
        <f t="shared" si="23"/>
        <v>0</v>
      </c>
      <c r="AO37" s="74">
        <f t="shared" si="24"/>
        <v>0</v>
      </c>
      <c r="AP37" s="75" t="e">
        <f t="shared" si="25"/>
        <v>#DIV/0!</v>
      </c>
      <c r="AQ37" s="76">
        <f t="shared" si="26"/>
        <v>0</v>
      </c>
      <c r="AR37" s="90">
        <f>(D37+J37+O37)-(X37+AH37)</f>
        <v>0</v>
      </c>
    </row>
    <row r="38" spans="1:49" x14ac:dyDescent="0.25">
      <c r="A38" t="str">
        <f t="shared" si="10"/>
        <v>46191M</v>
      </c>
      <c r="B38" s="51">
        <f t="shared" si="28"/>
        <v>46191</v>
      </c>
      <c r="C38" s="52" t="s">
        <v>87</v>
      </c>
      <c r="D38" s="79"/>
      <c r="E38" s="62"/>
      <c r="F38" s="62"/>
      <c r="G38" s="62">
        <f t="shared" si="11"/>
        <v>0</v>
      </c>
      <c r="H38" s="63">
        <f t="shared" si="12"/>
        <v>0</v>
      </c>
      <c r="I38" s="119"/>
      <c r="J38" s="120"/>
      <c r="K38" s="121"/>
      <c r="L38" s="122"/>
      <c r="M38" s="58"/>
      <c r="N38" s="58"/>
      <c r="O38" s="59"/>
      <c r="P38" s="56"/>
      <c r="Q38" s="60"/>
      <c r="R38" s="61">
        <f t="shared" si="35"/>
        <v>0</v>
      </c>
      <c r="S38" s="62">
        <f t="shared" si="36"/>
        <v>0</v>
      </c>
      <c r="T38" s="63">
        <f t="shared" si="37"/>
        <v>0</v>
      </c>
      <c r="U38" s="64"/>
      <c r="V38" s="65"/>
      <c r="W38" s="66"/>
      <c r="X38" s="67"/>
      <c r="Y38" s="68"/>
      <c r="Z38" s="68"/>
      <c r="AA38" s="62">
        <f t="shared" si="38"/>
        <v>0</v>
      </c>
      <c r="AB38" s="63">
        <f t="shared" si="39"/>
        <v>0</v>
      </c>
      <c r="AC38" s="69"/>
      <c r="AD38" s="70"/>
      <c r="AE38" s="70"/>
      <c r="AF38" s="62">
        <f t="shared" si="18"/>
        <v>0</v>
      </c>
      <c r="AG38" s="63">
        <f t="shared" si="19"/>
        <v>0</v>
      </c>
      <c r="AH38" s="66"/>
      <c r="AI38" s="66"/>
      <c r="AJ38" s="66"/>
      <c r="AK38" s="62">
        <f t="shared" si="20"/>
        <v>0</v>
      </c>
      <c r="AL38" s="72">
        <f t="shared" si="21"/>
        <v>0</v>
      </c>
      <c r="AM38" s="73">
        <f t="shared" si="22"/>
        <v>0</v>
      </c>
      <c r="AN38" s="74">
        <f t="shared" si="23"/>
        <v>0</v>
      </c>
      <c r="AO38" s="74">
        <f t="shared" si="24"/>
        <v>0</v>
      </c>
      <c r="AP38" s="75" t="e">
        <f t="shared" si="25"/>
        <v>#DIV/0!</v>
      </c>
      <c r="AQ38" s="76">
        <f t="shared" si="26"/>
        <v>0</v>
      </c>
      <c r="AR38" s="90">
        <f>(D38+J38+O38)-(X38+AH38)</f>
        <v>0</v>
      </c>
    </row>
    <row r="39" spans="1:49" x14ac:dyDescent="0.25">
      <c r="A39" t="str">
        <f t="shared" si="10"/>
        <v>46191E</v>
      </c>
      <c r="B39" s="51">
        <f t="shared" si="28"/>
        <v>46191</v>
      </c>
      <c r="C39" s="52" t="s">
        <v>88</v>
      </c>
      <c r="D39" s="79"/>
      <c r="E39" s="62"/>
      <c r="F39" s="62"/>
      <c r="G39" s="62">
        <f t="shared" si="11"/>
        <v>0</v>
      </c>
      <c r="H39" s="63">
        <f t="shared" si="12"/>
        <v>0</v>
      </c>
      <c r="I39" s="119"/>
      <c r="J39" s="120"/>
      <c r="K39" s="121"/>
      <c r="L39" s="122"/>
      <c r="M39" s="58"/>
      <c r="N39" s="58"/>
      <c r="O39" s="59"/>
      <c r="P39" s="56"/>
      <c r="Q39" s="60"/>
      <c r="R39" s="61">
        <f t="shared" si="35"/>
        <v>0</v>
      </c>
      <c r="S39" s="62">
        <f t="shared" si="36"/>
        <v>0</v>
      </c>
      <c r="T39" s="63">
        <f t="shared" si="37"/>
        <v>0</v>
      </c>
      <c r="U39" s="64"/>
      <c r="V39" s="65"/>
      <c r="W39" s="66"/>
      <c r="X39" s="67"/>
      <c r="Y39" s="68"/>
      <c r="Z39" s="68"/>
      <c r="AA39" s="62">
        <f t="shared" si="38"/>
        <v>0</v>
      </c>
      <c r="AB39" s="63">
        <f t="shared" si="39"/>
        <v>0</v>
      </c>
      <c r="AC39" s="69"/>
      <c r="AD39" s="70"/>
      <c r="AE39" s="70"/>
      <c r="AF39" s="62">
        <f t="shared" si="18"/>
        <v>0</v>
      </c>
      <c r="AG39" s="63">
        <f t="shared" si="19"/>
        <v>0</v>
      </c>
      <c r="AH39" s="66"/>
      <c r="AI39" s="66"/>
      <c r="AJ39" s="66"/>
      <c r="AK39" s="62">
        <f t="shared" si="20"/>
        <v>0</v>
      </c>
      <c r="AL39" s="72">
        <f t="shared" si="21"/>
        <v>0</v>
      </c>
      <c r="AM39" s="73">
        <f t="shared" si="22"/>
        <v>0</v>
      </c>
      <c r="AN39" s="74">
        <f t="shared" si="23"/>
        <v>0</v>
      </c>
      <c r="AO39" s="74">
        <f t="shared" si="24"/>
        <v>0</v>
      </c>
      <c r="AP39" s="75" t="e">
        <f t="shared" si="25"/>
        <v>#DIV/0!</v>
      </c>
      <c r="AQ39" s="76">
        <f t="shared" si="26"/>
        <v>0</v>
      </c>
      <c r="AR39" s="90">
        <f>(D39+J39+O39)-(X39+AH39)</f>
        <v>0</v>
      </c>
    </row>
    <row r="40" spans="1:49" x14ac:dyDescent="0.25">
      <c r="A40" t="str">
        <f t="shared" si="10"/>
        <v>46192M</v>
      </c>
      <c r="B40" s="51">
        <f t="shared" si="28"/>
        <v>46192</v>
      </c>
      <c r="C40" s="52" t="s">
        <v>87</v>
      </c>
      <c r="D40" s="79"/>
      <c r="E40" s="62"/>
      <c r="F40" s="62"/>
      <c r="G40" s="62">
        <f t="shared" si="11"/>
        <v>0</v>
      </c>
      <c r="H40" s="63">
        <f t="shared" si="12"/>
        <v>0</v>
      </c>
      <c r="I40" s="119"/>
      <c r="J40" s="120"/>
      <c r="K40" s="121"/>
      <c r="L40" s="122"/>
      <c r="M40" s="58"/>
      <c r="N40" s="58"/>
      <c r="O40" s="59"/>
      <c r="P40" s="56"/>
      <c r="Q40" s="60"/>
      <c r="R40" s="61">
        <f t="shared" si="35"/>
        <v>0</v>
      </c>
      <c r="S40" s="62">
        <f t="shared" si="36"/>
        <v>0</v>
      </c>
      <c r="T40" s="63">
        <f t="shared" si="37"/>
        <v>0</v>
      </c>
      <c r="U40" s="64"/>
      <c r="V40" s="65"/>
      <c r="W40" s="66"/>
      <c r="X40" s="67"/>
      <c r="Y40" s="68"/>
      <c r="Z40" s="68"/>
      <c r="AA40" s="62">
        <f t="shared" si="38"/>
        <v>0</v>
      </c>
      <c r="AB40" s="63">
        <f t="shared" si="39"/>
        <v>0</v>
      </c>
      <c r="AC40" s="69"/>
      <c r="AD40" s="70"/>
      <c r="AE40" s="70"/>
      <c r="AF40" s="62">
        <f t="shared" si="18"/>
        <v>0</v>
      </c>
      <c r="AG40" s="63">
        <f t="shared" si="19"/>
        <v>0</v>
      </c>
      <c r="AH40" s="66"/>
      <c r="AI40" s="66"/>
      <c r="AJ40" s="66"/>
      <c r="AK40" s="62">
        <f t="shared" si="20"/>
        <v>0</v>
      </c>
      <c r="AL40" s="72">
        <f t="shared" si="21"/>
        <v>0</v>
      </c>
      <c r="AM40" s="73">
        <f t="shared" si="22"/>
        <v>0</v>
      </c>
      <c r="AN40" s="74">
        <f t="shared" si="23"/>
        <v>0</v>
      </c>
      <c r="AO40" s="74">
        <f t="shared" si="24"/>
        <v>0</v>
      </c>
      <c r="AP40" s="75" t="e">
        <f t="shared" si="25"/>
        <v>#DIV/0!</v>
      </c>
      <c r="AQ40" s="76">
        <f t="shared" si="26"/>
        <v>0</v>
      </c>
      <c r="AR40" s="90">
        <f t="shared" ref="AR40:AR51" si="40">(D40+J40+O40)-(X40+AH40)</f>
        <v>0</v>
      </c>
    </row>
    <row r="41" spans="1:49" x14ac:dyDescent="0.25">
      <c r="A41" t="str">
        <f t="shared" si="10"/>
        <v>46192E</v>
      </c>
      <c r="B41" s="51">
        <f t="shared" si="28"/>
        <v>46192</v>
      </c>
      <c r="C41" s="52" t="s">
        <v>88</v>
      </c>
      <c r="D41" s="79"/>
      <c r="E41" s="62"/>
      <c r="F41" s="62"/>
      <c r="G41" s="62">
        <f t="shared" si="11"/>
        <v>0</v>
      </c>
      <c r="H41" s="63">
        <f t="shared" si="12"/>
        <v>0</v>
      </c>
      <c r="I41" s="119"/>
      <c r="J41" s="120"/>
      <c r="K41" s="121"/>
      <c r="L41" s="122"/>
      <c r="M41" s="58"/>
      <c r="N41" s="58"/>
      <c r="O41" s="59"/>
      <c r="P41" s="56"/>
      <c r="Q41" s="60"/>
      <c r="R41" s="61">
        <f t="shared" si="35"/>
        <v>0</v>
      </c>
      <c r="S41" s="62">
        <f t="shared" si="36"/>
        <v>0</v>
      </c>
      <c r="T41" s="63">
        <f t="shared" si="37"/>
        <v>0</v>
      </c>
      <c r="U41" s="64"/>
      <c r="V41" s="65"/>
      <c r="W41" s="66"/>
      <c r="X41" s="67"/>
      <c r="Y41" s="68"/>
      <c r="Z41" s="68"/>
      <c r="AA41" s="62">
        <f t="shared" si="38"/>
        <v>0</v>
      </c>
      <c r="AB41" s="63">
        <f t="shared" si="39"/>
        <v>0</v>
      </c>
      <c r="AC41" s="69"/>
      <c r="AD41" s="70"/>
      <c r="AE41" s="70"/>
      <c r="AF41" s="62">
        <f t="shared" si="18"/>
        <v>0</v>
      </c>
      <c r="AG41" s="63">
        <f t="shared" si="19"/>
        <v>0</v>
      </c>
      <c r="AH41" s="66"/>
      <c r="AI41" s="66"/>
      <c r="AJ41" s="66"/>
      <c r="AK41" s="62">
        <f t="shared" si="20"/>
        <v>0</v>
      </c>
      <c r="AL41" s="72">
        <f t="shared" si="21"/>
        <v>0</v>
      </c>
      <c r="AM41" s="73">
        <f t="shared" si="22"/>
        <v>0</v>
      </c>
      <c r="AN41" s="74">
        <f t="shared" si="23"/>
        <v>0</v>
      </c>
      <c r="AO41" s="74">
        <f t="shared" si="24"/>
        <v>0</v>
      </c>
      <c r="AP41" s="75" t="e">
        <f t="shared" si="25"/>
        <v>#DIV/0!</v>
      </c>
      <c r="AQ41" s="76">
        <f t="shared" si="26"/>
        <v>0</v>
      </c>
      <c r="AR41" s="90">
        <f t="shared" si="40"/>
        <v>0</v>
      </c>
      <c r="AS41" s="90">
        <f>SUM(J28:J41)</f>
        <v>0</v>
      </c>
      <c r="AT41" s="83">
        <f>SUM(AM28:AM41)</f>
        <v>0</v>
      </c>
      <c r="AU41" s="83">
        <f>SUM(AN28:AN41)</f>
        <v>0</v>
      </c>
      <c r="AV41" s="83">
        <f>SUM(AO28:AO41)</f>
        <v>0</v>
      </c>
      <c r="AW41" s="83">
        <f>-SUM(AQ28:AQ41)</f>
        <v>0</v>
      </c>
    </row>
    <row r="42" spans="1:49" x14ac:dyDescent="0.25">
      <c r="A42" t="str">
        <f t="shared" si="10"/>
        <v>46193M</v>
      </c>
      <c r="B42" s="51">
        <f t="shared" si="28"/>
        <v>46193</v>
      </c>
      <c r="C42" s="52" t="s">
        <v>87</v>
      </c>
      <c r="D42" s="79"/>
      <c r="E42" s="62"/>
      <c r="F42" s="62"/>
      <c r="G42" s="62">
        <f t="shared" si="11"/>
        <v>0</v>
      </c>
      <c r="H42" s="63">
        <f t="shared" si="12"/>
        <v>0</v>
      </c>
      <c r="I42" s="119"/>
      <c r="J42" s="120"/>
      <c r="K42" s="121"/>
      <c r="L42" s="122"/>
      <c r="M42" s="58"/>
      <c r="N42" s="58"/>
      <c r="O42" s="59"/>
      <c r="P42" s="56"/>
      <c r="Q42" s="60"/>
      <c r="R42" s="61">
        <f t="shared" si="35"/>
        <v>0</v>
      </c>
      <c r="S42" s="62">
        <f t="shared" si="36"/>
        <v>0</v>
      </c>
      <c r="T42" s="63">
        <f t="shared" si="37"/>
        <v>0</v>
      </c>
      <c r="U42" s="64"/>
      <c r="V42" s="65"/>
      <c r="W42" s="66"/>
      <c r="X42" s="67"/>
      <c r="Y42" s="68"/>
      <c r="Z42" s="68"/>
      <c r="AA42" s="62">
        <f t="shared" si="38"/>
        <v>0</v>
      </c>
      <c r="AB42" s="63">
        <f t="shared" si="39"/>
        <v>0</v>
      </c>
      <c r="AC42" s="69"/>
      <c r="AD42" s="70"/>
      <c r="AE42" s="70"/>
      <c r="AF42" s="62">
        <f t="shared" si="18"/>
        <v>0</v>
      </c>
      <c r="AG42" s="63">
        <f t="shared" si="19"/>
        <v>0</v>
      </c>
      <c r="AH42" s="66"/>
      <c r="AI42" s="66"/>
      <c r="AJ42" s="66"/>
      <c r="AK42" s="62">
        <f t="shared" si="20"/>
        <v>0</v>
      </c>
      <c r="AL42" s="72">
        <f t="shared" si="21"/>
        <v>0</v>
      </c>
      <c r="AM42" s="73">
        <f t="shared" si="22"/>
        <v>0</v>
      </c>
      <c r="AN42" s="74">
        <f t="shared" si="23"/>
        <v>0</v>
      </c>
      <c r="AO42" s="74">
        <f t="shared" si="24"/>
        <v>0</v>
      </c>
      <c r="AP42" s="75" t="e">
        <f t="shared" si="25"/>
        <v>#DIV/0!</v>
      </c>
      <c r="AQ42" s="76">
        <f t="shared" si="26"/>
        <v>0</v>
      </c>
      <c r="AR42" s="90">
        <f t="shared" si="40"/>
        <v>0</v>
      </c>
    </row>
    <row r="43" spans="1:49" x14ac:dyDescent="0.25">
      <c r="A43" t="str">
        <f t="shared" si="10"/>
        <v>46193E</v>
      </c>
      <c r="B43" s="51">
        <f t="shared" si="28"/>
        <v>46193</v>
      </c>
      <c r="C43" s="52" t="s">
        <v>88</v>
      </c>
      <c r="D43" s="79"/>
      <c r="E43" s="62"/>
      <c r="F43" s="62"/>
      <c r="G43" s="62">
        <f t="shared" si="11"/>
        <v>0</v>
      </c>
      <c r="H43" s="63">
        <f t="shared" si="12"/>
        <v>0</v>
      </c>
      <c r="I43" s="119"/>
      <c r="J43" s="120"/>
      <c r="K43" s="121"/>
      <c r="L43" s="122"/>
      <c r="M43" s="58"/>
      <c r="N43" s="58"/>
      <c r="O43" s="59"/>
      <c r="P43" s="56"/>
      <c r="Q43" s="60"/>
      <c r="R43" s="61">
        <f t="shared" si="35"/>
        <v>0</v>
      </c>
      <c r="S43" s="62">
        <f t="shared" si="36"/>
        <v>0</v>
      </c>
      <c r="T43" s="63">
        <f t="shared" si="37"/>
        <v>0</v>
      </c>
      <c r="U43" s="64"/>
      <c r="V43" s="65"/>
      <c r="W43" s="66"/>
      <c r="X43" s="67"/>
      <c r="Y43" s="68"/>
      <c r="Z43" s="68"/>
      <c r="AA43" s="62">
        <f t="shared" si="38"/>
        <v>0</v>
      </c>
      <c r="AB43" s="63">
        <f t="shared" si="39"/>
        <v>0</v>
      </c>
      <c r="AC43" s="69"/>
      <c r="AD43" s="70"/>
      <c r="AE43" s="70"/>
      <c r="AF43" s="62">
        <f t="shared" si="18"/>
        <v>0</v>
      </c>
      <c r="AG43" s="63">
        <f t="shared" si="19"/>
        <v>0</v>
      </c>
      <c r="AH43" s="66"/>
      <c r="AI43" s="66"/>
      <c r="AJ43" s="66"/>
      <c r="AK43" s="62">
        <f t="shared" si="20"/>
        <v>0</v>
      </c>
      <c r="AL43" s="72">
        <f t="shared" si="21"/>
        <v>0</v>
      </c>
      <c r="AM43" s="73">
        <f t="shared" si="22"/>
        <v>0</v>
      </c>
      <c r="AN43" s="74">
        <f t="shared" si="23"/>
        <v>0</v>
      </c>
      <c r="AO43" s="74">
        <f t="shared" si="24"/>
        <v>0</v>
      </c>
      <c r="AP43" s="75" t="e">
        <f t="shared" si="25"/>
        <v>#DIV/0!</v>
      </c>
      <c r="AQ43" s="76">
        <f t="shared" si="26"/>
        <v>0</v>
      </c>
      <c r="AR43" s="90">
        <f t="shared" si="40"/>
        <v>0</v>
      </c>
    </row>
    <row r="44" spans="1:49" x14ac:dyDescent="0.25">
      <c r="A44" t="str">
        <f t="shared" si="10"/>
        <v>46194M</v>
      </c>
      <c r="B44" s="51">
        <f t="shared" si="28"/>
        <v>46194</v>
      </c>
      <c r="C44" s="52" t="s">
        <v>87</v>
      </c>
      <c r="D44" s="79"/>
      <c r="E44" s="62"/>
      <c r="F44" s="62"/>
      <c r="G44" s="62">
        <f t="shared" si="11"/>
        <v>0</v>
      </c>
      <c r="H44" s="63">
        <f t="shared" si="12"/>
        <v>0</v>
      </c>
      <c r="I44" s="119"/>
      <c r="J44" s="120"/>
      <c r="K44" s="121"/>
      <c r="L44" s="122"/>
      <c r="M44" s="58"/>
      <c r="N44" s="58"/>
      <c r="O44" s="59"/>
      <c r="P44" s="56"/>
      <c r="Q44" s="60"/>
      <c r="R44" s="61">
        <f t="shared" si="35"/>
        <v>0</v>
      </c>
      <c r="S44" s="62">
        <f t="shared" si="36"/>
        <v>0</v>
      </c>
      <c r="T44" s="63">
        <f t="shared" si="37"/>
        <v>0</v>
      </c>
      <c r="U44" s="64"/>
      <c r="V44" s="65"/>
      <c r="W44" s="66"/>
      <c r="X44" s="67"/>
      <c r="Y44" s="68"/>
      <c r="Z44" s="68"/>
      <c r="AA44" s="62">
        <f t="shared" si="38"/>
        <v>0</v>
      </c>
      <c r="AB44" s="63">
        <f t="shared" si="39"/>
        <v>0</v>
      </c>
      <c r="AC44" s="69"/>
      <c r="AD44" s="70"/>
      <c r="AE44" s="70"/>
      <c r="AF44" s="62">
        <f t="shared" si="18"/>
        <v>0</v>
      </c>
      <c r="AG44" s="63">
        <f t="shared" si="19"/>
        <v>0</v>
      </c>
      <c r="AH44" s="66"/>
      <c r="AI44" s="66"/>
      <c r="AJ44" s="66"/>
      <c r="AK44" s="62">
        <f t="shared" si="20"/>
        <v>0</v>
      </c>
      <c r="AL44" s="72">
        <f t="shared" si="21"/>
        <v>0</v>
      </c>
      <c r="AM44" s="73">
        <f t="shared" si="22"/>
        <v>0</v>
      </c>
      <c r="AN44" s="74">
        <f t="shared" si="23"/>
        <v>0</v>
      </c>
      <c r="AO44" s="74">
        <f t="shared" si="24"/>
        <v>0</v>
      </c>
      <c r="AP44" s="75" t="e">
        <f t="shared" si="25"/>
        <v>#DIV/0!</v>
      </c>
      <c r="AQ44" s="76">
        <f t="shared" si="26"/>
        <v>0</v>
      </c>
      <c r="AR44" s="90">
        <f t="shared" si="40"/>
        <v>0</v>
      </c>
    </row>
    <row r="45" spans="1:49" x14ac:dyDescent="0.25">
      <c r="A45" t="str">
        <f t="shared" si="10"/>
        <v>46194E</v>
      </c>
      <c r="B45" s="51">
        <f t="shared" si="28"/>
        <v>46194</v>
      </c>
      <c r="C45" s="52" t="s">
        <v>88</v>
      </c>
      <c r="D45" s="79"/>
      <c r="E45" s="62"/>
      <c r="F45" s="62"/>
      <c r="G45" s="62">
        <f t="shared" si="11"/>
        <v>0</v>
      </c>
      <c r="H45" s="63">
        <f t="shared" si="12"/>
        <v>0</v>
      </c>
      <c r="I45" s="119"/>
      <c r="J45" s="120"/>
      <c r="K45" s="121"/>
      <c r="L45" s="122"/>
      <c r="M45" s="58"/>
      <c r="N45" s="58"/>
      <c r="O45" s="59"/>
      <c r="P45" s="56"/>
      <c r="Q45" s="60"/>
      <c r="R45" s="61">
        <f t="shared" si="35"/>
        <v>0</v>
      </c>
      <c r="S45" s="62">
        <f t="shared" si="36"/>
        <v>0</v>
      </c>
      <c r="T45" s="63">
        <f t="shared" si="37"/>
        <v>0</v>
      </c>
      <c r="U45" s="64"/>
      <c r="V45" s="65"/>
      <c r="W45" s="66"/>
      <c r="X45" s="67"/>
      <c r="Y45" s="68"/>
      <c r="Z45" s="68"/>
      <c r="AA45" s="62">
        <f t="shared" si="38"/>
        <v>0</v>
      </c>
      <c r="AB45" s="63">
        <f t="shared" si="39"/>
        <v>0</v>
      </c>
      <c r="AC45" s="69"/>
      <c r="AD45" s="70"/>
      <c r="AE45" s="70"/>
      <c r="AF45" s="62">
        <f t="shared" si="18"/>
        <v>0</v>
      </c>
      <c r="AG45" s="63">
        <f t="shared" si="19"/>
        <v>0</v>
      </c>
      <c r="AH45" s="66"/>
      <c r="AI45" s="66"/>
      <c r="AJ45" s="66"/>
      <c r="AK45" s="62">
        <f t="shared" si="20"/>
        <v>0</v>
      </c>
      <c r="AL45" s="72">
        <f t="shared" si="21"/>
        <v>0</v>
      </c>
      <c r="AM45" s="73">
        <f t="shared" si="22"/>
        <v>0</v>
      </c>
      <c r="AN45" s="74">
        <f t="shared" si="23"/>
        <v>0</v>
      </c>
      <c r="AO45" s="74">
        <f t="shared" si="24"/>
        <v>0</v>
      </c>
      <c r="AP45" s="75" t="e">
        <f t="shared" si="25"/>
        <v>#DIV/0!</v>
      </c>
      <c r="AQ45" s="76">
        <f t="shared" si="26"/>
        <v>0</v>
      </c>
      <c r="AR45" s="90">
        <f t="shared" si="40"/>
        <v>0</v>
      </c>
    </row>
    <row r="46" spans="1:49" x14ac:dyDescent="0.25">
      <c r="A46" t="str">
        <f t="shared" si="10"/>
        <v>46195M</v>
      </c>
      <c r="B46" s="51">
        <f t="shared" si="28"/>
        <v>46195</v>
      </c>
      <c r="C46" s="52" t="s">
        <v>87</v>
      </c>
      <c r="D46" s="79"/>
      <c r="E46" s="62"/>
      <c r="F46" s="62"/>
      <c r="G46" s="62">
        <f t="shared" ref="G46:G49" si="41">+D46*E46%</f>
        <v>0</v>
      </c>
      <c r="H46" s="63">
        <f t="shared" ref="H46:H49" si="42">+D46*F46%</f>
        <v>0</v>
      </c>
      <c r="I46" s="119"/>
      <c r="J46" s="120"/>
      <c r="K46" s="121"/>
      <c r="L46" s="122"/>
      <c r="M46" s="58"/>
      <c r="N46" s="58"/>
      <c r="O46" s="59"/>
      <c r="P46" s="56"/>
      <c r="Q46" s="60"/>
      <c r="R46" s="61">
        <f t="shared" si="35"/>
        <v>0</v>
      </c>
      <c r="S46" s="62">
        <f t="shared" si="36"/>
        <v>0</v>
      </c>
      <c r="T46" s="63">
        <f t="shared" si="37"/>
        <v>0</v>
      </c>
      <c r="U46" s="64"/>
      <c r="V46" s="65"/>
      <c r="W46" s="66"/>
      <c r="X46" s="67"/>
      <c r="Y46" s="68"/>
      <c r="Z46" s="68"/>
      <c r="AA46" s="62">
        <f t="shared" si="38"/>
        <v>0</v>
      </c>
      <c r="AB46" s="63">
        <f t="shared" si="39"/>
        <v>0</v>
      </c>
      <c r="AC46" s="69"/>
      <c r="AD46" s="70"/>
      <c r="AE46" s="70"/>
      <c r="AF46" s="62">
        <f t="shared" si="18"/>
        <v>0</v>
      </c>
      <c r="AG46" s="63">
        <f t="shared" si="19"/>
        <v>0</v>
      </c>
      <c r="AH46" s="66"/>
      <c r="AI46" s="66"/>
      <c r="AJ46" s="66"/>
      <c r="AK46" s="62">
        <f t="shared" si="20"/>
        <v>0</v>
      </c>
      <c r="AL46" s="72">
        <f t="shared" si="21"/>
        <v>0</v>
      </c>
      <c r="AM46" s="73">
        <f t="shared" si="22"/>
        <v>0</v>
      </c>
      <c r="AN46" s="74">
        <f t="shared" si="23"/>
        <v>0</v>
      </c>
      <c r="AO46" s="74">
        <f t="shared" si="24"/>
        <v>0</v>
      </c>
      <c r="AP46" s="75" t="e">
        <f t="shared" si="25"/>
        <v>#DIV/0!</v>
      </c>
      <c r="AQ46" s="76">
        <f t="shared" si="26"/>
        <v>0</v>
      </c>
      <c r="AR46" s="90">
        <f t="shared" si="40"/>
        <v>0</v>
      </c>
    </row>
    <row r="47" spans="1:49" x14ac:dyDescent="0.25">
      <c r="A47" t="str">
        <f t="shared" si="10"/>
        <v>46195E</v>
      </c>
      <c r="B47" s="51">
        <f t="shared" si="28"/>
        <v>46195</v>
      </c>
      <c r="C47" s="52" t="s">
        <v>88</v>
      </c>
      <c r="D47" s="79"/>
      <c r="E47" s="62"/>
      <c r="F47" s="62"/>
      <c r="G47" s="62">
        <f t="shared" si="41"/>
        <v>0</v>
      </c>
      <c r="H47" s="63">
        <f t="shared" si="42"/>
        <v>0</v>
      </c>
      <c r="I47" s="119"/>
      <c r="J47" s="120"/>
      <c r="K47" s="121"/>
      <c r="L47" s="122"/>
      <c r="M47" s="58"/>
      <c r="N47" s="58"/>
      <c r="O47" s="59"/>
      <c r="P47" s="56"/>
      <c r="Q47" s="60"/>
      <c r="R47" s="61">
        <f t="shared" si="35"/>
        <v>0</v>
      </c>
      <c r="S47" s="62">
        <f t="shared" si="36"/>
        <v>0</v>
      </c>
      <c r="T47" s="63">
        <f t="shared" si="37"/>
        <v>0</v>
      </c>
      <c r="U47" s="64"/>
      <c r="V47" s="65"/>
      <c r="W47" s="66"/>
      <c r="X47" s="67"/>
      <c r="Y47" s="68"/>
      <c r="Z47" s="68"/>
      <c r="AA47" s="62">
        <f t="shared" si="38"/>
        <v>0</v>
      </c>
      <c r="AB47" s="63">
        <f t="shared" si="39"/>
        <v>0</v>
      </c>
      <c r="AC47" s="69"/>
      <c r="AD47" s="70"/>
      <c r="AE47" s="70"/>
      <c r="AF47" s="62">
        <f t="shared" si="18"/>
        <v>0</v>
      </c>
      <c r="AG47" s="63">
        <f t="shared" si="19"/>
        <v>0</v>
      </c>
      <c r="AH47" s="66"/>
      <c r="AI47" s="66"/>
      <c r="AJ47" s="66"/>
      <c r="AK47" s="62">
        <f t="shared" si="20"/>
        <v>0</v>
      </c>
      <c r="AL47" s="72">
        <f t="shared" si="21"/>
        <v>0</v>
      </c>
      <c r="AM47" s="73">
        <f t="shared" si="22"/>
        <v>0</v>
      </c>
      <c r="AN47" s="74">
        <f t="shared" si="23"/>
        <v>0</v>
      </c>
      <c r="AO47" s="74">
        <f t="shared" si="24"/>
        <v>0</v>
      </c>
      <c r="AP47" s="75" t="e">
        <f t="shared" si="25"/>
        <v>#DIV/0!</v>
      </c>
      <c r="AQ47" s="76">
        <f t="shared" si="26"/>
        <v>0</v>
      </c>
      <c r="AR47" s="90">
        <f t="shared" si="40"/>
        <v>0</v>
      </c>
    </row>
    <row r="48" spans="1:49" x14ac:dyDescent="0.25">
      <c r="A48" t="str">
        <f t="shared" si="10"/>
        <v>46196M</v>
      </c>
      <c r="B48" s="51">
        <f t="shared" si="28"/>
        <v>46196</v>
      </c>
      <c r="C48" s="52" t="s">
        <v>87</v>
      </c>
      <c r="D48" s="79"/>
      <c r="E48" s="62"/>
      <c r="F48" s="62"/>
      <c r="G48" s="62">
        <f t="shared" si="41"/>
        <v>0</v>
      </c>
      <c r="H48" s="63">
        <f t="shared" si="42"/>
        <v>0</v>
      </c>
      <c r="I48" s="119"/>
      <c r="J48" s="120"/>
      <c r="K48" s="121"/>
      <c r="L48" s="122"/>
      <c r="M48" s="58"/>
      <c r="N48" s="58"/>
      <c r="O48" s="59"/>
      <c r="P48" s="56"/>
      <c r="Q48" s="60"/>
      <c r="R48" s="61">
        <f t="shared" si="35"/>
        <v>0</v>
      </c>
      <c r="S48" s="62">
        <f t="shared" si="36"/>
        <v>0</v>
      </c>
      <c r="T48" s="63">
        <f>+J48*L48%+O48*Q48%</f>
        <v>0</v>
      </c>
      <c r="U48" s="64"/>
      <c r="V48" s="65"/>
      <c r="W48" s="66"/>
      <c r="X48" s="67"/>
      <c r="Y48" s="68"/>
      <c r="Z48" s="68"/>
      <c r="AA48" s="62">
        <f t="shared" si="38"/>
        <v>0</v>
      </c>
      <c r="AB48" s="63">
        <f t="shared" si="39"/>
        <v>0</v>
      </c>
      <c r="AC48" s="69"/>
      <c r="AD48" s="70"/>
      <c r="AE48" s="70"/>
      <c r="AF48" s="62">
        <f t="shared" si="18"/>
        <v>0</v>
      </c>
      <c r="AG48" s="63">
        <f t="shared" si="19"/>
        <v>0</v>
      </c>
      <c r="AH48" s="66"/>
      <c r="AI48" s="66"/>
      <c r="AJ48" s="66"/>
      <c r="AK48" s="62">
        <f t="shared" si="20"/>
        <v>0</v>
      </c>
      <c r="AL48" s="72">
        <f t="shared" si="21"/>
        <v>0</v>
      </c>
      <c r="AM48" s="73">
        <f t="shared" si="22"/>
        <v>0</v>
      </c>
      <c r="AN48" s="74">
        <f t="shared" si="23"/>
        <v>0</v>
      </c>
      <c r="AO48" s="74">
        <f t="shared" si="24"/>
        <v>0</v>
      </c>
      <c r="AP48" s="75" t="e">
        <f t="shared" si="25"/>
        <v>#DIV/0!</v>
      </c>
      <c r="AQ48" s="76">
        <f t="shared" si="26"/>
        <v>0</v>
      </c>
      <c r="AR48" s="90">
        <f t="shared" si="40"/>
        <v>0</v>
      </c>
    </row>
    <row r="49" spans="1:49" x14ac:dyDescent="0.25">
      <c r="A49" t="str">
        <f t="shared" si="10"/>
        <v>46196E</v>
      </c>
      <c r="B49" s="51">
        <f t="shared" si="28"/>
        <v>46196</v>
      </c>
      <c r="C49" s="52" t="s">
        <v>88</v>
      </c>
      <c r="D49" s="79"/>
      <c r="E49" s="62"/>
      <c r="F49" s="62"/>
      <c r="G49" s="62">
        <f t="shared" si="41"/>
        <v>0</v>
      </c>
      <c r="H49" s="63">
        <f t="shared" si="42"/>
        <v>0</v>
      </c>
      <c r="I49" s="119"/>
      <c r="J49" s="120"/>
      <c r="K49" s="121"/>
      <c r="L49" s="122"/>
      <c r="M49" s="58"/>
      <c r="N49" s="58"/>
      <c r="O49" s="59"/>
      <c r="P49" s="56"/>
      <c r="Q49" s="60"/>
      <c r="R49" s="61">
        <f t="shared" si="35"/>
        <v>0</v>
      </c>
      <c r="S49" s="62">
        <f t="shared" si="36"/>
        <v>0</v>
      </c>
      <c r="T49" s="63">
        <f t="shared" si="37"/>
        <v>0</v>
      </c>
      <c r="U49" s="64"/>
      <c r="V49" s="65"/>
      <c r="W49" s="66"/>
      <c r="X49" s="67"/>
      <c r="Y49" s="68"/>
      <c r="Z49" s="68"/>
      <c r="AA49" s="62">
        <f t="shared" si="38"/>
        <v>0</v>
      </c>
      <c r="AB49" s="63">
        <f t="shared" si="39"/>
        <v>0</v>
      </c>
      <c r="AC49" s="69"/>
      <c r="AD49" s="70"/>
      <c r="AE49" s="70"/>
      <c r="AF49" s="62">
        <f t="shared" si="18"/>
        <v>0</v>
      </c>
      <c r="AG49" s="63">
        <f t="shared" si="19"/>
        <v>0</v>
      </c>
      <c r="AH49" s="66"/>
      <c r="AI49" s="66"/>
      <c r="AJ49" s="66"/>
      <c r="AK49" s="62">
        <f t="shared" si="20"/>
        <v>0</v>
      </c>
      <c r="AL49" s="72">
        <f t="shared" si="21"/>
        <v>0</v>
      </c>
      <c r="AM49" s="73">
        <f t="shared" si="22"/>
        <v>0</v>
      </c>
      <c r="AN49" s="74">
        <f t="shared" si="23"/>
        <v>0</v>
      </c>
      <c r="AO49" s="74">
        <f t="shared" si="24"/>
        <v>0</v>
      </c>
      <c r="AP49" s="75" t="e">
        <f t="shared" si="25"/>
        <v>#DIV/0!</v>
      </c>
      <c r="AQ49" s="76">
        <f t="shared" si="26"/>
        <v>0</v>
      </c>
      <c r="AR49" s="90">
        <f>(D49+J49+O49)-(X49+AH49)</f>
        <v>0</v>
      </c>
    </row>
    <row r="50" spans="1:49" x14ac:dyDescent="0.25">
      <c r="A50" t="str">
        <f t="shared" si="10"/>
        <v>46197M</v>
      </c>
      <c r="B50" s="51">
        <f t="shared" si="28"/>
        <v>46197</v>
      </c>
      <c r="C50" s="52" t="s">
        <v>87</v>
      </c>
      <c r="D50" s="79"/>
      <c r="E50" s="62"/>
      <c r="F50" s="62"/>
      <c r="G50" s="62">
        <f t="shared" ref="G50:G57" si="43">+D50*E50%</f>
        <v>0</v>
      </c>
      <c r="H50" s="63">
        <f t="shared" ref="H50:H57" si="44">+D50*F50%</f>
        <v>0</v>
      </c>
      <c r="I50" s="119"/>
      <c r="J50" s="120"/>
      <c r="K50" s="121"/>
      <c r="L50" s="122"/>
      <c r="M50" s="58"/>
      <c r="N50" s="58"/>
      <c r="O50" s="59"/>
      <c r="P50" s="56"/>
      <c r="Q50" s="60"/>
      <c r="R50" s="61">
        <f t="shared" ref="R50" si="45">+J50+O50</f>
        <v>0</v>
      </c>
      <c r="S50" s="62">
        <f t="shared" ref="S50" si="46">+J50*K50%+O50*P50%</f>
        <v>0</v>
      </c>
      <c r="T50" s="63">
        <f t="shared" ref="T50" si="47">+J50*L50%+O50*Q50%</f>
        <v>0</v>
      </c>
      <c r="U50" s="64"/>
      <c r="V50" s="65"/>
      <c r="W50" s="66"/>
      <c r="X50" s="67"/>
      <c r="Y50" s="68"/>
      <c r="Z50" s="68"/>
      <c r="AA50" s="62">
        <f t="shared" si="38"/>
        <v>0</v>
      </c>
      <c r="AB50" s="63">
        <f t="shared" si="39"/>
        <v>0</v>
      </c>
      <c r="AC50" s="69"/>
      <c r="AD50" s="70"/>
      <c r="AE50" s="70"/>
      <c r="AF50" s="62">
        <f t="shared" si="18"/>
        <v>0</v>
      </c>
      <c r="AG50" s="63">
        <f t="shared" si="19"/>
        <v>0</v>
      </c>
      <c r="AH50" s="66"/>
      <c r="AI50" s="66"/>
      <c r="AJ50" s="66"/>
      <c r="AK50" s="62">
        <f t="shared" si="20"/>
        <v>0</v>
      </c>
      <c r="AL50" s="72">
        <f t="shared" si="21"/>
        <v>0</v>
      </c>
      <c r="AM50" s="73">
        <f t="shared" si="22"/>
        <v>0</v>
      </c>
      <c r="AN50" s="74">
        <f t="shared" si="23"/>
        <v>0</v>
      </c>
      <c r="AO50" s="74">
        <f t="shared" si="24"/>
        <v>0</v>
      </c>
      <c r="AP50" s="75" t="e">
        <f t="shared" si="25"/>
        <v>#DIV/0!</v>
      </c>
      <c r="AQ50" s="76">
        <f t="shared" si="26"/>
        <v>0</v>
      </c>
      <c r="AR50" s="90">
        <f t="shared" si="40"/>
        <v>0</v>
      </c>
    </row>
    <row r="51" spans="1:49" x14ac:dyDescent="0.25">
      <c r="A51" t="str">
        <f t="shared" si="10"/>
        <v>46197E</v>
      </c>
      <c r="B51" s="51">
        <f t="shared" si="28"/>
        <v>46197</v>
      </c>
      <c r="C51" s="52" t="s">
        <v>88</v>
      </c>
      <c r="D51" s="79"/>
      <c r="E51" s="62"/>
      <c r="F51" s="62"/>
      <c r="G51" s="62">
        <f t="shared" si="43"/>
        <v>0</v>
      </c>
      <c r="H51" s="63">
        <f t="shared" si="44"/>
        <v>0</v>
      </c>
      <c r="I51" s="119"/>
      <c r="J51" s="120"/>
      <c r="K51" s="121"/>
      <c r="L51" s="122"/>
      <c r="M51" s="58"/>
      <c r="N51" s="58"/>
      <c r="O51" s="59"/>
      <c r="P51" s="56"/>
      <c r="Q51" s="60"/>
      <c r="R51" s="61">
        <f t="shared" ref="R51:R59" si="48">+J51+O51</f>
        <v>0</v>
      </c>
      <c r="S51" s="62">
        <f t="shared" ref="S51:S59" si="49">+J51*K51%+O51*P51%</f>
        <v>0</v>
      </c>
      <c r="T51" s="63">
        <f t="shared" ref="T51:T59" si="50">+J51*L51%+O51*Q51%</f>
        <v>0</v>
      </c>
      <c r="U51" s="64"/>
      <c r="V51" s="85"/>
      <c r="W51" s="66"/>
      <c r="X51" s="67"/>
      <c r="Y51" s="68"/>
      <c r="Z51" s="68"/>
      <c r="AA51" s="62">
        <f t="shared" ref="AA51:AA59" si="51">X51*Y51%</f>
        <v>0</v>
      </c>
      <c r="AB51" s="63">
        <f t="shared" ref="AB51:AB59" si="52">X51*Z51%</f>
        <v>0</v>
      </c>
      <c r="AC51" s="69"/>
      <c r="AD51" s="70"/>
      <c r="AE51" s="70"/>
      <c r="AF51" s="62">
        <f t="shared" si="18"/>
        <v>0</v>
      </c>
      <c r="AG51" s="63">
        <f t="shared" si="19"/>
        <v>0</v>
      </c>
      <c r="AH51" s="66"/>
      <c r="AI51" s="66"/>
      <c r="AJ51" s="66"/>
      <c r="AK51" s="62">
        <f t="shared" si="20"/>
        <v>0</v>
      </c>
      <c r="AL51" s="72">
        <f t="shared" si="21"/>
        <v>0</v>
      </c>
      <c r="AM51" s="73">
        <f t="shared" si="22"/>
        <v>0</v>
      </c>
      <c r="AN51" s="74">
        <f t="shared" si="23"/>
        <v>0</v>
      </c>
      <c r="AO51" s="74">
        <f t="shared" si="24"/>
        <v>0</v>
      </c>
      <c r="AP51" s="75" t="e">
        <f t="shared" si="25"/>
        <v>#DIV/0!</v>
      </c>
      <c r="AQ51" s="76">
        <f t="shared" si="26"/>
        <v>0</v>
      </c>
      <c r="AR51" s="90">
        <f t="shared" si="40"/>
        <v>0</v>
      </c>
    </row>
    <row r="52" spans="1:49" x14ac:dyDescent="0.25">
      <c r="A52" t="str">
        <f t="shared" si="10"/>
        <v>46198M</v>
      </c>
      <c r="B52" s="51">
        <f t="shared" si="28"/>
        <v>46198</v>
      </c>
      <c r="C52" s="52" t="s">
        <v>87</v>
      </c>
      <c r="D52" s="79"/>
      <c r="E52" s="62"/>
      <c r="F52" s="62"/>
      <c r="G52" s="62">
        <f t="shared" si="43"/>
        <v>0</v>
      </c>
      <c r="H52" s="63">
        <f t="shared" si="44"/>
        <v>0</v>
      </c>
      <c r="I52" s="119"/>
      <c r="J52" s="120"/>
      <c r="K52" s="121"/>
      <c r="L52" s="122"/>
      <c r="M52" s="58"/>
      <c r="N52" s="58"/>
      <c r="O52" s="59"/>
      <c r="P52" s="56"/>
      <c r="Q52" s="60"/>
      <c r="R52" s="61">
        <f t="shared" si="48"/>
        <v>0</v>
      </c>
      <c r="S52" s="62">
        <f t="shared" si="49"/>
        <v>0</v>
      </c>
      <c r="T52" s="63">
        <f t="shared" si="50"/>
        <v>0</v>
      </c>
      <c r="U52" s="64"/>
      <c r="V52" s="65"/>
      <c r="W52" s="66"/>
      <c r="X52" s="67"/>
      <c r="Y52" s="68"/>
      <c r="Z52" s="68"/>
      <c r="AA52" s="62">
        <f t="shared" si="51"/>
        <v>0</v>
      </c>
      <c r="AB52" s="63">
        <f t="shared" si="52"/>
        <v>0</v>
      </c>
      <c r="AC52" s="69"/>
      <c r="AD52" s="70"/>
      <c r="AE52" s="70"/>
      <c r="AF52" s="62">
        <f t="shared" si="18"/>
        <v>0</v>
      </c>
      <c r="AG52" s="63">
        <f t="shared" si="19"/>
        <v>0</v>
      </c>
      <c r="AH52" s="66"/>
      <c r="AI52" s="66"/>
      <c r="AJ52" s="66"/>
      <c r="AK52" s="62">
        <f t="shared" si="20"/>
        <v>0</v>
      </c>
      <c r="AL52" s="72">
        <f t="shared" si="21"/>
        <v>0</v>
      </c>
      <c r="AM52" s="73">
        <f t="shared" si="22"/>
        <v>0</v>
      </c>
      <c r="AN52" s="74">
        <f t="shared" si="23"/>
        <v>0</v>
      </c>
      <c r="AO52" s="74">
        <f t="shared" si="24"/>
        <v>0</v>
      </c>
      <c r="AP52" s="75" t="e">
        <f t="shared" si="25"/>
        <v>#DIV/0!</v>
      </c>
      <c r="AQ52" s="76">
        <f t="shared" si="26"/>
        <v>0</v>
      </c>
      <c r="AR52" s="83">
        <f t="shared" ref="AR52:AR65" si="53">(D52+J52+O52)-(X52+AH52)</f>
        <v>0</v>
      </c>
    </row>
    <row r="53" spans="1:49" x14ac:dyDescent="0.25">
      <c r="A53" t="str">
        <f t="shared" si="10"/>
        <v>46198E</v>
      </c>
      <c r="B53" s="51">
        <f t="shared" si="28"/>
        <v>46198</v>
      </c>
      <c r="C53" s="52" t="s">
        <v>88</v>
      </c>
      <c r="D53" s="79"/>
      <c r="E53" s="62"/>
      <c r="F53" s="62"/>
      <c r="G53" s="62">
        <f t="shared" si="43"/>
        <v>0</v>
      </c>
      <c r="H53" s="63">
        <f t="shared" si="44"/>
        <v>0</v>
      </c>
      <c r="I53" s="119"/>
      <c r="J53" s="120"/>
      <c r="K53" s="121"/>
      <c r="L53" s="122"/>
      <c r="M53" s="58"/>
      <c r="N53" s="58"/>
      <c r="O53" s="59"/>
      <c r="P53" s="56"/>
      <c r="Q53" s="60"/>
      <c r="R53" s="61">
        <f t="shared" si="48"/>
        <v>0</v>
      </c>
      <c r="S53" s="62">
        <f t="shared" si="49"/>
        <v>0</v>
      </c>
      <c r="T53" s="63">
        <f t="shared" si="50"/>
        <v>0</v>
      </c>
      <c r="U53" s="64"/>
      <c r="V53" s="65"/>
      <c r="W53" s="66"/>
      <c r="X53" s="67"/>
      <c r="Y53" s="68"/>
      <c r="Z53" s="68"/>
      <c r="AA53" s="62">
        <f t="shared" si="51"/>
        <v>0</v>
      </c>
      <c r="AB53" s="63">
        <f t="shared" si="52"/>
        <v>0</v>
      </c>
      <c r="AC53" s="69"/>
      <c r="AD53" s="70"/>
      <c r="AE53" s="70"/>
      <c r="AF53" s="62">
        <f t="shared" si="18"/>
        <v>0</v>
      </c>
      <c r="AG53" s="63">
        <f t="shared" si="19"/>
        <v>0</v>
      </c>
      <c r="AH53" s="66"/>
      <c r="AI53" s="66"/>
      <c r="AJ53" s="66"/>
      <c r="AK53" s="62">
        <f t="shared" si="20"/>
        <v>0</v>
      </c>
      <c r="AL53" s="72">
        <f t="shared" si="21"/>
        <v>0</v>
      </c>
      <c r="AM53" s="73">
        <f t="shared" si="22"/>
        <v>0</v>
      </c>
      <c r="AN53" s="74">
        <f t="shared" si="23"/>
        <v>0</v>
      </c>
      <c r="AO53" s="74">
        <f t="shared" si="24"/>
        <v>0</v>
      </c>
      <c r="AP53" s="75" t="e">
        <f t="shared" si="25"/>
        <v>#DIV/0!</v>
      </c>
      <c r="AQ53" s="76">
        <f t="shared" si="26"/>
        <v>0</v>
      </c>
      <c r="AR53" s="83">
        <f t="shared" si="53"/>
        <v>0</v>
      </c>
    </row>
    <row r="54" spans="1:49" x14ac:dyDescent="0.25">
      <c r="A54" t="str">
        <f t="shared" si="10"/>
        <v>46199M</v>
      </c>
      <c r="B54" s="51">
        <f t="shared" si="28"/>
        <v>46199</v>
      </c>
      <c r="C54" s="52" t="s">
        <v>87</v>
      </c>
      <c r="D54" s="79"/>
      <c r="E54" s="62"/>
      <c r="F54" s="62"/>
      <c r="G54" s="62">
        <f t="shared" si="43"/>
        <v>0</v>
      </c>
      <c r="H54" s="63">
        <f t="shared" si="44"/>
        <v>0</v>
      </c>
      <c r="I54" s="119"/>
      <c r="J54" s="120"/>
      <c r="K54" s="121"/>
      <c r="L54" s="122"/>
      <c r="M54" s="58"/>
      <c r="N54" s="58"/>
      <c r="O54" s="59"/>
      <c r="P54" s="56"/>
      <c r="Q54" s="60"/>
      <c r="R54" s="61">
        <f t="shared" si="48"/>
        <v>0</v>
      </c>
      <c r="S54" s="62">
        <f t="shared" si="49"/>
        <v>0</v>
      </c>
      <c r="T54" s="63">
        <f t="shared" si="50"/>
        <v>0</v>
      </c>
      <c r="U54" s="64"/>
      <c r="V54" s="65"/>
      <c r="W54" s="66"/>
      <c r="X54" s="67"/>
      <c r="Y54" s="68"/>
      <c r="Z54" s="68"/>
      <c r="AA54" s="62">
        <f t="shared" si="51"/>
        <v>0</v>
      </c>
      <c r="AB54" s="63">
        <f t="shared" si="52"/>
        <v>0</v>
      </c>
      <c r="AC54" s="69"/>
      <c r="AD54" s="70"/>
      <c r="AE54" s="70"/>
      <c r="AF54" s="62">
        <f t="shared" si="18"/>
        <v>0</v>
      </c>
      <c r="AG54" s="63">
        <f t="shared" si="19"/>
        <v>0</v>
      </c>
      <c r="AH54" s="66"/>
      <c r="AI54" s="66"/>
      <c r="AJ54" s="66"/>
      <c r="AK54" s="62">
        <f t="shared" si="20"/>
        <v>0</v>
      </c>
      <c r="AL54" s="72">
        <f t="shared" si="21"/>
        <v>0</v>
      </c>
      <c r="AM54" s="73">
        <f t="shared" si="22"/>
        <v>0</v>
      </c>
      <c r="AN54" s="74">
        <f t="shared" si="23"/>
        <v>0</v>
      </c>
      <c r="AO54" s="74">
        <f t="shared" si="24"/>
        <v>0</v>
      </c>
      <c r="AP54" s="75" t="e">
        <f t="shared" si="25"/>
        <v>#DIV/0!</v>
      </c>
      <c r="AQ54" s="76">
        <f t="shared" si="26"/>
        <v>0</v>
      </c>
      <c r="AR54" s="83">
        <f t="shared" si="53"/>
        <v>0</v>
      </c>
    </row>
    <row r="55" spans="1:49" x14ac:dyDescent="0.25">
      <c r="A55" t="str">
        <f t="shared" si="10"/>
        <v>46199E</v>
      </c>
      <c r="B55" s="51">
        <f t="shared" si="28"/>
        <v>46199</v>
      </c>
      <c r="C55" s="52" t="s">
        <v>88</v>
      </c>
      <c r="D55" s="79"/>
      <c r="E55" s="62"/>
      <c r="F55" s="62"/>
      <c r="G55" s="62">
        <f t="shared" si="43"/>
        <v>0</v>
      </c>
      <c r="H55" s="63">
        <f t="shared" si="44"/>
        <v>0</v>
      </c>
      <c r="I55" s="119"/>
      <c r="J55" s="120"/>
      <c r="K55" s="121"/>
      <c r="L55" s="122"/>
      <c r="M55" s="58"/>
      <c r="N55" s="58"/>
      <c r="O55" s="59"/>
      <c r="P55" s="56"/>
      <c r="Q55" s="60"/>
      <c r="R55" s="61">
        <f t="shared" si="48"/>
        <v>0</v>
      </c>
      <c r="S55" s="62">
        <f t="shared" si="49"/>
        <v>0</v>
      </c>
      <c r="T55" s="63">
        <f t="shared" si="50"/>
        <v>0</v>
      </c>
      <c r="U55" s="64"/>
      <c r="V55" s="65"/>
      <c r="W55" s="66"/>
      <c r="X55" s="67"/>
      <c r="Y55" s="68"/>
      <c r="Z55" s="68"/>
      <c r="AA55" s="62">
        <f t="shared" si="51"/>
        <v>0</v>
      </c>
      <c r="AB55" s="63">
        <f t="shared" si="52"/>
        <v>0</v>
      </c>
      <c r="AC55" s="69"/>
      <c r="AD55" s="70"/>
      <c r="AE55" s="70"/>
      <c r="AF55" s="62">
        <f t="shared" si="18"/>
        <v>0</v>
      </c>
      <c r="AG55" s="63">
        <f t="shared" si="19"/>
        <v>0</v>
      </c>
      <c r="AH55" s="66"/>
      <c r="AI55" s="66"/>
      <c r="AJ55" s="66"/>
      <c r="AK55" s="62">
        <f t="shared" si="20"/>
        <v>0</v>
      </c>
      <c r="AL55" s="72">
        <f t="shared" si="21"/>
        <v>0</v>
      </c>
      <c r="AM55" s="73">
        <f t="shared" si="22"/>
        <v>0</v>
      </c>
      <c r="AN55" s="74">
        <f t="shared" si="23"/>
        <v>0</v>
      </c>
      <c r="AO55" s="74">
        <f t="shared" si="24"/>
        <v>0</v>
      </c>
      <c r="AP55" s="75" t="e">
        <f t="shared" si="25"/>
        <v>#DIV/0!</v>
      </c>
      <c r="AQ55" s="76">
        <f t="shared" si="26"/>
        <v>0</v>
      </c>
      <c r="AR55" s="83">
        <f t="shared" si="53"/>
        <v>0</v>
      </c>
      <c r="AS55" s="90">
        <f>SUM(J42:J55)</f>
        <v>0</v>
      </c>
      <c r="AT55" s="83">
        <f>SUM(AM42:AM55)</f>
        <v>0</v>
      </c>
      <c r="AU55" s="83">
        <f>SUM(AN42:AN55)</f>
        <v>0</v>
      </c>
      <c r="AV55" s="83">
        <f>SUM(AO42:AO55)</f>
        <v>0</v>
      </c>
      <c r="AW55" s="83">
        <f>-SUM(AQ42:AQ55)</f>
        <v>0</v>
      </c>
    </row>
    <row r="56" spans="1:49" x14ac:dyDescent="0.25">
      <c r="A56" t="str">
        <f t="shared" si="10"/>
        <v>46200M</v>
      </c>
      <c r="B56" s="51">
        <f t="shared" si="28"/>
        <v>46200</v>
      </c>
      <c r="C56" s="52" t="s">
        <v>87</v>
      </c>
      <c r="D56" s="79"/>
      <c r="E56" s="62"/>
      <c r="F56" s="62"/>
      <c r="G56" s="62">
        <f t="shared" si="43"/>
        <v>0</v>
      </c>
      <c r="H56" s="63">
        <f t="shared" si="44"/>
        <v>0</v>
      </c>
      <c r="I56" s="119"/>
      <c r="J56" s="120"/>
      <c r="K56" s="121"/>
      <c r="L56" s="122"/>
      <c r="M56" s="58"/>
      <c r="N56" s="58"/>
      <c r="O56" s="59"/>
      <c r="P56" s="56"/>
      <c r="Q56" s="60"/>
      <c r="R56" s="61">
        <f t="shared" si="48"/>
        <v>0</v>
      </c>
      <c r="S56" s="62">
        <f t="shared" si="49"/>
        <v>0</v>
      </c>
      <c r="T56" s="63">
        <f t="shared" si="50"/>
        <v>0</v>
      </c>
      <c r="U56" s="64"/>
      <c r="V56" s="65"/>
      <c r="W56" s="66"/>
      <c r="X56" s="67"/>
      <c r="Y56" s="68"/>
      <c r="Z56" s="68"/>
      <c r="AA56" s="62">
        <f t="shared" si="51"/>
        <v>0</v>
      </c>
      <c r="AB56" s="63">
        <f t="shared" si="52"/>
        <v>0</v>
      </c>
      <c r="AC56" s="69"/>
      <c r="AD56" s="70"/>
      <c r="AE56" s="70"/>
      <c r="AF56" s="62">
        <f t="shared" si="18"/>
        <v>0</v>
      </c>
      <c r="AG56" s="63">
        <f t="shared" si="19"/>
        <v>0</v>
      </c>
      <c r="AH56" s="66"/>
      <c r="AI56" s="66"/>
      <c r="AJ56" s="66"/>
      <c r="AK56" s="62">
        <f t="shared" si="20"/>
        <v>0</v>
      </c>
      <c r="AL56" s="72">
        <f t="shared" si="21"/>
        <v>0</v>
      </c>
      <c r="AM56" s="73">
        <f t="shared" si="22"/>
        <v>0</v>
      </c>
      <c r="AN56" s="74">
        <f t="shared" si="23"/>
        <v>0</v>
      </c>
      <c r="AO56" s="74">
        <f t="shared" si="24"/>
        <v>0</v>
      </c>
      <c r="AP56" s="75" t="e">
        <f t="shared" si="25"/>
        <v>#DIV/0!</v>
      </c>
      <c r="AQ56" s="76">
        <f t="shared" si="26"/>
        <v>0</v>
      </c>
      <c r="AR56" s="83">
        <f t="shared" si="53"/>
        <v>0</v>
      </c>
    </row>
    <row r="57" spans="1:49" x14ac:dyDescent="0.25">
      <c r="A57" t="str">
        <f t="shared" si="10"/>
        <v>46200E</v>
      </c>
      <c r="B57" s="51">
        <f t="shared" si="28"/>
        <v>46200</v>
      </c>
      <c r="C57" s="52" t="s">
        <v>88</v>
      </c>
      <c r="D57" s="79"/>
      <c r="E57" s="62"/>
      <c r="F57" s="62"/>
      <c r="G57" s="62">
        <f t="shared" si="43"/>
        <v>0</v>
      </c>
      <c r="H57" s="63">
        <f t="shared" si="44"/>
        <v>0</v>
      </c>
      <c r="I57" s="119"/>
      <c r="J57" s="120"/>
      <c r="K57" s="121"/>
      <c r="L57" s="122"/>
      <c r="M57" s="58"/>
      <c r="N57" s="58"/>
      <c r="O57" s="59"/>
      <c r="P57" s="56"/>
      <c r="Q57" s="60"/>
      <c r="R57" s="61">
        <f t="shared" si="48"/>
        <v>0</v>
      </c>
      <c r="S57" s="62">
        <f t="shared" si="49"/>
        <v>0</v>
      </c>
      <c r="T57" s="63">
        <f t="shared" si="50"/>
        <v>0</v>
      </c>
      <c r="U57" s="64"/>
      <c r="V57" s="65"/>
      <c r="W57" s="66"/>
      <c r="X57" s="67"/>
      <c r="Y57" s="68"/>
      <c r="Z57" s="68"/>
      <c r="AA57" s="62">
        <f t="shared" si="51"/>
        <v>0</v>
      </c>
      <c r="AB57" s="63">
        <f t="shared" si="52"/>
        <v>0</v>
      </c>
      <c r="AC57" s="69"/>
      <c r="AD57" s="70"/>
      <c r="AE57" s="70"/>
      <c r="AF57" s="62">
        <f t="shared" si="18"/>
        <v>0</v>
      </c>
      <c r="AG57" s="63">
        <f t="shared" si="19"/>
        <v>0</v>
      </c>
      <c r="AH57" s="66"/>
      <c r="AI57" s="66"/>
      <c r="AJ57" s="66"/>
      <c r="AK57" s="62">
        <f t="shared" si="20"/>
        <v>0</v>
      </c>
      <c r="AL57" s="72">
        <f t="shared" si="21"/>
        <v>0</v>
      </c>
      <c r="AM57" s="73">
        <f t="shared" si="22"/>
        <v>0</v>
      </c>
      <c r="AN57" s="74">
        <f t="shared" si="23"/>
        <v>0</v>
      </c>
      <c r="AO57" s="74">
        <f t="shared" si="24"/>
        <v>0</v>
      </c>
      <c r="AP57" s="75" t="e">
        <f t="shared" si="25"/>
        <v>#DIV/0!</v>
      </c>
      <c r="AQ57" s="76">
        <f t="shared" si="26"/>
        <v>0</v>
      </c>
      <c r="AR57" s="83">
        <f t="shared" si="53"/>
        <v>0</v>
      </c>
    </row>
    <row r="58" spans="1:49" x14ac:dyDescent="0.25">
      <c r="A58" t="str">
        <f t="shared" si="10"/>
        <v>46201M</v>
      </c>
      <c r="B58" s="51">
        <f t="shared" si="28"/>
        <v>46201</v>
      </c>
      <c r="C58" s="52" t="s">
        <v>87</v>
      </c>
      <c r="D58" s="79"/>
      <c r="E58" s="62"/>
      <c r="F58" s="62"/>
      <c r="G58" s="62">
        <f t="shared" ref="G58:G63" si="54">+D58*E58%</f>
        <v>0</v>
      </c>
      <c r="H58" s="63">
        <f t="shared" ref="H58:H63" si="55">+D58*F58%</f>
        <v>0</v>
      </c>
      <c r="I58" s="119"/>
      <c r="J58" s="120"/>
      <c r="K58" s="121"/>
      <c r="L58" s="122"/>
      <c r="M58" s="58"/>
      <c r="N58" s="58"/>
      <c r="O58" s="59"/>
      <c r="P58" s="56"/>
      <c r="Q58" s="60"/>
      <c r="R58" s="61">
        <f t="shared" si="48"/>
        <v>0</v>
      </c>
      <c r="S58" s="62">
        <f t="shared" si="49"/>
        <v>0</v>
      </c>
      <c r="T58" s="63">
        <f t="shared" si="50"/>
        <v>0</v>
      </c>
      <c r="U58" s="64"/>
      <c r="V58" s="65"/>
      <c r="W58" s="66"/>
      <c r="X58" s="67"/>
      <c r="Y58" s="68"/>
      <c r="Z58" s="68"/>
      <c r="AA58" s="62">
        <f t="shared" si="51"/>
        <v>0</v>
      </c>
      <c r="AB58" s="63">
        <f t="shared" si="52"/>
        <v>0</v>
      </c>
      <c r="AC58" s="69"/>
      <c r="AD58" s="70"/>
      <c r="AE58" s="70"/>
      <c r="AF58" s="62">
        <f t="shared" si="18"/>
        <v>0</v>
      </c>
      <c r="AG58" s="63">
        <f t="shared" si="19"/>
        <v>0</v>
      </c>
      <c r="AH58" s="66"/>
      <c r="AI58" s="66"/>
      <c r="AJ58" s="66"/>
      <c r="AK58" s="62">
        <f t="shared" si="20"/>
        <v>0</v>
      </c>
      <c r="AL58" s="72">
        <f t="shared" si="21"/>
        <v>0</v>
      </c>
      <c r="AM58" s="73">
        <f t="shared" si="22"/>
        <v>0</v>
      </c>
      <c r="AN58" s="74">
        <f t="shared" si="23"/>
        <v>0</v>
      </c>
      <c r="AO58" s="74">
        <f t="shared" si="24"/>
        <v>0</v>
      </c>
      <c r="AP58" s="75" t="e">
        <f t="shared" si="25"/>
        <v>#DIV/0!</v>
      </c>
      <c r="AQ58" s="76">
        <f t="shared" si="26"/>
        <v>0</v>
      </c>
      <c r="AR58" s="90">
        <f t="shared" si="53"/>
        <v>0</v>
      </c>
    </row>
    <row r="59" spans="1:49" x14ac:dyDescent="0.25">
      <c r="A59" t="str">
        <f t="shared" si="10"/>
        <v>46201E</v>
      </c>
      <c r="B59" s="51">
        <f t="shared" si="28"/>
        <v>46201</v>
      </c>
      <c r="C59" s="52" t="s">
        <v>88</v>
      </c>
      <c r="D59" s="79"/>
      <c r="E59" s="62"/>
      <c r="F59" s="62"/>
      <c r="G59" s="62">
        <f t="shared" si="54"/>
        <v>0</v>
      </c>
      <c r="H59" s="63">
        <f t="shared" si="55"/>
        <v>0</v>
      </c>
      <c r="I59" s="119"/>
      <c r="J59" s="120"/>
      <c r="K59" s="121"/>
      <c r="L59" s="122"/>
      <c r="M59" s="58"/>
      <c r="N59" s="58"/>
      <c r="O59" s="59"/>
      <c r="P59" s="56"/>
      <c r="Q59" s="60"/>
      <c r="R59" s="61">
        <f t="shared" si="48"/>
        <v>0</v>
      </c>
      <c r="S59" s="62">
        <f t="shared" si="49"/>
        <v>0</v>
      </c>
      <c r="T59" s="63">
        <f t="shared" si="50"/>
        <v>0</v>
      </c>
      <c r="U59" s="64"/>
      <c r="V59" s="65"/>
      <c r="W59" s="66"/>
      <c r="X59" s="67"/>
      <c r="Y59" s="68"/>
      <c r="Z59" s="68"/>
      <c r="AA59" s="62">
        <f t="shared" si="51"/>
        <v>0</v>
      </c>
      <c r="AB59" s="63">
        <f t="shared" si="52"/>
        <v>0</v>
      </c>
      <c r="AC59" s="69"/>
      <c r="AD59" s="70"/>
      <c r="AE59" s="70"/>
      <c r="AF59" s="62">
        <f t="shared" si="18"/>
        <v>0</v>
      </c>
      <c r="AG59" s="63">
        <f t="shared" si="19"/>
        <v>0</v>
      </c>
      <c r="AH59" s="66"/>
      <c r="AI59" s="66"/>
      <c r="AJ59" s="66"/>
      <c r="AK59" s="62">
        <f t="shared" si="20"/>
        <v>0</v>
      </c>
      <c r="AL59" s="72">
        <f t="shared" si="21"/>
        <v>0</v>
      </c>
      <c r="AM59" s="73">
        <f t="shared" si="22"/>
        <v>0</v>
      </c>
      <c r="AN59" s="74">
        <f t="shared" si="23"/>
        <v>0</v>
      </c>
      <c r="AO59" s="74">
        <f t="shared" si="24"/>
        <v>0</v>
      </c>
      <c r="AP59" s="75" t="e">
        <f t="shared" si="25"/>
        <v>#DIV/0!</v>
      </c>
      <c r="AQ59" s="76">
        <f t="shared" si="26"/>
        <v>0</v>
      </c>
      <c r="AR59" s="90">
        <f t="shared" si="53"/>
        <v>0</v>
      </c>
      <c r="AS59" s="90">
        <f>SUM(J46:J59)</f>
        <v>0</v>
      </c>
      <c r="AT59" s="83">
        <f>SUM(AM46:AM59)</f>
        <v>0</v>
      </c>
      <c r="AU59" s="83">
        <f>SUM(AN46:AN59)</f>
        <v>0</v>
      </c>
      <c r="AV59" s="83">
        <f>SUM(AO46:AO59)</f>
        <v>0</v>
      </c>
      <c r="AW59" s="83">
        <f>-SUM(AQ46:AQ59)</f>
        <v>0</v>
      </c>
    </row>
    <row r="60" spans="1:49" x14ac:dyDescent="0.25">
      <c r="A60" t="str">
        <f t="shared" si="10"/>
        <v>46202M</v>
      </c>
      <c r="B60" s="51">
        <f t="shared" si="28"/>
        <v>46202</v>
      </c>
      <c r="C60" s="52" t="s">
        <v>87</v>
      </c>
      <c r="D60" s="79"/>
      <c r="E60" s="62"/>
      <c r="F60" s="62"/>
      <c r="G60" s="62">
        <f t="shared" si="54"/>
        <v>0</v>
      </c>
      <c r="H60" s="63">
        <f t="shared" si="55"/>
        <v>0</v>
      </c>
      <c r="I60" s="119"/>
      <c r="J60" s="120"/>
      <c r="K60" s="121"/>
      <c r="L60" s="122"/>
      <c r="M60" s="58"/>
      <c r="N60" s="58"/>
      <c r="O60" s="59"/>
      <c r="P60" s="56"/>
      <c r="Q60" s="60"/>
      <c r="R60" s="61">
        <f t="shared" ref="R60:R65" si="56">+J60+O60</f>
        <v>0</v>
      </c>
      <c r="S60" s="62">
        <f t="shared" ref="S60:S65" si="57">+J60*K60%+O60*P60%</f>
        <v>0</v>
      </c>
      <c r="T60" s="63">
        <f t="shared" ref="T60:T65" si="58">+J60*L60%+O60*Q60%</f>
        <v>0</v>
      </c>
      <c r="U60" s="64"/>
      <c r="V60" s="65"/>
      <c r="W60" s="66"/>
      <c r="X60" s="67"/>
      <c r="Y60" s="68"/>
      <c r="Z60" s="68"/>
      <c r="AA60" s="62">
        <f t="shared" ref="AA60:AA65" si="59">X60*Y60%</f>
        <v>0</v>
      </c>
      <c r="AB60" s="63">
        <f t="shared" ref="AB60:AB65" si="60">X60*Z60%</f>
        <v>0</v>
      </c>
      <c r="AC60" s="69"/>
      <c r="AD60" s="70"/>
      <c r="AE60" s="70"/>
      <c r="AF60" s="62">
        <f t="shared" si="18"/>
        <v>0</v>
      </c>
      <c r="AG60" s="63">
        <f t="shared" si="19"/>
        <v>0</v>
      </c>
      <c r="AH60" s="66"/>
      <c r="AI60" s="66"/>
      <c r="AJ60" s="66"/>
      <c r="AK60" s="62">
        <f t="shared" si="20"/>
        <v>0</v>
      </c>
      <c r="AL60" s="72">
        <f t="shared" si="21"/>
        <v>0</v>
      </c>
      <c r="AM60" s="73">
        <f t="shared" si="22"/>
        <v>0</v>
      </c>
      <c r="AN60" s="74">
        <f t="shared" si="23"/>
        <v>0</v>
      </c>
      <c r="AO60" s="74">
        <f t="shared" si="24"/>
        <v>0</v>
      </c>
      <c r="AP60" s="75" t="e">
        <f t="shared" si="25"/>
        <v>#DIV/0!</v>
      </c>
      <c r="AQ60" s="76">
        <f t="shared" si="26"/>
        <v>0</v>
      </c>
      <c r="AR60" s="90">
        <f t="shared" si="53"/>
        <v>0</v>
      </c>
    </row>
    <row r="61" spans="1:49" x14ac:dyDescent="0.25">
      <c r="A61" t="str">
        <f t="shared" si="10"/>
        <v>46202E</v>
      </c>
      <c r="B61" s="51">
        <f t="shared" si="28"/>
        <v>46202</v>
      </c>
      <c r="C61" s="52" t="s">
        <v>88</v>
      </c>
      <c r="D61" s="79"/>
      <c r="E61" s="62"/>
      <c r="F61" s="62"/>
      <c r="G61" s="62">
        <f t="shared" si="54"/>
        <v>0</v>
      </c>
      <c r="H61" s="63">
        <f t="shared" si="55"/>
        <v>0</v>
      </c>
      <c r="I61" s="119"/>
      <c r="J61" s="120"/>
      <c r="K61" s="121"/>
      <c r="L61" s="122"/>
      <c r="M61" s="58"/>
      <c r="N61" s="58"/>
      <c r="O61" s="59"/>
      <c r="P61" s="56"/>
      <c r="Q61" s="60"/>
      <c r="R61" s="61">
        <f t="shared" si="56"/>
        <v>0</v>
      </c>
      <c r="S61" s="62">
        <f t="shared" si="57"/>
        <v>0</v>
      </c>
      <c r="T61" s="63">
        <f t="shared" si="58"/>
        <v>0</v>
      </c>
      <c r="U61" s="64"/>
      <c r="V61" s="65"/>
      <c r="W61" s="66"/>
      <c r="X61" s="67"/>
      <c r="Y61" s="68"/>
      <c r="Z61" s="68"/>
      <c r="AA61" s="62">
        <f t="shared" si="59"/>
        <v>0</v>
      </c>
      <c r="AB61" s="63">
        <f t="shared" si="60"/>
        <v>0</v>
      </c>
      <c r="AC61" s="69"/>
      <c r="AD61" s="70"/>
      <c r="AE61" s="70"/>
      <c r="AF61" s="62">
        <f t="shared" si="18"/>
        <v>0</v>
      </c>
      <c r="AG61" s="63">
        <f t="shared" si="19"/>
        <v>0</v>
      </c>
      <c r="AH61" s="66"/>
      <c r="AI61" s="66"/>
      <c r="AJ61" s="66"/>
      <c r="AK61" s="62">
        <f t="shared" si="20"/>
        <v>0</v>
      </c>
      <c r="AL61" s="72">
        <f t="shared" si="21"/>
        <v>0</v>
      </c>
      <c r="AM61" s="73">
        <f t="shared" si="22"/>
        <v>0</v>
      </c>
      <c r="AN61" s="74">
        <f t="shared" si="23"/>
        <v>0</v>
      </c>
      <c r="AO61" s="74">
        <f t="shared" si="24"/>
        <v>0</v>
      </c>
      <c r="AP61" s="75" t="e">
        <f t="shared" si="25"/>
        <v>#DIV/0!</v>
      </c>
      <c r="AQ61" s="76">
        <f t="shared" si="26"/>
        <v>0</v>
      </c>
      <c r="AR61" s="90">
        <f t="shared" si="53"/>
        <v>0</v>
      </c>
      <c r="AS61" s="90">
        <f>SUM(J48:J61)</f>
        <v>0</v>
      </c>
      <c r="AT61" s="83">
        <f>SUM(AM48:AM61)</f>
        <v>0</v>
      </c>
      <c r="AU61" s="83">
        <f>SUM(AN48:AN61)</f>
        <v>0</v>
      </c>
      <c r="AV61" s="83">
        <f>SUM(AO48:AO61)</f>
        <v>0</v>
      </c>
      <c r="AW61" s="83">
        <f>-SUM(AQ48:AQ61)</f>
        <v>0</v>
      </c>
    </row>
    <row r="62" spans="1:49" x14ac:dyDescent="0.25">
      <c r="A62" t="str">
        <f t="shared" si="10"/>
        <v>46203M</v>
      </c>
      <c r="B62" s="51">
        <f t="shared" si="28"/>
        <v>46203</v>
      </c>
      <c r="C62" s="52" t="s">
        <v>87</v>
      </c>
      <c r="D62" s="79"/>
      <c r="E62" s="62"/>
      <c r="F62" s="62"/>
      <c r="G62" s="62">
        <f t="shared" si="54"/>
        <v>0</v>
      </c>
      <c r="H62" s="63">
        <f t="shared" si="55"/>
        <v>0</v>
      </c>
      <c r="I62" s="119"/>
      <c r="J62" s="120"/>
      <c r="K62" s="121"/>
      <c r="L62" s="122"/>
      <c r="M62" s="58"/>
      <c r="N62" s="58"/>
      <c r="O62" s="59"/>
      <c r="P62" s="56"/>
      <c r="Q62" s="60"/>
      <c r="R62" s="61">
        <f t="shared" si="56"/>
        <v>0</v>
      </c>
      <c r="S62" s="62">
        <f t="shared" si="57"/>
        <v>0</v>
      </c>
      <c r="T62" s="63">
        <f t="shared" si="58"/>
        <v>0</v>
      </c>
      <c r="U62" s="64"/>
      <c r="V62" s="65"/>
      <c r="W62" s="66"/>
      <c r="X62" s="67"/>
      <c r="Y62" s="68"/>
      <c r="Z62" s="68"/>
      <c r="AA62" s="62">
        <f t="shared" si="59"/>
        <v>0</v>
      </c>
      <c r="AB62" s="63">
        <f t="shared" si="60"/>
        <v>0</v>
      </c>
      <c r="AC62" s="69"/>
      <c r="AD62" s="70"/>
      <c r="AE62" s="70"/>
      <c r="AF62" s="62">
        <f t="shared" si="18"/>
        <v>0</v>
      </c>
      <c r="AG62" s="63">
        <f t="shared" si="19"/>
        <v>0</v>
      </c>
      <c r="AH62" s="66"/>
      <c r="AI62" s="66"/>
      <c r="AJ62" s="66"/>
      <c r="AK62" s="62">
        <f t="shared" si="20"/>
        <v>0</v>
      </c>
      <c r="AL62" s="72">
        <f t="shared" si="21"/>
        <v>0</v>
      </c>
      <c r="AM62" s="73">
        <f t="shared" si="22"/>
        <v>0</v>
      </c>
      <c r="AN62" s="74">
        <f t="shared" si="23"/>
        <v>0</v>
      </c>
      <c r="AO62" s="74">
        <f t="shared" si="24"/>
        <v>0</v>
      </c>
      <c r="AP62" s="75" t="e">
        <f t="shared" si="25"/>
        <v>#DIV/0!</v>
      </c>
      <c r="AQ62" s="76">
        <f t="shared" si="26"/>
        <v>0</v>
      </c>
      <c r="AR62" s="90">
        <f t="shared" si="53"/>
        <v>0</v>
      </c>
    </row>
    <row r="63" spans="1:49" x14ac:dyDescent="0.25">
      <c r="A63" t="str">
        <f t="shared" si="10"/>
        <v>46203E</v>
      </c>
      <c r="B63" s="51">
        <f t="shared" si="28"/>
        <v>46203</v>
      </c>
      <c r="C63" s="52" t="s">
        <v>88</v>
      </c>
      <c r="D63" s="79"/>
      <c r="E63" s="62"/>
      <c r="F63" s="62"/>
      <c r="G63" s="62">
        <f t="shared" si="54"/>
        <v>0</v>
      </c>
      <c r="H63" s="63">
        <f t="shared" si="55"/>
        <v>0</v>
      </c>
      <c r="I63" s="119"/>
      <c r="J63" s="120"/>
      <c r="K63" s="121"/>
      <c r="L63" s="122"/>
      <c r="M63" s="58"/>
      <c r="N63" s="58"/>
      <c r="O63" s="59"/>
      <c r="P63" s="56"/>
      <c r="Q63" s="60"/>
      <c r="R63" s="61">
        <f t="shared" si="56"/>
        <v>0</v>
      </c>
      <c r="S63" s="62">
        <f t="shared" si="57"/>
        <v>0</v>
      </c>
      <c r="T63" s="63">
        <f t="shared" si="58"/>
        <v>0</v>
      </c>
      <c r="U63" s="64"/>
      <c r="V63" s="65"/>
      <c r="W63" s="66"/>
      <c r="X63" s="67"/>
      <c r="Y63" s="68"/>
      <c r="Z63" s="68"/>
      <c r="AA63" s="62">
        <f t="shared" si="59"/>
        <v>0</v>
      </c>
      <c r="AB63" s="63">
        <f t="shared" si="60"/>
        <v>0</v>
      </c>
      <c r="AC63" s="69"/>
      <c r="AD63" s="70"/>
      <c r="AE63" s="70"/>
      <c r="AF63" s="62">
        <f t="shared" si="18"/>
        <v>0</v>
      </c>
      <c r="AG63" s="63">
        <f t="shared" si="19"/>
        <v>0</v>
      </c>
      <c r="AH63" s="66"/>
      <c r="AI63" s="66"/>
      <c r="AJ63" s="66"/>
      <c r="AK63" s="62">
        <f t="shared" si="20"/>
        <v>0</v>
      </c>
      <c r="AL63" s="72">
        <f t="shared" si="21"/>
        <v>0</v>
      </c>
      <c r="AM63" s="73">
        <f t="shared" si="22"/>
        <v>0</v>
      </c>
      <c r="AN63" s="74">
        <f t="shared" si="23"/>
        <v>0</v>
      </c>
      <c r="AO63" s="74">
        <f t="shared" si="24"/>
        <v>0</v>
      </c>
      <c r="AP63" s="75" t="e">
        <f t="shared" si="25"/>
        <v>#DIV/0!</v>
      </c>
      <c r="AQ63" s="76">
        <f t="shared" si="26"/>
        <v>0</v>
      </c>
      <c r="AR63" s="90">
        <f t="shared" si="53"/>
        <v>0</v>
      </c>
    </row>
    <row r="64" spans="1:49" x14ac:dyDescent="0.25">
      <c r="A64" t="str">
        <f t="shared" si="10"/>
        <v>46204M</v>
      </c>
      <c r="B64" s="51">
        <f t="shared" si="28"/>
        <v>46204</v>
      </c>
      <c r="C64" s="52" t="s">
        <v>87</v>
      </c>
      <c r="D64" s="79"/>
      <c r="E64" s="62"/>
      <c r="F64" s="62"/>
      <c r="G64" s="62">
        <f t="shared" ref="G64:G65" si="61">+D64*E64%</f>
        <v>0</v>
      </c>
      <c r="H64" s="63">
        <f t="shared" ref="H64:H65" si="62">+D64*F64%</f>
        <v>0</v>
      </c>
      <c r="I64" s="119"/>
      <c r="J64" s="120"/>
      <c r="K64" s="121"/>
      <c r="L64" s="122"/>
      <c r="M64" s="58"/>
      <c r="N64" s="58"/>
      <c r="O64" s="59"/>
      <c r="P64" s="56"/>
      <c r="Q64" s="60"/>
      <c r="R64" s="61">
        <f t="shared" si="56"/>
        <v>0</v>
      </c>
      <c r="S64" s="62">
        <f t="shared" si="57"/>
        <v>0</v>
      </c>
      <c r="T64" s="63">
        <f t="shared" si="58"/>
        <v>0</v>
      </c>
      <c r="U64" s="64"/>
      <c r="V64" s="65"/>
      <c r="W64" s="66"/>
      <c r="X64" s="67"/>
      <c r="Y64" s="68"/>
      <c r="Z64" s="68"/>
      <c r="AA64" s="62">
        <f t="shared" si="59"/>
        <v>0</v>
      </c>
      <c r="AB64" s="63">
        <f t="shared" si="60"/>
        <v>0</v>
      </c>
      <c r="AC64" s="69"/>
      <c r="AD64" s="70"/>
      <c r="AE64" s="70"/>
      <c r="AF64" s="62">
        <f t="shared" si="18"/>
        <v>0</v>
      </c>
      <c r="AG64" s="63">
        <f t="shared" si="19"/>
        <v>0</v>
      </c>
      <c r="AH64" s="66"/>
      <c r="AI64" s="66"/>
      <c r="AJ64" s="66"/>
      <c r="AK64" s="62">
        <f t="shared" si="20"/>
        <v>0</v>
      </c>
      <c r="AL64" s="72">
        <f t="shared" si="21"/>
        <v>0</v>
      </c>
      <c r="AM64" s="73">
        <f t="shared" si="22"/>
        <v>0</v>
      </c>
      <c r="AN64" s="74">
        <f t="shared" si="23"/>
        <v>0</v>
      </c>
      <c r="AO64" s="74">
        <f t="shared" si="24"/>
        <v>0</v>
      </c>
      <c r="AP64" s="75" t="e">
        <f t="shared" si="25"/>
        <v>#DIV/0!</v>
      </c>
      <c r="AQ64" s="76">
        <f t="shared" si="26"/>
        <v>0</v>
      </c>
      <c r="AR64" s="90">
        <f t="shared" si="53"/>
        <v>0</v>
      </c>
    </row>
    <row r="65" spans="1:49" x14ac:dyDescent="0.25">
      <c r="A65" t="str">
        <f t="shared" si="10"/>
        <v>46204E</v>
      </c>
      <c r="B65" s="51">
        <f t="shared" si="28"/>
        <v>46204</v>
      </c>
      <c r="C65" s="52" t="s">
        <v>88</v>
      </c>
      <c r="D65" s="79"/>
      <c r="E65" s="62"/>
      <c r="F65" s="62"/>
      <c r="G65" s="62">
        <f t="shared" si="61"/>
        <v>0</v>
      </c>
      <c r="H65" s="63">
        <f t="shared" si="62"/>
        <v>0</v>
      </c>
      <c r="I65" s="119"/>
      <c r="J65" s="120"/>
      <c r="K65" s="121"/>
      <c r="L65" s="122"/>
      <c r="M65" s="58"/>
      <c r="N65" s="58"/>
      <c r="O65" s="59"/>
      <c r="P65" s="56"/>
      <c r="Q65" s="60"/>
      <c r="R65" s="61">
        <f t="shared" si="56"/>
        <v>0</v>
      </c>
      <c r="S65" s="62">
        <f t="shared" si="57"/>
        <v>0</v>
      </c>
      <c r="T65" s="63">
        <f t="shared" si="58"/>
        <v>0</v>
      </c>
      <c r="U65" s="64"/>
      <c r="V65" s="65"/>
      <c r="W65" s="66"/>
      <c r="X65" s="67"/>
      <c r="Y65" s="68"/>
      <c r="Z65" s="68"/>
      <c r="AA65" s="62">
        <f t="shared" si="59"/>
        <v>0</v>
      </c>
      <c r="AB65" s="63">
        <f t="shared" si="60"/>
        <v>0</v>
      </c>
      <c r="AC65" s="69"/>
      <c r="AD65" s="70"/>
      <c r="AE65" s="70"/>
      <c r="AF65" s="62">
        <f t="shared" si="18"/>
        <v>0</v>
      </c>
      <c r="AG65" s="63">
        <f t="shared" si="19"/>
        <v>0</v>
      </c>
      <c r="AH65" s="66"/>
      <c r="AI65" s="66"/>
      <c r="AJ65" s="66"/>
      <c r="AK65" s="62">
        <f t="shared" si="20"/>
        <v>0</v>
      </c>
      <c r="AL65" s="72">
        <f t="shared" si="21"/>
        <v>0</v>
      </c>
      <c r="AM65" s="73">
        <f t="shared" si="22"/>
        <v>0</v>
      </c>
      <c r="AN65" s="74">
        <f t="shared" si="23"/>
        <v>0</v>
      </c>
      <c r="AO65" s="74">
        <f t="shared" si="24"/>
        <v>0</v>
      </c>
      <c r="AP65" s="75" t="e">
        <f t="shared" si="25"/>
        <v>#DIV/0!</v>
      </c>
      <c r="AQ65" s="76">
        <f t="shared" si="26"/>
        <v>0</v>
      </c>
      <c r="AR65" s="90">
        <f t="shared" si="53"/>
        <v>0</v>
      </c>
      <c r="AS65" s="90">
        <f>SUM(J52:J65)</f>
        <v>0</v>
      </c>
      <c r="AT65" s="83">
        <f>SUM(AM52:AM65)</f>
        <v>0</v>
      </c>
      <c r="AU65" s="83">
        <f>SUM(AN52:AN65)</f>
        <v>0</v>
      </c>
      <c r="AV65" s="83">
        <f>SUM(AO52:AO65)</f>
        <v>0</v>
      </c>
      <c r="AW65" s="83">
        <f>-SUM(AQ52:AQ65)</f>
        <v>0</v>
      </c>
    </row>
    <row r="66" spans="1:49" x14ac:dyDescent="0.25">
      <c r="J66" s="83">
        <f>SUM(J4:J65)</f>
        <v>104417.48599999999</v>
      </c>
      <c r="AM66" s="98">
        <f>-SUM(AM4:AM65)</f>
        <v>153.81400000000031</v>
      </c>
      <c r="AN66" s="98">
        <f>-SUM(AN4:AN65)</f>
        <v>43.674607399999999</v>
      </c>
      <c r="AO66" s="98">
        <f>-SUM(AO4:AO65)</f>
        <v>-11.009151599999512</v>
      </c>
      <c r="AQ66" s="98">
        <f>-SUM(AQ4:AQ65)</f>
        <v>16311.222511430147</v>
      </c>
    </row>
    <row r="68" spans="1:49" x14ac:dyDescent="0.25">
      <c r="AQ68">
        <v>17745.614131332622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9" priority="2" operator="lessThan">
      <formula>0.1</formula>
    </cfRule>
    <cfRule type="cellIs" dxfId="18" priority="3" operator="greaterThan">
      <formula>0.1</formula>
    </cfRule>
  </conditionalFormatting>
  <conditionalFormatting sqref="AP1:AQ1">
    <cfRule type="cellIs" dxfId="17" priority="1" operator="lessThan">
      <formula>1</formula>
    </cfRule>
  </conditionalFormatting>
  <conditionalFormatting sqref="AQ4:AQ65">
    <cfRule type="cellIs" dxfId="16" priority="18" operator="lessThan">
      <formula>0</formula>
    </cfRule>
    <cfRule type="cellIs" dxfId="15" priority="19" operator="greaterThan">
      <formula>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W66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C16" sqref="AC16:AE16"/>
    </sheetView>
  </sheetViews>
  <sheetFormatPr defaultRowHeight="15" x14ac:dyDescent="0.25"/>
  <cols>
    <col min="1" max="1" width="3.42578125" customWidth="1"/>
    <col min="2" max="2" width="14" customWidth="1"/>
    <col min="3" max="3" width="5.7109375" bestFit="1" customWidth="1"/>
    <col min="4" max="4" width="7.85546875" bestFit="1" customWidth="1"/>
    <col min="5" max="5" width="5.85546875" bestFit="1" customWidth="1"/>
    <col min="6" max="6" width="5" bestFit="1" customWidth="1"/>
    <col min="7" max="7" width="7.28515625" bestFit="1" customWidth="1"/>
    <col min="8" max="8" width="7.42578125" bestFit="1" customWidth="1"/>
    <col min="9" max="10" width="8.140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10.7109375" bestFit="1" customWidth="1"/>
    <col min="22" max="22" width="9" customWidth="1"/>
    <col min="23" max="23" width="10.7109375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8.140625" bestFit="1" customWidth="1"/>
    <col min="35" max="36" width="5.85546875" style="77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8.5703125" bestFit="1" customWidth="1"/>
    <col min="44" max="44" width="4.42578125" bestFit="1" customWidth="1"/>
    <col min="45" max="45" width="6.5703125" bestFit="1" customWidth="1"/>
    <col min="46" max="46" width="7.5703125" bestFit="1" customWidth="1"/>
    <col min="47" max="47" width="5.7109375" bestFit="1" customWidth="1"/>
    <col min="48" max="48" width="6.5703125" bestFit="1" customWidth="1"/>
    <col min="49" max="49" width="9.28515625" bestFit="1" customWidth="1"/>
  </cols>
  <sheetData>
    <row r="1" spans="1:44" ht="15.75" thickBot="1" x14ac:dyDescent="0.3">
      <c r="B1" s="43" t="s">
        <v>135</v>
      </c>
      <c r="C1" s="44"/>
      <c r="X1" t="s">
        <v>94</v>
      </c>
      <c r="AG1">
        <v>392</v>
      </c>
      <c r="AI1"/>
      <c r="AJ1"/>
      <c r="AP1" s="126">
        <f>Sumarry!$K$4</f>
        <v>448.91</v>
      </c>
      <c r="AQ1" s="126">
        <f>Sumarry!$L$4</f>
        <v>299.27333333333337</v>
      </c>
    </row>
    <row r="2" spans="1:44" x14ac:dyDescent="0.25">
      <c r="B2" s="259" t="s">
        <v>64</v>
      </c>
      <c r="C2" s="261" t="s">
        <v>65</v>
      </c>
      <c r="D2" s="263" t="s">
        <v>66</v>
      </c>
      <c r="E2" s="263"/>
      <c r="F2" s="263"/>
      <c r="G2" s="263"/>
      <c r="H2" s="264"/>
      <c r="I2" s="255" t="s">
        <v>67</v>
      </c>
      <c r="J2" s="256"/>
      <c r="K2" s="256"/>
      <c r="L2" s="257"/>
      <c r="M2" s="255" t="s">
        <v>68</v>
      </c>
      <c r="N2" s="265"/>
      <c r="O2" s="256"/>
      <c r="P2" s="256"/>
      <c r="Q2" s="257"/>
      <c r="R2" s="265" t="s">
        <v>69</v>
      </c>
      <c r="S2" s="256"/>
      <c r="T2" s="257"/>
      <c r="U2" s="252" t="s">
        <v>70</v>
      </c>
      <c r="V2" s="253"/>
      <c r="W2" s="253"/>
      <c r="X2" s="253"/>
      <c r="Y2" s="253"/>
      <c r="Z2" s="253"/>
      <c r="AA2" s="253"/>
      <c r="AB2" s="254"/>
      <c r="AC2" s="255" t="s">
        <v>71</v>
      </c>
      <c r="AD2" s="256"/>
      <c r="AE2" s="256"/>
      <c r="AF2" s="256"/>
      <c r="AG2" s="257"/>
      <c r="AH2" s="255" t="s">
        <v>72</v>
      </c>
      <c r="AI2" s="256"/>
      <c r="AJ2" s="256"/>
      <c r="AK2" s="256"/>
      <c r="AL2" s="258"/>
      <c r="AM2" s="252" t="s">
        <v>73</v>
      </c>
      <c r="AN2" s="253"/>
      <c r="AO2" s="253"/>
      <c r="AP2" s="253"/>
      <c r="AQ2" s="254"/>
    </row>
    <row r="3" spans="1:44" x14ac:dyDescent="0.25">
      <c r="B3" s="260"/>
      <c r="C3" s="262"/>
      <c r="D3" s="45" t="s">
        <v>74</v>
      </c>
      <c r="E3" s="45" t="s">
        <v>75</v>
      </c>
      <c r="F3" s="45"/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87">
        <v>7890</v>
      </c>
      <c r="E4" s="88">
        <v>4.18</v>
      </c>
      <c r="F4" s="88">
        <v>8.11</v>
      </c>
      <c r="G4" s="62">
        <f t="shared" ref="G4" si="0">+D4*E4%</f>
        <v>329.80199999999996</v>
      </c>
      <c r="H4" s="63">
        <f t="shared" ref="H4" si="1">+D4*F4%</f>
        <v>639.87899999999991</v>
      </c>
      <c r="I4" s="203">
        <v>1476.86</v>
      </c>
      <c r="J4" s="203">
        <v>1521.1658</v>
      </c>
      <c r="K4" s="203">
        <v>4.410802648863128</v>
      </c>
      <c r="L4" s="203">
        <v>8.1869642349308638</v>
      </c>
      <c r="M4" s="57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1521.1658</v>
      </c>
      <c r="S4" s="62">
        <f>+J4*K4%+O4*P4%</f>
        <v>67.095621399999999</v>
      </c>
      <c r="T4" s="63">
        <f>+J4*L4%+O4*Q4%</f>
        <v>124.53729999999996</v>
      </c>
      <c r="U4" s="64" t="s">
        <v>179</v>
      </c>
      <c r="V4" s="65" t="s">
        <v>180</v>
      </c>
      <c r="W4" s="66" t="s">
        <v>181</v>
      </c>
      <c r="X4" s="67">
        <v>6250</v>
      </c>
      <c r="Y4" s="68">
        <v>4.45</v>
      </c>
      <c r="Z4" s="68">
        <v>8.42</v>
      </c>
      <c r="AA4" s="62">
        <f t="shared" ref="AA4" si="2">X4*Y4%</f>
        <v>278.12500000000006</v>
      </c>
      <c r="AB4" s="63">
        <f t="shared" ref="AB4" si="3">X4*Z4%</f>
        <v>526.25</v>
      </c>
      <c r="AC4" s="69">
        <v>6250</v>
      </c>
      <c r="AD4" s="70">
        <v>4.3</v>
      </c>
      <c r="AE4" s="70">
        <v>8.27</v>
      </c>
      <c r="AF4" s="62">
        <f t="shared" ref="AF4" si="4">AC4*AD4%</f>
        <v>268.75</v>
      </c>
      <c r="AG4" s="63">
        <f t="shared" ref="AG4" si="5">AC4*AE4%</f>
        <v>516.875</v>
      </c>
      <c r="AH4" s="66">
        <v>3161</v>
      </c>
      <c r="AI4" s="66">
        <v>4.21</v>
      </c>
      <c r="AJ4" s="66">
        <v>8.1199999999999992</v>
      </c>
      <c r="AK4" s="62">
        <f t="shared" ref="AK4" si="6">AH4*AI4%</f>
        <v>133.07810000000001</v>
      </c>
      <c r="AL4" s="72">
        <f t="shared" ref="AL4" si="7">AH4*AJ4%</f>
        <v>256.67320000000001</v>
      </c>
      <c r="AM4" s="73">
        <f>+D4+R4-AC4-AH4</f>
        <v>0.1658000000006723</v>
      </c>
      <c r="AN4" s="74">
        <f t="shared" ref="AN4:AO19" si="8">+G4+S4-AF4-AK4</f>
        <v>-4.9304786000000718</v>
      </c>
      <c r="AO4" s="74">
        <f t="shared" si="8"/>
        <v>-9.1319000000001438</v>
      </c>
      <c r="AP4" s="75">
        <f>(AN4+AO4)/(S4+T4)</f>
        <v>-7.3381851600787723E-2</v>
      </c>
      <c r="AQ4" s="76">
        <f t="shared" ref="AQ4:AQ65" si="9">($AP$1*AN4+$AQ$1*AO4)</f>
        <v>-4946.2753009927419</v>
      </c>
      <c r="AR4" s="90">
        <f>(D4+J4+O4)-(X4+AH4)</f>
        <v>0.1658000000006723</v>
      </c>
    </row>
    <row r="5" spans="1:44" x14ac:dyDescent="0.25">
      <c r="A5" t="str">
        <f t="shared" ref="A5:A65" si="10">CONCATENATE(B5,C5)</f>
        <v>46174E</v>
      </c>
      <c r="B5" s="51">
        <f>+B4</f>
        <v>46174</v>
      </c>
      <c r="C5" s="52" t="s">
        <v>88</v>
      </c>
      <c r="D5" s="91">
        <v>3161</v>
      </c>
      <c r="E5" s="62">
        <v>4.21</v>
      </c>
      <c r="F5" s="62">
        <v>8.1199999999999992</v>
      </c>
      <c r="G5" s="62">
        <f t="shared" ref="G5:G65" si="11">+D5*E5%</f>
        <v>133.07810000000001</v>
      </c>
      <c r="H5" s="63">
        <f t="shared" ref="H5:H65" si="12">+D5*F5%</f>
        <v>256.67320000000001</v>
      </c>
      <c r="I5" s="203">
        <v>2048.54</v>
      </c>
      <c r="J5" s="203">
        <v>2109.9962</v>
      </c>
      <c r="K5" s="203">
        <v>4.0045222451111524</v>
      </c>
      <c r="L5" s="203">
        <v>8.0863444209046467</v>
      </c>
      <c r="M5" s="57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65" si="13">+J5+O5</f>
        <v>2109.9962</v>
      </c>
      <c r="S5" s="62">
        <f t="shared" ref="S5:S65" si="14">+J5*K5%+O5*P5%</f>
        <v>84.495267200000001</v>
      </c>
      <c r="T5" s="63">
        <f t="shared" ref="T5:T65" si="15">+J5*L5%+O5*Q5%</f>
        <v>170.62156000000004</v>
      </c>
      <c r="U5" s="64" t="s">
        <v>167</v>
      </c>
      <c r="V5" s="65" t="s">
        <v>167</v>
      </c>
      <c r="W5" s="66">
        <v>0</v>
      </c>
      <c r="X5" s="67">
        <v>0</v>
      </c>
      <c r="Y5" s="68">
        <v>0</v>
      </c>
      <c r="Z5" s="68">
        <v>0</v>
      </c>
      <c r="AA5" s="62">
        <f t="shared" ref="AA5:AA65" si="16">X5*Y5%</f>
        <v>0</v>
      </c>
      <c r="AB5" s="63">
        <f t="shared" ref="AB5:AB65" si="17">X5*Z5%</f>
        <v>0</v>
      </c>
      <c r="AC5" s="69"/>
      <c r="AD5" s="70"/>
      <c r="AE5" s="70"/>
      <c r="AF5" s="62">
        <f t="shared" ref="AF5:AF65" si="18">AC5*AD5%</f>
        <v>0</v>
      </c>
      <c r="AG5" s="63">
        <f t="shared" ref="AG5:AG65" si="19">AC5*AE5%</f>
        <v>0</v>
      </c>
      <c r="AH5" s="66">
        <v>5270</v>
      </c>
      <c r="AI5" s="66">
        <v>4.12</v>
      </c>
      <c r="AJ5" s="66">
        <v>8.1</v>
      </c>
      <c r="AK5" s="62">
        <f t="shared" ref="AK5:AK65" si="20">AH5*AI5%</f>
        <v>217.124</v>
      </c>
      <c r="AL5" s="72">
        <f t="shared" ref="AL5:AL65" si="21">AH5*AJ5%</f>
        <v>426.87</v>
      </c>
      <c r="AM5" s="73">
        <f t="shared" ref="AM5:AM65" si="22">+D5+R5-AC5-AH5</f>
        <v>0.99619999999958964</v>
      </c>
      <c r="AN5" s="74">
        <f t="shared" si="8"/>
        <v>0.44936720000001174</v>
      </c>
      <c r="AO5" s="74">
        <f t="shared" si="8"/>
        <v>0.42476000000004888</v>
      </c>
      <c r="AP5" s="75">
        <f t="shared" ref="AP5:AP65" si="23">(AN5+AO5)/(S5+T5)</f>
        <v>3.4263800220233395E-3</v>
      </c>
      <c r="AQ5" s="76">
        <f t="shared" si="9"/>
        <v>328.84477081868658</v>
      </c>
      <c r="AR5" s="90">
        <f t="shared" ref="AR5:AR65" si="24">(D5+J5+O5)-(X5+AH5)</f>
        <v>0.99619999999958964</v>
      </c>
    </row>
    <row r="6" spans="1:44" x14ac:dyDescent="0.25">
      <c r="A6" t="str">
        <f t="shared" si="10"/>
        <v>46175M</v>
      </c>
      <c r="B6" s="51">
        <f>+B4+1</f>
        <v>46175</v>
      </c>
      <c r="C6" s="52" t="s">
        <v>87</v>
      </c>
      <c r="D6" s="91">
        <v>5270</v>
      </c>
      <c r="E6" s="62">
        <v>4.12</v>
      </c>
      <c r="F6" s="62">
        <v>8.1</v>
      </c>
      <c r="G6" s="62">
        <f t="shared" si="11"/>
        <v>217.124</v>
      </c>
      <c r="H6" s="63">
        <f t="shared" si="12"/>
        <v>426.87</v>
      </c>
      <c r="I6" s="203">
        <v>1771.2800000000002</v>
      </c>
      <c r="J6" s="203">
        <v>1824.4184000000002</v>
      </c>
      <c r="K6" s="203">
        <v>4.6481651686915697</v>
      </c>
      <c r="L6" s="203">
        <v>8.2074183641208638</v>
      </c>
      <c r="M6" s="57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3"/>
        <v>1824.4184000000002</v>
      </c>
      <c r="S6" s="62">
        <f t="shared" si="14"/>
        <v>84.80198060000005</v>
      </c>
      <c r="T6" s="63">
        <f t="shared" si="15"/>
        <v>149.73765080000007</v>
      </c>
      <c r="U6" s="64" t="s">
        <v>179</v>
      </c>
      <c r="V6" s="65" t="s">
        <v>182</v>
      </c>
      <c r="W6" s="66" t="s">
        <v>183</v>
      </c>
      <c r="X6" s="67">
        <v>5460</v>
      </c>
      <c r="Y6" s="68">
        <v>4.2</v>
      </c>
      <c r="Z6" s="68">
        <v>8.25</v>
      </c>
      <c r="AA6" s="62">
        <f t="shared" si="16"/>
        <v>229.32000000000002</v>
      </c>
      <c r="AB6" s="63">
        <f t="shared" si="17"/>
        <v>450.45000000000005</v>
      </c>
      <c r="AC6" s="69">
        <v>5440</v>
      </c>
      <c r="AD6" s="70">
        <v>4.2</v>
      </c>
      <c r="AE6" s="70">
        <v>8.1199999999999992</v>
      </c>
      <c r="AF6" s="62">
        <f t="shared" si="18"/>
        <v>228.48000000000002</v>
      </c>
      <c r="AG6" s="63">
        <f t="shared" si="19"/>
        <v>441.72799999999995</v>
      </c>
      <c r="AH6" s="66">
        <v>1634</v>
      </c>
      <c r="AI6" s="66">
        <v>4.26</v>
      </c>
      <c r="AJ6" s="66">
        <v>8.1199999999999992</v>
      </c>
      <c r="AK6" s="62">
        <f t="shared" si="20"/>
        <v>69.608400000000003</v>
      </c>
      <c r="AL6" s="72">
        <f t="shared" si="21"/>
        <v>132.6808</v>
      </c>
      <c r="AM6" s="73">
        <f t="shared" si="22"/>
        <v>20.418400000000474</v>
      </c>
      <c r="AN6" s="74">
        <f t="shared" si="8"/>
        <v>3.8375806000000381</v>
      </c>
      <c r="AO6" s="74">
        <f t="shared" si="8"/>
        <v>2.1988508000001445</v>
      </c>
      <c r="AP6" s="75">
        <f t="shared" si="23"/>
        <v>2.5737362014120482E-2</v>
      </c>
      <c r="AQ6" s="76">
        <f t="shared" si="9"/>
        <v>2380.7857155647271</v>
      </c>
      <c r="AR6" s="90">
        <f t="shared" si="24"/>
        <v>0.41840000000047439</v>
      </c>
    </row>
    <row r="7" spans="1:44" x14ac:dyDescent="0.25">
      <c r="A7" t="str">
        <f t="shared" si="10"/>
        <v>46175E</v>
      </c>
      <c r="B7" s="51">
        <f>+B5+1</f>
        <v>46175</v>
      </c>
      <c r="C7" s="52" t="s">
        <v>88</v>
      </c>
      <c r="D7" s="91">
        <v>1634</v>
      </c>
      <c r="E7" s="62">
        <v>4.26</v>
      </c>
      <c r="F7" s="62">
        <v>8.1199999999999992</v>
      </c>
      <c r="G7" s="62">
        <f t="shared" si="11"/>
        <v>69.608400000000003</v>
      </c>
      <c r="H7" s="63">
        <f t="shared" si="12"/>
        <v>132.6808</v>
      </c>
      <c r="I7" s="203">
        <v>2317.5999999999995</v>
      </c>
      <c r="J7" s="203">
        <v>2387.1279999999997</v>
      </c>
      <c r="K7" s="203">
        <v>3.9770857783914404</v>
      </c>
      <c r="L7" s="203">
        <v>8.0325949257852951</v>
      </c>
      <c r="M7" s="57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3"/>
        <v>2387.1279999999997</v>
      </c>
      <c r="S7" s="62">
        <f t="shared" si="14"/>
        <v>94.938128200000008</v>
      </c>
      <c r="T7" s="63">
        <f t="shared" si="15"/>
        <v>191.74832259999999</v>
      </c>
      <c r="U7" s="64" t="s">
        <v>167</v>
      </c>
      <c r="V7" s="65" t="s">
        <v>167</v>
      </c>
      <c r="W7" s="66">
        <v>0</v>
      </c>
      <c r="X7" s="67">
        <v>0</v>
      </c>
      <c r="Y7" s="68">
        <v>0</v>
      </c>
      <c r="Z7" s="68">
        <v>0</v>
      </c>
      <c r="AA7" s="62">
        <f t="shared" si="16"/>
        <v>0</v>
      </c>
      <c r="AB7" s="63">
        <f t="shared" si="17"/>
        <v>0</v>
      </c>
      <c r="AC7" s="69"/>
      <c r="AD7" s="70"/>
      <c r="AE7" s="70"/>
      <c r="AF7" s="62">
        <f t="shared" si="18"/>
        <v>0</v>
      </c>
      <c r="AG7" s="63">
        <f t="shared" si="19"/>
        <v>0</v>
      </c>
      <c r="AH7" s="66">
        <v>4021</v>
      </c>
      <c r="AI7" s="66">
        <v>4.09</v>
      </c>
      <c r="AJ7" s="66">
        <v>8.06</v>
      </c>
      <c r="AK7" s="62">
        <f t="shared" si="20"/>
        <v>164.4589</v>
      </c>
      <c r="AL7" s="72">
        <f t="shared" si="21"/>
        <v>324.0926</v>
      </c>
      <c r="AM7" s="73">
        <f t="shared" si="22"/>
        <v>0.12799999999970169</v>
      </c>
      <c r="AN7" s="74">
        <f t="shared" si="8"/>
        <v>8.7628200000011702E-2</v>
      </c>
      <c r="AO7" s="74">
        <f t="shared" si="8"/>
        <v>0.33652260000002343</v>
      </c>
      <c r="AP7" s="75">
        <f t="shared" si="23"/>
        <v>1.4794937075555549E-3</v>
      </c>
      <c r="AQ7" s="76">
        <f t="shared" si="9"/>
        <v>140.04941550601228</v>
      </c>
      <c r="AR7" s="90">
        <f t="shared" si="24"/>
        <v>0.12799999999970169</v>
      </c>
    </row>
    <row r="8" spans="1:44" x14ac:dyDescent="0.25">
      <c r="A8" t="str">
        <f t="shared" si="10"/>
        <v>46176M</v>
      </c>
      <c r="B8" s="51">
        <f>+B6+1</f>
        <v>46176</v>
      </c>
      <c r="C8" s="52" t="s">
        <v>87</v>
      </c>
      <c r="D8" s="91">
        <v>4021</v>
      </c>
      <c r="E8" s="62">
        <v>4.09</v>
      </c>
      <c r="F8" s="62">
        <v>8.06</v>
      </c>
      <c r="G8" s="62">
        <f t="shared" si="11"/>
        <v>164.4589</v>
      </c>
      <c r="H8" s="63">
        <f t="shared" si="12"/>
        <v>324.0926</v>
      </c>
      <c r="I8" s="203">
        <v>2032.3200000000002</v>
      </c>
      <c r="J8" s="203">
        <v>2093.2896000000001</v>
      </c>
      <c r="K8" s="203">
        <v>4.693431152574397</v>
      </c>
      <c r="L8" s="203">
        <v>8.2018402613761623</v>
      </c>
      <c r="M8" s="57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3"/>
        <v>2093.2896000000001</v>
      </c>
      <c r="S8" s="62">
        <f t="shared" si="14"/>
        <v>98.24710619999999</v>
      </c>
      <c r="T8" s="63">
        <f t="shared" si="15"/>
        <v>171.68826920000004</v>
      </c>
      <c r="U8" s="64" t="s">
        <v>184</v>
      </c>
      <c r="V8" s="65" t="s">
        <v>185</v>
      </c>
      <c r="W8" s="66" t="s">
        <v>181</v>
      </c>
      <c r="X8" s="67">
        <v>3820</v>
      </c>
      <c r="Y8" s="68">
        <v>4.0999999999999996</v>
      </c>
      <c r="Z8" s="68">
        <v>7.98</v>
      </c>
      <c r="AA8" s="62">
        <f t="shared" si="16"/>
        <v>156.61999999999998</v>
      </c>
      <c r="AB8" s="63">
        <f t="shared" si="17"/>
        <v>304.83600000000001</v>
      </c>
      <c r="AC8" s="228">
        <v>3820</v>
      </c>
      <c r="AD8" s="229">
        <v>4.0999999999999996</v>
      </c>
      <c r="AE8" s="229">
        <v>7.98</v>
      </c>
      <c r="AF8" s="62">
        <f t="shared" si="18"/>
        <v>156.61999999999998</v>
      </c>
      <c r="AG8" s="63">
        <f t="shared" si="19"/>
        <v>304.83600000000001</v>
      </c>
      <c r="AH8" s="66">
        <v>2294</v>
      </c>
      <c r="AI8" s="66">
        <v>4.29</v>
      </c>
      <c r="AJ8" s="66">
        <v>8.1</v>
      </c>
      <c r="AK8" s="62">
        <f t="shared" si="20"/>
        <v>98.412599999999998</v>
      </c>
      <c r="AL8" s="72">
        <f t="shared" si="21"/>
        <v>185.81399999999999</v>
      </c>
      <c r="AM8" s="73">
        <f t="shared" si="22"/>
        <v>0.28960000000006403</v>
      </c>
      <c r="AN8" s="74">
        <f t="shared" si="8"/>
        <v>7.6734062000000165</v>
      </c>
      <c r="AO8" s="74">
        <f t="shared" si="8"/>
        <v>5.1308692000000349</v>
      </c>
      <c r="AP8" s="75">
        <f t="shared" si="23"/>
        <v>4.7434595710274037E-2</v>
      </c>
      <c r="AQ8" s="76">
        <f t="shared" si="9"/>
        <v>4980.2011056233514</v>
      </c>
      <c r="AR8" s="90">
        <f t="shared" si="24"/>
        <v>0.28960000000006403</v>
      </c>
    </row>
    <row r="9" spans="1:44" x14ac:dyDescent="0.25">
      <c r="A9" t="str">
        <f t="shared" si="10"/>
        <v>46176E</v>
      </c>
      <c r="B9" s="51">
        <f t="shared" ref="B9:B65" si="25">+B7+1</f>
        <v>46176</v>
      </c>
      <c r="C9" s="52" t="s">
        <v>88</v>
      </c>
      <c r="D9" s="91">
        <v>2294</v>
      </c>
      <c r="E9" s="62">
        <v>4.29</v>
      </c>
      <c r="F9" s="62">
        <v>8.1</v>
      </c>
      <c r="G9" s="62">
        <f t="shared" si="11"/>
        <v>98.412599999999998</v>
      </c>
      <c r="H9" s="63">
        <f t="shared" si="12"/>
        <v>185.81399999999999</v>
      </c>
      <c r="I9" s="203">
        <v>2081.58</v>
      </c>
      <c r="J9" s="203">
        <v>2144.0273999999999</v>
      </c>
      <c r="K9" s="203">
        <v>4.0756819339155843</v>
      </c>
      <c r="L9" s="203">
        <v>8.0421852631174389</v>
      </c>
      <c r="M9" s="57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3"/>
        <v>2144.0273999999999</v>
      </c>
      <c r="S9" s="62">
        <f t="shared" si="14"/>
        <v>87.383737400000015</v>
      </c>
      <c r="T9" s="63">
        <f t="shared" si="15"/>
        <v>172.42665559999998</v>
      </c>
      <c r="U9" s="64" t="s">
        <v>167</v>
      </c>
      <c r="V9" s="65" t="s">
        <v>167</v>
      </c>
      <c r="W9" s="66">
        <v>0</v>
      </c>
      <c r="X9" s="67">
        <v>0</v>
      </c>
      <c r="Y9" s="68">
        <v>0</v>
      </c>
      <c r="Z9" s="68">
        <v>0</v>
      </c>
      <c r="AA9" s="62">
        <f t="shared" si="16"/>
        <v>0</v>
      </c>
      <c r="AB9" s="63">
        <f t="shared" si="17"/>
        <v>0</v>
      </c>
      <c r="AC9" s="69"/>
      <c r="AD9" s="70"/>
      <c r="AE9" s="70"/>
      <c r="AF9" s="62">
        <f t="shared" si="18"/>
        <v>0</v>
      </c>
      <c r="AG9" s="63">
        <f t="shared" si="19"/>
        <v>0</v>
      </c>
      <c r="AH9" s="66">
        <v>4438</v>
      </c>
      <c r="AI9" s="66">
        <v>4.18</v>
      </c>
      <c r="AJ9" s="66">
        <v>8.07</v>
      </c>
      <c r="AK9" s="62">
        <f t="shared" si="20"/>
        <v>185.50839999999999</v>
      </c>
      <c r="AL9" s="72">
        <f t="shared" si="21"/>
        <v>358.14660000000003</v>
      </c>
      <c r="AM9" s="73">
        <f t="shared" si="22"/>
        <v>2.7399999999943248E-2</v>
      </c>
      <c r="AN9" s="74">
        <f t="shared" si="8"/>
        <v>0.28793740000003254</v>
      </c>
      <c r="AO9" s="74">
        <f t="shared" si="8"/>
        <v>9.4055599999933293E-2</v>
      </c>
      <c r="AP9" s="75">
        <f t="shared" si="23"/>
        <v>1.4702760562775711E-3</v>
      </c>
      <c r="AQ9" s="76">
        <f t="shared" si="9"/>
        <v>157.40631116466133</v>
      </c>
      <c r="AR9" s="90">
        <f t="shared" si="24"/>
        <v>2.7399999999943248E-2</v>
      </c>
    </row>
    <row r="10" spans="1:44" x14ac:dyDescent="0.25">
      <c r="A10" t="str">
        <f t="shared" si="10"/>
        <v>46177M</v>
      </c>
      <c r="B10" s="51">
        <f t="shared" si="25"/>
        <v>46177</v>
      </c>
      <c r="C10" s="52" t="s">
        <v>87</v>
      </c>
      <c r="D10" s="91">
        <v>4438</v>
      </c>
      <c r="E10" s="62">
        <v>4.18</v>
      </c>
      <c r="F10" s="62">
        <v>8.07</v>
      </c>
      <c r="G10" s="62">
        <f t="shared" si="11"/>
        <v>185.50839999999999</v>
      </c>
      <c r="H10" s="63">
        <f t="shared" si="12"/>
        <v>358.14660000000003</v>
      </c>
      <c r="I10" s="203">
        <v>1686.98</v>
      </c>
      <c r="J10" s="203">
        <v>1737.5894000000001</v>
      </c>
      <c r="K10" s="203">
        <v>4.7149237098246575</v>
      </c>
      <c r="L10" s="203">
        <v>8.2552988180061426</v>
      </c>
      <c r="M10" s="57" t="s">
        <v>177</v>
      </c>
      <c r="N10" s="58" t="s">
        <v>178</v>
      </c>
      <c r="O10" s="59">
        <v>3820</v>
      </c>
      <c r="P10" s="56">
        <v>4.0999999999999996</v>
      </c>
      <c r="Q10" s="60">
        <v>7.98</v>
      </c>
      <c r="R10" s="61">
        <f t="shared" si="13"/>
        <v>5557.5893999999998</v>
      </c>
      <c r="S10" s="62">
        <f t="shared" si="14"/>
        <v>238.54601459999998</v>
      </c>
      <c r="T10" s="63">
        <f t="shared" si="15"/>
        <v>448.27919720000006</v>
      </c>
      <c r="U10" s="64" t="s">
        <v>167</v>
      </c>
      <c r="V10" s="65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f t="shared" si="16"/>
        <v>0</v>
      </c>
      <c r="AB10" s="63">
        <f t="shared" si="17"/>
        <v>0</v>
      </c>
      <c r="AC10" s="69"/>
      <c r="AD10" s="70"/>
      <c r="AE10" s="70"/>
      <c r="AF10" s="62">
        <f t="shared" si="18"/>
        <v>0</v>
      </c>
      <c r="AG10" s="63">
        <f t="shared" si="19"/>
        <v>0</v>
      </c>
      <c r="AH10" s="66">
        <v>9995</v>
      </c>
      <c r="AI10" s="66">
        <v>4.2300000000000004</v>
      </c>
      <c r="AJ10" s="66">
        <v>8.07</v>
      </c>
      <c r="AK10" s="62">
        <f t="shared" si="20"/>
        <v>422.78850000000006</v>
      </c>
      <c r="AL10" s="72">
        <f t="shared" si="21"/>
        <v>806.59650000000011</v>
      </c>
      <c r="AM10" s="73">
        <f t="shared" si="22"/>
        <v>0.58940000000075088</v>
      </c>
      <c r="AN10" s="74">
        <f t="shared" si="8"/>
        <v>1.2659145999999168</v>
      </c>
      <c r="AO10" s="74">
        <f t="shared" si="8"/>
        <v>-0.17070280000007187</v>
      </c>
      <c r="AP10" s="75">
        <f t="shared" si="23"/>
        <v>1.5946004619276628E-3</v>
      </c>
      <c r="AQ10" s="76">
        <f t="shared" si="9"/>
        <v>517.19492712060776</v>
      </c>
      <c r="AR10" s="90">
        <f t="shared" si="24"/>
        <v>0.58940000000075088</v>
      </c>
    </row>
    <row r="11" spans="1:44" x14ac:dyDescent="0.25">
      <c r="A11" t="str">
        <f t="shared" si="10"/>
        <v>46177E</v>
      </c>
      <c r="B11" s="51">
        <f t="shared" si="25"/>
        <v>46177</v>
      </c>
      <c r="C11" s="52" t="s">
        <v>88</v>
      </c>
      <c r="D11" s="91">
        <v>9995</v>
      </c>
      <c r="E11" s="62">
        <v>4.2300000000000004</v>
      </c>
      <c r="F11" s="62">
        <v>8.07</v>
      </c>
      <c r="G11" s="62">
        <f t="shared" si="11"/>
        <v>422.78850000000006</v>
      </c>
      <c r="H11" s="63">
        <f t="shared" si="12"/>
        <v>806.59650000000011</v>
      </c>
      <c r="I11" s="203">
        <v>1838.5600000000002</v>
      </c>
      <c r="J11" s="203">
        <v>1893.7168000000001</v>
      </c>
      <c r="K11" s="203">
        <v>3.9953735532155603</v>
      </c>
      <c r="L11" s="203">
        <v>8.0748226873205127</v>
      </c>
      <c r="M11" s="57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3"/>
        <v>1893.7168000000001</v>
      </c>
      <c r="S11" s="62">
        <f t="shared" si="14"/>
        <v>75.661060200000009</v>
      </c>
      <c r="T11" s="63">
        <f t="shared" si="15"/>
        <v>152.91427380000002</v>
      </c>
      <c r="U11" s="64" t="s">
        <v>184</v>
      </c>
      <c r="V11" s="65" t="s">
        <v>186</v>
      </c>
      <c r="W11" s="66" t="s">
        <v>181</v>
      </c>
      <c r="X11" s="67">
        <v>8920</v>
      </c>
      <c r="Y11" s="68">
        <v>3.83</v>
      </c>
      <c r="Z11" s="68">
        <v>7.76</v>
      </c>
      <c r="AA11" s="62">
        <f t="shared" si="16"/>
        <v>341.63600000000002</v>
      </c>
      <c r="AB11" s="63">
        <f t="shared" si="17"/>
        <v>692.19200000000001</v>
      </c>
      <c r="AC11" s="69">
        <v>8800</v>
      </c>
      <c r="AD11" s="70">
        <v>3.8259090909090916</v>
      </c>
      <c r="AE11" s="70">
        <v>7.7597954545454551</v>
      </c>
      <c r="AF11" s="62">
        <f t="shared" si="18"/>
        <v>336.68000000000006</v>
      </c>
      <c r="AG11" s="63">
        <f t="shared" si="19"/>
        <v>682.86200000000008</v>
      </c>
      <c r="AH11" s="66">
        <v>3620</v>
      </c>
      <c r="AI11" s="66">
        <v>4.3</v>
      </c>
      <c r="AJ11" s="66">
        <v>8.1999999999999993</v>
      </c>
      <c r="AK11" s="62">
        <f t="shared" si="20"/>
        <v>155.66</v>
      </c>
      <c r="AL11" s="72">
        <f t="shared" si="21"/>
        <v>296.83999999999997</v>
      </c>
      <c r="AM11" s="73">
        <f t="shared" si="22"/>
        <v>-531.28319999999985</v>
      </c>
      <c r="AN11" s="74">
        <f t="shared" si="8"/>
        <v>6.1095602000000042</v>
      </c>
      <c r="AO11" s="74">
        <f t="shared" si="8"/>
        <v>-20.191226199999903</v>
      </c>
      <c r="AP11" s="75">
        <f t="shared" si="23"/>
        <v>-6.1606236130447467E-2</v>
      </c>
      <c r="AQ11" s="76">
        <f t="shared" si="9"/>
        <v>-3300.0528995793029</v>
      </c>
      <c r="AR11" s="90">
        <f t="shared" si="24"/>
        <v>-651.28319999999985</v>
      </c>
    </row>
    <row r="12" spans="1:44" x14ac:dyDescent="0.25">
      <c r="A12" t="str">
        <f t="shared" si="10"/>
        <v>46178M</v>
      </c>
      <c r="B12" s="51">
        <f t="shared" si="25"/>
        <v>46178</v>
      </c>
      <c r="C12" s="52" t="s">
        <v>87</v>
      </c>
      <c r="D12" s="91">
        <v>3620</v>
      </c>
      <c r="E12" s="62">
        <v>4.3</v>
      </c>
      <c r="F12" s="62">
        <v>8.1999999999999993</v>
      </c>
      <c r="G12" s="62">
        <f t="shared" si="11"/>
        <v>155.66</v>
      </c>
      <c r="H12" s="63">
        <f t="shared" si="12"/>
        <v>296.83999999999997</v>
      </c>
      <c r="I12" s="203">
        <v>1648.04</v>
      </c>
      <c r="J12" s="203">
        <v>1697.4811999999999</v>
      </c>
      <c r="K12" s="203">
        <v>4.58</v>
      </c>
      <c r="L12" s="203">
        <v>8.2200000000000006</v>
      </c>
      <c r="M12" s="57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3"/>
        <v>1697.4811999999999</v>
      </c>
      <c r="S12" s="62">
        <f t="shared" si="14"/>
        <v>77.744638960000003</v>
      </c>
      <c r="T12" s="63">
        <f t="shared" si="15"/>
        <v>139.53295464000001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16"/>
        <v>0</v>
      </c>
      <c r="AB12" s="63">
        <f t="shared" si="17"/>
        <v>0</v>
      </c>
      <c r="AC12" s="69"/>
      <c r="AD12" s="70"/>
      <c r="AE12" s="70"/>
      <c r="AF12" s="62">
        <f t="shared" si="18"/>
        <v>0</v>
      </c>
      <c r="AG12" s="63">
        <f t="shared" si="19"/>
        <v>0</v>
      </c>
      <c r="AH12" s="66">
        <v>5317</v>
      </c>
      <c r="AI12" s="66">
        <v>4.38</v>
      </c>
      <c r="AJ12" s="66">
        <v>8.1999999999999993</v>
      </c>
      <c r="AK12" s="62">
        <f t="shared" si="20"/>
        <v>232.88460000000001</v>
      </c>
      <c r="AL12" s="72">
        <f t="shared" si="21"/>
        <v>435.99399999999997</v>
      </c>
      <c r="AM12" s="73">
        <f t="shared" si="22"/>
        <v>0.48120000000017171</v>
      </c>
      <c r="AN12" s="74">
        <f t="shared" si="8"/>
        <v>0.52003895999999372</v>
      </c>
      <c r="AO12" s="74">
        <f t="shared" si="8"/>
        <v>0.37895464000001766</v>
      </c>
      <c r="AP12" s="75">
        <f t="shared" si="23"/>
        <v>4.1375347779993611E-3</v>
      </c>
      <c r="AQ12" s="76">
        <f t="shared" si="9"/>
        <v>346.86170782853583</v>
      </c>
      <c r="AR12" s="90">
        <f t="shared" si="24"/>
        <v>0.48120000000017171</v>
      </c>
    </row>
    <row r="13" spans="1:44" x14ac:dyDescent="0.25">
      <c r="A13" t="str">
        <f t="shared" si="10"/>
        <v>46178E</v>
      </c>
      <c r="B13" s="51">
        <f t="shared" si="25"/>
        <v>46178</v>
      </c>
      <c r="C13" s="52" t="s">
        <v>88</v>
      </c>
      <c r="D13" s="91">
        <v>5317</v>
      </c>
      <c r="E13" s="62">
        <v>4.38</v>
      </c>
      <c r="F13" s="62">
        <v>8.1999999999999993</v>
      </c>
      <c r="G13" s="62">
        <f t="shared" si="11"/>
        <v>232.88460000000001</v>
      </c>
      <c r="H13" s="63">
        <f t="shared" si="12"/>
        <v>435.99399999999997</v>
      </c>
      <c r="I13" s="203">
        <v>2475.67</v>
      </c>
      <c r="J13" s="203">
        <v>2549.9401000000003</v>
      </c>
      <c r="K13" s="203">
        <v>3.94</v>
      </c>
      <c r="L13" s="203">
        <v>8.06</v>
      </c>
      <c r="M13" s="57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3"/>
        <v>2549.9401000000003</v>
      </c>
      <c r="S13" s="62">
        <f t="shared" si="14"/>
        <v>100.46763994</v>
      </c>
      <c r="T13" s="63">
        <f t="shared" si="15"/>
        <v>205.52517206000005</v>
      </c>
      <c r="U13" s="64" t="s">
        <v>167</v>
      </c>
      <c r="V13" s="6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f t="shared" si="16"/>
        <v>0</v>
      </c>
      <c r="AB13" s="63">
        <f t="shared" si="17"/>
        <v>0</v>
      </c>
      <c r="AC13" s="69"/>
      <c r="AD13" s="70"/>
      <c r="AE13" s="70"/>
      <c r="AF13" s="62">
        <f t="shared" si="18"/>
        <v>0</v>
      </c>
      <c r="AG13" s="63">
        <f t="shared" si="19"/>
        <v>0</v>
      </c>
      <c r="AH13" s="66">
        <v>7866</v>
      </c>
      <c r="AI13" s="66">
        <v>4.2300000000000004</v>
      </c>
      <c r="AJ13" s="66">
        <v>8.16</v>
      </c>
      <c r="AK13" s="62">
        <f t="shared" si="20"/>
        <v>332.73180000000002</v>
      </c>
      <c r="AL13" s="72">
        <f t="shared" si="21"/>
        <v>641.86560000000009</v>
      </c>
      <c r="AM13" s="73">
        <f t="shared" si="22"/>
        <v>0.94009999999980209</v>
      </c>
      <c r="AN13" s="74">
        <f t="shared" si="8"/>
        <v>0.62043993999998293</v>
      </c>
      <c r="AO13" s="74">
        <f t="shared" si="8"/>
        <v>-0.34642794000001231</v>
      </c>
      <c r="AP13" s="75">
        <f t="shared" si="23"/>
        <v>8.9548508740777395E-4</v>
      </c>
      <c r="AQ13" s="76">
        <f t="shared" si="9"/>
        <v>174.84504910178862</v>
      </c>
      <c r="AR13" s="90">
        <f t="shared" si="24"/>
        <v>0.94009999999980209</v>
      </c>
    </row>
    <row r="14" spans="1:44" x14ac:dyDescent="0.25">
      <c r="A14" t="str">
        <f t="shared" si="10"/>
        <v>46179M</v>
      </c>
      <c r="B14" s="51">
        <f t="shared" si="25"/>
        <v>46179</v>
      </c>
      <c r="C14" s="52" t="s">
        <v>87</v>
      </c>
      <c r="D14" s="91">
        <v>7866</v>
      </c>
      <c r="E14" s="62">
        <v>4.2300000000000004</v>
      </c>
      <c r="F14" s="62">
        <v>8.16</v>
      </c>
      <c r="G14" s="62">
        <f t="shared" si="11"/>
        <v>332.73180000000002</v>
      </c>
      <c r="H14" s="63">
        <f t="shared" si="12"/>
        <v>641.86560000000009</v>
      </c>
      <c r="I14" s="203">
        <v>1902.24</v>
      </c>
      <c r="J14" s="203">
        <v>1959.3072</v>
      </c>
      <c r="K14" s="203">
        <v>4.63</v>
      </c>
      <c r="L14" s="203">
        <v>8.14</v>
      </c>
      <c r="M14" s="57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3"/>
        <v>1959.3072</v>
      </c>
      <c r="S14" s="62">
        <f t="shared" si="14"/>
        <v>90.715923360000005</v>
      </c>
      <c r="T14" s="63">
        <f t="shared" si="15"/>
        <v>159.48760608000001</v>
      </c>
      <c r="U14" s="64" t="s">
        <v>184</v>
      </c>
      <c r="V14" s="65" t="s">
        <v>388</v>
      </c>
      <c r="W14" s="66" t="s">
        <v>183</v>
      </c>
      <c r="X14" s="67">
        <v>5130</v>
      </c>
      <c r="Y14" s="68">
        <v>4.0999999999999996</v>
      </c>
      <c r="Z14" s="68">
        <v>8.35</v>
      </c>
      <c r="AA14" s="62">
        <f t="shared" si="16"/>
        <v>210.32999999999998</v>
      </c>
      <c r="AB14" s="63">
        <f t="shared" si="17"/>
        <v>428.35499999999996</v>
      </c>
      <c r="AC14" s="69">
        <v>5130</v>
      </c>
      <c r="AD14" s="70">
        <v>4.05</v>
      </c>
      <c r="AE14" s="70">
        <v>8.09</v>
      </c>
      <c r="AF14" s="62">
        <f t="shared" si="18"/>
        <v>207.76500000000001</v>
      </c>
      <c r="AG14" s="63">
        <f t="shared" si="19"/>
        <v>415.017</v>
      </c>
      <c r="AH14" s="66">
        <v>4695</v>
      </c>
      <c r="AI14" s="66">
        <v>4.3</v>
      </c>
      <c r="AJ14" s="66">
        <v>8.15</v>
      </c>
      <c r="AK14" s="62">
        <f t="shared" si="20"/>
        <v>201.88499999999999</v>
      </c>
      <c r="AL14" s="72">
        <f t="shared" si="21"/>
        <v>382.64250000000004</v>
      </c>
      <c r="AM14" s="73">
        <f t="shared" si="22"/>
        <v>0.30719999999928405</v>
      </c>
      <c r="AN14" s="74">
        <f t="shared" si="8"/>
        <v>13.797723360000049</v>
      </c>
      <c r="AO14" s="74">
        <f t="shared" si="8"/>
        <v>3.6937060800000268</v>
      </c>
      <c r="AP14" s="75">
        <f t="shared" si="23"/>
        <v>6.9908803761277893E-2</v>
      </c>
      <c r="AQ14" s="76">
        <f t="shared" si="9"/>
        <v>7299.3637244528309</v>
      </c>
      <c r="AR14" s="90">
        <f t="shared" si="24"/>
        <v>0.30719999999928405</v>
      </c>
    </row>
    <row r="15" spans="1:44" x14ac:dyDescent="0.25">
      <c r="A15" t="str">
        <f t="shared" si="10"/>
        <v>46179E</v>
      </c>
      <c r="B15" s="51">
        <f t="shared" si="25"/>
        <v>46179</v>
      </c>
      <c r="C15" s="52" t="s">
        <v>88</v>
      </c>
      <c r="D15" s="91">
        <v>4695</v>
      </c>
      <c r="E15" s="62">
        <v>4.3</v>
      </c>
      <c r="F15" s="62">
        <v>8.15</v>
      </c>
      <c r="G15" s="62">
        <f t="shared" si="11"/>
        <v>201.88499999999999</v>
      </c>
      <c r="H15" s="63">
        <f t="shared" si="12"/>
        <v>382.64250000000004</v>
      </c>
      <c r="I15" s="203">
        <v>1934.58</v>
      </c>
      <c r="J15" s="203">
        <v>1992.6174000000001</v>
      </c>
      <c r="K15" s="203">
        <v>4.21</v>
      </c>
      <c r="L15" s="203">
        <v>8.14</v>
      </c>
      <c r="M15" s="57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3"/>
        <v>1992.6174000000001</v>
      </c>
      <c r="S15" s="62">
        <f t="shared" si="14"/>
        <v>83.889192539999996</v>
      </c>
      <c r="T15" s="63">
        <f t="shared" si="15"/>
        <v>162.19905636000001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f t="shared" si="16"/>
        <v>0</v>
      </c>
      <c r="AB15" s="63">
        <f t="shared" si="17"/>
        <v>0</v>
      </c>
      <c r="AC15" s="69"/>
      <c r="AD15" s="70"/>
      <c r="AE15" s="70"/>
      <c r="AF15" s="62">
        <f t="shared" si="18"/>
        <v>0</v>
      </c>
      <c r="AG15" s="63">
        <f t="shared" si="19"/>
        <v>0</v>
      </c>
      <c r="AH15" s="66">
        <v>6687</v>
      </c>
      <c r="AI15" s="66">
        <v>4.2699999999999996</v>
      </c>
      <c r="AJ15" s="66">
        <v>8.14</v>
      </c>
      <c r="AK15" s="62">
        <f t="shared" si="20"/>
        <v>285.53489999999999</v>
      </c>
      <c r="AL15" s="72">
        <f t="shared" si="21"/>
        <v>544.32180000000005</v>
      </c>
      <c r="AM15" s="73">
        <f t="shared" si="22"/>
        <v>0.61740000000008877</v>
      </c>
      <c r="AN15" s="74">
        <f t="shared" si="8"/>
        <v>0.2392925400000081</v>
      </c>
      <c r="AO15" s="74">
        <f t="shared" si="8"/>
        <v>0.51975635999997394</v>
      </c>
      <c r="AP15" s="75">
        <f t="shared" si="23"/>
        <v>3.0844581299305676E-3</v>
      </c>
      <c r="AQ15" s="76">
        <f t="shared" si="9"/>
        <v>262.97003250979589</v>
      </c>
      <c r="AR15" s="90">
        <f t="shared" si="24"/>
        <v>0.61740000000008877</v>
      </c>
    </row>
    <row r="16" spans="1:44" x14ac:dyDescent="0.25">
      <c r="A16" t="str">
        <f t="shared" si="10"/>
        <v>46180M</v>
      </c>
      <c r="B16" s="51">
        <f t="shared" si="25"/>
        <v>46180</v>
      </c>
      <c r="C16" s="52" t="s">
        <v>87</v>
      </c>
      <c r="D16" s="91">
        <v>6687</v>
      </c>
      <c r="E16" s="62">
        <v>4.2699999999999996</v>
      </c>
      <c r="F16" s="62">
        <v>8.14</v>
      </c>
      <c r="G16" s="62">
        <f t="shared" si="11"/>
        <v>285.53489999999999</v>
      </c>
      <c r="H16" s="63">
        <f t="shared" si="12"/>
        <v>544.32180000000005</v>
      </c>
      <c r="I16" s="203">
        <v>1905.78</v>
      </c>
      <c r="J16" s="203">
        <v>1962.9534000000001</v>
      </c>
      <c r="K16" s="203">
        <v>4.49</v>
      </c>
      <c r="L16" s="203">
        <v>8.24</v>
      </c>
      <c r="M16" s="57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3"/>
        <v>1962.9534000000001</v>
      </c>
      <c r="S16" s="62">
        <f t="shared" si="14"/>
        <v>88.13660766000001</v>
      </c>
      <c r="T16" s="63">
        <f t="shared" si="15"/>
        <v>161.74736016</v>
      </c>
      <c r="U16" s="64" t="s">
        <v>184</v>
      </c>
      <c r="V16" s="65" t="s">
        <v>389</v>
      </c>
      <c r="W16" s="66" t="s">
        <v>183</v>
      </c>
      <c r="X16" s="67">
        <v>5130</v>
      </c>
      <c r="Y16" s="68">
        <v>4.3</v>
      </c>
      <c r="Z16" s="68">
        <v>8.39</v>
      </c>
      <c r="AA16" s="62">
        <f t="shared" si="16"/>
        <v>220.58999999999997</v>
      </c>
      <c r="AB16" s="63">
        <f t="shared" si="17"/>
        <v>430.40700000000004</v>
      </c>
      <c r="AC16" s="69">
        <v>5130</v>
      </c>
      <c r="AD16" s="70">
        <v>4.25</v>
      </c>
      <c r="AE16" s="70">
        <v>8.26</v>
      </c>
      <c r="AF16" s="62">
        <f t="shared" si="18"/>
        <v>218.02500000000001</v>
      </c>
      <c r="AG16" s="63">
        <f t="shared" si="19"/>
        <v>423.73799999999994</v>
      </c>
      <c r="AH16" s="66">
        <v>3519</v>
      </c>
      <c r="AI16" s="66">
        <v>4.3099999999999996</v>
      </c>
      <c r="AJ16" s="66">
        <v>8.16</v>
      </c>
      <c r="AK16" s="62">
        <f t="shared" si="20"/>
        <v>151.66890000000001</v>
      </c>
      <c r="AL16" s="72">
        <f t="shared" si="21"/>
        <v>287.15040000000005</v>
      </c>
      <c r="AM16" s="73">
        <f t="shared" si="22"/>
        <v>0.95340000000032887</v>
      </c>
      <c r="AN16" s="74">
        <f t="shared" si="8"/>
        <v>3.9776076599999612</v>
      </c>
      <c r="AO16" s="74">
        <f t="shared" si="8"/>
        <v>-4.8192398399999661</v>
      </c>
      <c r="AP16" s="75">
        <f t="shared" si="23"/>
        <v>-3.3680919482047818E-3</v>
      </c>
      <c r="AQ16" s="76">
        <f t="shared" si="9"/>
        <v>343.3178836009929</v>
      </c>
      <c r="AR16" s="90">
        <f t="shared" si="24"/>
        <v>0.95340000000032887</v>
      </c>
    </row>
    <row r="17" spans="1:49" x14ac:dyDescent="0.25">
      <c r="A17" t="str">
        <f t="shared" si="10"/>
        <v>46180E</v>
      </c>
      <c r="B17" s="51">
        <f t="shared" si="25"/>
        <v>46180</v>
      </c>
      <c r="C17" s="52" t="s">
        <v>88</v>
      </c>
      <c r="D17" s="91">
        <v>3519</v>
      </c>
      <c r="E17" s="62">
        <v>4.3099999999999996</v>
      </c>
      <c r="F17" s="62">
        <v>8.16</v>
      </c>
      <c r="G17" s="62">
        <f t="shared" si="11"/>
        <v>151.66890000000001</v>
      </c>
      <c r="H17" s="63">
        <f t="shared" si="12"/>
        <v>287.15040000000005</v>
      </c>
      <c r="I17" s="203">
        <v>2061.6999999999998</v>
      </c>
      <c r="J17" s="203">
        <v>2123.5509999999999</v>
      </c>
      <c r="K17" s="203">
        <v>3.95</v>
      </c>
      <c r="L17" s="203">
        <v>8.0299999999999994</v>
      </c>
      <c r="M17" s="57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3"/>
        <v>2123.5509999999999</v>
      </c>
      <c r="S17" s="62">
        <f t="shared" si="14"/>
        <v>83.880264499999996</v>
      </c>
      <c r="T17" s="63">
        <f t="shared" si="15"/>
        <v>170.5211453</v>
      </c>
      <c r="U17" s="64" t="s">
        <v>167</v>
      </c>
      <c r="V17" s="65" t="s">
        <v>167</v>
      </c>
      <c r="W17" s="66">
        <v>0</v>
      </c>
      <c r="X17" s="67">
        <v>0</v>
      </c>
      <c r="Y17" s="68">
        <v>0</v>
      </c>
      <c r="Z17" s="68">
        <v>0</v>
      </c>
      <c r="AA17" s="62">
        <f t="shared" si="16"/>
        <v>0</v>
      </c>
      <c r="AB17" s="63">
        <f t="shared" si="17"/>
        <v>0</v>
      </c>
      <c r="AC17" s="69"/>
      <c r="AD17" s="70"/>
      <c r="AE17" s="70"/>
      <c r="AF17" s="62">
        <f t="shared" si="18"/>
        <v>0</v>
      </c>
      <c r="AG17" s="63">
        <f t="shared" si="19"/>
        <v>0</v>
      </c>
      <c r="AH17" s="66">
        <v>5642</v>
      </c>
      <c r="AI17" s="66">
        <v>4.17</v>
      </c>
      <c r="AJ17" s="66">
        <v>8.11</v>
      </c>
      <c r="AK17" s="62">
        <f t="shared" si="20"/>
        <v>235.2714</v>
      </c>
      <c r="AL17" s="72">
        <f t="shared" si="21"/>
        <v>457.56619999999992</v>
      </c>
      <c r="AM17" s="73">
        <f t="shared" si="22"/>
        <v>0.55099999999947613</v>
      </c>
      <c r="AN17" s="74">
        <f t="shared" si="8"/>
        <v>0.27776450000001773</v>
      </c>
      <c r="AO17" s="74">
        <f t="shared" si="8"/>
        <v>0.1053453000001241</v>
      </c>
      <c r="AP17" s="75">
        <f t="shared" si="23"/>
        <v>1.50592640308608E-3</v>
      </c>
      <c r="AQ17" s="76">
        <f t="shared" si="9"/>
        <v>156.2183007770451</v>
      </c>
      <c r="AR17" s="90">
        <f t="shared" si="24"/>
        <v>0.55099999999947613</v>
      </c>
      <c r="AS17" s="90">
        <f>SUM(J4:J17)</f>
        <v>27997.181899999996</v>
      </c>
      <c r="AT17" s="83">
        <f>SUM(AM4:AM17)</f>
        <v>-504.8180999999995</v>
      </c>
      <c r="AU17" s="83">
        <f>SUM(AN4:AN17)</f>
        <v>34.213782759999972</v>
      </c>
      <c r="AV17" s="83">
        <f>SUM(AO4:AO17)</f>
        <v>-21.77667619999977</v>
      </c>
      <c r="AW17" s="83">
        <f>-SUM(AQ4:AQ17)</f>
        <v>-8841.7307434969935</v>
      </c>
    </row>
    <row r="18" spans="1:49" x14ac:dyDescent="0.25">
      <c r="A18" t="str">
        <f t="shared" si="10"/>
        <v>46181M</v>
      </c>
      <c r="B18" s="51">
        <f t="shared" si="25"/>
        <v>46181</v>
      </c>
      <c r="C18" s="52" t="s">
        <v>87</v>
      </c>
      <c r="D18" s="91">
        <v>5642</v>
      </c>
      <c r="E18" s="62">
        <v>4.17</v>
      </c>
      <c r="F18" s="62">
        <v>8.11</v>
      </c>
      <c r="G18" s="62">
        <f t="shared" si="11"/>
        <v>235.2714</v>
      </c>
      <c r="H18" s="63">
        <f t="shared" si="12"/>
        <v>457.56619999999992</v>
      </c>
      <c r="I18" s="203">
        <v>1930.24</v>
      </c>
      <c r="J18" s="203">
        <v>1988.1472000000001</v>
      </c>
      <c r="K18" s="203">
        <v>4.5</v>
      </c>
      <c r="L18" s="203">
        <v>8.26</v>
      </c>
      <c r="M18" s="57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3"/>
        <v>1988.1472000000001</v>
      </c>
      <c r="S18" s="62">
        <f t="shared" si="14"/>
        <v>89.466623999999996</v>
      </c>
      <c r="T18" s="63">
        <f t="shared" si="15"/>
        <v>164.22095872</v>
      </c>
      <c r="U18" s="64" t="s">
        <v>167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f t="shared" si="16"/>
        <v>0</v>
      </c>
      <c r="AB18" s="63">
        <f t="shared" si="17"/>
        <v>0</v>
      </c>
      <c r="AC18" s="69"/>
      <c r="AD18" s="70"/>
      <c r="AE18" s="70"/>
      <c r="AF18" s="62">
        <f t="shared" si="18"/>
        <v>0</v>
      </c>
      <c r="AG18" s="63">
        <f t="shared" si="19"/>
        <v>0</v>
      </c>
      <c r="AH18" s="66">
        <v>7630</v>
      </c>
      <c r="AI18" s="66">
        <v>4.25</v>
      </c>
      <c r="AJ18" s="66">
        <v>8.14</v>
      </c>
      <c r="AK18" s="62">
        <f t="shared" si="20"/>
        <v>324.27500000000003</v>
      </c>
      <c r="AL18" s="72">
        <f t="shared" si="21"/>
        <v>621.08199999999999</v>
      </c>
      <c r="AM18" s="73">
        <f t="shared" si="22"/>
        <v>0.14720000000033906</v>
      </c>
      <c r="AN18" s="74">
        <f t="shared" si="8"/>
        <v>0.46302399999996169</v>
      </c>
      <c r="AO18" s="74">
        <f t="shared" si="8"/>
        <v>0.70515871999998581</v>
      </c>
      <c r="AP18" s="75">
        <f t="shared" si="23"/>
        <v>4.6048084319889396E-3</v>
      </c>
      <c r="AQ18" s="76">
        <f t="shared" si="9"/>
        <v>418.89130450344521</v>
      </c>
      <c r="AR18" s="90">
        <f t="shared" si="24"/>
        <v>0.14720000000033906</v>
      </c>
    </row>
    <row r="19" spans="1:49" x14ac:dyDescent="0.25">
      <c r="A19" t="str">
        <f t="shared" si="10"/>
        <v>46181E</v>
      </c>
      <c r="B19" s="51">
        <f t="shared" si="25"/>
        <v>46181</v>
      </c>
      <c r="C19" s="52" t="s">
        <v>88</v>
      </c>
      <c r="D19" s="91">
        <v>7630</v>
      </c>
      <c r="E19" s="62">
        <v>4.25</v>
      </c>
      <c r="F19" s="62">
        <v>8.14</v>
      </c>
      <c r="G19" s="62">
        <f t="shared" si="11"/>
        <v>324.27500000000003</v>
      </c>
      <c r="H19" s="63">
        <f t="shared" si="12"/>
        <v>621.08199999999999</v>
      </c>
      <c r="I19" s="203">
        <v>2048.02</v>
      </c>
      <c r="J19" s="203">
        <v>2109.4605999999999</v>
      </c>
      <c r="K19" s="203">
        <v>4.1500000000000004</v>
      </c>
      <c r="L19" s="203">
        <v>8.08</v>
      </c>
      <c r="M19" s="57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3"/>
        <v>2109.4605999999999</v>
      </c>
      <c r="S19" s="62">
        <f t="shared" si="14"/>
        <v>87.542614900000004</v>
      </c>
      <c r="T19" s="63">
        <f t="shared" si="15"/>
        <v>170.44441647999997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16"/>
        <v>0</v>
      </c>
      <c r="AB19" s="63">
        <f t="shared" si="17"/>
        <v>0</v>
      </c>
      <c r="AC19" s="69"/>
      <c r="AD19" s="70"/>
      <c r="AE19" s="70"/>
      <c r="AF19" s="62">
        <f t="shared" si="18"/>
        <v>0</v>
      </c>
      <c r="AG19" s="63">
        <f t="shared" si="19"/>
        <v>0</v>
      </c>
      <c r="AH19" s="66">
        <v>9739</v>
      </c>
      <c r="AI19" s="66">
        <v>4.22</v>
      </c>
      <c r="AJ19" s="66">
        <v>8.1199999999999992</v>
      </c>
      <c r="AK19" s="62">
        <f t="shared" si="20"/>
        <v>410.98579999999993</v>
      </c>
      <c r="AL19" s="72">
        <f t="shared" si="21"/>
        <v>790.80679999999995</v>
      </c>
      <c r="AM19" s="73">
        <f t="shared" si="22"/>
        <v>0.46060000000034051</v>
      </c>
      <c r="AN19" s="74">
        <f t="shared" si="8"/>
        <v>0.83181490000009717</v>
      </c>
      <c r="AO19" s="74">
        <f t="shared" si="8"/>
        <v>0.71961648000001333</v>
      </c>
      <c r="AP19" s="75">
        <f t="shared" si="23"/>
        <v>6.0136022020228679E-3</v>
      </c>
      <c r="AQ19" s="76">
        <f t="shared" si="9"/>
        <v>588.77204945024766</v>
      </c>
      <c r="AR19" s="90">
        <f t="shared" si="24"/>
        <v>0.46060000000034051</v>
      </c>
    </row>
    <row r="20" spans="1:49" x14ac:dyDescent="0.25">
      <c r="A20" t="str">
        <f t="shared" si="10"/>
        <v>46182M</v>
      </c>
      <c r="B20" s="51">
        <f t="shared" si="25"/>
        <v>46182</v>
      </c>
      <c r="C20" s="52" t="s">
        <v>87</v>
      </c>
      <c r="D20" s="91">
        <v>9739</v>
      </c>
      <c r="E20" s="62">
        <v>4.22</v>
      </c>
      <c r="F20" s="62">
        <v>8.1199999999999992</v>
      </c>
      <c r="G20" s="62">
        <f t="shared" si="11"/>
        <v>410.98579999999993</v>
      </c>
      <c r="H20" s="63">
        <f t="shared" si="12"/>
        <v>790.80679999999995</v>
      </c>
      <c r="I20" s="203">
        <v>2062.2600000000002</v>
      </c>
      <c r="J20" s="203">
        <v>2124.1278000000002</v>
      </c>
      <c r="K20" s="203">
        <v>4.5</v>
      </c>
      <c r="L20" s="203">
        <v>8.16</v>
      </c>
      <c r="M20" s="57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3"/>
        <v>2124.1278000000002</v>
      </c>
      <c r="S20" s="62">
        <f t="shared" si="14"/>
        <v>95.585751000000002</v>
      </c>
      <c r="T20" s="63">
        <f t="shared" si="15"/>
        <v>173.32882848000003</v>
      </c>
      <c r="U20" s="64" t="s">
        <v>184</v>
      </c>
      <c r="V20" s="65" t="s">
        <v>390</v>
      </c>
      <c r="W20" s="66" t="s">
        <v>181</v>
      </c>
      <c r="X20" s="67">
        <v>8280</v>
      </c>
      <c r="Y20" s="68">
        <v>4.1999999999999993</v>
      </c>
      <c r="Z20" s="68">
        <v>8.15</v>
      </c>
      <c r="AA20" s="62">
        <f t="shared" si="16"/>
        <v>347.76</v>
      </c>
      <c r="AB20" s="63">
        <f t="shared" si="17"/>
        <v>674.82</v>
      </c>
      <c r="AC20" s="69">
        <v>8120</v>
      </c>
      <c r="AD20" s="70">
        <v>4.1500000000000004</v>
      </c>
      <c r="AE20" s="70">
        <v>8.0659605911330043</v>
      </c>
      <c r="AF20" s="62">
        <f t="shared" si="18"/>
        <v>336.98</v>
      </c>
      <c r="AG20" s="63">
        <f t="shared" si="19"/>
        <v>654.95600000000002</v>
      </c>
      <c r="AH20" s="66">
        <v>3587</v>
      </c>
      <c r="AI20" s="66">
        <v>4.26</v>
      </c>
      <c r="AJ20" s="66">
        <v>8.1199999999999992</v>
      </c>
      <c r="AK20" s="62">
        <f t="shared" si="20"/>
        <v>152.80619999999999</v>
      </c>
      <c r="AL20" s="72">
        <f t="shared" si="21"/>
        <v>291.26439999999997</v>
      </c>
      <c r="AM20" s="73">
        <f t="shared" si="22"/>
        <v>156.12780000000021</v>
      </c>
      <c r="AN20" s="74">
        <f t="shared" ref="AN20:AO65" si="26">+G20+S20-AF20-AK20</f>
        <v>16.785350999999935</v>
      </c>
      <c r="AO20" s="74">
        <f t="shared" si="26"/>
        <v>17.915228479999939</v>
      </c>
      <c r="AP20" s="75">
        <f t="shared" si="23"/>
        <v>0.12903941298794719</v>
      </c>
      <c r="AQ20" s="76">
        <f t="shared" si="9"/>
        <v>12896.662062047821</v>
      </c>
      <c r="AR20" s="90">
        <f t="shared" si="24"/>
        <v>-3.8721999999997934</v>
      </c>
    </row>
    <row r="21" spans="1:49" x14ac:dyDescent="0.25">
      <c r="A21" t="str">
        <f t="shared" si="10"/>
        <v>46182E</v>
      </c>
      <c r="B21" s="51">
        <f t="shared" si="25"/>
        <v>46182</v>
      </c>
      <c r="C21" s="52" t="s">
        <v>88</v>
      </c>
      <c r="D21" s="91">
        <v>3587</v>
      </c>
      <c r="E21" s="62">
        <v>4.26</v>
      </c>
      <c r="F21" s="62">
        <v>8.1199999999999992</v>
      </c>
      <c r="G21" s="62">
        <f t="shared" si="11"/>
        <v>152.80619999999999</v>
      </c>
      <c r="H21" s="63">
        <f t="shared" si="12"/>
        <v>291.26439999999997</v>
      </c>
      <c r="I21" s="203">
        <v>2534.08</v>
      </c>
      <c r="J21" s="203">
        <v>2610.1024000000002</v>
      </c>
      <c r="K21" s="203">
        <v>3.98</v>
      </c>
      <c r="L21" s="203">
        <v>7.96</v>
      </c>
      <c r="M21" s="57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3"/>
        <v>2610.1024000000002</v>
      </c>
      <c r="S21" s="62">
        <f t="shared" si="14"/>
        <v>103.88207552000001</v>
      </c>
      <c r="T21" s="63">
        <f t="shared" si="15"/>
        <v>207.76415104000003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16"/>
        <v>0</v>
      </c>
      <c r="AB21" s="63">
        <f t="shared" si="17"/>
        <v>0</v>
      </c>
      <c r="AC21" s="69"/>
      <c r="AD21" s="70"/>
      <c r="AE21" s="70"/>
      <c r="AF21" s="62">
        <f t="shared" si="18"/>
        <v>0</v>
      </c>
      <c r="AG21" s="63">
        <f t="shared" si="19"/>
        <v>0</v>
      </c>
      <c r="AH21" s="66">
        <v>6197</v>
      </c>
      <c r="AI21" s="66">
        <v>4.1399999999999997</v>
      </c>
      <c r="AJ21" s="66">
        <v>8.0500000000000007</v>
      </c>
      <c r="AK21" s="62">
        <f t="shared" si="20"/>
        <v>256.55579999999998</v>
      </c>
      <c r="AL21" s="72">
        <f t="shared" si="21"/>
        <v>498.85849999999999</v>
      </c>
      <c r="AM21" s="73">
        <f t="shared" si="22"/>
        <v>0.10239999999976135</v>
      </c>
      <c r="AN21" s="74">
        <f t="shared" si="26"/>
        <v>0.13247552000001406</v>
      </c>
      <c r="AO21" s="74">
        <f t="shared" si="26"/>
        <v>0.17005104000003257</v>
      </c>
      <c r="AP21" s="75">
        <f t="shared" si="23"/>
        <v>9.7073711862127215E-4</v>
      </c>
      <c r="AQ21" s="76">
        <f t="shared" si="9"/>
        <v>110.36132726081607</v>
      </c>
      <c r="AR21" s="90">
        <f t="shared" si="24"/>
        <v>0.10239999999976135</v>
      </c>
    </row>
    <row r="22" spans="1:49" x14ac:dyDescent="0.25">
      <c r="A22" t="str">
        <f t="shared" si="10"/>
        <v>46183M</v>
      </c>
      <c r="B22" s="51">
        <f t="shared" si="25"/>
        <v>46183</v>
      </c>
      <c r="C22" s="52" t="s">
        <v>87</v>
      </c>
      <c r="D22" s="91">
        <v>6197</v>
      </c>
      <c r="E22" s="62">
        <v>4.1399999999999997</v>
      </c>
      <c r="F22" s="62">
        <v>8.0500000000000007</v>
      </c>
      <c r="G22" s="62">
        <f t="shared" si="11"/>
        <v>256.55579999999998</v>
      </c>
      <c r="H22" s="63">
        <f t="shared" si="12"/>
        <v>498.85849999999999</v>
      </c>
      <c r="I22" s="203">
        <v>1816.92</v>
      </c>
      <c r="J22" s="203">
        <v>1871.4276000000002</v>
      </c>
      <c r="K22" s="203">
        <v>4.13</v>
      </c>
      <c r="L22" s="203">
        <v>8.1300000000000008</v>
      </c>
      <c r="M22" s="57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3"/>
        <v>1871.4276000000002</v>
      </c>
      <c r="S22" s="62">
        <f t="shared" si="14"/>
        <v>77.289959879999998</v>
      </c>
      <c r="T22" s="63">
        <f t="shared" si="15"/>
        <v>152.14706388000005</v>
      </c>
      <c r="U22" s="64" t="s">
        <v>184</v>
      </c>
      <c r="V22" s="65" t="s">
        <v>411</v>
      </c>
      <c r="W22" s="66" t="s">
        <v>181</v>
      </c>
      <c r="X22" s="67">
        <v>5130</v>
      </c>
      <c r="Y22" s="68">
        <v>4.3</v>
      </c>
      <c r="Z22" s="68">
        <v>8.27</v>
      </c>
      <c r="AA22" s="62">
        <f t="shared" si="16"/>
        <v>220.58999999999997</v>
      </c>
      <c r="AB22" s="63">
        <f t="shared" si="17"/>
        <v>424.25099999999998</v>
      </c>
      <c r="AC22" s="226">
        <v>5130</v>
      </c>
      <c r="AD22" s="227">
        <v>4.3</v>
      </c>
      <c r="AE22" s="227">
        <v>8.27</v>
      </c>
      <c r="AF22" s="62">
        <f t="shared" si="18"/>
        <v>220.58999999999997</v>
      </c>
      <c r="AG22" s="63">
        <f t="shared" si="19"/>
        <v>424.25099999999998</v>
      </c>
      <c r="AH22" s="66">
        <v>2938</v>
      </c>
      <c r="AI22" s="66">
        <v>4.13</v>
      </c>
      <c r="AJ22" s="66">
        <v>8.1300000000000008</v>
      </c>
      <c r="AK22" s="62">
        <f t="shared" si="20"/>
        <v>121.33939999999998</v>
      </c>
      <c r="AL22" s="72">
        <f t="shared" si="21"/>
        <v>238.85940000000002</v>
      </c>
      <c r="AM22" s="73">
        <f t="shared" si="22"/>
        <v>0.42759999999998399</v>
      </c>
      <c r="AN22" s="74">
        <f t="shared" si="26"/>
        <v>-8.0836401200000125</v>
      </c>
      <c r="AO22" s="74">
        <f t="shared" si="26"/>
        <v>-12.104836119999931</v>
      </c>
      <c r="AP22" s="75">
        <f t="shared" si="23"/>
        <v>-8.7991362113892593E-2</v>
      </c>
      <c r="AQ22" s="76">
        <f t="shared" si="9"/>
        <v>-7251.4815413553188</v>
      </c>
      <c r="AR22" s="90">
        <f t="shared" si="24"/>
        <v>0.42759999999998399</v>
      </c>
    </row>
    <row r="23" spans="1:49" x14ac:dyDescent="0.25">
      <c r="A23" t="str">
        <f t="shared" si="10"/>
        <v>46183E</v>
      </c>
      <c r="B23" s="51">
        <f t="shared" si="25"/>
        <v>46183</v>
      </c>
      <c r="C23" s="52" t="s">
        <v>88</v>
      </c>
      <c r="D23" s="91">
        <v>2938</v>
      </c>
      <c r="E23" s="62">
        <v>4.13</v>
      </c>
      <c r="F23" s="62">
        <v>8.1300000000000008</v>
      </c>
      <c r="G23" s="62">
        <f t="shared" si="11"/>
        <v>121.33939999999998</v>
      </c>
      <c r="H23" s="63">
        <f t="shared" si="12"/>
        <v>238.85940000000002</v>
      </c>
      <c r="I23" s="203">
        <v>2337.92</v>
      </c>
      <c r="J23" s="203">
        <v>2408.0576000000001</v>
      </c>
      <c r="K23" s="203">
        <v>3.85</v>
      </c>
      <c r="L23" s="203">
        <v>8</v>
      </c>
      <c r="M23" s="57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3"/>
        <v>2408.0576000000001</v>
      </c>
      <c r="S23" s="62">
        <f t="shared" si="14"/>
        <v>92.710217600000007</v>
      </c>
      <c r="T23" s="63">
        <f t="shared" si="15"/>
        <v>192.64460800000001</v>
      </c>
      <c r="U23" s="64" t="s">
        <v>167</v>
      </c>
      <c r="V23" s="65" t="s">
        <v>167</v>
      </c>
      <c r="W23" s="66">
        <v>0</v>
      </c>
      <c r="X23" s="67">
        <v>0</v>
      </c>
      <c r="Y23" s="68">
        <v>0</v>
      </c>
      <c r="Z23" s="68">
        <v>0</v>
      </c>
      <c r="AA23" s="62">
        <f t="shared" si="16"/>
        <v>0</v>
      </c>
      <c r="AB23" s="63">
        <f t="shared" si="17"/>
        <v>0</v>
      </c>
      <c r="AC23" s="69"/>
      <c r="AD23" s="70"/>
      <c r="AE23" s="70"/>
      <c r="AF23" s="62">
        <f t="shared" si="18"/>
        <v>0</v>
      </c>
      <c r="AG23" s="63">
        <f t="shared" si="19"/>
        <v>0</v>
      </c>
      <c r="AH23" s="66">
        <v>5346</v>
      </c>
      <c r="AI23" s="66">
        <v>4</v>
      </c>
      <c r="AJ23" s="66">
        <v>8.0299999999999994</v>
      </c>
      <c r="AK23" s="62">
        <f t="shared" si="20"/>
        <v>213.84</v>
      </c>
      <c r="AL23" s="72">
        <f t="shared" si="21"/>
        <v>429.28379999999999</v>
      </c>
      <c r="AM23" s="73">
        <f t="shared" si="22"/>
        <v>5.7600000000093132E-2</v>
      </c>
      <c r="AN23" s="74">
        <f t="shared" si="26"/>
        <v>0.20961759999997298</v>
      </c>
      <c r="AO23" s="74">
        <f t="shared" si="26"/>
        <v>2.2202080000000137</v>
      </c>
      <c r="AP23" s="75">
        <f t="shared" si="23"/>
        <v>8.5151025390614119E-3</v>
      </c>
      <c r="AQ23" s="76">
        <f t="shared" si="9"/>
        <v>758.54848566932537</v>
      </c>
      <c r="AR23" s="90">
        <f t="shared" si="24"/>
        <v>5.7600000000093132E-2</v>
      </c>
    </row>
    <row r="24" spans="1:49" x14ac:dyDescent="0.25">
      <c r="A24" t="str">
        <f t="shared" si="10"/>
        <v>46184M</v>
      </c>
      <c r="B24" s="51">
        <f t="shared" si="25"/>
        <v>46184</v>
      </c>
      <c r="C24" s="52" t="s">
        <v>87</v>
      </c>
      <c r="D24" s="91">
        <v>5346</v>
      </c>
      <c r="E24" s="62">
        <v>4</v>
      </c>
      <c r="F24" s="62">
        <v>8.0299999999999994</v>
      </c>
      <c r="G24" s="62">
        <f t="shared" si="11"/>
        <v>213.84</v>
      </c>
      <c r="H24" s="63">
        <f t="shared" si="12"/>
        <v>429.28379999999999</v>
      </c>
      <c r="I24" s="203">
        <v>1970.84</v>
      </c>
      <c r="J24" s="203">
        <v>2029.9651999999999</v>
      </c>
      <c r="K24" s="203">
        <v>4.28</v>
      </c>
      <c r="L24" s="203">
        <v>8.26</v>
      </c>
      <c r="M24" s="57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3"/>
        <v>2029.9651999999999</v>
      </c>
      <c r="S24" s="62">
        <f t="shared" si="14"/>
        <v>86.88251056</v>
      </c>
      <c r="T24" s="63">
        <f t="shared" si="15"/>
        <v>167.67512551999997</v>
      </c>
      <c r="U24" s="64" t="s">
        <v>184</v>
      </c>
      <c r="V24" s="65" t="s">
        <v>472</v>
      </c>
      <c r="W24" s="66" t="s">
        <v>183</v>
      </c>
      <c r="X24" s="67">
        <v>5130</v>
      </c>
      <c r="Y24" s="68">
        <v>4.3</v>
      </c>
      <c r="Z24" s="68">
        <v>8.27</v>
      </c>
      <c r="AA24" s="62">
        <f t="shared" si="16"/>
        <v>220.58999999999997</v>
      </c>
      <c r="AB24" s="63">
        <f t="shared" si="17"/>
        <v>424.25099999999998</v>
      </c>
      <c r="AC24" s="226">
        <v>5130</v>
      </c>
      <c r="AD24" s="227">
        <v>4.3</v>
      </c>
      <c r="AE24" s="227">
        <v>8.27</v>
      </c>
      <c r="AF24" s="62">
        <f t="shared" si="18"/>
        <v>220.58999999999997</v>
      </c>
      <c r="AG24" s="63">
        <f t="shared" si="19"/>
        <v>424.25099999999998</v>
      </c>
      <c r="AH24" s="66">
        <v>2245</v>
      </c>
      <c r="AI24" s="66">
        <v>4.07</v>
      </c>
      <c r="AJ24" s="66">
        <v>8.1199999999999992</v>
      </c>
      <c r="AK24" s="62">
        <f t="shared" si="20"/>
        <v>91.371499999999997</v>
      </c>
      <c r="AL24" s="72">
        <f t="shared" si="21"/>
        <v>182.29399999999998</v>
      </c>
      <c r="AM24" s="73">
        <f t="shared" si="22"/>
        <v>0.96519999999964057</v>
      </c>
      <c r="AN24" s="74">
        <f t="shared" si="26"/>
        <v>-11.238989439999983</v>
      </c>
      <c r="AO24" s="74">
        <f t="shared" si="26"/>
        <v>-9.5860744799999793</v>
      </c>
      <c r="AP24" s="75">
        <f t="shared" si="23"/>
        <v>-8.1808836068289301E-2</v>
      </c>
      <c r="AQ24" s="76">
        <f t="shared" si="9"/>
        <v>-7914.1512127215865</v>
      </c>
      <c r="AR24" s="90">
        <f t="shared" si="24"/>
        <v>0.96519999999964057</v>
      </c>
    </row>
    <row r="25" spans="1:49" x14ac:dyDescent="0.25">
      <c r="A25" t="str">
        <f t="shared" si="10"/>
        <v>46184E</v>
      </c>
      <c r="B25" s="51">
        <f t="shared" si="25"/>
        <v>46184</v>
      </c>
      <c r="C25" s="52" t="s">
        <v>88</v>
      </c>
      <c r="D25" s="91">
        <v>2245</v>
      </c>
      <c r="E25" s="62">
        <v>4.07</v>
      </c>
      <c r="F25" s="62">
        <v>8.1199999999999992</v>
      </c>
      <c r="G25" s="62">
        <f t="shared" si="11"/>
        <v>91.371499999999997</v>
      </c>
      <c r="H25" s="63">
        <f t="shared" si="12"/>
        <v>182.29399999999998</v>
      </c>
      <c r="I25" s="203">
        <v>2681.9</v>
      </c>
      <c r="J25" s="203">
        <v>2762.357</v>
      </c>
      <c r="K25" s="203">
        <v>4.05</v>
      </c>
      <c r="L25" s="203">
        <v>8.24</v>
      </c>
      <c r="M25" s="57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3"/>
        <v>2762.357</v>
      </c>
      <c r="S25" s="62">
        <f t="shared" si="14"/>
        <v>111.87545850000001</v>
      </c>
      <c r="T25" s="63">
        <f t="shared" si="15"/>
        <v>227.6182168</v>
      </c>
      <c r="U25" s="64" t="s">
        <v>167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16"/>
        <v>0</v>
      </c>
      <c r="AB25" s="63">
        <f t="shared" si="17"/>
        <v>0</v>
      </c>
      <c r="AC25" s="69"/>
      <c r="AD25" s="70"/>
      <c r="AE25" s="70"/>
      <c r="AF25" s="62">
        <f t="shared" si="18"/>
        <v>0</v>
      </c>
      <c r="AG25" s="63">
        <f t="shared" si="19"/>
        <v>0</v>
      </c>
      <c r="AH25" s="66">
        <v>5007</v>
      </c>
      <c r="AI25" s="66">
        <v>4.08</v>
      </c>
      <c r="AJ25" s="66">
        <v>8.18</v>
      </c>
      <c r="AK25" s="62">
        <f t="shared" si="20"/>
        <v>204.28560000000002</v>
      </c>
      <c r="AL25" s="72">
        <f t="shared" si="21"/>
        <v>409.57259999999997</v>
      </c>
      <c r="AM25" s="73">
        <f t="shared" si="22"/>
        <v>0.3569999999999709</v>
      </c>
      <c r="AN25" s="74">
        <f t="shared" si="26"/>
        <v>-1.0386415000000113</v>
      </c>
      <c r="AO25" s="74">
        <f t="shared" si="26"/>
        <v>0.33961680000004435</v>
      </c>
      <c r="AP25" s="75">
        <f t="shared" si="23"/>
        <v>-2.0590212744972659E-3</v>
      </c>
      <c r="AQ25" s="76">
        <f t="shared" si="9"/>
        <v>-364.61830397299184</v>
      </c>
      <c r="AR25" s="90">
        <f t="shared" si="24"/>
        <v>0.3569999999999709</v>
      </c>
    </row>
    <row r="26" spans="1:49" x14ac:dyDescent="0.25">
      <c r="A26" t="str">
        <f t="shared" si="10"/>
        <v>46185M</v>
      </c>
      <c r="B26" s="51">
        <f t="shared" si="25"/>
        <v>46185</v>
      </c>
      <c r="C26" s="52" t="s">
        <v>87</v>
      </c>
      <c r="D26" s="91"/>
      <c r="E26" s="62"/>
      <c r="F26" s="62"/>
      <c r="G26" s="62">
        <f t="shared" si="11"/>
        <v>0</v>
      </c>
      <c r="H26" s="63">
        <f t="shared" si="12"/>
        <v>0</v>
      </c>
      <c r="I26" s="203"/>
      <c r="J26" s="203"/>
      <c r="K26" s="203"/>
      <c r="L26" s="203"/>
      <c r="M26" s="57"/>
      <c r="N26" s="58"/>
      <c r="O26" s="59"/>
      <c r="P26" s="56"/>
      <c r="Q26" s="60"/>
      <c r="R26" s="61">
        <f t="shared" si="13"/>
        <v>0</v>
      </c>
      <c r="S26" s="62">
        <f t="shared" si="14"/>
        <v>0</v>
      </c>
      <c r="T26" s="63">
        <f t="shared" si="15"/>
        <v>0</v>
      </c>
      <c r="U26" s="64"/>
      <c r="V26" s="65"/>
      <c r="W26" s="66"/>
      <c r="X26" s="67"/>
      <c r="Y26" s="68"/>
      <c r="Z26" s="68"/>
      <c r="AA26" s="62">
        <f t="shared" si="16"/>
        <v>0</v>
      </c>
      <c r="AB26" s="63">
        <f t="shared" si="17"/>
        <v>0</v>
      </c>
      <c r="AC26" s="69"/>
      <c r="AD26" s="70"/>
      <c r="AE26" s="70"/>
      <c r="AF26" s="62">
        <f t="shared" si="18"/>
        <v>0</v>
      </c>
      <c r="AG26" s="63">
        <f t="shared" si="19"/>
        <v>0</v>
      </c>
      <c r="AH26" s="66"/>
      <c r="AI26" s="66"/>
      <c r="AJ26" s="66"/>
      <c r="AK26" s="62">
        <f t="shared" si="20"/>
        <v>0</v>
      </c>
      <c r="AL26" s="72">
        <f t="shared" si="21"/>
        <v>0</v>
      </c>
      <c r="AM26" s="73">
        <f t="shared" si="22"/>
        <v>0</v>
      </c>
      <c r="AN26" s="74">
        <f t="shared" si="26"/>
        <v>0</v>
      </c>
      <c r="AO26" s="74">
        <f t="shared" si="26"/>
        <v>0</v>
      </c>
      <c r="AP26" s="75" t="e">
        <f t="shared" si="23"/>
        <v>#DIV/0!</v>
      </c>
      <c r="AQ26" s="76">
        <f t="shared" si="9"/>
        <v>0</v>
      </c>
      <c r="AR26" s="90">
        <f t="shared" si="24"/>
        <v>0</v>
      </c>
    </row>
    <row r="27" spans="1:49" x14ac:dyDescent="0.25">
      <c r="A27" t="str">
        <f t="shared" si="10"/>
        <v>46185E</v>
      </c>
      <c r="B27" s="51">
        <f t="shared" si="25"/>
        <v>46185</v>
      </c>
      <c r="C27" s="52" t="s">
        <v>88</v>
      </c>
      <c r="D27" s="91"/>
      <c r="E27" s="62"/>
      <c r="F27" s="62"/>
      <c r="G27" s="62">
        <f t="shared" si="11"/>
        <v>0</v>
      </c>
      <c r="H27" s="63">
        <f t="shared" si="12"/>
        <v>0</v>
      </c>
      <c r="I27" s="203"/>
      <c r="J27" s="203"/>
      <c r="K27" s="203"/>
      <c r="L27" s="203"/>
      <c r="M27" s="57"/>
      <c r="N27" s="58"/>
      <c r="O27" s="59"/>
      <c r="P27" s="56"/>
      <c r="Q27" s="60"/>
      <c r="R27" s="61">
        <f t="shared" si="13"/>
        <v>0</v>
      </c>
      <c r="S27" s="62">
        <f t="shared" si="14"/>
        <v>0</v>
      </c>
      <c r="T27" s="63">
        <f t="shared" si="15"/>
        <v>0</v>
      </c>
      <c r="U27" s="64"/>
      <c r="V27" s="65"/>
      <c r="W27" s="66"/>
      <c r="X27" s="67"/>
      <c r="Y27" s="68"/>
      <c r="Z27" s="68"/>
      <c r="AA27" s="62">
        <f t="shared" si="16"/>
        <v>0</v>
      </c>
      <c r="AB27" s="63">
        <f t="shared" si="17"/>
        <v>0</v>
      </c>
      <c r="AC27" s="69"/>
      <c r="AD27" s="70"/>
      <c r="AE27" s="70"/>
      <c r="AF27" s="62">
        <f t="shared" si="18"/>
        <v>0</v>
      </c>
      <c r="AG27" s="63">
        <f t="shared" si="19"/>
        <v>0</v>
      </c>
      <c r="AH27" s="66"/>
      <c r="AI27" s="66"/>
      <c r="AJ27" s="66"/>
      <c r="AK27" s="62">
        <f t="shared" si="20"/>
        <v>0</v>
      </c>
      <c r="AL27" s="72">
        <f t="shared" si="21"/>
        <v>0</v>
      </c>
      <c r="AM27" s="73">
        <f t="shared" si="22"/>
        <v>0</v>
      </c>
      <c r="AN27" s="74">
        <f t="shared" si="26"/>
        <v>0</v>
      </c>
      <c r="AO27" s="74">
        <f t="shared" si="26"/>
        <v>0</v>
      </c>
      <c r="AP27" s="75" t="e">
        <f t="shared" si="23"/>
        <v>#DIV/0!</v>
      </c>
      <c r="AQ27" s="76">
        <f t="shared" si="9"/>
        <v>0</v>
      </c>
      <c r="AR27" s="90">
        <f t="shared" si="24"/>
        <v>0</v>
      </c>
    </row>
    <row r="28" spans="1:49" x14ac:dyDescent="0.25">
      <c r="A28" t="str">
        <f t="shared" si="10"/>
        <v>46186M</v>
      </c>
      <c r="B28" s="51">
        <f t="shared" si="25"/>
        <v>46186</v>
      </c>
      <c r="C28" s="52" t="s">
        <v>87</v>
      </c>
      <c r="D28" s="91"/>
      <c r="E28" s="62"/>
      <c r="F28" s="62"/>
      <c r="G28" s="62">
        <f t="shared" si="11"/>
        <v>0</v>
      </c>
      <c r="H28" s="63">
        <f t="shared" si="12"/>
        <v>0</v>
      </c>
      <c r="I28" s="203"/>
      <c r="J28" s="203"/>
      <c r="K28" s="203"/>
      <c r="L28" s="203"/>
      <c r="M28" s="57"/>
      <c r="N28" s="58"/>
      <c r="O28" s="59"/>
      <c r="P28" s="56"/>
      <c r="Q28" s="60"/>
      <c r="R28" s="61">
        <f t="shared" si="13"/>
        <v>0</v>
      </c>
      <c r="S28" s="62">
        <f t="shared" si="14"/>
        <v>0</v>
      </c>
      <c r="T28" s="63">
        <f t="shared" si="15"/>
        <v>0</v>
      </c>
      <c r="U28" s="64"/>
      <c r="V28" s="65"/>
      <c r="W28" s="66"/>
      <c r="X28" s="67"/>
      <c r="Y28" s="68"/>
      <c r="Z28" s="68"/>
      <c r="AA28" s="62">
        <f t="shared" si="16"/>
        <v>0</v>
      </c>
      <c r="AB28" s="63">
        <f t="shared" si="17"/>
        <v>0</v>
      </c>
      <c r="AC28" s="69"/>
      <c r="AD28" s="70"/>
      <c r="AE28" s="70"/>
      <c r="AF28" s="62">
        <f t="shared" si="18"/>
        <v>0</v>
      </c>
      <c r="AG28" s="63">
        <f t="shared" si="19"/>
        <v>0</v>
      </c>
      <c r="AH28" s="66"/>
      <c r="AI28" s="66"/>
      <c r="AJ28" s="66"/>
      <c r="AK28" s="62">
        <f t="shared" si="20"/>
        <v>0</v>
      </c>
      <c r="AL28" s="72">
        <f t="shared" si="21"/>
        <v>0</v>
      </c>
      <c r="AM28" s="73">
        <f t="shared" si="22"/>
        <v>0</v>
      </c>
      <c r="AN28" s="74">
        <f t="shared" si="26"/>
        <v>0</v>
      </c>
      <c r="AO28" s="74">
        <f t="shared" si="26"/>
        <v>0</v>
      </c>
      <c r="AP28" s="75" t="e">
        <f t="shared" si="23"/>
        <v>#DIV/0!</v>
      </c>
      <c r="AQ28" s="76">
        <f t="shared" si="9"/>
        <v>0</v>
      </c>
      <c r="AR28" s="90">
        <f t="shared" si="24"/>
        <v>0</v>
      </c>
    </row>
    <row r="29" spans="1:49" x14ac:dyDescent="0.25">
      <c r="A29" t="str">
        <f t="shared" si="10"/>
        <v>46186E</v>
      </c>
      <c r="B29" s="51">
        <f t="shared" si="25"/>
        <v>46186</v>
      </c>
      <c r="C29" s="52" t="s">
        <v>88</v>
      </c>
      <c r="D29" s="91"/>
      <c r="E29" s="62"/>
      <c r="F29" s="62"/>
      <c r="G29" s="62">
        <f t="shared" si="11"/>
        <v>0</v>
      </c>
      <c r="H29" s="63">
        <f t="shared" si="12"/>
        <v>0</v>
      </c>
      <c r="I29" s="203"/>
      <c r="J29" s="203"/>
      <c r="K29" s="203"/>
      <c r="L29" s="203"/>
      <c r="M29" s="57"/>
      <c r="N29" s="58"/>
      <c r="O29" s="59"/>
      <c r="P29" s="56"/>
      <c r="Q29" s="60"/>
      <c r="R29" s="61">
        <f t="shared" si="13"/>
        <v>0</v>
      </c>
      <c r="S29" s="62">
        <f t="shared" si="14"/>
        <v>0</v>
      </c>
      <c r="T29" s="63">
        <f t="shared" si="15"/>
        <v>0</v>
      </c>
      <c r="U29" s="64"/>
      <c r="V29" s="65"/>
      <c r="W29" s="66"/>
      <c r="X29" s="67"/>
      <c r="Y29" s="68"/>
      <c r="Z29" s="68"/>
      <c r="AA29" s="62">
        <f t="shared" si="16"/>
        <v>0</v>
      </c>
      <c r="AB29" s="63">
        <f t="shared" si="17"/>
        <v>0</v>
      </c>
      <c r="AC29" s="69"/>
      <c r="AD29" s="70"/>
      <c r="AE29" s="70"/>
      <c r="AF29" s="62">
        <f t="shared" si="18"/>
        <v>0</v>
      </c>
      <c r="AG29" s="63">
        <f t="shared" si="19"/>
        <v>0</v>
      </c>
      <c r="AH29" s="66"/>
      <c r="AI29" s="66"/>
      <c r="AJ29" s="66"/>
      <c r="AK29" s="62">
        <f t="shared" si="20"/>
        <v>0</v>
      </c>
      <c r="AL29" s="72">
        <f t="shared" si="21"/>
        <v>0</v>
      </c>
      <c r="AM29" s="73">
        <f t="shared" si="22"/>
        <v>0</v>
      </c>
      <c r="AN29" s="74">
        <f t="shared" si="26"/>
        <v>0</v>
      </c>
      <c r="AO29" s="74">
        <f t="shared" si="26"/>
        <v>0</v>
      </c>
      <c r="AP29" s="75" t="e">
        <f t="shared" si="23"/>
        <v>#DIV/0!</v>
      </c>
      <c r="AQ29" s="76">
        <f t="shared" si="9"/>
        <v>0</v>
      </c>
      <c r="AR29" s="90">
        <f t="shared" si="24"/>
        <v>0</v>
      </c>
    </row>
    <row r="30" spans="1:49" x14ac:dyDescent="0.25">
      <c r="A30" t="str">
        <f t="shared" si="10"/>
        <v>46187M</v>
      </c>
      <c r="B30" s="51">
        <f t="shared" si="25"/>
        <v>46187</v>
      </c>
      <c r="C30" s="52" t="s">
        <v>87</v>
      </c>
      <c r="D30" s="79"/>
      <c r="E30" s="62"/>
      <c r="F30" s="62"/>
      <c r="G30" s="62">
        <f t="shared" si="11"/>
        <v>0</v>
      </c>
      <c r="H30" s="63">
        <f t="shared" si="12"/>
        <v>0</v>
      </c>
      <c r="I30" s="203"/>
      <c r="J30" s="203"/>
      <c r="K30" s="203"/>
      <c r="L30" s="203"/>
      <c r="M30" s="57"/>
      <c r="N30" s="58"/>
      <c r="O30" s="59"/>
      <c r="P30" s="56"/>
      <c r="Q30" s="60"/>
      <c r="R30" s="61">
        <f t="shared" si="13"/>
        <v>0</v>
      </c>
      <c r="S30" s="62">
        <f t="shared" si="14"/>
        <v>0</v>
      </c>
      <c r="T30" s="63">
        <f t="shared" si="15"/>
        <v>0</v>
      </c>
      <c r="U30" s="64"/>
      <c r="V30" s="65"/>
      <c r="W30" s="66"/>
      <c r="X30" s="67"/>
      <c r="Y30" s="68"/>
      <c r="Z30" s="68"/>
      <c r="AA30" s="62">
        <f t="shared" si="16"/>
        <v>0</v>
      </c>
      <c r="AB30" s="63">
        <f t="shared" si="17"/>
        <v>0</v>
      </c>
      <c r="AC30" s="69"/>
      <c r="AD30" s="70"/>
      <c r="AE30" s="70"/>
      <c r="AF30" s="62">
        <f t="shared" si="18"/>
        <v>0</v>
      </c>
      <c r="AG30" s="63">
        <f t="shared" si="19"/>
        <v>0</v>
      </c>
      <c r="AH30" s="66"/>
      <c r="AI30" s="66"/>
      <c r="AJ30" s="66"/>
      <c r="AK30" s="62">
        <f t="shared" si="20"/>
        <v>0</v>
      </c>
      <c r="AL30" s="72">
        <f t="shared" si="21"/>
        <v>0</v>
      </c>
      <c r="AM30" s="73">
        <f t="shared" si="22"/>
        <v>0</v>
      </c>
      <c r="AN30" s="74">
        <f t="shared" si="26"/>
        <v>0</v>
      </c>
      <c r="AO30" s="74">
        <f t="shared" si="26"/>
        <v>0</v>
      </c>
      <c r="AP30" s="75" t="e">
        <f t="shared" si="23"/>
        <v>#DIV/0!</v>
      </c>
      <c r="AQ30" s="76">
        <f t="shared" si="9"/>
        <v>0</v>
      </c>
      <c r="AR30" s="90">
        <f t="shared" si="24"/>
        <v>0</v>
      </c>
    </row>
    <row r="31" spans="1:49" x14ac:dyDescent="0.25">
      <c r="A31" t="str">
        <f t="shared" si="10"/>
        <v>46187E</v>
      </c>
      <c r="B31" s="51">
        <f t="shared" si="25"/>
        <v>46187</v>
      </c>
      <c r="C31" s="52" t="s">
        <v>88</v>
      </c>
      <c r="D31" s="79"/>
      <c r="E31" s="62"/>
      <c r="F31" s="62"/>
      <c r="G31" s="62">
        <f t="shared" si="11"/>
        <v>0</v>
      </c>
      <c r="H31" s="63">
        <f t="shared" si="12"/>
        <v>0</v>
      </c>
      <c r="I31" s="203"/>
      <c r="J31" s="203"/>
      <c r="K31" s="203"/>
      <c r="L31" s="203"/>
      <c r="M31" s="57"/>
      <c r="N31" s="58"/>
      <c r="O31" s="59"/>
      <c r="P31" s="56"/>
      <c r="Q31" s="60"/>
      <c r="R31" s="61">
        <f t="shared" si="13"/>
        <v>0</v>
      </c>
      <c r="S31" s="62">
        <f t="shared" si="14"/>
        <v>0</v>
      </c>
      <c r="T31" s="63">
        <f t="shared" si="15"/>
        <v>0</v>
      </c>
      <c r="U31" s="64"/>
      <c r="V31" s="65"/>
      <c r="W31" s="66"/>
      <c r="X31" s="67"/>
      <c r="Y31" s="68"/>
      <c r="Z31" s="68"/>
      <c r="AA31" s="62">
        <f t="shared" si="16"/>
        <v>0</v>
      </c>
      <c r="AB31" s="63">
        <f t="shared" si="17"/>
        <v>0</v>
      </c>
      <c r="AC31" s="69"/>
      <c r="AD31" s="70"/>
      <c r="AE31" s="70"/>
      <c r="AF31" s="62">
        <f t="shared" si="18"/>
        <v>0</v>
      </c>
      <c r="AG31" s="63">
        <f t="shared" si="19"/>
        <v>0</v>
      </c>
      <c r="AH31" s="66"/>
      <c r="AI31" s="66"/>
      <c r="AJ31" s="66"/>
      <c r="AK31" s="62">
        <f t="shared" si="20"/>
        <v>0</v>
      </c>
      <c r="AL31" s="72">
        <f t="shared" si="21"/>
        <v>0</v>
      </c>
      <c r="AM31" s="73">
        <f t="shared" si="22"/>
        <v>0</v>
      </c>
      <c r="AN31" s="74">
        <f t="shared" si="26"/>
        <v>0</v>
      </c>
      <c r="AO31" s="74">
        <f t="shared" si="26"/>
        <v>0</v>
      </c>
      <c r="AP31" s="75" t="e">
        <f t="shared" si="23"/>
        <v>#DIV/0!</v>
      </c>
      <c r="AQ31" s="76">
        <f t="shared" si="9"/>
        <v>0</v>
      </c>
      <c r="AR31" s="90">
        <f t="shared" si="24"/>
        <v>0</v>
      </c>
      <c r="AS31" s="90">
        <f>SUM(J18:J31)</f>
        <v>17903.645400000001</v>
      </c>
      <c r="AT31" s="83">
        <f>SUM(AM18:AM31)</f>
        <v>158.64540000000034</v>
      </c>
      <c r="AU31" s="83">
        <f>SUM(AN18:AN31)</f>
        <v>-1.9389880400000266</v>
      </c>
      <c r="AV31" s="83">
        <f>SUM(AO18:AO31)</f>
        <v>0.37896892000011917</v>
      </c>
      <c r="AW31" s="83">
        <f>-SUM(AQ18:AQ31)</f>
        <v>757.0158291182421</v>
      </c>
    </row>
    <row r="32" spans="1:49" x14ac:dyDescent="0.25">
      <c r="A32" t="str">
        <f t="shared" si="10"/>
        <v>46188M</v>
      </c>
      <c r="B32" s="51">
        <f t="shared" si="25"/>
        <v>46188</v>
      </c>
      <c r="C32" s="52" t="s">
        <v>87</v>
      </c>
      <c r="D32" s="79"/>
      <c r="E32" s="62"/>
      <c r="F32" s="62"/>
      <c r="G32" s="62">
        <f t="shared" si="11"/>
        <v>0</v>
      </c>
      <c r="H32" s="63">
        <f t="shared" si="12"/>
        <v>0</v>
      </c>
      <c r="I32" s="203"/>
      <c r="J32" s="203"/>
      <c r="K32" s="203"/>
      <c r="L32" s="203"/>
      <c r="M32" s="57"/>
      <c r="N32" s="58"/>
      <c r="O32" s="59"/>
      <c r="P32" s="56"/>
      <c r="Q32" s="60"/>
      <c r="R32" s="61">
        <f t="shared" si="13"/>
        <v>0</v>
      </c>
      <c r="S32" s="62">
        <f t="shared" si="14"/>
        <v>0</v>
      </c>
      <c r="T32" s="63">
        <f t="shared" si="15"/>
        <v>0</v>
      </c>
      <c r="U32" s="64"/>
      <c r="V32" s="65"/>
      <c r="W32" s="66"/>
      <c r="X32" s="67"/>
      <c r="Y32" s="68"/>
      <c r="Z32" s="68"/>
      <c r="AA32" s="62">
        <f t="shared" si="16"/>
        <v>0</v>
      </c>
      <c r="AB32" s="63">
        <f t="shared" si="17"/>
        <v>0</v>
      </c>
      <c r="AC32" s="69"/>
      <c r="AD32" s="70"/>
      <c r="AE32" s="70"/>
      <c r="AF32" s="62">
        <f t="shared" si="18"/>
        <v>0</v>
      </c>
      <c r="AG32" s="63">
        <f t="shared" si="19"/>
        <v>0</v>
      </c>
      <c r="AH32" s="66"/>
      <c r="AI32" s="66"/>
      <c r="AJ32" s="66"/>
      <c r="AK32" s="62">
        <f t="shared" si="20"/>
        <v>0</v>
      </c>
      <c r="AL32" s="72">
        <f t="shared" si="21"/>
        <v>0</v>
      </c>
      <c r="AM32" s="73">
        <f t="shared" si="22"/>
        <v>0</v>
      </c>
      <c r="AN32" s="74">
        <f t="shared" si="26"/>
        <v>0</v>
      </c>
      <c r="AO32" s="74">
        <f t="shared" si="26"/>
        <v>0</v>
      </c>
      <c r="AP32" s="75" t="e">
        <f t="shared" si="23"/>
        <v>#DIV/0!</v>
      </c>
      <c r="AQ32" s="76">
        <f t="shared" si="9"/>
        <v>0</v>
      </c>
      <c r="AR32" s="90">
        <f t="shared" si="24"/>
        <v>0</v>
      </c>
    </row>
    <row r="33" spans="1:49" x14ac:dyDescent="0.25">
      <c r="A33" t="str">
        <f t="shared" si="10"/>
        <v>46188E</v>
      </c>
      <c r="B33" s="51">
        <f t="shared" si="25"/>
        <v>46188</v>
      </c>
      <c r="C33" s="52" t="s">
        <v>88</v>
      </c>
      <c r="D33" s="79"/>
      <c r="E33" s="62"/>
      <c r="F33" s="62"/>
      <c r="G33" s="62">
        <f t="shared" si="11"/>
        <v>0</v>
      </c>
      <c r="H33" s="63">
        <f t="shared" si="12"/>
        <v>0</v>
      </c>
      <c r="I33" s="203"/>
      <c r="J33" s="203"/>
      <c r="K33" s="203"/>
      <c r="L33" s="203"/>
      <c r="M33" s="57"/>
      <c r="N33" s="58"/>
      <c r="O33" s="59"/>
      <c r="P33" s="56"/>
      <c r="Q33" s="60"/>
      <c r="R33" s="61">
        <f t="shared" si="13"/>
        <v>0</v>
      </c>
      <c r="S33" s="62">
        <f t="shared" si="14"/>
        <v>0</v>
      </c>
      <c r="T33" s="63">
        <f t="shared" si="15"/>
        <v>0</v>
      </c>
      <c r="U33" s="64"/>
      <c r="V33" s="65"/>
      <c r="W33" s="66"/>
      <c r="X33" s="67"/>
      <c r="Y33" s="68"/>
      <c r="Z33" s="68"/>
      <c r="AA33" s="62">
        <f t="shared" si="16"/>
        <v>0</v>
      </c>
      <c r="AB33" s="63">
        <f t="shared" si="17"/>
        <v>0</v>
      </c>
      <c r="AC33" s="69"/>
      <c r="AD33" s="70"/>
      <c r="AE33" s="70"/>
      <c r="AF33" s="62">
        <f t="shared" si="18"/>
        <v>0</v>
      </c>
      <c r="AG33" s="63">
        <f t="shared" si="19"/>
        <v>0</v>
      </c>
      <c r="AH33" s="66"/>
      <c r="AI33" s="66"/>
      <c r="AJ33" s="66"/>
      <c r="AK33" s="62">
        <f t="shared" si="20"/>
        <v>0</v>
      </c>
      <c r="AL33" s="72">
        <f t="shared" si="21"/>
        <v>0</v>
      </c>
      <c r="AM33" s="73">
        <f t="shared" si="22"/>
        <v>0</v>
      </c>
      <c r="AN33" s="74">
        <f t="shared" si="26"/>
        <v>0</v>
      </c>
      <c r="AO33" s="74">
        <f t="shared" si="26"/>
        <v>0</v>
      </c>
      <c r="AP33" s="75" t="e">
        <f t="shared" si="23"/>
        <v>#DIV/0!</v>
      </c>
      <c r="AQ33" s="76">
        <f t="shared" si="9"/>
        <v>0</v>
      </c>
      <c r="AR33" s="90">
        <f t="shared" si="24"/>
        <v>0</v>
      </c>
    </row>
    <row r="34" spans="1:49" x14ac:dyDescent="0.25">
      <c r="A34" t="str">
        <f t="shared" si="10"/>
        <v>46189M</v>
      </c>
      <c r="B34" s="51">
        <f t="shared" si="25"/>
        <v>46189</v>
      </c>
      <c r="C34" s="52" t="s">
        <v>87</v>
      </c>
      <c r="D34" s="79"/>
      <c r="E34" s="62"/>
      <c r="F34" s="62"/>
      <c r="G34" s="62">
        <f t="shared" si="11"/>
        <v>0</v>
      </c>
      <c r="H34" s="63">
        <f t="shared" si="12"/>
        <v>0</v>
      </c>
      <c r="I34" s="203"/>
      <c r="J34" s="203"/>
      <c r="K34" s="203"/>
      <c r="L34" s="203"/>
      <c r="M34" s="58"/>
      <c r="N34" s="58"/>
      <c r="O34" s="59"/>
      <c r="P34" s="56"/>
      <c r="Q34" s="60"/>
      <c r="R34" s="61">
        <f t="shared" si="13"/>
        <v>0</v>
      </c>
      <c r="S34" s="62">
        <f t="shared" si="14"/>
        <v>0</v>
      </c>
      <c r="T34" s="63">
        <f t="shared" si="15"/>
        <v>0</v>
      </c>
      <c r="U34" s="64"/>
      <c r="V34" s="65"/>
      <c r="W34" s="66"/>
      <c r="X34" s="67"/>
      <c r="Y34" s="68"/>
      <c r="Z34" s="68"/>
      <c r="AA34" s="62">
        <f t="shared" si="16"/>
        <v>0</v>
      </c>
      <c r="AB34" s="63">
        <f t="shared" si="17"/>
        <v>0</v>
      </c>
      <c r="AC34" s="69"/>
      <c r="AD34" s="70"/>
      <c r="AE34" s="70"/>
      <c r="AF34" s="62">
        <f t="shared" si="18"/>
        <v>0</v>
      </c>
      <c r="AG34" s="63">
        <f t="shared" si="19"/>
        <v>0</v>
      </c>
      <c r="AH34" s="66"/>
      <c r="AI34" s="66"/>
      <c r="AJ34" s="66"/>
      <c r="AK34" s="62">
        <f t="shared" si="20"/>
        <v>0</v>
      </c>
      <c r="AL34" s="72">
        <f t="shared" si="21"/>
        <v>0</v>
      </c>
      <c r="AM34" s="73">
        <f t="shared" si="22"/>
        <v>0</v>
      </c>
      <c r="AN34" s="74">
        <f t="shared" si="26"/>
        <v>0</v>
      </c>
      <c r="AO34" s="74">
        <f t="shared" si="26"/>
        <v>0</v>
      </c>
      <c r="AP34" s="75" t="e">
        <f t="shared" si="23"/>
        <v>#DIV/0!</v>
      </c>
      <c r="AQ34" s="76">
        <f t="shared" si="9"/>
        <v>0</v>
      </c>
      <c r="AR34" s="90">
        <f t="shared" si="24"/>
        <v>0</v>
      </c>
    </row>
    <row r="35" spans="1:49" x14ac:dyDescent="0.25">
      <c r="A35" t="str">
        <f t="shared" si="10"/>
        <v>46189E</v>
      </c>
      <c r="B35" s="51">
        <f t="shared" si="25"/>
        <v>46189</v>
      </c>
      <c r="C35" s="52" t="s">
        <v>88</v>
      </c>
      <c r="D35" s="79"/>
      <c r="E35" s="62"/>
      <c r="F35" s="62"/>
      <c r="G35" s="62">
        <f t="shared" si="11"/>
        <v>0</v>
      </c>
      <c r="H35" s="63">
        <f t="shared" si="12"/>
        <v>0</v>
      </c>
      <c r="I35" s="203"/>
      <c r="J35" s="203"/>
      <c r="K35" s="203"/>
      <c r="L35" s="203"/>
      <c r="M35" s="58"/>
      <c r="N35" s="58"/>
      <c r="O35" s="59"/>
      <c r="P35" s="56"/>
      <c r="Q35" s="60"/>
      <c r="R35" s="61">
        <f t="shared" si="13"/>
        <v>0</v>
      </c>
      <c r="S35" s="62">
        <f t="shared" si="14"/>
        <v>0</v>
      </c>
      <c r="T35" s="63">
        <f t="shared" si="15"/>
        <v>0</v>
      </c>
      <c r="U35" s="64"/>
      <c r="V35" s="65"/>
      <c r="W35" s="66"/>
      <c r="X35" s="67"/>
      <c r="Y35" s="68"/>
      <c r="Z35" s="68"/>
      <c r="AA35" s="62">
        <f t="shared" si="16"/>
        <v>0</v>
      </c>
      <c r="AB35" s="63">
        <f t="shared" si="17"/>
        <v>0</v>
      </c>
      <c r="AC35" s="69"/>
      <c r="AD35" s="70"/>
      <c r="AE35" s="70"/>
      <c r="AF35" s="62">
        <f t="shared" si="18"/>
        <v>0</v>
      </c>
      <c r="AG35" s="63">
        <f t="shared" si="19"/>
        <v>0</v>
      </c>
      <c r="AH35" s="66"/>
      <c r="AI35" s="66"/>
      <c r="AJ35" s="66"/>
      <c r="AK35" s="62">
        <f t="shared" si="20"/>
        <v>0</v>
      </c>
      <c r="AL35" s="72">
        <f t="shared" si="21"/>
        <v>0</v>
      </c>
      <c r="AM35" s="73">
        <f t="shared" si="22"/>
        <v>0</v>
      </c>
      <c r="AN35" s="74">
        <f t="shared" si="26"/>
        <v>0</v>
      </c>
      <c r="AO35" s="74">
        <f t="shared" si="26"/>
        <v>0</v>
      </c>
      <c r="AP35" s="75" t="e">
        <f t="shared" si="23"/>
        <v>#DIV/0!</v>
      </c>
      <c r="AQ35" s="76">
        <f t="shared" si="9"/>
        <v>0</v>
      </c>
      <c r="AR35" s="90">
        <f t="shared" si="24"/>
        <v>0</v>
      </c>
    </row>
    <row r="36" spans="1:49" x14ac:dyDescent="0.25">
      <c r="A36" t="str">
        <f t="shared" si="10"/>
        <v>46190M</v>
      </c>
      <c r="B36" s="51">
        <f t="shared" si="25"/>
        <v>46190</v>
      </c>
      <c r="C36" s="52" t="s">
        <v>87</v>
      </c>
      <c r="D36" s="79"/>
      <c r="E36" s="62"/>
      <c r="F36" s="62"/>
      <c r="G36" s="62">
        <f t="shared" si="11"/>
        <v>0</v>
      </c>
      <c r="H36" s="63">
        <f t="shared" si="12"/>
        <v>0</v>
      </c>
      <c r="I36" s="203"/>
      <c r="J36" s="203"/>
      <c r="K36" s="203"/>
      <c r="L36" s="203"/>
      <c r="M36" s="58"/>
      <c r="N36" s="58"/>
      <c r="O36" s="59"/>
      <c r="P36" s="56"/>
      <c r="Q36" s="60"/>
      <c r="R36" s="61">
        <f t="shared" si="13"/>
        <v>0</v>
      </c>
      <c r="S36" s="62">
        <f t="shared" si="14"/>
        <v>0</v>
      </c>
      <c r="T36" s="63">
        <f t="shared" si="15"/>
        <v>0</v>
      </c>
      <c r="U36" s="64"/>
      <c r="V36" s="65"/>
      <c r="W36" s="66"/>
      <c r="X36" s="67"/>
      <c r="Y36" s="68"/>
      <c r="Z36" s="68"/>
      <c r="AA36" s="62">
        <f t="shared" si="16"/>
        <v>0</v>
      </c>
      <c r="AB36" s="63">
        <f t="shared" si="17"/>
        <v>0</v>
      </c>
      <c r="AC36" s="69"/>
      <c r="AD36" s="70"/>
      <c r="AE36" s="70"/>
      <c r="AF36" s="62">
        <f t="shared" si="18"/>
        <v>0</v>
      </c>
      <c r="AG36" s="63">
        <f t="shared" si="19"/>
        <v>0</v>
      </c>
      <c r="AH36" s="66"/>
      <c r="AI36" s="66"/>
      <c r="AJ36" s="66"/>
      <c r="AK36" s="62">
        <f t="shared" si="20"/>
        <v>0</v>
      </c>
      <c r="AL36" s="72">
        <f t="shared" si="21"/>
        <v>0</v>
      </c>
      <c r="AM36" s="73">
        <f t="shared" si="22"/>
        <v>0</v>
      </c>
      <c r="AN36" s="74">
        <f t="shared" si="26"/>
        <v>0</v>
      </c>
      <c r="AO36" s="74">
        <f t="shared" si="26"/>
        <v>0</v>
      </c>
      <c r="AP36" s="75" t="e">
        <f t="shared" si="23"/>
        <v>#DIV/0!</v>
      </c>
      <c r="AQ36" s="76">
        <f t="shared" si="9"/>
        <v>0</v>
      </c>
      <c r="AR36" s="90">
        <f t="shared" si="24"/>
        <v>0</v>
      </c>
    </row>
    <row r="37" spans="1:49" x14ac:dyDescent="0.25">
      <c r="A37" t="str">
        <f t="shared" si="10"/>
        <v>46190E</v>
      </c>
      <c r="B37" s="51">
        <f t="shared" si="25"/>
        <v>46190</v>
      </c>
      <c r="C37" s="52" t="s">
        <v>88</v>
      </c>
      <c r="D37" s="79"/>
      <c r="E37" s="62"/>
      <c r="F37" s="62"/>
      <c r="G37" s="62">
        <f t="shared" si="11"/>
        <v>0</v>
      </c>
      <c r="H37" s="63">
        <f t="shared" si="12"/>
        <v>0</v>
      </c>
      <c r="I37" s="203"/>
      <c r="J37" s="203"/>
      <c r="K37" s="203"/>
      <c r="L37" s="203"/>
      <c r="M37" s="57"/>
      <c r="N37" s="58"/>
      <c r="O37" s="59"/>
      <c r="P37" s="56"/>
      <c r="Q37" s="60"/>
      <c r="R37" s="61">
        <f t="shared" si="13"/>
        <v>0</v>
      </c>
      <c r="S37" s="62">
        <f t="shared" si="14"/>
        <v>0</v>
      </c>
      <c r="T37" s="63">
        <f t="shared" si="15"/>
        <v>0</v>
      </c>
      <c r="U37" s="64"/>
      <c r="V37" s="65"/>
      <c r="W37" s="66"/>
      <c r="X37" s="67"/>
      <c r="Y37" s="68"/>
      <c r="Z37" s="68"/>
      <c r="AA37" s="62">
        <f t="shared" si="16"/>
        <v>0</v>
      </c>
      <c r="AB37" s="63">
        <f t="shared" si="17"/>
        <v>0</v>
      </c>
      <c r="AC37" s="69"/>
      <c r="AD37" s="70"/>
      <c r="AE37" s="70"/>
      <c r="AF37" s="62">
        <f t="shared" si="18"/>
        <v>0</v>
      </c>
      <c r="AG37" s="63">
        <f t="shared" si="19"/>
        <v>0</v>
      </c>
      <c r="AH37" s="66"/>
      <c r="AI37" s="66"/>
      <c r="AJ37" s="66"/>
      <c r="AK37" s="62">
        <f t="shared" si="20"/>
        <v>0</v>
      </c>
      <c r="AL37" s="72">
        <f t="shared" si="21"/>
        <v>0</v>
      </c>
      <c r="AM37" s="73">
        <f t="shared" si="22"/>
        <v>0</v>
      </c>
      <c r="AN37" s="74">
        <f t="shared" si="26"/>
        <v>0</v>
      </c>
      <c r="AO37" s="74">
        <f t="shared" si="26"/>
        <v>0</v>
      </c>
      <c r="AP37" s="75" t="e">
        <f t="shared" si="23"/>
        <v>#DIV/0!</v>
      </c>
      <c r="AQ37" s="76">
        <f t="shared" si="9"/>
        <v>0</v>
      </c>
      <c r="AR37" s="90">
        <f t="shared" si="24"/>
        <v>0</v>
      </c>
    </row>
    <row r="38" spans="1:49" x14ac:dyDescent="0.25">
      <c r="A38" t="str">
        <f t="shared" si="10"/>
        <v>46191M</v>
      </c>
      <c r="B38" s="51">
        <f t="shared" si="25"/>
        <v>46191</v>
      </c>
      <c r="C38" s="52" t="s">
        <v>87</v>
      </c>
      <c r="D38" s="79"/>
      <c r="E38" s="62"/>
      <c r="F38" s="62"/>
      <c r="G38" s="62">
        <f t="shared" si="11"/>
        <v>0</v>
      </c>
      <c r="H38" s="63">
        <f t="shared" si="12"/>
        <v>0</v>
      </c>
      <c r="I38" s="203"/>
      <c r="J38" s="203"/>
      <c r="K38" s="203"/>
      <c r="L38" s="203"/>
      <c r="M38" s="58"/>
      <c r="N38" s="56"/>
      <c r="O38" s="59"/>
      <c r="P38" s="56"/>
      <c r="Q38" s="60"/>
      <c r="R38" s="61">
        <f t="shared" si="13"/>
        <v>0</v>
      </c>
      <c r="S38" s="62">
        <f t="shared" si="14"/>
        <v>0</v>
      </c>
      <c r="T38" s="63">
        <f t="shared" si="15"/>
        <v>0</v>
      </c>
      <c r="U38" s="64"/>
      <c r="V38" s="65"/>
      <c r="W38" s="66"/>
      <c r="X38" s="67"/>
      <c r="Y38" s="68"/>
      <c r="Z38" s="68"/>
      <c r="AA38" s="62">
        <f t="shared" si="16"/>
        <v>0</v>
      </c>
      <c r="AB38" s="63">
        <f t="shared" si="17"/>
        <v>0</v>
      </c>
      <c r="AC38" s="69"/>
      <c r="AD38" s="70"/>
      <c r="AE38" s="70"/>
      <c r="AF38" s="62">
        <f t="shared" si="18"/>
        <v>0</v>
      </c>
      <c r="AG38" s="63">
        <f t="shared" si="19"/>
        <v>0</v>
      </c>
      <c r="AH38" s="66"/>
      <c r="AI38" s="66"/>
      <c r="AJ38" s="66"/>
      <c r="AK38" s="62">
        <f t="shared" si="20"/>
        <v>0</v>
      </c>
      <c r="AL38" s="72">
        <f t="shared" si="21"/>
        <v>0</v>
      </c>
      <c r="AM38" s="73">
        <f t="shared" si="22"/>
        <v>0</v>
      </c>
      <c r="AN38" s="74">
        <f t="shared" si="26"/>
        <v>0</v>
      </c>
      <c r="AO38" s="74">
        <f t="shared" si="26"/>
        <v>0</v>
      </c>
      <c r="AP38" s="75" t="e">
        <f t="shared" si="23"/>
        <v>#DIV/0!</v>
      </c>
      <c r="AQ38" s="76">
        <f t="shared" si="9"/>
        <v>0</v>
      </c>
      <c r="AR38" s="90">
        <f t="shared" si="24"/>
        <v>0</v>
      </c>
    </row>
    <row r="39" spans="1:49" x14ac:dyDescent="0.25">
      <c r="A39" t="str">
        <f t="shared" si="10"/>
        <v>46191E</v>
      </c>
      <c r="B39" s="51">
        <f t="shared" si="25"/>
        <v>46191</v>
      </c>
      <c r="C39" s="52" t="s">
        <v>88</v>
      </c>
      <c r="D39" s="79"/>
      <c r="E39" s="62"/>
      <c r="F39" s="62"/>
      <c r="G39" s="62">
        <f t="shared" si="11"/>
        <v>0</v>
      </c>
      <c r="H39" s="63">
        <f t="shared" si="12"/>
        <v>0</v>
      </c>
      <c r="I39" s="203"/>
      <c r="J39" s="203"/>
      <c r="K39" s="203"/>
      <c r="L39" s="203"/>
      <c r="M39" s="58"/>
      <c r="N39" s="56"/>
      <c r="O39" s="59"/>
      <c r="P39" s="56"/>
      <c r="Q39" s="60"/>
      <c r="R39" s="61">
        <f t="shared" si="13"/>
        <v>0</v>
      </c>
      <c r="S39" s="62">
        <f t="shared" si="14"/>
        <v>0</v>
      </c>
      <c r="T39" s="63">
        <f t="shared" si="15"/>
        <v>0</v>
      </c>
      <c r="U39" s="64"/>
      <c r="V39" s="65"/>
      <c r="W39" s="66"/>
      <c r="X39" s="67"/>
      <c r="Y39" s="68"/>
      <c r="Z39" s="68"/>
      <c r="AA39" s="62">
        <f t="shared" si="16"/>
        <v>0</v>
      </c>
      <c r="AB39" s="63">
        <f t="shared" si="17"/>
        <v>0</v>
      </c>
      <c r="AC39" s="69"/>
      <c r="AD39" s="70"/>
      <c r="AE39" s="70"/>
      <c r="AF39" s="62">
        <f t="shared" si="18"/>
        <v>0</v>
      </c>
      <c r="AG39" s="63">
        <f t="shared" si="19"/>
        <v>0</v>
      </c>
      <c r="AH39" s="66"/>
      <c r="AI39" s="66"/>
      <c r="AJ39" s="66"/>
      <c r="AK39" s="62">
        <f t="shared" si="20"/>
        <v>0</v>
      </c>
      <c r="AL39" s="72">
        <f t="shared" si="21"/>
        <v>0</v>
      </c>
      <c r="AM39" s="73">
        <f t="shared" si="22"/>
        <v>0</v>
      </c>
      <c r="AN39" s="74">
        <f t="shared" si="26"/>
        <v>0</v>
      </c>
      <c r="AO39" s="74">
        <f t="shared" si="26"/>
        <v>0</v>
      </c>
      <c r="AP39" s="75" t="e">
        <f t="shared" si="23"/>
        <v>#DIV/0!</v>
      </c>
      <c r="AQ39" s="76">
        <f t="shared" si="9"/>
        <v>0</v>
      </c>
      <c r="AR39" s="90">
        <f t="shared" si="24"/>
        <v>0</v>
      </c>
    </row>
    <row r="40" spans="1:49" x14ac:dyDescent="0.25">
      <c r="A40" t="str">
        <f t="shared" si="10"/>
        <v>46192M</v>
      </c>
      <c r="B40" s="51">
        <f t="shared" si="25"/>
        <v>46192</v>
      </c>
      <c r="C40" s="52" t="s">
        <v>87</v>
      </c>
      <c r="D40" s="79"/>
      <c r="E40" s="62"/>
      <c r="F40" s="62"/>
      <c r="G40" s="62">
        <f t="shared" si="11"/>
        <v>0</v>
      </c>
      <c r="H40" s="63">
        <f t="shared" si="12"/>
        <v>0</v>
      </c>
      <c r="I40" s="203"/>
      <c r="J40" s="203"/>
      <c r="K40" s="203"/>
      <c r="L40" s="203"/>
      <c r="M40" s="58"/>
      <c r="N40" s="56"/>
      <c r="O40" s="59"/>
      <c r="P40" s="56"/>
      <c r="Q40" s="60"/>
      <c r="R40" s="61">
        <f t="shared" si="13"/>
        <v>0</v>
      </c>
      <c r="S40" s="62">
        <f t="shared" si="14"/>
        <v>0</v>
      </c>
      <c r="T40" s="63">
        <f t="shared" si="15"/>
        <v>0</v>
      </c>
      <c r="U40" s="64"/>
      <c r="V40" s="65"/>
      <c r="W40" s="66"/>
      <c r="X40" s="67"/>
      <c r="Y40" s="68"/>
      <c r="Z40" s="68"/>
      <c r="AA40" s="62">
        <f t="shared" si="16"/>
        <v>0</v>
      </c>
      <c r="AB40" s="63">
        <f t="shared" si="17"/>
        <v>0</v>
      </c>
      <c r="AC40" s="69"/>
      <c r="AD40" s="70"/>
      <c r="AE40" s="70"/>
      <c r="AF40" s="62">
        <f t="shared" si="18"/>
        <v>0</v>
      </c>
      <c r="AG40" s="63">
        <f t="shared" si="19"/>
        <v>0</v>
      </c>
      <c r="AH40" s="66"/>
      <c r="AI40" s="66"/>
      <c r="AJ40" s="66"/>
      <c r="AK40" s="62">
        <f t="shared" si="20"/>
        <v>0</v>
      </c>
      <c r="AL40" s="72">
        <f t="shared" si="21"/>
        <v>0</v>
      </c>
      <c r="AM40" s="73">
        <f t="shared" si="22"/>
        <v>0</v>
      </c>
      <c r="AN40" s="74">
        <f t="shared" si="26"/>
        <v>0</v>
      </c>
      <c r="AO40" s="74">
        <f t="shared" si="26"/>
        <v>0</v>
      </c>
      <c r="AP40" s="75" t="e">
        <f t="shared" si="23"/>
        <v>#DIV/0!</v>
      </c>
      <c r="AQ40" s="76">
        <f t="shared" si="9"/>
        <v>0</v>
      </c>
      <c r="AR40" s="90">
        <f t="shared" si="24"/>
        <v>0</v>
      </c>
    </row>
    <row r="41" spans="1:49" x14ac:dyDescent="0.25">
      <c r="A41" t="str">
        <f t="shared" si="10"/>
        <v>46192E</v>
      </c>
      <c r="B41" s="51">
        <f t="shared" si="25"/>
        <v>46192</v>
      </c>
      <c r="C41" s="52" t="s">
        <v>88</v>
      </c>
      <c r="D41" s="79"/>
      <c r="E41" s="62"/>
      <c r="F41" s="62"/>
      <c r="G41" s="62">
        <f t="shared" si="11"/>
        <v>0</v>
      </c>
      <c r="H41" s="63">
        <f t="shared" si="12"/>
        <v>0</v>
      </c>
      <c r="I41" s="203"/>
      <c r="J41" s="203"/>
      <c r="K41" s="203"/>
      <c r="L41" s="203"/>
      <c r="M41" s="58"/>
      <c r="N41" s="56"/>
      <c r="O41" s="59"/>
      <c r="P41" s="56"/>
      <c r="Q41" s="60"/>
      <c r="R41" s="61">
        <f t="shared" si="13"/>
        <v>0</v>
      </c>
      <c r="S41" s="62">
        <f t="shared" si="14"/>
        <v>0</v>
      </c>
      <c r="T41" s="63">
        <f t="shared" si="15"/>
        <v>0</v>
      </c>
      <c r="U41" s="64"/>
      <c r="V41" s="65"/>
      <c r="W41" s="66"/>
      <c r="X41" s="67"/>
      <c r="Y41" s="68"/>
      <c r="Z41" s="68"/>
      <c r="AA41" s="62">
        <f t="shared" si="16"/>
        <v>0</v>
      </c>
      <c r="AB41" s="63">
        <f t="shared" si="17"/>
        <v>0</v>
      </c>
      <c r="AC41" s="69"/>
      <c r="AD41" s="70"/>
      <c r="AE41" s="70"/>
      <c r="AF41" s="62">
        <f t="shared" si="18"/>
        <v>0</v>
      </c>
      <c r="AG41" s="63">
        <f t="shared" si="19"/>
        <v>0</v>
      </c>
      <c r="AH41" s="66"/>
      <c r="AI41" s="66"/>
      <c r="AJ41" s="66"/>
      <c r="AK41" s="62">
        <f t="shared" si="20"/>
        <v>0</v>
      </c>
      <c r="AL41" s="72">
        <f t="shared" si="21"/>
        <v>0</v>
      </c>
      <c r="AM41" s="73">
        <f t="shared" si="22"/>
        <v>0</v>
      </c>
      <c r="AN41" s="74">
        <f t="shared" si="26"/>
        <v>0</v>
      </c>
      <c r="AO41" s="74">
        <f t="shared" si="26"/>
        <v>0</v>
      </c>
      <c r="AP41" s="75" t="e">
        <f t="shared" si="23"/>
        <v>#DIV/0!</v>
      </c>
      <c r="AQ41" s="76">
        <f t="shared" si="9"/>
        <v>0</v>
      </c>
      <c r="AR41" s="90">
        <f t="shared" si="24"/>
        <v>0</v>
      </c>
    </row>
    <row r="42" spans="1:49" x14ac:dyDescent="0.25">
      <c r="A42" t="str">
        <f t="shared" si="10"/>
        <v>46193M</v>
      </c>
      <c r="B42" s="51">
        <f t="shared" si="25"/>
        <v>46193</v>
      </c>
      <c r="C42" s="52" t="s">
        <v>87</v>
      </c>
      <c r="D42" s="79"/>
      <c r="E42" s="62"/>
      <c r="F42" s="62"/>
      <c r="G42" s="62">
        <f t="shared" si="11"/>
        <v>0</v>
      </c>
      <c r="H42" s="63">
        <f t="shared" si="12"/>
        <v>0</v>
      </c>
      <c r="I42" s="203"/>
      <c r="J42" s="203"/>
      <c r="K42" s="203"/>
      <c r="L42" s="203"/>
      <c r="M42" s="58"/>
      <c r="N42" s="56"/>
      <c r="O42" s="59"/>
      <c r="P42" s="56"/>
      <c r="Q42" s="60"/>
      <c r="R42" s="61">
        <f t="shared" si="13"/>
        <v>0</v>
      </c>
      <c r="S42" s="62">
        <f t="shared" si="14"/>
        <v>0</v>
      </c>
      <c r="T42" s="63">
        <f t="shared" si="15"/>
        <v>0</v>
      </c>
      <c r="U42" s="64"/>
      <c r="V42" s="65"/>
      <c r="W42" s="66"/>
      <c r="X42" s="67"/>
      <c r="Y42" s="68"/>
      <c r="Z42" s="68"/>
      <c r="AA42" s="62">
        <f t="shared" si="16"/>
        <v>0</v>
      </c>
      <c r="AB42" s="63">
        <f t="shared" si="17"/>
        <v>0</v>
      </c>
      <c r="AC42" s="69"/>
      <c r="AD42" s="70"/>
      <c r="AE42" s="70"/>
      <c r="AF42" s="62">
        <f t="shared" si="18"/>
        <v>0</v>
      </c>
      <c r="AG42" s="63">
        <f t="shared" si="19"/>
        <v>0</v>
      </c>
      <c r="AH42" s="66"/>
      <c r="AI42" s="66"/>
      <c r="AJ42" s="66"/>
      <c r="AK42" s="62">
        <f t="shared" si="20"/>
        <v>0</v>
      </c>
      <c r="AL42" s="72">
        <f t="shared" si="21"/>
        <v>0</v>
      </c>
      <c r="AM42" s="73">
        <f t="shared" si="22"/>
        <v>0</v>
      </c>
      <c r="AN42" s="74">
        <f t="shared" si="26"/>
        <v>0</v>
      </c>
      <c r="AO42" s="74">
        <f t="shared" si="26"/>
        <v>0</v>
      </c>
      <c r="AP42" s="75" t="e">
        <f t="shared" si="23"/>
        <v>#DIV/0!</v>
      </c>
      <c r="AQ42" s="76">
        <f t="shared" si="9"/>
        <v>0</v>
      </c>
      <c r="AR42" s="90">
        <f t="shared" si="24"/>
        <v>0</v>
      </c>
    </row>
    <row r="43" spans="1:49" x14ac:dyDescent="0.25">
      <c r="A43" t="str">
        <f t="shared" si="10"/>
        <v>46193E</v>
      </c>
      <c r="B43" s="51">
        <f t="shared" si="25"/>
        <v>46193</v>
      </c>
      <c r="C43" s="52" t="s">
        <v>88</v>
      </c>
      <c r="D43" s="79"/>
      <c r="E43" s="62"/>
      <c r="F43" s="62"/>
      <c r="G43" s="62">
        <f t="shared" si="11"/>
        <v>0</v>
      </c>
      <c r="H43" s="63">
        <f t="shared" si="12"/>
        <v>0</v>
      </c>
      <c r="I43" s="203"/>
      <c r="J43" s="203"/>
      <c r="K43" s="203"/>
      <c r="L43" s="203"/>
      <c r="M43" s="58"/>
      <c r="N43" s="56"/>
      <c r="O43" s="59"/>
      <c r="P43" s="56"/>
      <c r="Q43" s="60"/>
      <c r="R43" s="61">
        <f t="shared" si="13"/>
        <v>0</v>
      </c>
      <c r="S43" s="62">
        <f t="shared" si="14"/>
        <v>0</v>
      </c>
      <c r="T43" s="63">
        <f t="shared" si="15"/>
        <v>0</v>
      </c>
      <c r="U43" s="64"/>
      <c r="V43" s="65"/>
      <c r="W43" s="66"/>
      <c r="X43" s="67"/>
      <c r="Y43" s="68"/>
      <c r="Z43" s="68"/>
      <c r="AA43" s="62">
        <f t="shared" si="16"/>
        <v>0</v>
      </c>
      <c r="AB43" s="63">
        <f t="shared" si="17"/>
        <v>0</v>
      </c>
      <c r="AC43" s="69"/>
      <c r="AD43" s="70"/>
      <c r="AE43" s="70"/>
      <c r="AF43" s="62">
        <f t="shared" si="18"/>
        <v>0</v>
      </c>
      <c r="AG43" s="63">
        <f t="shared" si="19"/>
        <v>0</v>
      </c>
      <c r="AH43" s="66"/>
      <c r="AI43" s="66"/>
      <c r="AJ43" s="66"/>
      <c r="AK43" s="62">
        <f t="shared" si="20"/>
        <v>0</v>
      </c>
      <c r="AL43" s="72">
        <f t="shared" si="21"/>
        <v>0</v>
      </c>
      <c r="AM43" s="73">
        <f t="shared" si="22"/>
        <v>0</v>
      </c>
      <c r="AN43" s="74">
        <f t="shared" si="26"/>
        <v>0</v>
      </c>
      <c r="AO43" s="74">
        <f t="shared" si="26"/>
        <v>0</v>
      </c>
      <c r="AP43" s="75" t="e">
        <f t="shared" si="23"/>
        <v>#DIV/0!</v>
      </c>
      <c r="AQ43" s="76">
        <f t="shared" si="9"/>
        <v>0</v>
      </c>
      <c r="AR43" s="90">
        <f t="shared" si="24"/>
        <v>0</v>
      </c>
    </row>
    <row r="44" spans="1:49" x14ac:dyDescent="0.25">
      <c r="A44" t="str">
        <f t="shared" si="10"/>
        <v>46194M</v>
      </c>
      <c r="B44" s="51">
        <f t="shared" si="25"/>
        <v>46194</v>
      </c>
      <c r="C44" s="52" t="s">
        <v>87</v>
      </c>
      <c r="D44" s="79"/>
      <c r="E44" s="62"/>
      <c r="F44" s="62"/>
      <c r="G44" s="62">
        <f t="shared" si="11"/>
        <v>0</v>
      </c>
      <c r="H44" s="63">
        <f t="shared" si="12"/>
        <v>0</v>
      </c>
      <c r="I44" s="203"/>
      <c r="J44" s="203"/>
      <c r="K44" s="203"/>
      <c r="L44" s="203"/>
      <c r="M44" s="58"/>
      <c r="N44" s="56"/>
      <c r="O44" s="59"/>
      <c r="P44" s="56"/>
      <c r="Q44" s="60"/>
      <c r="R44" s="61">
        <f t="shared" si="13"/>
        <v>0</v>
      </c>
      <c r="S44" s="62">
        <f t="shared" si="14"/>
        <v>0</v>
      </c>
      <c r="T44" s="63">
        <f t="shared" si="15"/>
        <v>0</v>
      </c>
      <c r="U44" s="64"/>
      <c r="V44" s="65"/>
      <c r="W44" s="66"/>
      <c r="X44" s="67"/>
      <c r="Y44" s="68"/>
      <c r="Z44" s="68"/>
      <c r="AA44" s="62">
        <f t="shared" si="16"/>
        <v>0</v>
      </c>
      <c r="AB44" s="63">
        <f t="shared" si="17"/>
        <v>0</v>
      </c>
      <c r="AC44" s="69"/>
      <c r="AD44" s="70"/>
      <c r="AE44" s="70"/>
      <c r="AF44" s="62">
        <f t="shared" si="18"/>
        <v>0</v>
      </c>
      <c r="AG44" s="63">
        <f t="shared" si="19"/>
        <v>0</v>
      </c>
      <c r="AH44" s="66"/>
      <c r="AI44" s="66"/>
      <c r="AJ44" s="66"/>
      <c r="AK44" s="62">
        <f t="shared" si="20"/>
        <v>0</v>
      </c>
      <c r="AL44" s="72">
        <f t="shared" si="21"/>
        <v>0</v>
      </c>
      <c r="AM44" s="73">
        <f t="shared" si="22"/>
        <v>0</v>
      </c>
      <c r="AN44" s="74">
        <f t="shared" si="26"/>
        <v>0</v>
      </c>
      <c r="AO44" s="74">
        <f t="shared" si="26"/>
        <v>0</v>
      </c>
      <c r="AP44" s="75" t="e">
        <f t="shared" si="23"/>
        <v>#DIV/0!</v>
      </c>
      <c r="AQ44" s="76">
        <f t="shared" si="9"/>
        <v>0</v>
      </c>
      <c r="AR44" s="90">
        <f t="shared" si="24"/>
        <v>0</v>
      </c>
    </row>
    <row r="45" spans="1:49" x14ac:dyDescent="0.25">
      <c r="A45" t="str">
        <f t="shared" si="10"/>
        <v>46194E</v>
      </c>
      <c r="B45" s="51">
        <f t="shared" si="25"/>
        <v>46194</v>
      </c>
      <c r="C45" s="52" t="s">
        <v>88</v>
      </c>
      <c r="D45" s="79"/>
      <c r="E45" s="62"/>
      <c r="F45" s="62"/>
      <c r="G45" s="62">
        <f t="shared" si="11"/>
        <v>0</v>
      </c>
      <c r="H45" s="63">
        <f t="shared" si="12"/>
        <v>0</v>
      </c>
      <c r="I45" s="203"/>
      <c r="J45" s="203"/>
      <c r="K45" s="203"/>
      <c r="L45" s="203"/>
      <c r="M45" s="58"/>
      <c r="N45" s="56"/>
      <c r="O45" s="59"/>
      <c r="P45" s="56"/>
      <c r="Q45" s="60"/>
      <c r="R45" s="61">
        <f t="shared" si="13"/>
        <v>0</v>
      </c>
      <c r="S45" s="62">
        <f t="shared" si="14"/>
        <v>0</v>
      </c>
      <c r="T45" s="63">
        <f t="shared" si="15"/>
        <v>0</v>
      </c>
      <c r="U45" s="64"/>
      <c r="V45" s="65"/>
      <c r="W45" s="66"/>
      <c r="X45" s="67"/>
      <c r="Y45" s="68"/>
      <c r="Z45" s="68"/>
      <c r="AA45" s="62">
        <f t="shared" si="16"/>
        <v>0</v>
      </c>
      <c r="AB45" s="63">
        <f t="shared" si="17"/>
        <v>0</v>
      </c>
      <c r="AC45" s="69"/>
      <c r="AD45" s="70"/>
      <c r="AE45" s="70"/>
      <c r="AF45" s="62">
        <f t="shared" si="18"/>
        <v>0</v>
      </c>
      <c r="AG45" s="63">
        <f t="shared" si="19"/>
        <v>0</v>
      </c>
      <c r="AH45" s="66"/>
      <c r="AI45" s="66"/>
      <c r="AJ45" s="66"/>
      <c r="AK45" s="62">
        <f t="shared" si="20"/>
        <v>0</v>
      </c>
      <c r="AL45" s="72">
        <f t="shared" si="21"/>
        <v>0</v>
      </c>
      <c r="AM45" s="73">
        <f t="shared" si="22"/>
        <v>0</v>
      </c>
      <c r="AN45" s="74">
        <f t="shared" si="26"/>
        <v>0</v>
      </c>
      <c r="AO45" s="74">
        <f t="shared" si="26"/>
        <v>0</v>
      </c>
      <c r="AP45" s="75" t="e">
        <f t="shared" si="23"/>
        <v>#DIV/0!</v>
      </c>
      <c r="AQ45" s="76">
        <f t="shared" si="9"/>
        <v>0</v>
      </c>
      <c r="AR45" s="90">
        <f t="shared" si="24"/>
        <v>0</v>
      </c>
      <c r="AS45" s="90">
        <f>SUM(J32:J45)</f>
        <v>0</v>
      </c>
      <c r="AT45" s="83">
        <f>SUM(AM32:AM45)</f>
        <v>0</v>
      </c>
      <c r="AU45" s="83">
        <f>SUM(AN32:AN45)</f>
        <v>0</v>
      </c>
      <c r="AV45" s="83">
        <f>SUM(AO32:AO45)</f>
        <v>0</v>
      </c>
      <c r="AW45" s="83">
        <f>-SUM(AQ32:AQ45)</f>
        <v>0</v>
      </c>
    </row>
    <row r="46" spans="1:49" x14ac:dyDescent="0.25">
      <c r="A46" t="str">
        <f t="shared" si="10"/>
        <v>46195M</v>
      </c>
      <c r="B46" s="51">
        <f t="shared" si="25"/>
        <v>46195</v>
      </c>
      <c r="C46" s="52" t="s">
        <v>87</v>
      </c>
      <c r="D46" s="79"/>
      <c r="E46" s="62"/>
      <c r="F46" s="62"/>
      <c r="G46" s="62">
        <f t="shared" si="11"/>
        <v>0</v>
      </c>
      <c r="H46" s="63">
        <f t="shared" si="12"/>
        <v>0</v>
      </c>
      <c r="I46" s="203"/>
      <c r="J46" s="203"/>
      <c r="K46" s="203"/>
      <c r="L46" s="203"/>
      <c r="M46" s="58"/>
      <c r="N46" s="56"/>
      <c r="O46" s="59"/>
      <c r="P46" s="56"/>
      <c r="Q46" s="60"/>
      <c r="R46" s="61">
        <f t="shared" si="13"/>
        <v>0</v>
      </c>
      <c r="S46" s="62">
        <f t="shared" si="14"/>
        <v>0</v>
      </c>
      <c r="T46" s="63">
        <f t="shared" si="15"/>
        <v>0</v>
      </c>
      <c r="U46" s="64"/>
      <c r="V46" s="65"/>
      <c r="W46" s="66"/>
      <c r="X46" s="67"/>
      <c r="Y46" s="68"/>
      <c r="Z46" s="68"/>
      <c r="AA46" s="62">
        <f t="shared" si="16"/>
        <v>0</v>
      </c>
      <c r="AB46" s="63">
        <f t="shared" si="17"/>
        <v>0</v>
      </c>
      <c r="AC46" s="69"/>
      <c r="AD46" s="70"/>
      <c r="AE46" s="70"/>
      <c r="AF46" s="62">
        <f t="shared" si="18"/>
        <v>0</v>
      </c>
      <c r="AG46" s="63">
        <f t="shared" si="19"/>
        <v>0</v>
      </c>
      <c r="AH46" s="66"/>
      <c r="AI46" s="66"/>
      <c r="AJ46" s="66"/>
      <c r="AK46" s="62">
        <f t="shared" si="20"/>
        <v>0</v>
      </c>
      <c r="AL46" s="72">
        <f t="shared" si="21"/>
        <v>0</v>
      </c>
      <c r="AM46" s="73">
        <f t="shared" si="22"/>
        <v>0</v>
      </c>
      <c r="AN46" s="74">
        <f t="shared" si="26"/>
        <v>0</v>
      </c>
      <c r="AO46" s="74">
        <f t="shared" si="26"/>
        <v>0</v>
      </c>
      <c r="AP46" s="75" t="e">
        <f t="shared" si="23"/>
        <v>#DIV/0!</v>
      </c>
      <c r="AQ46" s="76">
        <f t="shared" si="9"/>
        <v>0</v>
      </c>
      <c r="AR46" s="90">
        <f>(D46+J46+O46)-(X46+AH46)</f>
        <v>0</v>
      </c>
    </row>
    <row r="47" spans="1:49" x14ac:dyDescent="0.25">
      <c r="A47" t="str">
        <f t="shared" si="10"/>
        <v>46195E</v>
      </c>
      <c r="B47" s="51">
        <f t="shared" si="25"/>
        <v>46195</v>
      </c>
      <c r="C47" s="52" t="s">
        <v>88</v>
      </c>
      <c r="D47" s="79"/>
      <c r="E47" s="62"/>
      <c r="F47" s="62"/>
      <c r="G47" s="62">
        <f t="shared" si="11"/>
        <v>0</v>
      </c>
      <c r="H47" s="63">
        <f t="shared" si="12"/>
        <v>0</v>
      </c>
      <c r="I47" s="203"/>
      <c r="J47" s="203"/>
      <c r="K47" s="203"/>
      <c r="L47" s="203"/>
      <c r="M47" s="58"/>
      <c r="N47" s="56"/>
      <c r="O47" s="59"/>
      <c r="P47" s="56"/>
      <c r="Q47" s="60"/>
      <c r="R47" s="61">
        <f t="shared" si="13"/>
        <v>0</v>
      </c>
      <c r="S47" s="62">
        <f t="shared" si="14"/>
        <v>0</v>
      </c>
      <c r="T47" s="63">
        <f t="shared" si="15"/>
        <v>0</v>
      </c>
      <c r="U47" s="64"/>
      <c r="V47" s="65"/>
      <c r="W47" s="66"/>
      <c r="X47" s="67"/>
      <c r="Y47" s="68"/>
      <c r="Z47" s="68"/>
      <c r="AA47" s="62">
        <f t="shared" si="16"/>
        <v>0</v>
      </c>
      <c r="AB47" s="63">
        <f t="shared" si="17"/>
        <v>0</v>
      </c>
      <c r="AC47" s="69"/>
      <c r="AD47" s="70"/>
      <c r="AE47" s="70"/>
      <c r="AF47" s="62">
        <f t="shared" si="18"/>
        <v>0</v>
      </c>
      <c r="AG47" s="63">
        <f t="shared" si="19"/>
        <v>0</v>
      </c>
      <c r="AH47" s="66"/>
      <c r="AI47" s="66"/>
      <c r="AJ47" s="66"/>
      <c r="AK47" s="62">
        <f t="shared" si="20"/>
        <v>0</v>
      </c>
      <c r="AL47" s="72">
        <f t="shared" si="21"/>
        <v>0</v>
      </c>
      <c r="AM47" s="73">
        <f t="shared" si="22"/>
        <v>0</v>
      </c>
      <c r="AN47" s="74">
        <f t="shared" si="26"/>
        <v>0</v>
      </c>
      <c r="AO47" s="74">
        <f t="shared" si="26"/>
        <v>0</v>
      </c>
      <c r="AP47" s="75" t="e">
        <f t="shared" si="23"/>
        <v>#DIV/0!</v>
      </c>
      <c r="AQ47" s="76">
        <f t="shared" si="9"/>
        <v>0</v>
      </c>
      <c r="AR47" s="90">
        <f t="shared" si="24"/>
        <v>0</v>
      </c>
    </row>
    <row r="48" spans="1:49" x14ac:dyDescent="0.25">
      <c r="A48" t="str">
        <f t="shared" si="10"/>
        <v>46196M</v>
      </c>
      <c r="B48" s="51">
        <f t="shared" si="25"/>
        <v>46196</v>
      </c>
      <c r="C48" s="52" t="s">
        <v>87</v>
      </c>
      <c r="D48" s="79"/>
      <c r="E48" s="62"/>
      <c r="F48" s="62"/>
      <c r="G48" s="62">
        <f t="shared" si="11"/>
        <v>0</v>
      </c>
      <c r="H48" s="63">
        <f t="shared" si="12"/>
        <v>0</v>
      </c>
      <c r="I48" s="203"/>
      <c r="J48" s="203"/>
      <c r="K48" s="203"/>
      <c r="L48" s="203"/>
      <c r="M48" s="58"/>
      <c r="N48" s="56"/>
      <c r="O48" s="59"/>
      <c r="P48" s="56"/>
      <c r="Q48" s="60"/>
      <c r="R48" s="61">
        <f t="shared" si="13"/>
        <v>0</v>
      </c>
      <c r="S48" s="62">
        <f t="shared" si="14"/>
        <v>0</v>
      </c>
      <c r="T48" s="63">
        <f t="shared" si="15"/>
        <v>0</v>
      </c>
      <c r="U48" s="64"/>
      <c r="V48" s="65"/>
      <c r="W48" s="66"/>
      <c r="X48" s="67"/>
      <c r="Y48" s="68"/>
      <c r="Z48" s="68"/>
      <c r="AA48" s="62">
        <f t="shared" si="16"/>
        <v>0</v>
      </c>
      <c r="AB48" s="63">
        <f t="shared" si="17"/>
        <v>0</v>
      </c>
      <c r="AC48" s="69"/>
      <c r="AD48" s="70"/>
      <c r="AE48" s="70"/>
      <c r="AF48" s="62">
        <f t="shared" si="18"/>
        <v>0</v>
      </c>
      <c r="AG48" s="63">
        <f t="shared" si="19"/>
        <v>0</v>
      </c>
      <c r="AH48" s="66"/>
      <c r="AI48" s="66"/>
      <c r="AJ48" s="66"/>
      <c r="AK48" s="62">
        <f t="shared" si="20"/>
        <v>0</v>
      </c>
      <c r="AL48" s="72">
        <f t="shared" si="21"/>
        <v>0</v>
      </c>
      <c r="AM48" s="73">
        <f t="shared" si="22"/>
        <v>0</v>
      </c>
      <c r="AN48" s="74">
        <f t="shared" si="26"/>
        <v>0</v>
      </c>
      <c r="AO48" s="74">
        <f t="shared" si="26"/>
        <v>0</v>
      </c>
      <c r="AP48" s="75" t="e">
        <f t="shared" si="23"/>
        <v>#DIV/0!</v>
      </c>
      <c r="AQ48" s="76">
        <f t="shared" si="9"/>
        <v>0</v>
      </c>
      <c r="AR48" s="90">
        <f t="shared" si="24"/>
        <v>0</v>
      </c>
    </row>
    <row r="49" spans="1:49" x14ac:dyDescent="0.25">
      <c r="A49" t="str">
        <f t="shared" si="10"/>
        <v>46196E</v>
      </c>
      <c r="B49" s="51">
        <f t="shared" si="25"/>
        <v>46196</v>
      </c>
      <c r="C49" s="52" t="s">
        <v>88</v>
      </c>
      <c r="D49" s="79"/>
      <c r="E49" s="62"/>
      <c r="F49" s="62"/>
      <c r="G49" s="62">
        <f t="shared" si="11"/>
        <v>0</v>
      </c>
      <c r="H49" s="63">
        <f t="shared" si="12"/>
        <v>0</v>
      </c>
      <c r="I49" s="203"/>
      <c r="J49" s="203"/>
      <c r="K49" s="203"/>
      <c r="L49" s="203"/>
      <c r="M49" s="58"/>
      <c r="N49" s="56"/>
      <c r="O49" s="59"/>
      <c r="P49" s="56"/>
      <c r="Q49" s="60"/>
      <c r="R49" s="61">
        <f t="shared" si="13"/>
        <v>0</v>
      </c>
      <c r="S49" s="62">
        <f t="shared" si="14"/>
        <v>0</v>
      </c>
      <c r="T49" s="63">
        <f t="shared" si="15"/>
        <v>0</v>
      </c>
      <c r="U49" s="64"/>
      <c r="V49" s="65"/>
      <c r="W49" s="66"/>
      <c r="X49" s="67"/>
      <c r="Y49" s="68"/>
      <c r="Z49" s="68"/>
      <c r="AA49" s="62">
        <f t="shared" si="16"/>
        <v>0</v>
      </c>
      <c r="AB49" s="63">
        <f t="shared" si="17"/>
        <v>0</v>
      </c>
      <c r="AC49" s="69"/>
      <c r="AD49" s="70"/>
      <c r="AE49" s="70"/>
      <c r="AF49" s="62">
        <f t="shared" si="18"/>
        <v>0</v>
      </c>
      <c r="AG49" s="63">
        <f t="shared" si="19"/>
        <v>0</v>
      </c>
      <c r="AH49" s="66"/>
      <c r="AI49" s="66"/>
      <c r="AJ49" s="66"/>
      <c r="AK49" s="62">
        <f t="shared" si="20"/>
        <v>0</v>
      </c>
      <c r="AL49" s="72">
        <f t="shared" si="21"/>
        <v>0</v>
      </c>
      <c r="AM49" s="73">
        <f t="shared" si="22"/>
        <v>0</v>
      </c>
      <c r="AN49" s="74">
        <f t="shared" si="26"/>
        <v>0</v>
      </c>
      <c r="AO49" s="74">
        <f t="shared" si="26"/>
        <v>0</v>
      </c>
      <c r="AP49" s="75" t="e">
        <f t="shared" si="23"/>
        <v>#DIV/0!</v>
      </c>
      <c r="AQ49" s="76">
        <f t="shared" si="9"/>
        <v>0</v>
      </c>
      <c r="AR49" s="90">
        <f t="shared" si="24"/>
        <v>0</v>
      </c>
    </row>
    <row r="50" spans="1:49" x14ac:dyDescent="0.25">
      <c r="A50" t="str">
        <f t="shared" si="10"/>
        <v>46197M</v>
      </c>
      <c r="B50" s="51">
        <f t="shared" si="25"/>
        <v>46197</v>
      </c>
      <c r="C50" s="52" t="s">
        <v>87</v>
      </c>
      <c r="D50" s="79"/>
      <c r="E50" s="62"/>
      <c r="F50" s="62"/>
      <c r="G50" s="62">
        <f t="shared" si="11"/>
        <v>0</v>
      </c>
      <c r="H50" s="63">
        <f t="shared" si="12"/>
        <v>0</v>
      </c>
      <c r="I50" s="203"/>
      <c r="J50" s="203"/>
      <c r="K50" s="203"/>
      <c r="L50" s="203"/>
      <c r="M50" s="58"/>
      <c r="N50" s="56"/>
      <c r="O50" s="59"/>
      <c r="P50" s="56"/>
      <c r="Q50" s="60"/>
      <c r="R50" s="61">
        <f t="shared" si="13"/>
        <v>0</v>
      </c>
      <c r="S50" s="62">
        <f t="shared" si="14"/>
        <v>0</v>
      </c>
      <c r="T50" s="63">
        <f t="shared" si="15"/>
        <v>0</v>
      </c>
      <c r="U50" s="64"/>
      <c r="V50" s="65"/>
      <c r="W50" s="66"/>
      <c r="X50" s="67"/>
      <c r="Y50" s="68"/>
      <c r="Z50" s="68"/>
      <c r="AA50" s="62">
        <f t="shared" si="16"/>
        <v>0</v>
      </c>
      <c r="AB50" s="63">
        <f t="shared" si="17"/>
        <v>0</v>
      </c>
      <c r="AC50" s="69"/>
      <c r="AD50" s="70"/>
      <c r="AE50" s="70"/>
      <c r="AF50" s="62">
        <f t="shared" si="18"/>
        <v>0</v>
      </c>
      <c r="AG50" s="63">
        <f t="shared" si="19"/>
        <v>0</v>
      </c>
      <c r="AH50" s="66"/>
      <c r="AI50" s="66"/>
      <c r="AJ50" s="66"/>
      <c r="AK50" s="62">
        <f t="shared" si="20"/>
        <v>0</v>
      </c>
      <c r="AL50" s="72">
        <f t="shared" si="21"/>
        <v>0</v>
      </c>
      <c r="AM50" s="73">
        <f t="shared" si="22"/>
        <v>0</v>
      </c>
      <c r="AN50" s="74">
        <f t="shared" si="26"/>
        <v>0</v>
      </c>
      <c r="AO50" s="74">
        <f t="shared" si="26"/>
        <v>0</v>
      </c>
      <c r="AP50" s="75" t="e">
        <f t="shared" si="23"/>
        <v>#DIV/0!</v>
      </c>
      <c r="AQ50" s="76">
        <f t="shared" si="9"/>
        <v>0</v>
      </c>
      <c r="AR50" s="90">
        <f t="shared" si="24"/>
        <v>0</v>
      </c>
    </row>
    <row r="51" spans="1:49" x14ac:dyDescent="0.25">
      <c r="A51" t="str">
        <f t="shared" si="10"/>
        <v>46197E</v>
      </c>
      <c r="B51" s="51">
        <f t="shared" si="25"/>
        <v>46197</v>
      </c>
      <c r="C51" s="52" t="s">
        <v>88</v>
      </c>
      <c r="D51" s="79"/>
      <c r="E51" s="62"/>
      <c r="F51" s="62"/>
      <c r="G51" s="62">
        <f t="shared" si="11"/>
        <v>0</v>
      </c>
      <c r="H51" s="63">
        <f t="shared" si="12"/>
        <v>0</v>
      </c>
      <c r="I51" s="203"/>
      <c r="J51" s="203"/>
      <c r="K51" s="203"/>
      <c r="L51" s="203"/>
      <c r="M51" s="58"/>
      <c r="N51" s="56"/>
      <c r="O51" s="59"/>
      <c r="P51" s="56"/>
      <c r="Q51" s="60"/>
      <c r="R51" s="61">
        <f t="shared" si="13"/>
        <v>0</v>
      </c>
      <c r="S51" s="62">
        <f t="shared" si="14"/>
        <v>0</v>
      </c>
      <c r="T51" s="63">
        <f t="shared" si="15"/>
        <v>0</v>
      </c>
      <c r="U51" s="64"/>
      <c r="V51" s="65"/>
      <c r="W51" s="66"/>
      <c r="X51" s="67"/>
      <c r="Y51" s="68"/>
      <c r="Z51" s="68"/>
      <c r="AA51" s="62">
        <f t="shared" si="16"/>
        <v>0</v>
      </c>
      <c r="AB51" s="63">
        <f t="shared" si="17"/>
        <v>0</v>
      </c>
      <c r="AC51" s="69"/>
      <c r="AD51" s="70"/>
      <c r="AE51" s="70"/>
      <c r="AF51" s="62">
        <f t="shared" si="18"/>
        <v>0</v>
      </c>
      <c r="AG51" s="63">
        <f t="shared" si="19"/>
        <v>0</v>
      </c>
      <c r="AH51" s="66"/>
      <c r="AI51" s="66"/>
      <c r="AJ51" s="66"/>
      <c r="AK51" s="62">
        <f t="shared" si="20"/>
        <v>0</v>
      </c>
      <c r="AL51" s="72">
        <f t="shared" si="21"/>
        <v>0</v>
      </c>
      <c r="AM51" s="73">
        <f t="shared" si="22"/>
        <v>0</v>
      </c>
      <c r="AN51" s="74">
        <f t="shared" si="26"/>
        <v>0</v>
      </c>
      <c r="AO51" s="74">
        <f t="shared" si="26"/>
        <v>0</v>
      </c>
      <c r="AP51" s="75" t="e">
        <f t="shared" si="23"/>
        <v>#DIV/0!</v>
      </c>
      <c r="AQ51" s="76">
        <f t="shared" si="9"/>
        <v>0</v>
      </c>
      <c r="AR51" s="90">
        <f t="shared" si="24"/>
        <v>0</v>
      </c>
    </row>
    <row r="52" spans="1:49" x14ac:dyDescent="0.25">
      <c r="A52" t="str">
        <f t="shared" si="10"/>
        <v>46198M</v>
      </c>
      <c r="B52" s="51">
        <f t="shared" si="25"/>
        <v>46198</v>
      </c>
      <c r="C52" s="52" t="s">
        <v>87</v>
      </c>
      <c r="D52" s="79"/>
      <c r="E52" s="62"/>
      <c r="F52" s="62"/>
      <c r="G52" s="62">
        <f t="shared" si="11"/>
        <v>0</v>
      </c>
      <c r="H52" s="63">
        <f t="shared" si="12"/>
        <v>0</v>
      </c>
      <c r="I52" s="203"/>
      <c r="J52" s="203"/>
      <c r="K52" s="203"/>
      <c r="L52" s="203"/>
      <c r="M52" s="58"/>
      <c r="N52" s="56"/>
      <c r="O52" s="59"/>
      <c r="P52" s="56"/>
      <c r="Q52" s="60"/>
      <c r="R52" s="61">
        <f t="shared" si="13"/>
        <v>0</v>
      </c>
      <c r="S52" s="62">
        <f t="shared" si="14"/>
        <v>0</v>
      </c>
      <c r="T52" s="63">
        <f t="shared" si="15"/>
        <v>0</v>
      </c>
      <c r="U52" s="64"/>
      <c r="V52" s="65"/>
      <c r="W52" s="66"/>
      <c r="X52" s="67"/>
      <c r="Y52" s="68"/>
      <c r="Z52" s="68"/>
      <c r="AA52" s="62">
        <f t="shared" si="16"/>
        <v>0</v>
      </c>
      <c r="AB52" s="63">
        <f t="shared" si="17"/>
        <v>0</v>
      </c>
      <c r="AC52" s="69"/>
      <c r="AD52" s="70"/>
      <c r="AE52" s="70"/>
      <c r="AF52" s="62">
        <f t="shared" si="18"/>
        <v>0</v>
      </c>
      <c r="AG52" s="63">
        <f t="shared" si="19"/>
        <v>0</v>
      </c>
      <c r="AH52" s="66"/>
      <c r="AI52" s="66"/>
      <c r="AJ52" s="66"/>
      <c r="AK52" s="62">
        <f t="shared" si="20"/>
        <v>0</v>
      </c>
      <c r="AL52" s="72">
        <f t="shared" si="21"/>
        <v>0</v>
      </c>
      <c r="AM52" s="73">
        <f t="shared" si="22"/>
        <v>0</v>
      </c>
      <c r="AN52" s="74">
        <f t="shared" si="26"/>
        <v>0</v>
      </c>
      <c r="AO52" s="74">
        <f t="shared" si="26"/>
        <v>0</v>
      </c>
      <c r="AP52" s="75" t="e">
        <f t="shared" si="23"/>
        <v>#DIV/0!</v>
      </c>
      <c r="AQ52" s="76">
        <f t="shared" si="9"/>
        <v>0</v>
      </c>
      <c r="AR52" s="90">
        <f t="shared" si="24"/>
        <v>0</v>
      </c>
    </row>
    <row r="53" spans="1:49" x14ac:dyDescent="0.25">
      <c r="A53" t="str">
        <f t="shared" si="10"/>
        <v>46198E</v>
      </c>
      <c r="B53" s="51">
        <f t="shared" si="25"/>
        <v>46198</v>
      </c>
      <c r="C53" s="52" t="s">
        <v>88</v>
      </c>
      <c r="D53" s="79"/>
      <c r="E53" s="62"/>
      <c r="F53" s="62"/>
      <c r="G53" s="62">
        <f t="shared" si="11"/>
        <v>0</v>
      </c>
      <c r="H53" s="63">
        <f t="shared" si="12"/>
        <v>0</v>
      </c>
      <c r="I53" s="203"/>
      <c r="J53" s="203"/>
      <c r="K53" s="203"/>
      <c r="L53" s="203"/>
      <c r="M53" s="58"/>
      <c r="N53" s="56"/>
      <c r="O53" s="59"/>
      <c r="P53" s="56"/>
      <c r="Q53" s="60"/>
      <c r="R53" s="61">
        <f t="shared" si="13"/>
        <v>0</v>
      </c>
      <c r="S53" s="62">
        <f t="shared" si="14"/>
        <v>0</v>
      </c>
      <c r="T53" s="63">
        <f t="shared" si="15"/>
        <v>0</v>
      </c>
      <c r="U53" s="64"/>
      <c r="V53" s="85"/>
      <c r="W53" s="66"/>
      <c r="X53" s="67"/>
      <c r="Y53" s="68"/>
      <c r="Z53" s="68"/>
      <c r="AA53" s="62">
        <f t="shared" si="16"/>
        <v>0</v>
      </c>
      <c r="AB53" s="63">
        <f t="shared" si="17"/>
        <v>0</v>
      </c>
      <c r="AC53" s="69"/>
      <c r="AD53" s="70"/>
      <c r="AE53" s="70"/>
      <c r="AF53" s="62">
        <f t="shared" si="18"/>
        <v>0</v>
      </c>
      <c r="AG53" s="63">
        <f t="shared" si="19"/>
        <v>0</v>
      </c>
      <c r="AH53" s="66"/>
      <c r="AI53" s="66"/>
      <c r="AJ53" s="66"/>
      <c r="AK53" s="62">
        <f t="shared" si="20"/>
        <v>0</v>
      </c>
      <c r="AL53" s="72">
        <f t="shared" si="21"/>
        <v>0</v>
      </c>
      <c r="AM53" s="73">
        <f t="shared" si="22"/>
        <v>0</v>
      </c>
      <c r="AN53" s="74">
        <f t="shared" si="26"/>
        <v>0</v>
      </c>
      <c r="AO53" s="74">
        <f t="shared" si="26"/>
        <v>0</v>
      </c>
      <c r="AP53" s="75" t="e">
        <f t="shared" si="23"/>
        <v>#DIV/0!</v>
      </c>
      <c r="AQ53" s="76">
        <f t="shared" si="9"/>
        <v>0</v>
      </c>
      <c r="AR53" s="90">
        <f t="shared" si="24"/>
        <v>0</v>
      </c>
    </row>
    <row r="54" spans="1:49" x14ac:dyDescent="0.25">
      <c r="A54" t="str">
        <f t="shared" si="10"/>
        <v>46199M</v>
      </c>
      <c r="B54" s="51">
        <f t="shared" si="25"/>
        <v>46199</v>
      </c>
      <c r="C54" s="52" t="s">
        <v>87</v>
      </c>
      <c r="D54" s="79"/>
      <c r="E54" s="62"/>
      <c r="F54" s="62"/>
      <c r="G54" s="62">
        <f t="shared" si="11"/>
        <v>0</v>
      </c>
      <c r="H54" s="63">
        <f t="shared" si="12"/>
        <v>0</v>
      </c>
      <c r="I54" s="203"/>
      <c r="J54" s="203"/>
      <c r="K54" s="203"/>
      <c r="L54" s="203"/>
      <c r="M54" s="58"/>
      <c r="N54" s="56"/>
      <c r="O54" s="59"/>
      <c r="P54" s="56"/>
      <c r="Q54" s="60"/>
      <c r="R54" s="61">
        <f t="shared" si="13"/>
        <v>0</v>
      </c>
      <c r="S54" s="62">
        <f t="shared" si="14"/>
        <v>0</v>
      </c>
      <c r="T54" s="63">
        <f t="shared" si="15"/>
        <v>0</v>
      </c>
      <c r="U54" s="64"/>
      <c r="V54" s="65"/>
      <c r="W54" s="66"/>
      <c r="X54" s="67"/>
      <c r="Y54" s="68"/>
      <c r="Z54" s="68"/>
      <c r="AA54" s="62">
        <f t="shared" si="16"/>
        <v>0</v>
      </c>
      <c r="AB54" s="63">
        <f t="shared" si="17"/>
        <v>0</v>
      </c>
      <c r="AC54" s="69"/>
      <c r="AD54" s="70"/>
      <c r="AE54" s="70"/>
      <c r="AF54" s="62">
        <f t="shared" si="18"/>
        <v>0</v>
      </c>
      <c r="AG54" s="63">
        <f t="shared" si="19"/>
        <v>0</v>
      </c>
      <c r="AH54" s="66"/>
      <c r="AI54" s="66"/>
      <c r="AJ54" s="66"/>
      <c r="AK54" s="62">
        <f t="shared" si="20"/>
        <v>0</v>
      </c>
      <c r="AL54" s="72">
        <f t="shared" si="21"/>
        <v>0</v>
      </c>
      <c r="AM54" s="73">
        <f t="shared" si="22"/>
        <v>0</v>
      </c>
      <c r="AN54" s="74">
        <f t="shared" si="26"/>
        <v>0</v>
      </c>
      <c r="AO54" s="74">
        <f t="shared" si="26"/>
        <v>0</v>
      </c>
      <c r="AP54" s="75" t="e">
        <f t="shared" si="23"/>
        <v>#DIV/0!</v>
      </c>
      <c r="AQ54" s="76">
        <f t="shared" si="9"/>
        <v>0</v>
      </c>
      <c r="AR54" s="90">
        <f t="shared" si="24"/>
        <v>0</v>
      </c>
    </row>
    <row r="55" spans="1:49" x14ac:dyDescent="0.25">
      <c r="A55" t="str">
        <f t="shared" si="10"/>
        <v>46199E</v>
      </c>
      <c r="B55" s="51">
        <f t="shared" si="25"/>
        <v>46199</v>
      </c>
      <c r="C55" s="52" t="s">
        <v>88</v>
      </c>
      <c r="D55" s="79"/>
      <c r="E55" s="62"/>
      <c r="F55" s="62"/>
      <c r="G55" s="62">
        <f t="shared" si="11"/>
        <v>0</v>
      </c>
      <c r="H55" s="63">
        <f t="shared" si="12"/>
        <v>0</v>
      </c>
      <c r="I55" s="203"/>
      <c r="J55" s="203"/>
      <c r="K55" s="203"/>
      <c r="L55" s="203"/>
      <c r="M55" s="58"/>
      <c r="N55" s="56"/>
      <c r="O55" s="59"/>
      <c r="P55" s="56"/>
      <c r="Q55" s="60"/>
      <c r="R55" s="61">
        <f t="shared" si="13"/>
        <v>0</v>
      </c>
      <c r="S55" s="62">
        <f t="shared" si="14"/>
        <v>0</v>
      </c>
      <c r="T55" s="63">
        <f t="shared" si="15"/>
        <v>0</v>
      </c>
      <c r="U55" s="64"/>
      <c r="V55" s="65"/>
      <c r="W55" s="66"/>
      <c r="X55" s="67"/>
      <c r="Y55" s="68"/>
      <c r="Z55" s="68"/>
      <c r="AA55" s="62">
        <f t="shared" si="16"/>
        <v>0</v>
      </c>
      <c r="AB55" s="63">
        <f t="shared" si="17"/>
        <v>0</v>
      </c>
      <c r="AC55" s="69"/>
      <c r="AD55" s="70"/>
      <c r="AE55" s="70"/>
      <c r="AF55" s="62">
        <f t="shared" si="18"/>
        <v>0</v>
      </c>
      <c r="AG55" s="63">
        <f t="shared" si="19"/>
        <v>0</v>
      </c>
      <c r="AH55" s="66"/>
      <c r="AI55" s="66"/>
      <c r="AJ55" s="66"/>
      <c r="AK55" s="62">
        <f t="shared" si="20"/>
        <v>0</v>
      </c>
      <c r="AL55" s="72">
        <f t="shared" si="21"/>
        <v>0</v>
      </c>
      <c r="AM55" s="73">
        <f t="shared" si="22"/>
        <v>0</v>
      </c>
      <c r="AN55" s="74">
        <f t="shared" si="26"/>
        <v>0</v>
      </c>
      <c r="AO55" s="74">
        <f t="shared" si="26"/>
        <v>0</v>
      </c>
      <c r="AP55" s="75" t="e">
        <f t="shared" si="23"/>
        <v>#DIV/0!</v>
      </c>
      <c r="AQ55" s="76">
        <f t="shared" si="9"/>
        <v>0</v>
      </c>
      <c r="AR55" s="90">
        <f t="shared" si="24"/>
        <v>0</v>
      </c>
    </row>
    <row r="56" spans="1:49" x14ac:dyDescent="0.25">
      <c r="A56" t="str">
        <f t="shared" si="10"/>
        <v>46200M</v>
      </c>
      <c r="B56" s="51">
        <f t="shared" si="25"/>
        <v>46200</v>
      </c>
      <c r="C56" s="52" t="s">
        <v>87</v>
      </c>
      <c r="D56" s="91"/>
      <c r="E56" s="62"/>
      <c r="F56" s="62"/>
      <c r="G56" s="62">
        <f t="shared" si="11"/>
        <v>0</v>
      </c>
      <c r="H56" s="63">
        <f t="shared" si="12"/>
        <v>0</v>
      </c>
      <c r="I56" s="203"/>
      <c r="J56" s="203"/>
      <c r="K56" s="203"/>
      <c r="L56" s="203"/>
      <c r="M56" s="58"/>
      <c r="N56" s="56"/>
      <c r="O56" s="59"/>
      <c r="P56" s="56"/>
      <c r="Q56" s="60"/>
      <c r="R56" s="61">
        <f t="shared" si="13"/>
        <v>0</v>
      </c>
      <c r="S56" s="62">
        <f t="shared" si="14"/>
        <v>0</v>
      </c>
      <c r="T56" s="63">
        <f t="shared" si="15"/>
        <v>0</v>
      </c>
      <c r="U56" s="64"/>
      <c r="V56" s="65"/>
      <c r="W56" s="66"/>
      <c r="X56" s="67"/>
      <c r="Y56" s="68"/>
      <c r="Z56" s="68"/>
      <c r="AA56" s="62">
        <f t="shared" si="16"/>
        <v>0</v>
      </c>
      <c r="AB56" s="63">
        <f t="shared" si="17"/>
        <v>0</v>
      </c>
      <c r="AC56" s="69"/>
      <c r="AD56" s="70"/>
      <c r="AE56" s="70"/>
      <c r="AF56" s="62">
        <f t="shared" si="18"/>
        <v>0</v>
      </c>
      <c r="AG56" s="63">
        <f t="shared" si="19"/>
        <v>0</v>
      </c>
      <c r="AH56" s="66"/>
      <c r="AI56" s="66"/>
      <c r="AJ56" s="66"/>
      <c r="AK56" s="62">
        <f t="shared" si="20"/>
        <v>0</v>
      </c>
      <c r="AL56" s="72">
        <f t="shared" si="21"/>
        <v>0</v>
      </c>
      <c r="AM56" s="73">
        <f t="shared" si="22"/>
        <v>0</v>
      </c>
      <c r="AN56" s="74">
        <f t="shared" si="26"/>
        <v>0</v>
      </c>
      <c r="AO56" s="74">
        <f t="shared" si="26"/>
        <v>0</v>
      </c>
      <c r="AP56" s="75" t="e">
        <f t="shared" si="23"/>
        <v>#DIV/0!</v>
      </c>
      <c r="AQ56" s="76">
        <f t="shared" si="9"/>
        <v>0</v>
      </c>
      <c r="AR56" s="90">
        <f t="shared" si="24"/>
        <v>0</v>
      </c>
    </row>
    <row r="57" spans="1:49" x14ac:dyDescent="0.25">
      <c r="A57" t="str">
        <f t="shared" si="10"/>
        <v>46200E</v>
      </c>
      <c r="B57" s="51">
        <f t="shared" si="25"/>
        <v>46200</v>
      </c>
      <c r="C57" s="52" t="s">
        <v>88</v>
      </c>
      <c r="D57" s="91"/>
      <c r="E57" s="62"/>
      <c r="F57" s="62"/>
      <c r="G57" s="62">
        <f t="shared" si="11"/>
        <v>0</v>
      </c>
      <c r="H57" s="63">
        <f t="shared" si="12"/>
        <v>0</v>
      </c>
      <c r="I57" s="203"/>
      <c r="J57" s="203"/>
      <c r="K57" s="203"/>
      <c r="L57" s="203"/>
      <c r="M57" s="58"/>
      <c r="N57" s="56"/>
      <c r="O57" s="59"/>
      <c r="P57" s="56"/>
      <c r="Q57" s="60"/>
      <c r="R57" s="61">
        <f t="shared" si="13"/>
        <v>0</v>
      </c>
      <c r="S57" s="62">
        <f t="shared" si="14"/>
        <v>0</v>
      </c>
      <c r="T57" s="63">
        <f t="shared" si="15"/>
        <v>0</v>
      </c>
      <c r="U57" s="64"/>
      <c r="V57" s="65"/>
      <c r="W57" s="66"/>
      <c r="X57" s="67"/>
      <c r="Y57" s="68"/>
      <c r="Z57" s="68"/>
      <c r="AA57" s="62">
        <f t="shared" si="16"/>
        <v>0</v>
      </c>
      <c r="AB57" s="63">
        <f t="shared" si="17"/>
        <v>0</v>
      </c>
      <c r="AC57" s="69"/>
      <c r="AD57" s="70"/>
      <c r="AE57" s="70"/>
      <c r="AF57" s="62">
        <f t="shared" si="18"/>
        <v>0</v>
      </c>
      <c r="AG57" s="63">
        <f t="shared" si="19"/>
        <v>0</v>
      </c>
      <c r="AH57" s="66"/>
      <c r="AI57" s="66"/>
      <c r="AJ57" s="66"/>
      <c r="AK57" s="62">
        <f t="shared" si="20"/>
        <v>0</v>
      </c>
      <c r="AL57" s="72">
        <f t="shared" si="21"/>
        <v>0</v>
      </c>
      <c r="AM57" s="73">
        <f t="shared" si="22"/>
        <v>0</v>
      </c>
      <c r="AN57" s="74">
        <f t="shared" si="26"/>
        <v>0</v>
      </c>
      <c r="AO57" s="74">
        <f t="shared" si="26"/>
        <v>0</v>
      </c>
      <c r="AP57" s="75" t="e">
        <f t="shared" si="23"/>
        <v>#DIV/0!</v>
      </c>
      <c r="AQ57" s="76">
        <f t="shared" si="9"/>
        <v>0</v>
      </c>
      <c r="AR57" s="90">
        <f t="shared" si="24"/>
        <v>0</v>
      </c>
    </row>
    <row r="58" spans="1:49" x14ac:dyDescent="0.25">
      <c r="A58" t="str">
        <f t="shared" si="10"/>
        <v>46201M</v>
      </c>
      <c r="B58" s="51">
        <f t="shared" si="25"/>
        <v>46201</v>
      </c>
      <c r="C58" s="52" t="s">
        <v>87</v>
      </c>
      <c r="D58" s="91"/>
      <c r="E58" s="62"/>
      <c r="F58" s="62"/>
      <c r="G58" s="62">
        <f t="shared" si="11"/>
        <v>0</v>
      </c>
      <c r="H58" s="63">
        <f t="shared" si="12"/>
        <v>0</v>
      </c>
      <c r="I58" s="203"/>
      <c r="J58" s="203"/>
      <c r="K58" s="203"/>
      <c r="L58" s="203"/>
      <c r="M58" s="58"/>
      <c r="N58" s="56"/>
      <c r="O58" s="59"/>
      <c r="P58" s="56"/>
      <c r="Q58" s="60"/>
      <c r="R58" s="61">
        <f t="shared" si="13"/>
        <v>0</v>
      </c>
      <c r="S58" s="62">
        <f t="shared" si="14"/>
        <v>0</v>
      </c>
      <c r="T58" s="63">
        <f t="shared" si="15"/>
        <v>0</v>
      </c>
      <c r="U58" s="64"/>
      <c r="V58" s="65"/>
      <c r="W58" s="66"/>
      <c r="X58" s="67"/>
      <c r="Y58" s="68"/>
      <c r="Z58" s="68"/>
      <c r="AA58" s="62">
        <f t="shared" si="16"/>
        <v>0</v>
      </c>
      <c r="AB58" s="63">
        <f t="shared" si="17"/>
        <v>0</v>
      </c>
      <c r="AC58" s="69"/>
      <c r="AD58" s="70"/>
      <c r="AE58" s="70"/>
      <c r="AF58" s="62">
        <f t="shared" si="18"/>
        <v>0</v>
      </c>
      <c r="AG58" s="63">
        <f t="shared" si="19"/>
        <v>0</v>
      </c>
      <c r="AH58" s="66"/>
      <c r="AI58" s="66"/>
      <c r="AJ58" s="66"/>
      <c r="AK58" s="62">
        <f t="shared" si="20"/>
        <v>0</v>
      </c>
      <c r="AL58" s="72">
        <f t="shared" si="21"/>
        <v>0</v>
      </c>
      <c r="AM58" s="73">
        <f t="shared" si="22"/>
        <v>0</v>
      </c>
      <c r="AN58" s="74">
        <f t="shared" si="26"/>
        <v>0</v>
      </c>
      <c r="AO58" s="74">
        <f t="shared" si="26"/>
        <v>0</v>
      </c>
      <c r="AP58" s="75" t="e">
        <f t="shared" si="23"/>
        <v>#DIV/0!</v>
      </c>
      <c r="AQ58" s="76">
        <f t="shared" si="9"/>
        <v>0</v>
      </c>
      <c r="AR58" s="90">
        <f t="shared" si="24"/>
        <v>0</v>
      </c>
    </row>
    <row r="59" spans="1:49" x14ac:dyDescent="0.25">
      <c r="A59" t="str">
        <f t="shared" si="10"/>
        <v>46201E</v>
      </c>
      <c r="B59" s="51">
        <f t="shared" si="25"/>
        <v>46201</v>
      </c>
      <c r="C59" s="52" t="s">
        <v>88</v>
      </c>
      <c r="D59" s="91"/>
      <c r="E59" s="62"/>
      <c r="F59" s="62"/>
      <c r="G59" s="62">
        <f t="shared" si="11"/>
        <v>0</v>
      </c>
      <c r="H59" s="63">
        <f t="shared" si="12"/>
        <v>0</v>
      </c>
      <c r="I59" s="203"/>
      <c r="J59" s="203"/>
      <c r="K59" s="203"/>
      <c r="L59" s="203"/>
      <c r="M59" s="58"/>
      <c r="N59" s="56"/>
      <c r="O59" s="59"/>
      <c r="P59" s="56"/>
      <c r="Q59" s="60"/>
      <c r="R59" s="61">
        <f t="shared" si="13"/>
        <v>0</v>
      </c>
      <c r="S59" s="62">
        <f t="shared" si="14"/>
        <v>0</v>
      </c>
      <c r="T59" s="63">
        <f t="shared" si="15"/>
        <v>0</v>
      </c>
      <c r="U59" s="64"/>
      <c r="V59" s="65"/>
      <c r="W59" s="66"/>
      <c r="X59" s="67"/>
      <c r="Y59" s="68"/>
      <c r="Z59" s="68"/>
      <c r="AA59" s="62">
        <f t="shared" si="16"/>
        <v>0</v>
      </c>
      <c r="AB59" s="63">
        <f t="shared" si="17"/>
        <v>0</v>
      </c>
      <c r="AC59" s="69"/>
      <c r="AD59" s="70"/>
      <c r="AE59" s="70"/>
      <c r="AF59" s="62">
        <f t="shared" si="18"/>
        <v>0</v>
      </c>
      <c r="AG59" s="63">
        <f t="shared" si="19"/>
        <v>0</v>
      </c>
      <c r="AH59" s="66"/>
      <c r="AI59" s="66"/>
      <c r="AJ59" s="66"/>
      <c r="AK59" s="62">
        <f t="shared" si="20"/>
        <v>0</v>
      </c>
      <c r="AL59" s="72">
        <f t="shared" si="21"/>
        <v>0</v>
      </c>
      <c r="AM59" s="73">
        <f t="shared" si="22"/>
        <v>0</v>
      </c>
      <c r="AN59" s="74">
        <f t="shared" si="26"/>
        <v>0</v>
      </c>
      <c r="AO59" s="74">
        <f t="shared" si="26"/>
        <v>0</v>
      </c>
      <c r="AP59" s="75" t="e">
        <f t="shared" si="23"/>
        <v>#DIV/0!</v>
      </c>
      <c r="AQ59" s="76">
        <f t="shared" si="9"/>
        <v>0</v>
      </c>
      <c r="AR59" s="90">
        <f t="shared" si="24"/>
        <v>0</v>
      </c>
      <c r="AS59" s="90">
        <f>SUM(J46:J59)</f>
        <v>0</v>
      </c>
      <c r="AT59" s="83">
        <f>SUM(AM46:AM59)</f>
        <v>0</v>
      </c>
      <c r="AU59" s="83">
        <f>SUM(AN46:AN59)</f>
        <v>0</v>
      </c>
      <c r="AV59" s="83">
        <f>SUM(AO46:AO59)</f>
        <v>0</v>
      </c>
      <c r="AW59" s="83">
        <f>-SUM(AQ46:AQ59)</f>
        <v>0</v>
      </c>
    </row>
    <row r="60" spans="1:49" x14ac:dyDescent="0.25">
      <c r="A60" t="str">
        <f t="shared" si="10"/>
        <v>46202M</v>
      </c>
      <c r="B60" s="51">
        <f t="shared" si="25"/>
        <v>46202</v>
      </c>
      <c r="C60" s="52" t="s">
        <v>87</v>
      </c>
      <c r="D60" s="91"/>
      <c r="E60" s="62"/>
      <c r="F60" s="62"/>
      <c r="G60" s="62">
        <f t="shared" si="11"/>
        <v>0</v>
      </c>
      <c r="H60" s="63">
        <f t="shared" si="12"/>
        <v>0</v>
      </c>
      <c r="I60" s="203"/>
      <c r="J60" s="203"/>
      <c r="K60" s="203"/>
      <c r="L60" s="203"/>
      <c r="M60" s="58"/>
      <c r="N60" s="56"/>
      <c r="O60" s="59"/>
      <c r="P60" s="56"/>
      <c r="Q60" s="60"/>
      <c r="R60" s="61">
        <f t="shared" si="13"/>
        <v>0</v>
      </c>
      <c r="S60" s="62">
        <f t="shared" si="14"/>
        <v>0</v>
      </c>
      <c r="T60" s="63">
        <f t="shared" si="15"/>
        <v>0</v>
      </c>
      <c r="U60" s="64"/>
      <c r="V60" s="65"/>
      <c r="W60" s="66"/>
      <c r="X60" s="67"/>
      <c r="Y60" s="68"/>
      <c r="Z60" s="68"/>
      <c r="AA60" s="62">
        <f t="shared" si="16"/>
        <v>0</v>
      </c>
      <c r="AB60" s="63">
        <f t="shared" si="17"/>
        <v>0</v>
      </c>
      <c r="AC60" s="69"/>
      <c r="AD60" s="70"/>
      <c r="AE60" s="70"/>
      <c r="AF60" s="62">
        <f t="shared" si="18"/>
        <v>0</v>
      </c>
      <c r="AG60" s="63">
        <f t="shared" si="19"/>
        <v>0</v>
      </c>
      <c r="AH60" s="66"/>
      <c r="AI60" s="66"/>
      <c r="AJ60" s="66"/>
      <c r="AK60" s="62">
        <f t="shared" si="20"/>
        <v>0</v>
      </c>
      <c r="AL60" s="72">
        <f t="shared" si="21"/>
        <v>0</v>
      </c>
      <c r="AM60" s="73">
        <f t="shared" si="22"/>
        <v>0</v>
      </c>
      <c r="AN60" s="74">
        <f t="shared" si="26"/>
        <v>0</v>
      </c>
      <c r="AO60" s="74">
        <f t="shared" si="26"/>
        <v>0</v>
      </c>
      <c r="AP60" s="75" t="e">
        <f t="shared" si="23"/>
        <v>#DIV/0!</v>
      </c>
      <c r="AQ60" s="76">
        <f t="shared" si="9"/>
        <v>0</v>
      </c>
      <c r="AR60" s="90">
        <f>(D60+J60+O60)-(X60+AH60)</f>
        <v>0</v>
      </c>
    </row>
    <row r="61" spans="1:49" x14ac:dyDescent="0.25">
      <c r="A61" t="str">
        <f t="shared" si="10"/>
        <v>46202E</v>
      </c>
      <c r="B61" s="51">
        <f t="shared" si="25"/>
        <v>46202</v>
      </c>
      <c r="C61" s="52" t="s">
        <v>88</v>
      </c>
      <c r="D61" s="91"/>
      <c r="E61" s="62"/>
      <c r="F61" s="62"/>
      <c r="G61" s="62">
        <f t="shared" si="11"/>
        <v>0</v>
      </c>
      <c r="H61" s="63">
        <f t="shared" si="12"/>
        <v>0</v>
      </c>
      <c r="I61" s="203"/>
      <c r="J61" s="203"/>
      <c r="K61" s="203"/>
      <c r="L61" s="203"/>
      <c r="M61" s="58"/>
      <c r="N61" s="56"/>
      <c r="O61" s="59"/>
      <c r="P61" s="56"/>
      <c r="Q61" s="60"/>
      <c r="R61" s="61">
        <f t="shared" si="13"/>
        <v>0</v>
      </c>
      <c r="S61" s="62">
        <f t="shared" si="14"/>
        <v>0</v>
      </c>
      <c r="T61" s="63">
        <f t="shared" si="15"/>
        <v>0</v>
      </c>
      <c r="U61" s="64"/>
      <c r="V61" s="65"/>
      <c r="W61" s="66"/>
      <c r="X61" s="67"/>
      <c r="Y61" s="68"/>
      <c r="Z61" s="68"/>
      <c r="AA61" s="62">
        <f t="shared" si="16"/>
        <v>0</v>
      </c>
      <c r="AB61" s="63">
        <f t="shared" si="17"/>
        <v>0</v>
      </c>
      <c r="AC61" s="69"/>
      <c r="AD61" s="70"/>
      <c r="AE61" s="70"/>
      <c r="AF61" s="62">
        <f t="shared" si="18"/>
        <v>0</v>
      </c>
      <c r="AG61" s="63">
        <f t="shared" si="19"/>
        <v>0</v>
      </c>
      <c r="AH61" s="66"/>
      <c r="AI61" s="66"/>
      <c r="AJ61" s="66"/>
      <c r="AK61" s="62">
        <f t="shared" si="20"/>
        <v>0</v>
      </c>
      <c r="AL61" s="72">
        <f t="shared" si="21"/>
        <v>0</v>
      </c>
      <c r="AM61" s="73">
        <f t="shared" si="22"/>
        <v>0</v>
      </c>
      <c r="AN61" s="74">
        <f t="shared" si="26"/>
        <v>0</v>
      </c>
      <c r="AO61" s="74">
        <f t="shared" si="26"/>
        <v>0</v>
      </c>
      <c r="AP61" s="75" t="e">
        <f t="shared" si="23"/>
        <v>#DIV/0!</v>
      </c>
      <c r="AQ61" s="76">
        <f t="shared" si="9"/>
        <v>0</v>
      </c>
      <c r="AR61" s="90">
        <f>(D61+J61+O61)-(X61+AH61)</f>
        <v>0</v>
      </c>
    </row>
    <row r="62" spans="1:49" x14ac:dyDescent="0.25">
      <c r="A62" t="str">
        <f t="shared" si="10"/>
        <v>46203M</v>
      </c>
      <c r="B62" s="51">
        <f t="shared" si="25"/>
        <v>46203</v>
      </c>
      <c r="C62" s="52" t="s">
        <v>87</v>
      </c>
      <c r="D62" s="91"/>
      <c r="E62" s="62"/>
      <c r="F62" s="62"/>
      <c r="G62" s="62">
        <f t="shared" si="11"/>
        <v>0</v>
      </c>
      <c r="H62" s="63">
        <f t="shared" si="12"/>
        <v>0</v>
      </c>
      <c r="I62" s="203"/>
      <c r="J62" s="203"/>
      <c r="K62" s="203"/>
      <c r="L62" s="203"/>
      <c r="M62" s="58"/>
      <c r="N62" s="56"/>
      <c r="O62" s="59"/>
      <c r="P62" s="56"/>
      <c r="Q62" s="60"/>
      <c r="R62" s="61">
        <f t="shared" si="13"/>
        <v>0</v>
      </c>
      <c r="S62" s="62">
        <f t="shared" si="14"/>
        <v>0</v>
      </c>
      <c r="T62" s="63">
        <f t="shared" si="15"/>
        <v>0</v>
      </c>
      <c r="U62" s="64"/>
      <c r="V62" s="65"/>
      <c r="W62" s="66"/>
      <c r="X62" s="67"/>
      <c r="Y62" s="68"/>
      <c r="Z62" s="68"/>
      <c r="AA62" s="62">
        <f t="shared" si="16"/>
        <v>0</v>
      </c>
      <c r="AB62" s="63">
        <f t="shared" si="17"/>
        <v>0</v>
      </c>
      <c r="AC62" s="69"/>
      <c r="AD62" s="70"/>
      <c r="AE62" s="70"/>
      <c r="AF62" s="62">
        <f t="shared" si="18"/>
        <v>0</v>
      </c>
      <c r="AG62" s="63">
        <f t="shared" si="19"/>
        <v>0</v>
      </c>
      <c r="AH62" s="66"/>
      <c r="AI62" s="66"/>
      <c r="AJ62" s="66"/>
      <c r="AK62" s="62">
        <f t="shared" si="20"/>
        <v>0</v>
      </c>
      <c r="AL62" s="72">
        <f t="shared" si="21"/>
        <v>0</v>
      </c>
      <c r="AM62" s="73">
        <f t="shared" si="22"/>
        <v>0</v>
      </c>
      <c r="AN62" s="74">
        <f t="shared" si="26"/>
        <v>0</v>
      </c>
      <c r="AO62" s="74">
        <f t="shared" si="26"/>
        <v>0</v>
      </c>
      <c r="AP62" s="75" t="e">
        <f t="shared" si="23"/>
        <v>#DIV/0!</v>
      </c>
      <c r="AQ62" s="76">
        <f t="shared" si="9"/>
        <v>0</v>
      </c>
      <c r="AR62" s="90">
        <f>(D62+J62+O62)-(X62+AH62)</f>
        <v>0</v>
      </c>
    </row>
    <row r="63" spans="1:49" x14ac:dyDescent="0.25">
      <c r="A63" t="str">
        <f t="shared" si="10"/>
        <v>46203E</v>
      </c>
      <c r="B63" s="51">
        <f t="shared" si="25"/>
        <v>46203</v>
      </c>
      <c r="C63" s="52" t="s">
        <v>88</v>
      </c>
      <c r="D63" s="91"/>
      <c r="E63" s="62"/>
      <c r="F63" s="62"/>
      <c r="G63" s="62">
        <f t="shared" si="11"/>
        <v>0</v>
      </c>
      <c r="H63" s="63">
        <f t="shared" si="12"/>
        <v>0</v>
      </c>
      <c r="I63" s="203"/>
      <c r="J63" s="203"/>
      <c r="K63" s="203"/>
      <c r="L63" s="203"/>
      <c r="M63" s="58"/>
      <c r="N63" s="56"/>
      <c r="O63" s="59"/>
      <c r="P63" s="56"/>
      <c r="Q63" s="60"/>
      <c r="R63" s="61">
        <f t="shared" si="13"/>
        <v>0</v>
      </c>
      <c r="S63" s="62">
        <f t="shared" si="14"/>
        <v>0</v>
      </c>
      <c r="T63" s="63">
        <f t="shared" si="15"/>
        <v>0</v>
      </c>
      <c r="U63" s="64"/>
      <c r="V63" s="65"/>
      <c r="W63" s="66"/>
      <c r="X63" s="67"/>
      <c r="Y63" s="68"/>
      <c r="Z63" s="68"/>
      <c r="AA63" s="62">
        <f t="shared" si="16"/>
        <v>0</v>
      </c>
      <c r="AB63" s="63">
        <f t="shared" si="17"/>
        <v>0</v>
      </c>
      <c r="AC63" s="69"/>
      <c r="AD63" s="70"/>
      <c r="AE63" s="70"/>
      <c r="AF63" s="62">
        <f t="shared" si="18"/>
        <v>0</v>
      </c>
      <c r="AG63" s="63">
        <f t="shared" si="19"/>
        <v>0</v>
      </c>
      <c r="AH63" s="66"/>
      <c r="AI63" s="66"/>
      <c r="AJ63" s="66"/>
      <c r="AK63" s="62">
        <f t="shared" si="20"/>
        <v>0</v>
      </c>
      <c r="AL63" s="72">
        <f t="shared" si="21"/>
        <v>0</v>
      </c>
      <c r="AM63" s="73">
        <f t="shared" si="22"/>
        <v>0</v>
      </c>
      <c r="AN63" s="74">
        <f t="shared" si="26"/>
        <v>0</v>
      </c>
      <c r="AO63" s="74">
        <f t="shared" si="26"/>
        <v>0</v>
      </c>
      <c r="AP63" s="75" t="e">
        <f t="shared" si="23"/>
        <v>#DIV/0!</v>
      </c>
      <c r="AQ63" s="76">
        <f t="shared" si="9"/>
        <v>0</v>
      </c>
      <c r="AR63" s="90">
        <f>(D63+J63+O63)-(X63+AH63)</f>
        <v>0</v>
      </c>
    </row>
    <row r="64" spans="1:49" x14ac:dyDescent="0.25">
      <c r="A64" t="str">
        <f t="shared" si="10"/>
        <v>46204M</v>
      </c>
      <c r="B64" s="51">
        <f t="shared" si="25"/>
        <v>46204</v>
      </c>
      <c r="C64" s="52" t="s">
        <v>87</v>
      </c>
      <c r="D64" s="91"/>
      <c r="E64" s="62"/>
      <c r="F64" s="62"/>
      <c r="G64" s="62">
        <f t="shared" si="11"/>
        <v>0</v>
      </c>
      <c r="H64" s="63">
        <f t="shared" si="12"/>
        <v>0</v>
      </c>
      <c r="I64" s="119"/>
      <c r="J64" s="120"/>
      <c r="K64" s="121"/>
      <c r="L64" s="122"/>
      <c r="M64" s="58"/>
      <c r="N64" s="56"/>
      <c r="O64" s="59"/>
      <c r="P64" s="56"/>
      <c r="Q64" s="60"/>
      <c r="R64" s="61">
        <f t="shared" si="13"/>
        <v>0</v>
      </c>
      <c r="S64" s="62">
        <f t="shared" si="14"/>
        <v>0</v>
      </c>
      <c r="T64" s="63">
        <f t="shared" si="15"/>
        <v>0</v>
      </c>
      <c r="U64" s="64"/>
      <c r="V64" s="65"/>
      <c r="W64" s="66"/>
      <c r="X64" s="67"/>
      <c r="Y64" s="68"/>
      <c r="Z64" s="68"/>
      <c r="AA64" s="62">
        <f t="shared" si="16"/>
        <v>0</v>
      </c>
      <c r="AB64" s="63">
        <f t="shared" si="17"/>
        <v>0</v>
      </c>
      <c r="AC64" s="69"/>
      <c r="AD64" s="70"/>
      <c r="AE64" s="70"/>
      <c r="AF64" s="62">
        <f t="shared" si="18"/>
        <v>0</v>
      </c>
      <c r="AG64" s="63">
        <f t="shared" si="19"/>
        <v>0</v>
      </c>
      <c r="AH64" s="66"/>
      <c r="AI64" s="66"/>
      <c r="AJ64" s="66"/>
      <c r="AK64" s="62">
        <f t="shared" si="20"/>
        <v>0</v>
      </c>
      <c r="AL64" s="72">
        <f t="shared" si="21"/>
        <v>0</v>
      </c>
      <c r="AM64" s="73">
        <f t="shared" si="22"/>
        <v>0</v>
      </c>
      <c r="AN64" s="74">
        <f t="shared" si="26"/>
        <v>0</v>
      </c>
      <c r="AO64" s="74">
        <f t="shared" si="26"/>
        <v>0</v>
      </c>
      <c r="AP64" s="75" t="e">
        <f t="shared" si="23"/>
        <v>#DIV/0!</v>
      </c>
      <c r="AQ64" s="76">
        <f t="shared" si="9"/>
        <v>0</v>
      </c>
      <c r="AR64" s="90">
        <f t="shared" si="24"/>
        <v>0</v>
      </c>
    </row>
    <row r="65" spans="1:49" x14ac:dyDescent="0.25">
      <c r="A65" t="str">
        <f t="shared" si="10"/>
        <v>46204E</v>
      </c>
      <c r="B65" s="51">
        <f t="shared" si="25"/>
        <v>46204</v>
      </c>
      <c r="C65" s="52" t="s">
        <v>88</v>
      </c>
      <c r="D65" s="91"/>
      <c r="E65" s="62"/>
      <c r="F65" s="62"/>
      <c r="G65" s="62">
        <f t="shared" si="11"/>
        <v>0</v>
      </c>
      <c r="H65" s="63">
        <f t="shared" si="12"/>
        <v>0</v>
      </c>
      <c r="I65" s="119"/>
      <c r="J65" s="120"/>
      <c r="K65" s="121"/>
      <c r="L65" s="122"/>
      <c r="M65" s="58"/>
      <c r="N65" s="56"/>
      <c r="O65" s="59"/>
      <c r="P65" s="56"/>
      <c r="Q65" s="60"/>
      <c r="R65" s="61">
        <f t="shared" si="13"/>
        <v>0</v>
      </c>
      <c r="S65" s="62">
        <f t="shared" si="14"/>
        <v>0</v>
      </c>
      <c r="T65" s="63">
        <f t="shared" si="15"/>
        <v>0</v>
      </c>
      <c r="U65" s="64"/>
      <c r="V65" s="65"/>
      <c r="W65" s="66"/>
      <c r="X65" s="67"/>
      <c r="Y65" s="68"/>
      <c r="Z65" s="68"/>
      <c r="AA65" s="62">
        <f t="shared" si="16"/>
        <v>0</v>
      </c>
      <c r="AB65" s="63">
        <f t="shared" si="17"/>
        <v>0</v>
      </c>
      <c r="AC65" s="69"/>
      <c r="AD65" s="70"/>
      <c r="AE65" s="70"/>
      <c r="AF65" s="62">
        <f t="shared" si="18"/>
        <v>0</v>
      </c>
      <c r="AG65" s="63">
        <f t="shared" si="19"/>
        <v>0</v>
      </c>
      <c r="AH65" s="66"/>
      <c r="AI65" s="66"/>
      <c r="AJ65" s="66"/>
      <c r="AK65" s="62">
        <f t="shared" si="20"/>
        <v>0</v>
      </c>
      <c r="AL65" s="72">
        <f t="shared" si="21"/>
        <v>0</v>
      </c>
      <c r="AM65" s="73">
        <f t="shared" si="22"/>
        <v>0</v>
      </c>
      <c r="AN65" s="74">
        <f t="shared" si="26"/>
        <v>0</v>
      </c>
      <c r="AO65" s="74">
        <f t="shared" si="26"/>
        <v>0</v>
      </c>
      <c r="AP65" s="75" t="e">
        <f t="shared" si="23"/>
        <v>#DIV/0!</v>
      </c>
      <c r="AQ65" s="76">
        <f t="shared" si="9"/>
        <v>0</v>
      </c>
      <c r="AR65" s="90">
        <f t="shared" si="24"/>
        <v>0</v>
      </c>
      <c r="AS65" s="90">
        <f>SUM(J52:J65)</f>
        <v>0</v>
      </c>
      <c r="AT65" s="83">
        <f>SUM(AM52:AM65)</f>
        <v>0</v>
      </c>
      <c r="AU65" s="83">
        <f>SUM(AN52:AN65)</f>
        <v>0</v>
      </c>
      <c r="AV65" s="83">
        <f>SUM(AO52:AO65)</f>
        <v>0</v>
      </c>
      <c r="AW65" s="83">
        <f>-SUM(AQ52:AQ65)</f>
        <v>0</v>
      </c>
    </row>
    <row r="66" spans="1:49" x14ac:dyDescent="0.25">
      <c r="J66" s="83">
        <f>SUM(J4:J65)</f>
        <v>45900.827300000004</v>
      </c>
      <c r="AM66" s="127">
        <f>-SUM(AM4:AM65)</f>
        <v>346.17269999999917</v>
      </c>
      <c r="AN66" s="127">
        <f>-SUM(AN4:AN65)</f>
        <v>-32.274794719999946</v>
      </c>
      <c r="AO66" s="127">
        <f>-SUM(AO4:AO65)</f>
        <v>21.397707279999651</v>
      </c>
      <c r="AP66" s="127"/>
      <c r="AQ66" s="127">
        <f>-SUM(AQ4:AQ65)</f>
        <v>-8084.7149143787528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14" priority="2" operator="lessThan">
      <formula>0.1</formula>
    </cfRule>
    <cfRule type="cellIs" dxfId="13" priority="3" operator="greaterThan">
      <formula>0.1</formula>
    </cfRule>
  </conditionalFormatting>
  <conditionalFormatting sqref="AP1:AQ1">
    <cfRule type="cellIs" dxfId="12" priority="1" operator="lessThan">
      <formula>1</formula>
    </cfRule>
  </conditionalFormatting>
  <conditionalFormatting sqref="AQ4:AQ65">
    <cfRule type="cellIs" dxfId="11" priority="4" operator="lessThan">
      <formula>0</formula>
    </cfRule>
    <cfRule type="cellIs" dxfId="10" priority="5" operator="greaterThan">
      <formula>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3"/>
  <dimension ref="A1:AW69"/>
  <sheetViews>
    <sheetView topLeftCell="B1" zoomScale="80" zoomScaleNormal="80" workbookViewId="0">
      <pane xSplit="2" ySplit="3" topLeftCell="D4" activePane="bottomRight" state="frozen"/>
      <selection activeCell="B1" sqref="B1"/>
      <selection pane="topRight" activeCell="D1" sqref="D1"/>
      <selection pane="bottomLeft" activeCell="B4" sqref="B4"/>
      <selection pane="bottomRight" activeCell="AC23" sqref="AC23:AE23"/>
    </sheetView>
  </sheetViews>
  <sheetFormatPr defaultRowHeight="15" x14ac:dyDescent="0.25"/>
  <cols>
    <col min="1" max="1" width="8.42578125" bestFit="1" customWidth="1"/>
    <col min="2" max="2" width="9.5703125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7.42578125" bestFit="1" customWidth="1"/>
    <col min="9" max="9" width="8.7109375" bestFit="1" customWidth="1"/>
    <col min="10" max="10" width="8.140625" bestFit="1" customWidth="1"/>
    <col min="11" max="11" width="6" bestFit="1" customWidth="1"/>
    <col min="12" max="12" width="5.85546875" bestFit="1" customWidth="1"/>
    <col min="13" max="13" width="6" bestFit="1" customWidth="1"/>
    <col min="14" max="14" width="10.28515625" customWidth="1"/>
    <col min="15" max="15" width="8.85546875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9" customWidth="1"/>
    <col min="22" max="22" width="8.28515625" customWidth="1"/>
    <col min="23" max="23" width="11.28515625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9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7.28515625" bestFit="1" customWidth="1"/>
    <col min="35" max="35" width="5.85546875" bestFit="1" customWidth="1"/>
    <col min="36" max="36" width="6.5703125" bestFit="1" customWidth="1"/>
    <col min="37" max="37" width="7.28515625" bestFit="1" customWidth="1"/>
    <col min="38" max="38" width="7.425781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5.140625" bestFit="1" customWidth="1"/>
    <col min="45" max="45" width="6" bestFit="1" customWidth="1"/>
    <col min="46" max="46" width="7.28515625" bestFit="1" customWidth="1"/>
    <col min="47" max="48" width="6.28515625" bestFit="1" customWidth="1"/>
    <col min="49" max="49" width="9.28515625" bestFit="1" customWidth="1"/>
  </cols>
  <sheetData>
    <row r="1" spans="1:44" ht="15.75" thickBot="1" x14ac:dyDescent="0.3">
      <c r="B1" s="43" t="s">
        <v>101</v>
      </c>
      <c r="C1" s="44"/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59" t="s">
        <v>64</v>
      </c>
      <c r="C2" s="261" t="s">
        <v>65</v>
      </c>
      <c r="D2" s="263" t="s">
        <v>66</v>
      </c>
      <c r="E2" s="263"/>
      <c r="F2" s="263"/>
      <c r="G2" s="263"/>
      <c r="H2" s="264"/>
      <c r="I2" s="255" t="s">
        <v>67</v>
      </c>
      <c r="J2" s="256"/>
      <c r="K2" s="256"/>
      <c r="L2" s="257"/>
      <c r="M2" s="255" t="s">
        <v>68</v>
      </c>
      <c r="N2" s="265"/>
      <c r="O2" s="256"/>
      <c r="P2" s="256"/>
      <c r="Q2" s="257"/>
      <c r="R2" s="265" t="s">
        <v>69</v>
      </c>
      <c r="S2" s="256"/>
      <c r="T2" s="257"/>
      <c r="U2" s="252" t="s">
        <v>70</v>
      </c>
      <c r="V2" s="253"/>
      <c r="W2" s="253"/>
      <c r="X2" s="253"/>
      <c r="Y2" s="253"/>
      <c r="Z2" s="253"/>
      <c r="AA2" s="253"/>
      <c r="AB2" s="254"/>
      <c r="AC2" s="255" t="s">
        <v>71</v>
      </c>
      <c r="AD2" s="256"/>
      <c r="AE2" s="256"/>
      <c r="AF2" s="256"/>
      <c r="AG2" s="257"/>
      <c r="AH2" s="255" t="s">
        <v>72</v>
      </c>
      <c r="AI2" s="256"/>
      <c r="AJ2" s="256"/>
      <c r="AK2" s="256"/>
      <c r="AL2" s="258"/>
      <c r="AM2" s="252" t="s">
        <v>73</v>
      </c>
      <c r="AN2" s="253"/>
      <c r="AO2" s="253"/>
      <c r="AP2" s="253"/>
      <c r="AQ2" s="254"/>
    </row>
    <row r="3" spans="1:44" x14ac:dyDescent="0.25">
      <c r="B3" s="260"/>
      <c r="C3" s="26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6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87">
        <v>1160</v>
      </c>
      <c r="E4" s="88">
        <v>3.85</v>
      </c>
      <c r="F4" s="88">
        <v>8.17</v>
      </c>
      <c r="G4" s="62">
        <f t="shared" ref="G4:G15" si="0">+D4*E4%</f>
        <v>44.66</v>
      </c>
      <c r="H4" s="63">
        <f t="shared" ref="H4:H15" si="1">+D4*F4%</f>
        <v>94.771999999999991</v>
      </c>
      <c r="I4" s="119">
        <v>1754.5499999999997</v>
      </c>
      <c r="J4" s="120">
        <v>1807.1864999999998</v>
      </c>
      <c r="K4" s="121">
        <v>3.9377219230001996</v>
      </c>
      <c r="L4" s="122">
        <v>8.2259012282351591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1807.1864999999998</v>
      </c>
      <c r="S4" s="62">
        <f t="shared" ref="S4" si="2">+J4*K4%+O4*P4%</f>
        <v>71.161978999999988</v>
      </c>
      <c r="T4" s="63">
        <f t="shared" ref="T4" si="3">+J4*L4%+O4*Q4%</f>
        <v>148.65737649999997</v>
      </c>
      <c r="U4" s="64" t="s">
        <v>167</v>
      </c>
      <c r="V4" s="65" t="s">
        <v>187</v>
      </c>
      <c r="W4" s="66">
        <v>0</v>
      </c>
      <c r="X4" s="67">
        <v>0</v>
      </c>
      <c r="Y4" s="68">
        <v>0</v>
      </c>
      <c r="Z4" s="68">
        <v>0</v>
      </c>
      <c r="AA4" s="62">
        <f>+X4*Y4%</f>
        <v>0</v>
      </c>
      <c r="AB4" s="63">
        <f>+X4*Z4%</f>
        <v>0</v>
      </c>
      <c r="AC4" s="69"/>
      <c r="AD4" s="70"/>
      <c r="AE4" s="70"/>
      <c r="AF4" s="62">
        <f t="shared" ref="AF4" si="4">AC4*AD4%</f>
        <v>0</v>
      </c>
      <c r="AG4" s="63">
        <f t="shared" ref="AG4" si="5">AC4*AE4%</f>
        <v>0</v>
      </c>
      <c r="AH4" s="89">
        <v>2966</v>
      </c>
      <c r="AI4" s="66">
        <v>3.89</v>
      </c>
      <c r="AJ4" s="66">
        <v>8.1999999999999993</v>
      </c>
      <c r="AK4" s="62">
        <f t="shared" ref="AK4" si="6">AH4*AI4%</f>
        <v>115.37740000000001</v>
      </c>
      <c r="AL4" s="72">
        <f t="shared" ref="AL4" si="7">AH4*AJ4%</f>
        <v>243.21199999999996</v>
      </c>
      <c r="AM4" s="73">
        <f>+D4+R4-AC4-AH4</f>
        <v>1.1864999999997963</v>
      </c>
      <c r="AN4" s="74">
        <f t="shared" ref="AN4:AO4" si="8">+G4+S4-AF4-AK4</f>
        <v>0.44457899999997608</v>
      </c>
      <c r="AO4" s="74">
        <f t="shared" si="8"/>
        <v>0.21737650000000031</v>
      </c>
      <c r="AP4" s="75">
        <f>(AN4+AO4)/(S4+T4)</f>
        <v>3.0113612993464376E-3</v>
      </c>
      <c r="AQ4" s="76">
        <f t="shared" ref="AQ4:AQ65" si="9">($AP$1*AN4+$AQ$1*AO4)</f>
        <v>264.6309486333227</v>
      </c>
      <c r="AR4" s="90">
        <f t="shared" ref="AR4:AR48" si="10">(D4+J4+O4)-(X4+AH4)</f>
        <v>1.1864999999997963</v>
      </c>
    </row>
    <row r="5" spans="1:44" x14ac:dyDescent="0.25">
      <c r="A5" t="str">
        <f t="shared" ref="A5:A65" si="11">CONCATENATE(B5,C5)</f>
        <v>46174E</v>
      </c>
      <c r="B5" s="51">
        <f>+B4</f>
        <v>46174</v>
      </c>
      <c r="C5" s="52" t="s">
        <v>88</v>
      </c>
      <c r="D5" s="91">
        <v>2966</v>
      </c>
      <c r="E5" s="62">
        <v>3.89</v>
      </c>
      <c r="F5" s="62">
        <v>8.1999999999999993</v>
      </c>
      <c r="G5" s="62">
        <f t="shared" si="0"/>
        <v>115.37740000000001</v>
      </c>
      <c r="H5" s="63">
        <f t="shared" si="1"/>
        <v>243.21199999999996</v>
      </c>
      <c r="I5" s="119">
        <v>2825.8500000000008</v>
      </c>
      <c r="J5" s="120">
        <v>2910.625500000001</v>
      </c>
      <c r="K5" s="121">
        <v>3.6679282339826966</v>
      </c>
      <c r="L5" s="122">
        <v>8.115439602243578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35" si="12">+J5+O5</f>
        <v>2910.625500000001</v>
      </c>
      <c r="S5" s="62">
        <f t="shared" ref="S5:S35" si="13">+J5*K5%+O5*P5%</f>
        <v>106.75965450000007</v>
      </c>
      <c r="T5" s="63">
        <f t="shared" ref="T5:T35" si="14">+J5*L5%+O5*Q5%</f>
        <v>236.21005450000024</v>
      </c>
      <c r="U5" s="64" t="s">
        <v>169</v>
      </c>
      <c r="V5" s="65" t="s">
        <v>188</v>
      </c>
      <c r="W5" s="66" t="s">
        <v>189</v>
      </c>
      <c r="X5" s="67">
        <v>5920</v>
      </c>
      <c r="Y5" s="68">
        <v>3.8</v>
      </c>
      <c r="Z5" s="68">
        <v>8.1999999999999993</v>
      </c>
      <c r="AA5" s="62">
        <f t="shared" ref="AA5:AA65" si="15">+X5*Y5%</f>
        <v>224.96</v>
      </c>
      <c r="AB5" s="63">
        <f t="shared" ref="AB5:AB65" si="16">+X5*Z5%</f>
        <v>485.43999999999994</v>
      </c>
      <c r="AC5" s="228">
        <v>5920</v>
      </c>
      <c r="AD5" s="229">
        <v>3.8</v>
      </c>
      <c r="AE5" s="229">
        <v>8.1999999999999993</v>
      </c>
      <c r="AF5" s="62">
        <f t="shared" ref="AF5" si="17">AC5*AD5%</f>
        <v>224.96</v>
      </c>
      <c r="AG5" s="63">
        <f t="shared" ref="AG5" si="18">AC5*AE5%</f>
        <v>485.43999999999994</v>
      </c>
      <c r="AH5" s="89">
        <v>0</v>
      </c>
      <c r="AI5" s="66">
        <v>0</v>
      </c>
      <c r="AJ5" s="66">
        <v>0</v>
      </c>
      <c r="AK5" s="62">
        <f t="shared" ref="AK5:AK65" si="19">AH5*AI5%</f>
        <v>0</v>
      </c>
      <c r="AL5" s="72">
        <f t="shared" ref="AL5:AL65" si="20">AH5*AJ5%</f>
        <v>0</v>
      </c>
      <c r="AM5" s="73">
        <f t="shared" ref="AM5:AM21" si="21">+D5+R5-AC5-AH5</f>
        <v>-43.374499999998989</v>
      </c>
      <c r="AN5" s="74">
        <f t="shared" ref="AN5:AN21" si="22">+G5+S5-AF5-AK5</f>
        <v>-2.8229454999999177</v>
      </c>
      <c r="AO5" s="74">
        <f t="shared" ref="AO5:AO21" si="23">+H5+T5-AG5-AL5</f>
        <v>-6.0179454999997688</v>
      </c>
      <c r="AP5" s="75">
        <f t="shared" ref="AP5:AP65" si="24">(AN5+AO5)/(S5+T5)</f>
        <v>-2.5777468878453284E-2</v>
      </c>
      <c r="AQ5" s="76">
        <f t="shared" si="9"/>
        <v>-3068.2590740082278</v>
      </c>
      <c r="AR5" s="90">
        <f t="shared" si="10"/>
        <v>-43.374499999998989</v>
      </c>
    </row>
    <row r="6" spans="1:44" x14ac:dyDescent="0.25">
      <c r="A6" t="str">
        <f t="shared" si="11"/>
        <v>46175M</v>
      </c>
      <c r="B6" s="51">
        <f>+B4+1</f>
        <v>46175</v>
      </c>
      <c r="C6" s="52" t="s">
        <v>87</v>
      </c>
      <c r="D6" s="91">
        <v>0</v>
      </c>
      <c r="E6" s="62">
        <v>0</v>
      </c>
      <c r="F6" s="62">
        <v>0</v>
      </c>
      <c r="G6" s="62">
        <f t="shared" si="0"/>
        <v>0</v>
      </c>
      <c r="H6" s="63">
        <f t="shared" si="1"/>
        <v>0</v>
      </c>
      <c r="I6" s="119">
        <v>3327.25</v>
      </c>
      <c r="J6" s="120">
        <v>3427.0675000000001</v>
      </c>
      <c r="K6" s="121">
        <v>3.9352378090014275</v>
      </c>
      <c r="L6" s="122">
        <v>8.0954166353595305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2"/>
        <v>3427.0675000000001</v>
      </c>
      <c r="S6" s="62">
        <f t="shared" si="13"/>
        <v>134.86325600000001</v>
      </c>
      <c r="T6" s="63">
        <f t="shared" si="14"/>
        <v>277.43539249999998</v>
      </c>
      <c r="U6" s="64" t="s">
        <v>167</v>
      </c>
      <c r="V6" s="65" t="s">
        <v>167</v>
      </c>
      <c r="W6" s="66">
        <v>0</v>
      </c>
      <c r="X6" s="67">
        <v>0</v>
      </c>
      <c r="Y6" s="68">
        <v>0</v>
      </c>
      <c r="Z6" s="68">
        <v>0</v>
      </c>
      <c r="AA6" s="62">
        <v>8.1</v>
      </c>
      <c r="AB6" s="63">
        <f t="shared" si="16"/>
        <v>0</v>
      </c>
      <c r="AC6" s="69"/>
      <c r="AD6" s="70"/>
      <c r="AE6" s="70"/>
      <c r="AF6" s="62">
        <f t="shared" ref="AF6:AF65" si="25">AC6*AD6%</f>
        <v>0</v>
      </c>
      <c r="AG6" s="63">
        <f t="shared" ref="AG6:AG65" si="26">AC6*AE6%</f>
        <v>0</v>
      </c>
      <c r="AH6" s="89">
        <v>3425.8</v>
      </c>
      <c r="AI6" s="66">
        <v>3.92</v>
      </c>
      <c r="AJ6" s="66">
        <v>8.09</v>
      </c>
      <c r="AK6" s="62">
        <f t="shared" si="19"/>
        <v>134.29136</v>
      </c>
      <c r="AL6" s="72">
        <f t="shared" si="20"/>
        <v>277.14722</v>
      </c>
      <c r="AM6" s="73">
        <f t="shared" si="21"/>
        <v>1.2674999999999272</v>
      </c>
      <c r="AN6" s="74">
        <f t="shared" si="22"/>
        <v>0.57189600000000951</v>
      </c>
      <c r="AO6" s="74">
        <f t="shared" si="23"/>
        <v>0.2881724999999733</v>
      </c>
      <c r="AP6" s="75">
        <f t="shared" si="24"/>
        <v>2.0860327898940051E-3</v>
      </c>
      <c r="AQ6" s="76">
        <f t="shared" si="9"/>
        <v>342.97217800999636</v>
      </c>
      <c r="AR6" s="90">
        <f t="shared" si="10"/>
        <v>1.2674999999999272</v>
      </c>
    </row>
    <row r="7" spans="1:44" x14ac:dyDescent="0.25">
      <c r="A7" t="str">
        <f t="shared" si="11"/>
        <v>46175E</v>
      </c>
      <c r="B7" s="51">
        <f>+B5+1</f>
        <v>46175</v>
      </c>
      <c r="C7" s="52" t="s">
        <v>88</v>
      </c>
      <c r="D7" s="91">
        <v>3425.8</v>
      </c>
      <c r="E7" s="62">
        <v>3.92</v>
      </c>
      <c r="F7" s="62">
        <v>8.09</v>
      </c>
      <c r="G7" s="62">
        <f t="shared" si="0"/>
        <v>134.29136</v>
      </c>
      <c r="H7" s="63">
        <f t="shared" si="1"/>
        <v>277.14722</v>
      </c>
      <c r="I7" s="119">
        <v>2953.5499999999997</v>
      </c>
      <c r="J7" s="120">
        <v>3042.1564999999996</v>
      </c>
      <c r="K7" s="121">
        <v>3.725706353371367</v>
      </c>
      <c r="L7" s="122">
        <v>8.1760186893738052</v>
      </c>
      <c r="M7" s="58" t="s">
        <v>319</v>
      </c>
      <c r="N7" s="58" t="s">
        <v>320</v>
      </c>
      <c r="O7" s="59">
        <v>5920</v>
      </c>
      <c r="P7" s="56">
        <v>3.8</v>
      </c>
      <c r="Q7" s="60">
        <v>8.1999999999999993</v>
      </c>
      <c r="R7" s="61">
        <f t="shared" si="12"/>
        <v>8962.1564999999991</v>
      </c>
      <c r="S7" s="62">
        <f t="shared" si="13"/>
        <v>338.30181800000003</v>
      </c>
      <c r="T7" s="63">
        <f t="shared" si="14"/>
        <v>734.16728399999988</v>
      </c>
      <c r="U7" s="64" t="s">
        <v>175</v>
      </c>
      <c r="V7" s="65" t="s">
        <v>190</v>
      </c>
      <c r="W7" s="66" t="s">
        <v>191</v>
      </c>
      <c r="X7" s="67">
        <v>7150</v>
      </c>
      <c r="Y7" s="68">
        <v>3.85</v>
      </c>
      <c r="Z7" s="68">
        <v>8.3000000000000007</v>
      </c>
      <c r="AA7" s="62">
        <v>8.07</v>
      </c>
      <c r="AB7" s="63">
        <f t="shared" si="16"/>
        <v>593.45000000000005</v>
      </c>
      <c r="AC7" s="69">
        <v>7150</v>
      </c>
      <c r="AD7" s="70">
        <v>3.8514685314685315</v>
      </c>
      <c r="AE7" s="70">
        <v>8.3002937062937061</v>
      </c>
      <c r="AF7" s="62">
        <f t="shared" si="25"/>
        <v>275.38</v>
      </c>
      <c r="AG7" s="63">
        <f t="shared" si="26"/>
        <v>593.471</v>
      </c>
      <c r="AH7" s="89">
        <v>5235</v>
      </c>
      <c r="AI7" s="66">
        <v>3.8</v>
      </c>
      <c r="AJ7" s="66">
        <v>8.16</v>
      </c>
      <c r="AK7" s="62">
        <f t="shared" si="19"/>
        <v>198.93</v>
      </c>
      <c r="AL7" s="72">
        <f t="shared" si="20"/>
        <v>427.17600000000004</v>
      </c>
      <c r="AM7" s="73">
        <f t="shared" si="21"/>
        <v>2.9565000000002328</v>
      </c>
      <c r="AN7" s="74">
        <f t="shared" si="22"/>
        <v>-1.7168219999999792</v>
      </c>
      <c r="AO7" s="74">
        <f t="shared" si="23"/>
        <v>-9.3324960000001056</v>
      </c>
      <c r="AP7" s="75">
        <f t="shared" si="24"/>
        <v>-1.0302691219163985E-2</v>
      </c>
      <c r="AQ7" s="76">
        <f t="shared" si="9"/>
        <v>-3563.6657502600228</v>
      </c>
      <c r="AR7" s="90">
        <f t="shared" si="10"/>
        <v>2.9565000000002328</v>
      </c>
    </row>
    <row r="8" spans="1:44" x14ac:dyDescent="0.25">
      <c r="A8" t="str">
        <f t="shared" si="11"/>
        <v>46176M</v>
      </c>
      <c r="B8" s="51">
        <f>+B6+1</f>
        <v>46176</v>
      </c>
      <c r="C8" s="52" t="s">
        <v>87</v>
      </c>
      <c r="D8" s="91">
        <v>5235</v>
      </c>
      <c r="E8" s="62">
        <v>3.8</v>
      </c>
      <c r="F8" s="62">
        <v>8.16</v>
      </c>
      <c r="G8" s="62">
        <f t="shared" si="0"/>
        <v>198.93</v>
      </c>
      <c r="H8" s="63">
        <f t="shared" si="1"/>
        <v>427.17600000000004</v>
      </c>
      <c r="I8" s="119">
        <v>3116.1500000000005</v>
      </c>
      <c r="J8" s="120">
        <v>3209.6345000000006</v>
      </c>
      <c r="K8" s="121">
        <v>3.9298140333424261</v>
      </c>
      <c r="L8" s="122">
        <v>8.0868603886205719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2"/>
        <v>3209.6345000000006</v>
      </c>
      <c r="S8" s="62">
        <f t="shared" si="13"/>
        <v>126.13266700000004</v>
      </c>
      <c r="T8" s="63">
        <f t="shared" si="14"/>
        <v>259.55866099999997</v>
      </c>
      <c r="U8" s="64" t="s">
        <v>169</v>
      </c>
      <c r="V8" s="65" t="s">
        <v>192</v>
      </c>
      <c r="W8" s="66" t="s">
        <v>191</v>
      </c>
      <c r="X8" s="67">
        <v>5920</v>
      </c>
      <c r="Y8" s="68">
        <v>3.85</v>
      </c>
      <c r="Z8" s="68">
        <v>8.24</v>
      </c>
      <c r="AA8" s="62">
        <v>0</v>
      </c>
      <c r="AB8" s="63">
        <f t="shared" si="16"/>
        <v>487.80799999999999</v>
      </c>
      <c r="AC8" s="69">
        <v>5920</v>
      </c>
      <c r="AD8" s="70">
        <v>3.8249999999999997</v>
      </c>
      <c r="AE8" s="70">
        <v>8.2350000000000012</v>
      </c>
      <c r="AF8" s="62">
        <f t="shared" si="25"/>
        <v>226.44</v>
      </c>
      <c r="AG8" s="63">
        <f t="shared" si="26"/>
        <v>487.51200000000006</v>
      </c>
      <c r="AH8" s="89">
        <v>2523</v>
      </c>
      <c r="AI8" s="66">
        <v>3.8</v>
      </c>
      <c r="AJ8" s="66">
        <v>8.16</v>
      </c>
      <c r="AK8" s="62">
        <f t="shared" si="19"/>
        <v>95.873999999999995</v>
      </c>
      <c r="AL8" s="72">
        <f t="shared" si="20"/>
        <v>205.8768</v>
      </c>
      <c r="AM8" s="73">
        <f t="shared" si="21"/>
        <v>1.6345000000001164</v>
      </c>
      <c r="AN8" s="74">
        <f t="shared" si="22"/>
        <v>2.7486670000000402</v>
      </c>
      <c r="AO8" s="74">
        <f t="shared" si="23"/>
        <v>-6.6541390000001002</v>
      </c>
      <c r="AP8" s="75">
        <f t="shared" si="24"/>
        <v>-1.012590047137399E-2</v>
      </c>
      <c r="AQ8" s="76">
        <f t="shared" si="9"/>
        <v>-757.50225602334535</v>
      </c>
      <c r="AR8" s="90">
        <f t="shared" si="10"/>
        <v>1.6345000000001164</v>
      </c>
    </row>
    <row r="9" spans="1:44" x14ac:dyDescent="0.25">
      <c r="A9" t="str">
        <f t="shared" si="11"/>
        <v>46176E</v>
      </c>
      <c r="B9" s="51">
        <f t="shared" ref="B9:B65" si="27">+B7+1</f>
        <v>46176</v>
      </c>
      <c r="C9" s="52" t="s">
        <v>88</v>
      </c>
      <c r="D9" s="91">
        <v>2523</v>
      </c>
      <c r="E9" s="62">
        <v>3.8</v>
      </c>
      <c r="F9" s="62">
        <v>8.16</v>
      </c>
      <c r="G9" s="62">
        <f t="shared" si="0"/>
        <v>95.873999999999995</v>
      </c>
      <c r="H9" s="63">
        <f t="shared" si="1"/>
        <v>205.8768</v>
      </c>
      <c r="I9" s="119">
        <v>2668.55</v>
      </c>
      <c r="J9" s="120">
        <v>2748.6065000000003</v>
      </c>
      <c r="K9" s="121">
        <v>3.7084146821307451</v>
      </c>
      <c r="L9" s="122">
        <v>8.2420378107961287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2"/>
        <v>2748.6065000000003</v>
      </c>
      <c r="S9" s="62">
        <f t="shared" si="13"/>
        <v>101.92972700000001</v>
      </c>
      <c r="T9" s="63">
        <f t="shared" si="14"/>
        <v>226.54118700000009</v>
      </c>
      <c r="U9" s="64" t="s">
        <v>175</v>
      </c>
      <c r="V9" s="65" t="s">
        <v>193</v>
      </c>
      <c r="W9" s="66" t="s">
        <v>194</v>
      </c>
      <c r="X9" s="67">
        <v>3480</v>
      </c>
      <c r="Y9" s="68">
        <v>4.0999999999999996</v>
      </c>
      <c r="Z9" s="68">
        <v>8.35</v>
      </c>
      <c r="AA9" s="62">
        <v>0</v>
      </c>
      <c r="AB9" s="63">
        <f t="shared" si="16"/>
        <v>290.58</v>
      </c>
      <c r="AC9" s="69">
        <v>3500</v>
      </c>
      <c r="AD9" s="70">
        <v>4.0999999999999996</v>
      </c>
      <c r="AE9" s="70">
        <v>8.35</v>
      </c>
      <c r="AF9" s="62">
        <f t="shared" si="25"/>
        <v>143.49999999999997</v>
      </c>
      <c r="AG9" s="63">
        <f t="shared" si="26"/>
        <v>292.24999999999994</v>
      </c>
      <c r="AH9" s="89">
        <v>1790</v>
      </c>
      <c r="AI9" s="66">
        <v>3.5</v>
      </c>
      <c r="AJ9" s="66">
        <v>8</v>
      </c>
      <c r="AK9" s="62">
        <f t="shared" si="19"/>
        <v>62.650000000000006</v>
      </c>
      <c r="AL9" s="72">
        <f t="shared" si="20"/>
        <v>143.20000000000002</v>
      </c>
      <c r="AM9" s="73">
        <f t="shared" si="21"/>
        <v>-18.393500000000131</v>
      </c>
      <c r="AN9" s="74">
        <f t="shared" si="22"/>
        <v>-8.3462729999999681</v>
      </c>
      <c r="AO9" s="74">
        <f t="shared" si="23"/>
        <v>-3.0320129999998642</v>
      </c>
      <c r="AP9" s="75">
        <f t="shared" si="24"/>
        <v>-3.4640162994766195E-2</v>
      </c>
      <c r="AQ9" s="76">
        <f t="shared" si="9"/>
        <v>-4654.1260496499453</v>
      </c>
      <c r="AR9" s="90">
        <f t="shared" si="10"/>
        <v>1.606499999999869</v>
      </c>
    </row>
    <row r="10" spans="1:44" x14ac:dyDescent="0.25">
      <c r="A10" t="str">
        <f t="shared" si="11"/>
        <v>46177M</v>
      </c>
      <c r="B10" s="51">
        <f t="shared" si="27"/>
        <v>46177</v>
      </c>
      <c r="C10" s="52" t="s">
        <v>87</v>
      </c>
      <c r="D10" s="91">
        <v>1790</v>
      </c>
      <c r="E10" s="62">
        <v>3.5</v>
      </c>
      <c r="F10" s="62">
        <v>8</v>
      </c>
      <c r="G10" s="62">
        <f t="shared" si="0"/>
        <v>62.650000000000006</v>
      </c>
      <c r="H10" s="63">
        <f t="shared" si="1"/>
        <v>143.20000000000002</v>
      </c>
      <c r="I10" s="119">
        <v>1707.8000000000002</v>
      </c>
      <c r="J10" s="120">
        <v>1759.0340000000003</v>
      </c>
      <c r="K10" s="121">
        <v>3.9793769762267241</v>
      </c>
      <c r="L10" s="122">
        <v>8.2277989225904662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2"/>
        <v>1759.0340000000003</v>
      </c>
      <c r="S10" s="62">
        <f t="shared" si="13"/>
        <v>69.998594000000011</v>
      </c>
      <c r="T10" s="63">
        <f t="shared" si="14"/>
        <v>144.7297805</v>
      </c>
      <c r="U10" s="64" t="s">
        <v>167</v>
      </c>
      <c r="V10" s="65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v>7.94</v>
      </c>
      <c r="AB10" s="63">
        <f t="shared" si="16"/>
        <v>0</v>
      </c>
      <c r="AC10" s="69"/>
      <c r="AD10" s="70"/>
      <c r="AE10" s="70"/>
      <c r="AF10" s="62">
        <f t="shared" si="25"/>
        <v>0</v>
      </c>
      <c r="AG10" s="63">
        <f t="shared" si="26"/>
        <v>0</v>
      </c>
      <c r="AH10" s="89">
        <v>3547</v>
      </c>
      <c r="AI10" s="66">
        <v>3.73</v>
      </c>
      <c r="AJ10" s="66">
        <v>8.11</v>
      </c>
      <c r="AK10" s="62">
        <f t="shared" si="19"/>
        <v>132.3031</v>
      </c>
      <c r="AL10" s="72">
        <f t="shared" si="20"/>
        <v>287.6617</v>
      </c>
      <c r="AM10" s="73">
        <f t="shared" si="21"/>
        <v>2.0340000000005602</v>
      </c>
      <c r="AN10" s="74">
        <f t="shared" si="22"/>
        <v>0.34549400000000219</v>
      </c>
      <c r="AO10" s="74">
        <f t="shared" si="23"/>
        <v>0.26808049999999639</v>
      </c>
      <c r="AP10" s="75">
        <f t="shared" si="24"/>
        <v>2.8574449065183905E-3</v>
      </c>
      <c r="AQ10" s="76">
        <f t="shared" si="9"/>
        <v>235.32505637666657</v>
      </c>
      <c r="AR10" s="90">
        <f t="shared" si="10"/>
        <v>2.0340000000005602</v>
      </c>
    </row>
    <row r="11" spans="1:44" x14ac:dyDescent="0.25">
      <c r="A11" t="str">
        <f t="shared" si="11"/>
        <v>46177E</v>
      </c>
      <c r="B11" s="51">
        <f t="shared" si="27"/>
        <v>46177</v>
      </c>
      <c r="C11" s="52" t="s">
        <v>88</v>
      </c>
      <c r="D11" s="91">
        <v>3547</v>
      </c>
      <c r="E11" s="62">
        <v>3.73</v>
      </c>
      <c r="F11" s="62">
        <v>8.11</v>
      </c>
      <c r="G11" s="62">
        <f t="shared" si="0"/>
        <v>132.3031</v>
      </c>
      <c r="H11" s="63">
        <f t="shared" si="1"/>
        <v>287.6617</v>
      </c>
      <c r="I11" s="119">
        <v>2604.6499999999992</v>
      </c>
      <c r="J11" s="120">
        <v>2682.7894999999994</v>
      </c>
      <c r="K11" s="121">
        <v>3.644186359011766</v>
      </c>
      <c r="L11" s="122">
        <v>8.1856314667997623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2"/>
        <v>2682.7894999999994</v>
      </c>
      <c r="S11" s="62">
        <f t="shared" si="13"/>
        <v>97.765848999999946</v>
      </c>
      <c r="T11" s="63">
        <f t="shared" si="14"/>
        <v>219.60326149999997</v>
      </c>
      <c r="U11" s="64" t="s">
        <v>167</v>
      </c>
      <c r="V11" s="65" t="s">
        <v>167</v>
      </c>
      <c r="W11" s="66">
        <v>0</v>
      </c>
      <c r="X11" s="67">
        <v>0</v>
      </c>
      <c r="Y11" s="68">
        <v>0</v>
      </c>
      <c r="Z11" s="68">
        <v>0</v>
      </c>
      <c r="AA11" s="62">
        <v>0</v>
      </c>
      <c r="AB11" s="63">
        <f t="shared" si="16"/>
        <v>0</v>
      </c>
      <c r="AC11" s="69"/>
      <c r="AD11" s="70"/>
      <c r="AE11" s="70"/>
      <c r="AF11" s="62">
        <f t="shared" si="25"/>
        <v>0</v>
      </c>
      <c r="AG11" s="63">
        <f t="shared" si="26"/>
        <v>0</v>
      </c>
      <c r="AH11" s="89">
        <v>5980</v>
      </c>
      <c r="AI11" s="66">
        <v>3.7</v>
      </c>
      <c r="AJ11" s="66">
        <v>8.1</v>
      </c>
      <c r="AK11" s="62">
        <f t="shared" si="19"/>
        <v>221.26000000000002</v>
      </c>
      <c r="AL11" s="72">
        <f t="shared" si="20"/>
        <v>484.38</v>
      </c>
      <c r="AM11" s="73">
        <f t="shared" si="21"/>
        <v>249.78949999999895</v>
      </c>
      <c r="AN11" s="74">
        <f t="shared" si="22"/>
        <v>8.8089489999999273</v>
      </c>
      <c r="AO11" s="74">
        <f t="shared" si="23"/>
        <v>22.884961499999974</v>
      </c>
      <c r="AP11" s="75">
        <f t="shared" si="24"/>
        <v>9.9864509340772498E-2</v>
      </c>
      <c r="AQ11" s="76">
        <f t="shared" si="9"/>
        <v>10803.284006899961</v>
      </c>
      <c r="AR11" s="90">
        <f t="shared" si="10"/>
        <v>249.78949999999895</v>
      </c>
    </row>
    <row r="12" spans="1:44" x14ac:dyDescent="0.25">
      <c r="A12" t="str">
        <f t="shared" si="11"/>
        <v>46178M</v>
      </c>
      <c r="B12" s="51">
        <f t="shared" si="27"/>
        <v>46178</v>
      </c>
      <c r="C12" s="52" t="s">
        <v>87</v>
      </c>
      <c r="D12" s="91">
        <v>5980</v>
      </c>
      <c r="E12" s="62">
        <v>3.7</v>
      </c>
      <c r="F12" s="62">
        <v>8.1</v>
      </c>
      <c r="G12" s="62">
        <f t="shared" si="0"/>
        <v>221.26000000000002</v>
      </c>
      <c r="H12" s="63">
        <f t="shared" si="1"/>
        <v>484.38</v>
      </c>
      <c r="I12" s="119">
        <v>1573.3</v>
      </c>
      <c r="J12" s="120">
        <v>1620.499</v>
      </c>
      <c r="K12" s="121">
        <v>3.98</v>
      </c>
      <c r="L12" s="122">
        <v>8.17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2"/>
        <v>1620.499</v>
      </c>
      <c r="S12" s="62">
        <f t="shared" si="13"/>
        <v>64.49586020000001</v>
      </c>
      <c r="T12" s="63">
        <f t="shared" si="14"/>
        <v>132.39476829999998</v>
      </c>
      <c r="U12" s="64" t="s">
        <v>169</v>
      </c>
      <c r="V12" s="65" t="s">
        <v>474</v>
      </c>
      <c r="W12" s="66" t="s">
        <v>191</v>
      </c>
      <c r="X12" s="67">
        <v>5920</v>
      </c>
      <c r="Y12" s="68">
        <v>3.7</v>
      </c>
      <c r="Z12" s="68">
        <v>8.27</v>
      </c>
      <c r="AA12" s="62">
        <v>8.16</v>
      </c>
      <c r="AB12" s="63">
        <f t="shared" si="16"/>
        <v>489.58399999999995</v>
      </c>
      <c r="AC12" s="228">
        <v>5920</v>
      </c>
      <c r="AD12" s="229">
        <v>3.7</v>
      </c>
      <c r="AE12" s="229">
        <v>8.27</v>
      </c>
      <c r="AF12" s="62">
        <f t="shared" si="25"/>
        <v>219.04000000000002</v>
      </c>
      <c r="AG12" s="63">
        <f t="shared" si="26"/>
        <v>489.58399999999995</v>
      </c>
      <c r="AH12" s="89">
        <v>1680</v>
      </c>
      <c r="AI12" s="66">
        <v>3.7</v>
      </c>
      <c r="AJ12" s="66">
        <v>8.11</v>
      </c>
      <c r="AK12" s="62">
        <f t="shared" si="19"/>
        <v>62.160000000000011</v>
      </c>
      <c r="AL12" s="72">
        <f t="shared" si="20"/>
        <v>136.24799999999999</v>
      </c>
      <c r="AM12" s="73">
        <f t="shared" si="21"/>
        <v>0.49899999999979627</v>
      </c>
      <c r="AN12" s="74">
        <f t="shared" si="22"/>
        <v>4.5558601999999979</v>
      </c>
      <c r="AO12" s="74">
        <f t="shared" si="23"/>
        <v>-9.0572316999999316</v>
      </c>
      <c r="AP12" s="75">
        <f t="shared" si="24"/>
        <v>-2.2862294332103947E-2</v>
      </c>
      <c r="AQ12" s="76">
        <f t="shared" si="9"/>
        <v>-665.41671924931416</v>
      </c>
      <c r="AR12" s="90">
        <f t="shared" si="10"/>
        <v>0.49899999999979627</v>
      </c>
    </row>
    <row r="13" spans="1:44" x14ac:dyDescent="0.25">
      <c r="A13" t="str">
        <f t="shared" si="11"/>
        <v>46178E</v>
      </c>
      <c r="B13" s="51">
        <f t="shared" si="27"/>
        <v>46178</v>
      </c>
      <c r="C13" s="52" t="s">
        <v>88</v>
      </c>
      <c r="D13" s="91">
        <v>1680</v>
      </c>
      <c r="E13" s="62">
        <v>3.7</v>
      </c>
      <c r="F13" s="62">
        <v>8.11</v>
      </c>
      <c r="G13" s="62">
        <f t="shared" si="0"/>
        <v>62.160000000000011</v>
      </c>
      <c r="H13" s="63">
        <f t="shared" si="1"/>
        <v>136.24799999999999</v>
      </c>
      <c r="I13" s="119">
        <v>2384</v>
      </c>
      <c r="J13" s="120">
        <v>2455.52</v>
      </c>
      <c r="K13" s="121">
        <v>3.72</v>
      </c>
      <c r="L13" s="122">
        <v>8.39</v>
      </c>
      <c r="M13" s="58" t="s">
        <v>319</v>
      </c>
      <c r="N13" s="58" t="s">
        <v>473</v>
      </c>
      <c r="O13" s="59">
        <v>5920</v>
      </c>
      <c r="P13" s="56">
        <v>3.7</v>
      </c>
      <c r="Q13" s="60">
        <v>8.27</v>
      </c>
      <c r="R13" s="61">
        <f t="shared" si="12"/>
        <v>8375.52</v>
      </c>
      <c r="S13" s="62">
        <f t="shared" si="13"/>
        <v>310.38534400000003</v>
      </c>
      <c r="T13" s="63">
        <f t="shared" si="14"/>
        <v>695.60212799999999</v>
      </c>
      <c r="U13" s="64" t="s">
        <v>167</v>
      </c>
      <c r="V13" s="65" t="s">
        <v>167</v>
      </c>
      <c r="W13" s="66">
        <v>0</v>
      </c>
      <c r="X13" s="67">
        <v>0</v>
      </c>
      <c r="Y13" s="68">
        <v>0</v>
      </c>
      <c r="Z13" s="68">
        <v>0</v>
      </c>
      <c r="AA13" s="62">
        <v>8.26</v>
      </c>
      <c r="AB13" s="63">
        <f t="shared" si="16"/>
        <v>0</v>
      </c>
      <c r="AC13" s="69"/>
      <c r="AD13" s="70"/>
      <c r="AE13" s="70"/>
      <c r="AF13" s="62">
        <f t="shared" si="25"/>
        <v>0</v>
      </c>
      <c r="AG13" s="63">
        <f t="shared" si="26"/>
        <v>0</v>
      </c>
      <c r="AH13" s="89">
        <v>10055</v>
      </c>
      <c r="AI13" s="66">
        <v>3.71</v>
      </c>
      <c r="AJ13" s="66">
        <v>8.27</v>
      </c>
      <c r="AK13" s="62">
        <f t="shared" si="19"/>
        <v>373.04050000000001</v>
      </c>
      <c r="AL13" s="72">
        <f t="shared" si="20"/>
        <v>831.54849999999999</v>
      </c>
      <c r="AM13" s="73">
        <f t="shared" si="21"/>
        <v>0.52000000000043656</v>
      </c>
      <c r="AN13" s="74">
        <f t="shared" si="22"/>
        <v>-0.49515599999995175</v>
      </c>
      <c r="AO13" s="74">
        <f t="shared" si="23"/>
        <v>0.30162800000005063</v>
      </c>
      <c r="AP13" s="75">
        <f t="shared" si="24"/>
        <v>-1.9237615316933202E-4</v>
      </c>
      <c r="AQ13" s="76">
        <f t="shared" si="9"/>
        <v>-132.01126297329654</v>
      </c>
      <c r="AR13" s="90">
        <f t="shared" si="10"/>
        <v>0.52000000000043656</v>
      </c>
    </row>
    <row r="14" spans="1:44" x14ac:dyDescent="0.25">
      <c r="A14" t="str">
        <f t="shared" si="11"/>
        <v>46179M</v>
      </c>
      <c r="B14" s="51">
        <f t="shared" si="27"/>
        <v>46179</v>
      </c>
      <c r="C14" s="52" t="s">
        <v>87</v>
      </c>
      <c r="D14" s="91">
        <v>10055</v>
      </c>
      <c r="E14" s="62">
        <v>3.71</v>
      </c>
      <c r="F14" s="62">
        <v>8.27</v>
      </c>
      <c r="G14" s="62">
        <f t="shared" si="0"/>
        <v>373.04050000000001</v>
      </c>
      <c r="H14" s="63">
        <f t="shared" si="1"/>
        <v>831.54849999999999</v>
      </c>
      <c r="I14" s="119">
        <v>1372.8</v>
      </c>
      <c r="J14" s="120">
        <v>1413.9839999999999</v>
      </c>
      <c r="K14" s="121">
        <v>3.96</v>
      </c>
      <c r="L14" s="122">
        <v>8.0500000000000007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2"/>
        <v>1413.9839999999999</v>
      </c>
      <c r="S14" s="62">
        <f t="shared" si="13"/>
        <v>55.993766399999991</v>
      </c>
      <c r="T14" s="63">
        <f t="shared" si="14"/>
        <v>113.825712</v>
      </c>
      <c r="U14" s="64" t="s">
        <v>169</v>
      </c>
      <c r="V14" s="65" t="s">
        <v>475</v>
      </c>
      <c r="W14" s="66" t="s">
        <v>189</v>
      </c>
      <c r="X14" s="67">
        <v>5920</v>
      </c>
      <c r="Y14" s="68">
        <v>3.75</v>
      </c>
      <c r="Z14" s="68">
        <v>8.2799999999999994</v>
      </c>
      <c r="AA14" s="62">
        <v>0</v>
      </c>
      <c r="AB14" s="63">
        <f t="shared" si="16"/>
        <v>490.17599999999999</v>
      </c>
      <c r="AC14" s="69">
        <v>5910</v>
      </c>
      <c r="AD14" s="70">
        <v>3.7000000000000006</v>
      </c>
      <c r="AE14" s="70">
        <v>8.2100000000000009</v>
      </c>
      <c r="AF14" s="62">
        <f t="shared" si="25"/>
        <v>218.67000000000004</v>
      </c>
      <c r="AG14" s="63">
        <f t="shared" si="26"/>
        <v>485.21100000000001</v>
      </c>
      <c r="AH14" s="89">
        <v>5548</v>
      </c>
      <c r="AI14" s="66">
        <v>3.74</v>
      </c>
      <c r="AJ14" s="66">
        <v>8.2799999999999994</v>
      </c>
      <c r="AK14" s="62">
        <f t="shared" si="19"/>
        <v>207.49520000000001</v>
      </c>
      <c r="AL14" s="72">
        <f t="shared" si="20"/>
        <v>459.37439999999998</v>
      </c>
      <c r="AM14" s="73">
        <f t="shared" si="21"/>
        <v>10.984000000000378</v>
      </c>
      <c r="AN14" s="74">
        <f t="shared" si="22"/>
        <v>2.8690663999999231</v>
      </c>
      <c r="AO14" s="74">
        <f t="shared" si="23"/>
        <v>0.78881199999995033</v>
      </c>
      <c r="AP14" s="75">
        <f t="shared" si="24"/>
        <v>2.1539804705935747E-2</v>
      </c>
      <c r="AQ14" s="76">
        <f t="shared" si="9"/>
        <v>1524.0229942372841</v>
      </c>
      <c r="AR14" s="90">
        <f t="shared" si="10"/>
        <v>0.98400000000037835</v>
      </c>
    </row>
    <row r="15" spans="1:44" x14ac:dyDescent="0.25">
      <c r="A15" t="str">
        <f t="shared" si="11"/>
        <v>46179E</v>
      </c>
      <c r="B15" s="51">
        <f t="shared" si="27"/>
        <v>46179</v>
      </c>
      <c r="C15" s="52" t="s">
        <v>88</v>
      </c>
      <c r="D15" s="91">
        <v>5548</v>
      </c>
      <c r="E15" s="62">
        <v>3.74</v>
      </c>
      <c r="F15" s="62">
        <v>8.2799999999999994</v>
      </c>
      <c r="G15" s="62">
        <f t="shared" si="0"/>
        <v>207.49520000000001</v>
      </c>
      <c r="H15" s="63">
        <f t="shared" si="1"/>
        <v>459.37439999999998</v>
      </c>
      <c r="I15" s="119">
        <v>2519.6999999999998</v>
      </c>
      <c r="J15" s="120">
        <v>2595.2909999999997</v>
      </c>
      <c r="K15" s="121">
        <v>3.79</v>
      </c>
      <c r="L15" s="122">
        <v>8.1300000000000008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2"/>
        <v>2595.2909999999997</v>
      </c>
      <c r="S15" s="62">
        <f t="shared" si="13"/>
        <v>98.361528899999996</v>
      </c>
      <c r="T15" s="63">
        <f t="shared" si="14"/>
        <v>210.9971583</v>
      </c>
      <c r="U15" s="64" t="s">
        <v>167</v>
      </c>
      <c r="V15" s="65" t="s">
        <v>167</v>
      </c>
      <c r="W15" s="66">
        <v>0</v>
      </c>
      <c r="X15" s="67">
        <v>0</v>
      </c>
      <c r="Y15" s="68">
        <v>0</v>
      </c>
      <c r="Z15" s="68">
        <v>0</v>
      </c>
      <c r="AA15" s="62">
        <v>0</v>
      </c>
      <c r="AB15" s="63">
        <f t="shared" si="16"/>
        <v>0</v>
      </c>
      <c r="AC15" s="69"/>
      <c r="AD15" s="70"/>
      <c r="AE15" s="70"/>
      <c r="AF15" s="62">
        <f t="shared" si="25"/>
        <v>0</v>
      </c>
      <c r="AG15" s="63">
        <f t="shared" si="26"/>
        <v>0</v>
      </c>
      <c r="AH15" s="89">
        <v>8143</v>
      </c>
      <c r="AI15" s="66">
        <v>3.75</v>
      </c>
      <c r="AJ15" s="66">
        <v>8.23</v>
      </c>
      <c r="AK15" s="62">
        <f t="shared" si="19"/>
        <v>305.36250000000001</v>
      </c>
      <c r="AL15" s="72">
        <f t="shared" si="20"/>
        <v>670.16890000000001</v>
      </c>
      <c r="AM15" s="73">
        <f t="shared" si="21"/>
        <v>0.29099999999925785</v>
      </c>
      <c r="AN15" s="74">
        <f t="shared" si="22"/>
        <v>0.49422889999999597</v>
      </c>
      <c r="AO15" s="74">
        <f t="shared" si="23"/>
        <v>0.20265829999993912</v>
      </c>
      <c r="AP15" s="75">
        <f t="shared" si="24"/>
        <v>2.2526834669084257E-3</v>
      </c>
      <c r="AQ15" s="76">
        <f t="shared" si="9"/>
        <v>282.51452046764666</v>
      </c>
      <c r="AR15" s="90">
        <f t="shared" si="10"/>
        <v>0.29099999999925785</v>
      </c>
    </row>
    <row r="16" spans="1:44" x14ac:dyDescent="0.25">
      <c r="A16" t="str">
        <f t="shared" si="11"/>
        <v>46180M</v>
      </c>
      <c r="B16" s="51">
        <f t="shared" si="27"/>
        <v>46180</v>
      </c>
      <c r="C16" s="52" t="s">
        <v>87</v>
      </c>
      <c r="D16" s="91">
        <v>8143</v>
      </c>
      <c r="E16" s="62">
        <v>3.75</v>
      </c>
      <c r="F16" s="62">
        <v>8.23</v>
      </c>
      <c r="G16" s="62">
        <f t="shared" ref="G16:G43" si="28">+D16*E16%</f>
        <v>305.36250000000001</v>
      </c>
      <c r="H16" s="63">
        <f t="shared" ref="H16:H43" si="29">+D16*F16%</f>
        <v>670.16890000000001</v>
      </c>
      <c r="I16" s="119">
        <v>1552.5</v>
      </c>
      <c r="J16" s="120">
        <v>1599.075</v>
      </c>
      <c r="K16" s="121">
        <v>3.92</v>
      </c>
      <c r="L16" s="122">
        <v>8.09</v>
      </c>
      <c r="M16" s="58">
        <v>0</v>
      </c>
      <c r="N16" s="58">
        <v>0</v>
      </c>
      <c r="O16" s="59">
        <v>0</v>
      </c>
      <c r="P16" s="56">
        <v>0</v>
      </c>
      <c r="Q16" s="60">
        <v>0</v>
      </c>
      <c r="R16" s="61">
        <f t="shared" si="12"/>
        <v>1599.075</v>
      </c>
      <c r="S16" s="62">
        <f t="shared" si="13"/>
        <v>62.68374</v>
      </c>
      <c r="T16" s="63">
        <f t="shared" si="14"/>
        <v>129.36516750000001</v>
      </c>
      <c r="U16" s="64" t="s">
        <v>175</v>
      </c>
      <c r="V16" s="65" t="s">
        <v>476</v>
      </c>
      <c r="W16" s="66" t="s">
        <v>189</v>
      </c>
      <c r="X16" s="67">
        <v>7160</v>
      </c>
      <c r="Y16" s="68">
        <v>3.85</v>
      </c>
      <c r="Z16" s="68">
        <v>8.3000000000000007</v>
      </c>
      <c r="AA16" s="62">
        <v>8.3800000000000008</v>
      </c>
      <c r="AB16" s="63">
        <f t="shared" si="16"/>
        <v>594.28000000000009</v>
      </c>
      <c r="AC16" s="69">
        <v>7160</v>
      </c>
      <c r="AD16" s="70">
        <v>3.8499999999999996</v>
      </c>
      <c r="AE16" s="70">
        <v>8.18</v>
      </c>
      <c r="AF16" s="62">
        <f t="shared" si="25"/>
        <v>275.65999999999997</v>
      </c>
      <c r="AG16" s="63">
        <f t="shared" si="26"/>
        <v>585.68799999999999</v>
      </c>
      <c r="AH16" s="89">
        <v>2542</v>
      </c>
      <c r="AI16" s="66">
        <v>3.8</v>
      </c>
      <c r="AJ16" s="66">
        <v>8.1999999999999993</v>
      </c>
      <c r="AK16" s="62">
        <f t="shared" si="19"/>
        <v>96.596000000000004</v>
      </c>
      <c r="AL16" s="72">
        <f t="shared" si="20"/>
        <v>208.44399999999996</v>
      </c>
      <c r="AM16" s="73">
        <f t="shared" si="21"/>
        <v>40.075000000000728</v>
      </c>
      <c r="AN16" s="74">
        <f t="shared" si="22"/>
        <v>-4.2097599999999602</v>
      </c>
      <c r="AO16" s="74">
        <f t="shared" si="23"/>
        <v>5.4020675000000438</v>
      </c>
      <c r="AP16" s="75">
        <f t="shared" si="24"/>
        <v>6.2083534632972771E-3</v>
      </c>
      <c r="AQ16" s="76">
        <f t="shared" si="9"/>
        <v>-273.10861398330235</v>
      </c>
      <c r="AR16" s="90">
        <f t="shared" si="10"/>
        <v>40.075000000000728</v>
      </c>
    </row>
    <row r="17" spans="1:49" x14ac:dyDescent="0.25">
      <c r="A17" t="str">
        <f t="shared" si="11"/>
        <v>46180E</v>
      </c>
      <c r="B17" s="51">
        <f t="shared" si="27"/>
        <v>46180</v>
      </c>
      <c r="C17" s="52" t="s">
        <v>88</v>
      </c>
      <c r="D17" s="91">
        <v>2542</v>
      </c>
      <c r="E17" s="62">
        <v>3.8</v>
      </c>
      <c r="F17" s="62">
        <v>8.1999999999999993</v>
      </c>
      <c r="G17" s="62">
        <f>+D17*E17%</f>
        <v>96.596000000000004</v>
      </c>
      <c r="H17" s="63">
        <f>+D17*F17%</f>
        <v>208.44399999999996</v>
      </c>
      <c r="I17" s="119">
        <v>2416.4</v>
      </c>
      <c r="J17" s="120">
        <v>2488.8920000000003</v>
      </c>
      <c r="K17" s="121">
        <v>3.46</v>
      </c>
      <c r="L17" s="122">
        <v>7.88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2"/>
        <v>2488.8920000000003</v>
      </c>
      <c r="S17" s="62">
        <f t="shared" si="13"/>
        <v>86.1156632</v>
      </c>
      <c r="T17" s="63">
        <f t="shared" si="14"/>
        <v>196.12468960000001</v>
      </c>
      <c r="U17" s="64" t="s">
        <v>169</v>
      </c>
      <c r="V17" s="65" t="s">
        <v>477</v>
      </c>
      <c r="W17" s="66" t="s">
        <v>191</v>
      </c>
      <c r="X17" s="67">
        <v>5690</v>
      </c>
      <c r="Y17" s="68">
        <v>3.9</v>
      </c>
      <c r="Z17" s="68">
        <v>8.32</v>
      </c>
      <c r="AA17" s="62">
        <v>0</v>
      </c>
      <c r="AB17" s="63">
        <f t="shared" si="16"/>
        <v>473.40799999999996</v>
      </c>
      <c r="AC17" s="69">
        <v>5680</v>
      </c>
      <c r="AD17" s="70">
        <v>3.8500000000000005</v>
      </c>
      <c r="AE17" s="70">
        <v>8.3000000000000007</v>
      </c>
      <c r="AF17" s="62">
        <f t="shared" si="25"/>
        <v>218.68000000000004</v>
      </c>
      <c r="AG17" s="63">
        <f t="shared" si="26"/>
        <v>471.44</v>
      </c>
      <c r="AH17" s="89">
        <v>0</v>
      </c>
      <c r="AI17" s="66">
        <v>0</v>
      </c>
      <c r="AJ17" s="66">
        <v>0</v>
      </c>
      <c r="AK17" s="62">
        <f t="shared" si="19"/>
        <v>0</v>
      </c>
      <c r="AL17" s="72">
        <f t="shared" si="20"/>
        <v>0</v>
      </c>
      <c r="AM17" s="73">
        <f t="shared" si="21"/>
        <v>-649.10800000000017</v>
      </c>
      <c r="AN17" s="74">
        <f t="shared" si="22"/>
        <v>-35.968336800000031</v>
      </c>
      <c r="AO17" s="74">
        <f t="shared" si="23"/>
        <v>-66.871310400000027</v>
      </c>
      <c r="AP17" s="75">
        <f t="shared" si="24"/>
        <v>-0.36436904283801641</v>
      </c>
      <c r="AQ17" s="76">
        <f t="shared" si="9"/>
        <v>-36159.346040664022</v>
      </c>
      <c r="AR17" s="90">
        <f t="shared" si="10"/>
        <v>-659.10800000000017</v>
      </c>
      <c r="AS17" s="90">
        <f>SUM(J4:J17)</f>
        <v>33760.361500000006</v>
      </c>
      <c r="AT17" s="83">
        <f>SUM(AM4:AM17)</f>
        <v>-399.63849999999911</v>
      </c>
      <c r="AU17" s="83">
        <f>SUM(AN4:AN17)</f>
        <v>-32.720552799999936</v>
      </c>
      <c r="AV17" s="83">
        <f>SUM(AO4:AO17)</f>
        <v>-70.611378799999869</v>
      </c>
      <c r="AW17" s="83">
        <f>-SUM(AQ4:AQ17)</f>
        <v>35820.6860621866</v>
      </c>
    </row>
    <row r="18" spans="1:49" x14ac:dyDescent="0.25">
      <c r="A18" t="str">
        <f t="shared" si="11"/>
        <v>46181M</v>
      </c>
      <c r="B18" s="51">
        <f t="shared" si="27"/>
        <v>46181</v>
      </c>
      <c r="C18" s="52" t="s">
        <v>87</v>
      </c>
      <c r="D18" s="91">
        <v>0</v>
      </c>
      <c r="E18" s="62">
        <v>0</v>
      </c>
      <c r="F18" s="62">
        <v>0</v>
      </c>
      <c r="G18" s="62">
        <f t="shared" si="28"/>
        <v>0</v>
      </c>
      <c r="H18" s="63">
        <f t="shared" si="29"/>
        <v>0</v>
      </c>
      <c r="I18" s="119">
        <v>1495.9</v>
      </c>
      <c r="J18" s="120">
        <v>1540.777</v>
      </c>
      <c r="K18" s="121">
        <v>3.71</v>
      </c>
      <c r="L18" s="122">
        <v>7.88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2"/>
        <v>1540.777</v>
      </c>
      <c r="S18" s="62">
        <f t="shared" si="13"/>
        <v>57.162826700000004</v>
      </c>
      <c r="T18" s="63">
        <f t="shared" si="14"/>
        <v>121.4132276</v>
      </c>
      <c r="U18" s="64" t="s">
        <v>167</v>
      </c>
      <c r="V18" s="65" t="s">
        <v>167</v>
      </c>
      <c r="W18" s="66">
        <v>0</v>
      </c>
      <c r="X18" s="67">
        <v>0</v>
      </c>
      <c r="Y18" s="68">
        <v>0</v>
      </c>
      <c r="Z18" s="68">
        <v>0</v>
      </c>
      <c r="AA18" s="62">
        <v>8.3000000000000007</v>
      </c>
      <c r="AB18" s="63">
        <f t="shared" si="16"/>
        <v>0</v>
      </c>
      <c r="AC18" s="69"/>
      <c r="AD18" s="70"/>
      <c r="AE18" s="70"/>
      <c r="AF18" s="62">
        <f t="shared" si="25"/>
        <v>0</v>
      </c>
      <c r="AG18" s="63">
        <f t="shared" si="26"/>
        <v>0</v>
      </c>
      <c r="AH18" s="89">
        <v>1540.7</v>
      </c>
      <c r="AI18" s="66">
        <v>3.71</v>
      </c>
      <c r="AJ18" s="66">
        <v>7.88</v>
      </c>
      <c r="AK18" s="62">
        <f t="shared" si="19"/>
        <v>57.159970000000001</v>
      </c>
      <c r="AL18" s="72">
        <f t="shared" si="20"/>
        <v>121.40715999999999</v>
      </c>
      <c r="AM18" s="73">
        <f t="shared" si="21"/>
        <v>7.6999999999998181E-2</v>
      </c>
      <c r="AN18" s="74">
        <f t="shared" si="22"/>
        <v>2.8567000000023768E-3</v>
      </c>
      <c r="AO18" s="74">
        <f t="shared" si="23"/>
        <v>6.0676000000086106E-3</v>
      </c>
      <c r="AP18" s="75">
        <f t="shared" si="24"/>
        <v>4.9974785449221268E-5</v>
      </c>
      <c r="AQ18" s="76">
        <f t="shared" si="9"/>
        <v>3.0982720743369776</v>
      </c>
      <c r="AR18" s="90">
        <f t="shared" si="10"/>
        <v>7.6999999999998181E-2</v>
      </c>
    </row>
    <row r="19" spans="1:49" x14ac:dyDescent="0.25">
      <c r="A19" t="str">
        <f t="shared" si="11"/>
        <v>46181E</v>
      </c>
      <c r="B19" s="51">
        <f t="shared" si="27"/>
        <v>46181</v>
      </c>
      <c r="C19" s="52" t="s">
        <v>88</v>
      </c>
      <c r="D19" s="91">
        <v>1540.7</v>
      </c>
      <c r="E19" s="62">
        <v>3.71</v>
      </c>
      <c r="F19" s="62">
        <v>7.88</v>
      </c>
      <c r="G19" s="62">
        <f t="shared" si="28"/>
        <v>57.159970000000001</v>
      </c>
      <c r="H19" s="63">
        <f t="shared" si="29"/>
        <v>121.40715999999999</v>
      </c>
      <c r="I19" s="119">
        <v>2874.9</v>
      </c>
      <c r="J19" s="120">
        <v>2961.1470000000004</v>
      </c>
      <c r="K19" s="121">
        <v>3.86</v>
      </c>
      <c r="L19" s="122">
        <v>7.97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2"/>
        <v>2961.1470000000004</v>
      </c>
      <c r="S19" s="62">
        <f t="shared" si="13"/>
        <v>114.3002742</v>
      </c>
      <c r="T19" s="63">
        <f t="shared" si="14"/>
        <v>236.00341590000002</v>
      </c>
      <c r="U19" s="64" t="s">
        <v>167</v>
      </c>
      <c r="V19" s="65" t="s">
        <v>167</v>
      </c>
      <c r="W19" s="66">
        <v>0</v>
      </c>
      <c r="X19" s="67">
        <v>0</v>
      </c>
      <c r="Y19" s="68">
        <v>0</v>
      </c>
      <c r="Z19" s="68">
        <v>0</v>
      </c>
      <c r="AA19" s="62">
        <v>0</v>
      </c>
      <c r="AB19" s="63">
        <f t="shared" si="16"/>
        <v>0</v>
      </c>
      <c r="AC19" s="69"/>
      <c r="AD19" s="70"/>
      <c r="AE19" s="70"/>
      <c r="AF19" s="62">
        <f t="shared" si="25"/>
        <v>0</v>
      </c>
      <c r="AG19" s="63">
        <f t="shared" si="26"/>
        <v>0</v>
      </c>
      <c r="AH19" s="89">
        <v>4501</v>
      </c>
      <c r="AI19" s="66">
        <v>3.8</v>
      </c>
      <c r="AJ19" s="66">
        <v>7.94</v>
      </c>
      <c r="AK19" s="62">
        <f t="shared" si="19"/>
        <v>171.03799999999998</v>
      </c>
      <c r="AL19" s="72">
        <f t="shared" si="20"/>
        <v>357.37939999999998</v>
      </c>
      <c r="AM19" s="73">
        <f t="shared" si="21"/>
        <v>0.84700000000066211</v>
      </c>
      <c r="AN19" s="74">
        <f t="shared" si="22"/>
        <v>0.42224420000002283</v>
      </c>
      <c r="AO19" s="74">
        <f t="shared" si="23"/>
        <v>3.117590000005066E-2</v>
      </c>
      <c r="AP19" s="75">
        <f t="shared" si="24"/>
        <v>1.2943628994334521E-3</v>
      </c>
      <c r="AQ19" s="76">
        <f t="shared" si="9"/>
        <v>198.8797593346921</v>
      </c>
      <c r="AR19" s="90">
        <f t="shared" si="10"/>
        <v>0.84700000000066211</v>
      </c>
    </row>
    <row r="20" spans="1:49" x14ac:dyDescent="0.25">
      <c r="A20" t="str">
        <f t="shared" si="11"/>
        <v>46182M</v>
      </c>
      <c r="B20" s="51">
        <f t="shared" si="27"/>
        <v>46182</v>
      </c>
      <c r="C20" s="52" t="s">
        <v>87</v>
      </c>
      <c r="D20" s="91">
        <v>4501</v>
      </c>
      <c r="E20" s="62">
        <v>3.8</v>
      </c>
      <c r="F20" s="62">
        <v>7.94</v>
      </c>
      <c r="G20" s="62">
        <f t="shared" si="28"/>
        <v>171.03799999999998</v>
      </c>
      <c r="H20" s="63">
        <f t="shared" si="29"/>
        <v>357.37939999999998</v>
      </c>
      <c r="I20" s="119">
        <v>1387.5</v>
      </c>
      <c r="J20" s="120">
        <v>1429.125</v>
      </c>
      <c r="K20" s="121">
        <v>4.09</v>
      </c>
      <c r="L20" s="122">
        <v>7.94</v>
      </c>
      <c r="M20" s="58">
        <v>0</v>
      </c>
      <c r="N20" s="58">
        <v>0</v>
      </c>
      <c r="O20" s="59">
        <v>0</v>
      </c>
      <c r="P20" s="56">
        <v>0</v>
      </c>
      <c r="Q20" s="60">
        <v>0</v>
      </c>
      <c r="R20" s="61">
        <f t="shared" si="12"/>
        <v>1429.125</v>
      </c>
      <c r="S20" s="62">
        <f t="shared" si="13"/>
        <v>58.451212499999997</v>
      </c>
      <c r="T20" s="63">
        <f t="shared" si="14"/>
        <v>113.472525</v>
      </c>
      <c r="U20" s="64" t="s">
        <v>169</v>
      </c>
      <c r="V20" s="65" t="s">
        <v>478</v>
      </c>
      <c r="W20" s="66" t="s">
        <v>191</v>
      </c>
      <c r="X20" s="67">
        <v>5390</v>
      </c>
      <c r="Y20" s="68">
        <v>4</v>
      </c>
      <c r="Z20" s="68">
        <v>8.2100000000000009</v>
      </c>
      <c r="AA20" s="62">
        <f t="shared" si="15"/>
        <v>215.6</v>
      </c>
      <c r="AB20" s="63">
        <f t="shared" si="16"/>
        <v>442.51900000000006</v>
      </c>
      <c r="AC20" s="69">
        <v>5390</v>
      </c>
      <c r="AD20" s="70">
        <v>3.95</v>
      </c>
      <c r="AE20" s="70">
        <v>8.1999999999999993</v>
      </c>
      <c r="AF20" s="62">
        <f t="shared" si="25"/>
        <v>212.905</v>
      </c>
      <c r="AG20" s="63">
        <f t="shared" si="26"/>
        <v>441.97999999999996</v>
      </c>
      <c r="AH20" s="89">
        <v>540</v>
      </c>
      <c r="AI20" s="66">
        <v>3.86</v>
      </c>
      <c r="AJ20" s="66">
        <v>7.94</v>
      </c>
      <c r="AK20" s="62">
        <f t="shared" si="19"/>
        <v>20.843999999999998</v>
      </c>
      <c r="AL20" s="72">
        <f t="shared" si="20"/>
        <v>42.875999999999998</v>
      </c>
      <c r="AM20" s="73">
        <f t="shared" si="21"/>
        <v>0.125</v>
      </c>
      <c r="AN20" s="74">
        <f t="shared" si="22"/>
        <v>-4.2597875000000194</v>
      </c>
      <c r="AO20" s="74">
        <f t="shared" si="23"/>
        <v>-14.004074999999965</v>
      </c>
      <c r="AP20" s="75">
        <f t="shared" si="24"/>
        <v>-0.10623234909606349</v>
      </c>
      <c r="AQ20" s="76">
        <f t="shared" si="9"/>
        <v>-6103.3074121249983</v>
      </c>
      <c r="AR20" s="90">
        <f t="shared" si="10"/>
        <v>0.125</v>
      </c>
    </row>
    <row r="21" spans="1:49" x14ac:dyDescent="0.25">
      <c r="A21" t="str">
        <f t="shared" si="11"/>
        <v>46182E</v>
      </c>
      <c r="B21" s="51">
        <f t="shared" si="27"/>
        <v>46182</v>
      </c>
      <c r="C21" s="52" t="s">
        <v>88</v>
      </c>
      <c r="D21" s="91">
        <v>540</v>
      </c>
      <c r="E21" s="62">
        <v>3.86</v>
      </c>
      <c r="F21" s="62">
        <v>7.94</v>
      </c>
      <c r="G21" s="62">
        <f t="shared" si="28"/>
        <v>20.843999999999998</v>
      </c>
      <c r="H21" s="63">
        <f t="shared" si="29"/>
        <v>42.875999999999998</v>
      </c>
      <c r="I21" s="119">
        <v>2237.9</v>
      </c>
      <c r="J21" s="120">
        <v>2305.0370000000003</v>
      </c>
      <c r="K21" s="121">
        <v>3.74</v>
      </c>
      <c r="L21" s="122">
        <v>8</v>
      </c>
      <c r="M21" s="58">
        <v>0</v>
      </c>
      <c r="N21" s="58">
        <v>0</v>
      </c>
      <c r="O21" s="59">
        <v>0</v>
      </c>
      <c r="P21" s="56">
        <v>0</v>
      </c>
      <c r="Q21" s="60">
        <v>0</v>
      </c>
      <c r="R21" s="61">
        <f t="shared" si="12"/>
        <v>2305.0370000000003</v>
      </c>
      <c r="S21" s="62">
        <f t="shared" si="13"/>
        <v>86.208383800000021</v>
      </c>
      <c r="T21" s="63">
        <f t="shared" si="14"/>
        <v>184.40296000000004</v>
      </c>
      <c r="U21" s="64" t="s">
        <v>167</v>
      </c>
      <c r="V21" s="65" t="s">
        <v>167</v>
      </c>
      <c r="W21" s="66">
        <v>0</v>
      </c>
      <c r="X21" s="67">
        <v>0</v>
      </c>
      <c r="Y21" s="68">
        <v>0</v>
      </c>
      <c r="Z21" s="68">
        <v>0</v>
      </c>
      <c r="AA21" s="62">
        <f t="shared" si="15"/>
        <v>0</v>
      </c>
      <c r="AB21" s="63">
        <f t="shared" si="16"/>
        <v>0</v>
      </c>
      <c r="AC21" s="69"/>
      <c r="AD21" s="70"/>
      <c r="AE21" s="70"/>
      <c r="AF21" s="62">
        <f t="shared" si="25"/>
        <v>0</v>
      </c>
      <c r="AG21" s="63">
        <f t="shared" si="26"/>
        <v>0</v>
      </c>
      <c r="AH21" s="89">
        <v>2845</v>
      </c>
      <c r="AI21" s="66">
        <v>3.76</v>
      </c>
      <c r="AJ21" s="66">
        <v>7.98</v>
      </c>
      <c r="AK21" s="62">
        <f t="shared" si="19"/>
        <v>106.97199999999998</v>
      </c>
      <c r="AL21" s="72">
        <f t="shared" si="20"/>
        <v>227.03100000000003</v>
      </c>
      <c r="AM21" s="73">
        <f t="shared" si="21"/>
        <v>3.7000000000261934E-2</v>
      </c>
      <c r="AN21" s="74">
        <f t="shared" si="22"/>
        <v>8.0383800000035421E-2</v>
      </c>
      <c r="AO21" s="74">
        <f t="shared" si="23"/>
        <v>0.24796000000000618</v>
      </c>
      <c r="AP21" s="75">
        <f t="shared" si="24"/>
        <v>1.2133408577384313E-3</v>
      </c>
      <c r="AQ21" s="76">
        <f t="shared" si="9"/>
        <v>110.29290739135109</v>
      </c>
      <c r="AR21" s="90">
        <f t="shared" si="10"/>
        <v>3.7000000000261934E-2</v>
      </c>
    </row>
    <row r="22" spans="1:49" x14ac:dyDescent="0.25">
      <c r="A22" t="str">
        <f t="shared" si="11"/>
        <v>46183M</v>
      </c>
      <c r="B22" s="51">
        <f t="shared" si="27"/>
        <v>46183</v>
      </c>
      <c r="C22" s="52" t="s">
        <v>87</v>
      </c>
      <c r="D22" s="91">
        <v>2845</v>
      </c>
      <c r="E22" s="62">
        <v>3.76</v>
      </c>
      <c r="F22" s="62">
        <v>7.98</v>
      </c>
      <c r="G22" s="62">
        <f t="shared" si="28"/>
        <v>106.97199999999998</v>
      </c>
      <c r="H22" s="63">
        <f t="shared" si="29"/>
        <v>227.03100000000003</v>
      </c>
      <c r="I22" s="119">
        <v>1333.2</v>
      </c>
      <c r="J22" s="120">
        <v>1373.1960000000001</v>
      </c>
      <c r="K22" s="121">
        <v>4.01</v>
      </c>
      <c r="L22" s="122">
        <v>7.97</v>
      </c>
      <c r="M22" s="58">
        <v>0</v>
      </c>
      <c r="N22" s="58">
        <v>0</v>
      </c>
      <c r="O22" s="59">
        <v>0</v>
      </c>
      <c r="P22" s="56">
        <v>0</v>
      </c>
      <c r="Q22" s="60">
        <v>0</v>
      </c>
      <c r="R22" s="61">
        <f t="shared" si="12"/>
        <v>1373.1960000000001</v>
      </c>
      <c r="S22" s="62">
        <f t="shared" si="13"/>
        <v>55.065159600000001</v>
      </c>
      <c r="T22" s="63">
        <f t="shared" si="14"/>
        <v>109.4437212</v>
      </c>
      <c r="U22" s="64" t="s">
        <v>167</v>
      </c>
      <c r="V22" s="65" t="s">
        <v>167</v>
      </c>
      <c r="W22" s="66">
        <v>0</v>
      </c>
      <c r="X22" s="67">
        <v>0</v>
      </c>
      <c r="Y22" s="68">
        <v>0</v>
      </c>
      <c r="Z22" s="68">
        <v>0</v>
      </c>
      <c r="AA22" s="62">
        <f t="shared" si="15"/>
        <v>0</v>
      </c>
      <c r="AB22" s="63">
        <f t="shared" si="16"/>
        <v>0</v>
      </c>
      <c r="AC22" s="69"/>
      <c r="AD22" s="70"/>
      <c r="AE22" s="70"/>
      <c r="AF22" s="62">
        <f t="shared" si="25"/>
        <v>0</v>
      </c>
      <c r="AG22" s="63">
        <f t="shared" si="26"/>
        <v>0</v>
      </c>
      <c r="AH22" s="89">
        <v>4218</v>
      </c>
      <c r="AI22" s="66">
        <v>3.84</v>
      </c>
      <c r="AJ22" s="66">
        <v>7.97</v>
      </c>
      <c r="AK22" s="62">
        <f t="shared" si="19"/>
        <v>161.97119999999998</v>
      </c>
      <c r="AL22" s="72">
        <f t="shared" si="20"/>
        <v>336.1746</v>
      </c>
      <c r="AM22" s="73">
        <f t="shared" ref="AM22:AM35" si="30">+D22+R22-AC22-AH22</f>
        <v>0.19599999999991269</v>
      </c>
      <c r="AN22" s="80">
        <f t="shared" ref="AN22:AN35" si="31">+G22+S22-AF22-AK22</f>
        <v>6.5959600000013552E-2</v>
      </c>
      <c r="AO22" s="80">
        <f t="shared" ref="AO22:AO35" si="32">+H22+T22-AG22-AL22</f>
        <v>0.30012120000003506</v>
      </c>
      <c r="AP22" s="75">
        <f t="shared" si="24"/>
        <v>2.2252950613961542E-3</v>
      </c>
      <c r="AQ22" s="76">
        <f t="shared" si="9"/>
        <v>119.4281959640166</v>
      </c>
      <c r="AR22" s="90">
        <f t="shared" si="10"/>
        <v>0.19599999999991269</v>
      </c>
    </row>
    <row r="23" spans="1:49" x14ac:dyDescent="0.25">
      <c r="A23" t="str">
        <f t="shared" si="11"/>
        <v>46183E</v>
      </c>
      <c r="B23" s="51">
        <f t="shared" si="27"/>
        <v>46183</v>
      </c>
      <c r="C23" s="52" t="s">
        <v>88</v>
      </c>
      <c r="D23" s="91">
        <v>4218</v>
      </c>
      <c r="E23" s="62">
        <v>3.84</v>
      </c>
      <c r="F23" s="62">
        <v>7.97</v>
      </c>
      <c r="G23" s="62">
        <f t="shared" si="28"/>
        <v>161.97119999999998</v>
      </c>
      <c r="H23" s="63">
        <f t="shared" si="29"/>
        <v>336.1746</v>
      </c>
      <c r="I23" s="119">
        <v>2255.5</v>
      </c>
      <c r="J23" s="120">
        <v>2323.165</v>
      </c>
      <c r="K23" s="121">
        <v>3.61</v>
      </c>
      <c r="L23" s="122">
        <v>7.95</v>
      </c>
      <c r="M23" s="58">
        <v>0</v>
      </c>
      <c r="N23" s="58">
        <v>0</v>
      </c>
      <c r="O23" s="59">
        <v>0</v>
      </c>
      <c r="P23" s="56">
        <v>0</v>
      </c>
      <c r="Q23" s="60">
        <v>0</v>
      </c>
      <c r="R23" s="61">
        <f t="shared" si="12"/>
        <v>2323.165</v>
      </c>
      <c r="S23" s="62">
        <f t="shared" si="13"/>
        <v>83.866256500000006</v>
      </c>
      <c r="T23" s="63">
        <f t="shared" si="14"/>
        <v>184.69161750000001</v>
      </c>
      <c r="U23" s="64" t="s">
        <v>169</v>
      </c>
      <c r="V23" s="65" t="s">
        <v>479</v>
      </c>
      <c r="W23" s="66" t="s">
        <v>191</v>
      </c>
      <c r="X23" s="67">
        <v>5920</v>
      </c>
      <c r="Y23" s="68">
        <v>3.9</v>
      </c>
      <c r="Z23" s="68">
        <v>8.2899999999999991</v>
      </c>
      <c r="AA23" s="62">
        <f t="shared" si="15"/>
        <v>230.88</v>
      </c>
      <c r="AB23" s="63">
        <f t="shared" si="16"/>
        <v>490.76799999999992</v>
      </c>
      <c r="AC23" s="69">
        <v>5910</v>
      </c>
      <c r="AD23" s="70">
        <v>3.8</v>
      </c>
      <c r="AE23" s="70">
        <v>8.2899999999999974</v>
      </c>
      <c r="AF23" s="62">
        <f t="shared" si="25"/>
        <v>224.57999999999998</v>
      </c>
      <c r="AG23" s="63">
        <f t="shared" si="26"/>
        <v>489.93899999999985</v>
      </c>
      <c r="AH23" s="89">
        <v>621</v>
      </c>
      <c r="AI23" s="66">
        <v>3</v>
      </c>
      <c r="AJ23" s="84">
        <v>8</v>
      </c>
      <c r="AK23" s="62">
        <f t="shared" si="19"/>
        <v>18.63</v>
      </c>
      <c r="AL23" s="72">
        <f t="shared" si="20"/>
        <v>49.68</v>
      </c>
      <c r="AM23" s="73">
        <f t="shared" si="30"/>
        <v>10.164999999999964</v>
      </c>
      <c r="AN23" s="80">
        <f t="shared" si="31"/>
        <v>2.6274564999999903</v>
      </c>
      <c r="AO23" s="80">
        <f t="shared" si="32"/>
        <v>-18.752782499999903</v>
      </c>
      <c r="AP23" s="75">
        <f t="shared" si="24"/>
        <v>-6.0044137823342732E-2</v>
      </c>
      <c r="AQ23" s="76">
        <f t="shared" si="9"/>
        <v>-4432.7162306349755</v>
      </c>
      <c r="AR23" s="90">
        <f t="shared" si="10"/>
        <v>0.16499999999996362</v>
      </c>
      <c r="AS23" s="90"/>
      <c r="AT23" s="83"/>
      <c r="AU23" s="83"/>
      <c r="AV23" s="83"/>
      <c r="AW23" s="83"/>
    </row>
    <row r="24" spans="1:49" x14ac:dyDescent="0.25">
      <c r="A24" t="str">
        <f t="shared" si="11"/>
        <v>46184M</v>
      </c>
      <c r="B24" s="51">
        <f t="shared" si="27"/>
        <v>46184</v>
      </c>
      <c r="C24" s="52" t="s">
        <v>87</v>
      </c>
      <c r="D24" s="91">
        <v>621</v>
      </c>
      <c r="E24" s="62">
        <v>3</v>
      </c>
      <c r="F24" s="62">
        <v>8</v>
      </c>
      <c r="G24" s="62">
        <f t="shared" si="28"/>
        <v>18.63</v>
      </c>
      <c r="H24" s="63">
        <f t="shared" si="29"/>
        <v>49.68</v>
      </c>
      <c r="I24" s="119">
        <v>2860.1</v>
      </c>
      <c r="J24" s="120">
        <v>2945.9029999999998</v>
      </c>
      <c r="K24" s="121">
        <v>4</v>
      </c>
      <c r="L24" s="122">
        <v>7.98</v>
      </c>
      <c r="M24" s="58">
        <v>0</v>
      </c>
      <c r="N24" s="58">
        <v>0</v>
      </c>
      <c r="O24" s="59">
        <v>0</v>
      </c>
      <c r="P24" s="56">
        <v>0</v>
      </c>
      <c r="Q24" s="60">
        <v>0</v>
      </c>
      <c r="R24" s="61">
        <f t="shared" si="12"/>
        <v>2945.9029999999998</v>
      </c>
      <c r="S24" s="62">
        <f t="shared" si="13"/>
        <v>117.83611999999999</v>
      </c>
      <c r="T24" s="63">
        <f t="shared" si="14"/>
        <v>235.08305940000002</v>
      </c>
      <c r="U24" s="64" t="s">
        <v>167</v>
      </c>
      <c r="V24" s="65" t="s">
        <v>167</v>
      </c>
      <c r="W24" s="66">
        <v>0</v>
      </c>
      <c r="X24" s="67">
        <v>0</v>
      </c>
      <c r="Y24" s="68">
        <v>0</v>
      </c>
      <c r="Z24" s="68">
        <v>0</v>
      </c>
      <c r="AA24" s="62">
        <f t="shared" si="15"/>
        <v>0</v>
      </c>
      <c r="AB24" s="63">
        <f t="shared" si="16"/>
        <v>0</v>
      </c>
      <c r="AC24" s="69"/>
      <c r="AD24" s="70"/>
      <c r="AE24" s="70"/>
      <c r="AF24" s="62">
        <f t="shared" si="25"/>
        <v>0</v>
      </c>
      <c r="AG24" s="63">
        <f t="shared" si="26"/>
        <v>0</v>
      </c>
      <c r="AH24" s="89">
        <v>3566</v>
      </c>
      <c r="AI24" s="66">
        <v>3.82</v>
      </c>
      <c r="AJ24" s="66">
        <v>7.98</v>
      </c>
      <c r="AK24" s="62">
        <f t="shared" si="19"/>
        <v>136.22119999999998</v>
      </c>
      <c r="AL24" s="72">
        <f t="shared" si="20"/>
        <v>284.56680000000006</v>
      </c>
      <c r="AM24" s="73">
        <f t="shared" si="30"/>
        <v>0.90299999999979264</v>
      </c>
      <c r="AN24" s="80">
        <f t="shared" si="31"/>
        <v>0.24492000000000758</v>
      </c>
      <c r="AO24" s="80">
        <f t="shared" si="32"/>
        <v>0.19625939999997399</v>
      </c>
      <c r="AP24" s="75">
        <f t="shared" si="24"/>
        <v>1.2500862116647594E-3</v>
      </c>
      <c r="AQ24" s="76">
        <f t="shared" si="9"/>
        <v>168.68224203599561</v>
      </c>
      <c r="AR24" s="90">
        <f t="shared" si="10"/>
        <v>0.90299999999979264</v>
      </c>
    </row>
    <row r="25" spans="1:49" x14ac:dyDescent="0.25">
      <c r="A25" t="str">
        <f t="shared" si="11"/>
        <v>46184E</v>
      </c>
      <c r="B25" s="51">
        <f t="shared" si="27"/>
        <v>46184</v>
      </c>
      <c r="C25" s="52" t="s">
        <v>88</v>
      </c>
      <c r="D25" s="91">
        <v>3566</v>
      </c>
      <c r="E25" s="62">
        <v>3.82</v>
      </c>
      <c r="F25" s="62">
        <v>7.98</v>
      </c>
      <c r="G25" s="62">
        <f t="shared" si="28"/>
        <v>136.22119999999998</v>
      </c>
      <c r="H25" s="63">
        <f t="shared" si="29"/>
        <v>284.56680000000006</v>
      </c>
      <c r="I25" s="119">
        <v>1932.7</v>
      </c>
      <c r="J25" s="120">
        <v>1990.681</v>
      </c>
      <c r="K25" s="121">
        <v>3.71</v>
      </c>
      <c r="L25" s="122">
        <v>8.02</v>
      </c>
      <c r="M25" s="58">
        <v>0</v>
      </c>
      <c r="N25" s="58">
        <v>0</v>
      </c>
      <c r="O25" s="59">
        <v>0</v>
      </c>
      <c r="P25" s="56">
        <v>0</v>
      </c>
      <c r="Q25" s="60">
        <v>0</v>
      </c>
      <c r="R25" s="61">
        <f t="shared" si="12"/>
        <v>1990.681</v>
      </c>
      <c r="S25" s="62">
        <f t="shared" si="13"/>
        <v>73.854265100000006</v>
      </c>
      <c r="T25" s="63">
        <f t="shared" si="14"/>
        <v>159.65261619999998</v>
      </c>
      <c r="U25" s="64" t="s">
        <v>167</v>
      </c>
      <c r="V25" s="65" t="s">
        <v>167</v>
      </c>
      <c r="W25" s="66">
        <v>0</v>
      </c>
      <c r="X25" s="67">
        <v>0</v>
      </c>
      <c r="Y25" s="68">
        <v>0</v>
      </c>
      <c r="Z25" s="68">
        <v>0</v>
      </c>
      <c r="AA25" s="62">
        <f t="shared" si="15"/>
        <v>0</v>
      </c>
      <c r="AB25" s="63">
        <f t="shared" si="16"/>
        <v>0</v>
      </c>
      <c r="AC25" s="69"/>
      <c r="AD25" s="70"/>
      <c r="AE25" s="70"/>
      <c r="AF25" s="62">
        <f t="shared" si="25"/>
        <v>0</v>
      </c>
      <c r="AG25" s="63">
        <f t="shared" si="26"/>
        <v>0</v>
      </c>
      <c r="AH25" s="89">
        <v>5556</v>
      </c>
      <c r="AI25" s="66">
        <v>3.78</v>
      </c>
      <c r="AJ25" s="66">
        <v>7.99</v>
      </c>
      <c r="AK25" s="62">
        <f t="shared" si="19"/>
        <v>210.01679999999999</v>
      </c>
      <c r="AL25" s="72">
        <f t="shared" si="20"/>
        <v>443.92439999999999</v>
      </c>
      <c r="AM25" s="73">
        <f t="shared" si="30"/>
        <v>0.68100000000049477</v>
      </c>
      <c r="AN25" s="80">
        <f t="shared" si="31"/>
        <v>5.8665099999984704E-2</v>
      </c>
      <c r="AO25" s="80">
        <f t="shared" si="32"/>
        <v>0.29501620000007733</v>
      </c>
      <c r="AP25" s="75">
        <f t="shared" si="24"/>
        <v>1.5146504378415596E-3</v>
      </c>
      <c r="AQ25" s="76">
        <f t="shared" si="9"/>
        <v>114.62583160234962</v>
      </c>
      <c r="AR25" s="90">
        <f t="shared" si="10"/>
        <v>0.68100000000049477</v>
      </c>
    </row>
    <row r="26" spans="1:49" x14ac:dyDescent="0.25">
      <c r="A26" t="str">
        <f t="shared" si="11"/>
        <v>46185M</v>
      </c>
      <c r="B26" s="51">
        <f t="shared" si="27"/>
        <v>46185</v>
      </c>
      <c r="C26" s="52" t="s">
        <v>87</v>
      </c>
      <c r="D26" s="91"/>
      <c r="E26" s="62"/>
      <c r="F26" s="62"/>
      <c r="G26" s="62">
        <f t="shared" si="28"/>
        <v>0</v>
      </c>
      <c r="H26" s="63">
        <f t="shared" si="29"/>
        <v>0</v>
      </c>
      <c r="I26" s="119"/>
      <c r="J26" s="120"/>
      <c r="K26" s="121"/>
      <c r="L26" s="122"/>
      <c r="M26" s="58"/>
      <c r="N26" s="58"/>
      <c r="O26" s="59"/>
      <c r="P26" s="56"/>
      <c r="Q26" s="60"/>
      <c r="R26" s="61">
        <f t="shared" si="12"/>
        <v>0</v>
      </c>
      <c r="S26" s="62">
        <f t="shared" si="13"/>
        <v>0</v>
      </c>
      <c r="T26" s="63">
        <f t="shared" si="14"/>
        <v>0</v>
      </c>
      <c r="U26" s="64"/>
      <c r="V26" s="65"/>
      <c r="W26" s="66"/>
      <c r="X26" s="67"/>
      <c r="Y26" s="68"/>
      <c r="Z26" s="68"/>
      <c r="AA26" s="62">
        <f t="shared" si="15"/>
        <v>0</v>
      </c>
      <c r="AB26" s="63">
        <f t="shared" si="16"/>
        <v>0</v>
      </c>
      <c r="AC26" s="69"/>
      <c r="AD26" s="70"/>
      <c r="AE26" s="70"/>
      <c r="AF26" s="62">
        <f t="shared" si="25"/>
        <v>0</v>
      </c>
      <c r="AG26" s="63">
        <f t="shared" si="26"/>
        <v>0</v>
      </c>
      <c r="AH26" s="89"/>
      <c r="AI26" s="66"/>
      <c r="AJ26" s="66"/>
      <c r="AK26" s="62">
        <f t="shared" si="19"/>
        <v>0</v>
      </c>
      <c r="AL26" s="72">
        <f t="shared" si="20"/>
        <v>0</v>
      </c>
      <c r="AM26" s="73">
        <f t="shared" si="30"/>
        <v>0</v>
      </c>
      <c r="AN26" s="80">
        <f t="shared" si="31"/>
        <v>0</v>
      </c>
      <c r="AO26" s="80">
        <f t="shared" si="32"/>
        <v>0</v>
      </c>
      <c r="AP26" s="75" t="e">
        <f t="shared" si="24"/>
        <v>#DIV/0!</v>
      </c>
      <c r="AQ26" s="76">
        <f t="shared" si="9"/>
        <v>0</v>
      </c>
      <c r="AR26" s="90">
        <f t="shared" si="10"/>
        <v>0</v>
      </c>
    </row>
    <row r="27" spans="1:49" x14ac:dyDescent="0.25">
      <c r="A27" t="str">
        <f t="shared" si="11"/>
        <v>46185E</v>
      </c>
      <c r="B27" s="51">
        <f t="shared" si="27"/>
        <v>46185</v>
      </c>
      <c r="C27" s="52" t="s">
        <v>88</v>
      </c>
      <c r="D27" s="91"/>
      <c r="E27" s="62"/>
      <c r="F27" s="62"/>
      <c r="G27" s="62">
        <f t="shared" si="28"/>
        <v>0</v>
      </c>
      <c r="H27" s="63">
        <f t="shared" si="29"/>
        <v>0</v>
      </c>
      <c r="I27" s="119"/>
      <c r="J27" s="120"/>
      <c r="K27" s="121"/>
      <c r="L27" s="122"/>
      <c r="M27" s="58"/>
      <c r="N27" s="58"/>
      <c r="O27" s="59"/>
      <c r="P27" s="56"/>
      <c r="Q27" s="60"/>
      <c r="R27" s="61">
        <f t="shared" si="12"/>
        <v>0</v>
      </c>
      <c r="S27" s="62">
        <f t="shared" si="13"/>
        <v>0</v>
      </c>
      <c r="T27" s="63">
        <f t="shared" si="14"/>
        <v>0</v>
      </c>
      <c r="U27" s="64"/>
      <c r="V27" s="65"/>
      <c r="W27" s="66"/>
      <c r="X27" s="67"/>
      <c r="Y27" s="68"/>
      <c r="Z27" s="68"/>
      <c r="AA27" s="62">
        <f t="shared" si="15"/>
        <v>0</v>
      </c>
      <c r="AB27" s="63">
        <f t="shared" si="16"/>
        <v>0</v>
      </c>
      <c r="AC27" s="69"/>
      <c r="AD27" s="70"/>
      <c r="AE27" s="70"/>
      <c r="AF27" s="62">
        <f t="shared" si="25"/>
        <v>0</v>
      </c>
      <c r="AG27" s="63">
        <f t="shared" si="26"/>
        <v>0</v>
      </c>
      <c r="AH27" s="89"/>
      <c r="AI27" s="66"/>
      <c r="AJ27" s="66"/>
      <c r="AK27" s="62">
        <f t="shared" si="19"/>
        <v>0</v>
      </c>
      <c r="AL27" s="72">
        <f t="shared" si="20"/>
        <v>0</v>
      </c>
      <c r="AM27" s="73">
        <f t="shared" si="30"/>
        <v>0</v>
      </c>
      <c r="AN27" s="80">
        <f t="shared" si="31"/>
        <v>0</v>
      </c>
      <c r="AO27" s="80">
        <f t="shared" si="32"/>
        <v>0</v>
      </c>
      <c r="AP27" s="75" t="e">
        <f t="shared" si="24"/>
        <v>#DIV/0!</v>
      </c>
      <c r="AQ27" s="76">
        <f t="shared" si="9"/>
        <v>0</v>
      </c>
      <c r="AR27" s="90">
        <f t="shared" si="10"/>
        <v>0</v>
      </c>
    </row>
    <row r="28" spans="1:49" x14ac:dyDescent="0.25">
      <c r="A28" t="str">
        <f t="shared" si="11"/>
        <v>46186M</v>
      </c>
      <c r="B28" s="51">
        <f t="shared" si="27"/>
        <v>46186</v>
      </c>
      <c r="C28" s="52" t="s">
        <v>87</v>
      </c>
      <c r="D28" s="91"/>
      <c r="E28" s="62"/>
      <c r="F28" s="62"/>
      <c r="G28" s="62">
        <f t="shared" si="28"/>
        <v>0</v>
      </c>
      <c r="H28" s="63">
        <f t="shared" si="29"/>
        <v>0</v>
      </c>
      <c r="I28" s="119"/>
      <c r="J28" s="120"/>
      <c r="K28" s="121"/>
      <c r="L28" s="122"/>
      <c r="M28" s="58"/>
      <c r="N28" s="58"/>
      <c r="O28" s="59"/>
      <c r="P28" s="56"/>
      <c r="Q28" s="60"/>
      <c r="R28" s="61">
        <f t="shared" si="12"/>
        <v>0</v>
      </c>
      <c r="S28" s="62">
        <f t="shared" si="13"/>
        <v>0</v>
      </c>
      <c r="T28" s="63">
        <f t="shared" si="14"/>
        <v>0</v>
      </c>
      <c r="U28" s="64"/>
      <c r="V28" s="65"/>
      <c r="W28" s="66"/>
      <c r="X28" s="67"/>
      <c r="Y28" s="68"/>
      <c r="Z28" s="68"/>
      <c r="AA28" s="62">
        <f t="shared" si="15"/>
        <v>0</v>
      </c>
      <c r="AB28" s="63">
        <f t="shared" si="16"/>
        <v>0</v>
      </c>
      <c r="AC28" s="69"/>
      <c r="AD28" s="70"/>
      <c r="AE28" s="70"/>
      <c r="AF28" s="62">
        <f t="shared" si="25"/>
        <v>0</v>
      </c>
      <c r="AG28" s="63">
        <f t="shared" si="26"/>
        <v>0</v>
      </c>
      <c r="AH28" s="89"/>
      <c r="AI28" s="66"/>
      <c r="AJ28" s="66"/>
      <c r="AK28" s="62">
        <f t="shared" si="19"/>
        <v>0</v>
      </c>
      <c r="AL28" s="72">
        <f t="shared" si="20"/>
        <v>0</v>
      </c>
      <c r="AM28" s="73">
        <f t="shared" si="30"/>
        <v>0</v>
      </c>
      <c r="AN28" s="74">
        <f t="shared" si="31"/>
        <v>0</v>
      </c>
      <c r="AO28" s="74">
        <f t="shared" si="32"/>
        <v>0</v>
      </c>
      <c r="AP28" s="75" t="e">
        <f t="shared" si="24"/>
        <v>#DIV/0!</v>
      </c>
      <c r="AQ28" s="76">
        <f t="shared" si="9"/>
        <v>0</v>
      </c>
      <c r="AR28" s="90">
        <f t="shared" si="10"/>
        <v>0</v>
      </c>
    </row>
    <row r="29" spans="1:49" x14ac:dyDescent="0.25">
      <c r="A29" t="str">
        <f t="shared" si="11"/>
        <v>46186E</v>
      </c>
      <c r="B29" s="51">
        <f t="shared" si="27"/>
        <v>46186</v>
      </c>
      <c r="C29" s="52" t="s">
        <v>88</v>
      </c>
      <c r="D29" s="91"/>
      <c r="E29" s="62"/>
      <c r="F29" s="62"/>
      <c r="G29" s="62">
        <f t="shared" si="28"/>
        <v>0</v>
      </c>
      <c r="H29" s="63">
        <f t="shared" si="29"/>
        <v>0</v>
      </c>
      <c r="I29" s="119"/>
      <c r="J29" s="120"/>
      <c r="K29" s="121"/>
      <c r="L29" s="122"/>
      <c r="M29" s="58"/>
      <c r="N29" s="192"/>
      <c r="O29" s="59"/>
      <c r="P29" s="56"/>
      <c r="Q29" s="60"/>
      <c r="R29" s="61">
        <f>+J29+O29</f>
        <v>0</v>
      </c>
      <c r="S29" s="62">
        <f t="shared" si="13"/>
        <v>0</v>
      </c>
      <c r="T29" s="63">
        <f>+J29*L29%+O29*Q29%</f>
        <v>0</v>
      </c>
      <c r="U29" s="64"/>
      <c r="V29" s="65"/>
      <c r="W29" s="66"/>
      <c r="X29" s="67"/>
      <c r="Y29" s="68"/>
      <c r="Z29" s="68"/>
      <c r="AA29" s="62">
        <f t="shared" si="15"/>
        <v>0</v>
      </c>
      <c r="AB29" s="63">
        <f>+X29*Z29%</f>
        <v>0</v>
      </c>
      <c r="AC29" s="69"/>
      <c r="AD29" s="70"/>
      <c r="AE29" s="70"/>
      <c r="AF29" s="62">
        <f t="shared" si="25"/>
        <v>0</v>
      </c>
      <c r="AG29" s="63">
        <f>AC29*AE29%</f>
        <v>0</v>
      </c>
      <c r="AH29" s="89"/>
      <c r="AI29" s="66"/>
      <c r="AJ29" s="66"/>
      <c r="AK29" s="62">
        <f t="shared" si="19"/>
        <v>0</v>
      </c>
      <c r="AL29" s="72">
        <f t="shared" si="20"/>
        <v>0</v>
      </c>
      <c r="AM29" s="73">
        <f t="shared" si="30"/>
        <v>0</v>
      </c>
      <c r="AN29" s="74">
        <f t="shared" si="31"/>
        <v>0</v>
      </c>
      <c r="AO29" s="74">
        <f t="shared" si="32"/>
        <v>0</v>
      </c>
      <c r="AP29" s="75" t="e">
        <f t="shared" si="24"/>
        <v>#DIV/0!</v>
      </c>
      <c r="AQ29" s="76">
        <f t="shared" si="9"/>
        <v>0</v>
      </c>
      <c r="AR29" s="90">
        <f t="shared" si="10"/>
        <v>0</v>
      </c>
    </row>
    <row r="30" spans="1:49" x14ac:dyDescent="0.25">
      <c r="A30" t="str">
        <f t="shared" si="11"/>
        <v>46187M</v>
      </c>
      <c r="B30" s="51">
        <f t="shared" si="27"/>
        <v>46187</v>
      </c>
      <c r="C30" s="52" t="s">
        <v>87</v>
      </c>
      <c r="D30" s="91"/>
      <c r="E30" s="62"/>
      <c r="F30" s="62"/>
      <c r="G30" s="62">
        <f t="shared" si="28"/>
        <v>0</v>
      </c>
      <c r="H30" s="63">
        <f t="shared" si="29"/>
        <v>0</v>
      </c>
      <c r="I30" s="119"/>
      <c r="J30" s="120"/>
      <c r="K30" s="121"/>
      <c r="L30" s="122"/>
      <c r="M30" s="58"/>
      <c r="N30" s="58"/>
      <c r="O30" s="59"/>
      <c r="P30" s="56"/>
      <c r="Q30" s="60"/>
      <c r="R30" s="61">
        <f t="shared" si="12"/>
        <v>0</v>
      </c>
      <c r="S30" s="62">
        <f t="shared" si="13"/>
        <v>0</v>
      </c>
      <c r="T30" s="63">
        <f t="shared" si="14"/>
        <v>0</v>
      </c>
      <c r="U30" s="64"/>
      <c r="V30" s="65"/>
      <c r="W30" s="66"/>
      <c r="X30" s="67"/>
      <c r="Y30" s="68"/>
      <c r="Z30" s="68"/>
      <c r="AA30" s="62">
        <f t="shared" si="15"/>
        <v>0</v>
      </c>
      <c r="AB30" s="63">
        <f t="shared" si="16"/>
        <v>0</v>
      </c>
      <c r="AC30" s="69"/>
      <c r="AD30" s="70"/>
      <c r="AE30" s="70"/>
      <c r="AF30" s="62">
        <f t="shared" si="25"/>
        <v>0</v>
      </c>
      <c r="AG30" s="63">
        <f t="shared" si="26"/>
        <v>0</v>
      </c>
      <c r="AH30" s="89"/>
      <c r="AI30" s="66"/>
      <c r="AJ30" s="66"/>
      <c r="AK30" s="62">
        <f t="shared" si="19"/>
        <v>0</v>
      </c>
      <c r="AL30" s="72">
        <f t="shared" si="20"/>
        <v>0</v>
      </c>
      <c r="AM30" s="73">
        <f t="shared" si="30"/>
        <v>0</v>
      </c>
      <c r="AN30" s="80">
        <f t="shared" si="31"/>
        <v>0</v>
      </c>
      <c r="AO30" s="80">
        <f t="shared" si="32"/>
        <v>0</v>
      </c>
      <c r="AP30" s="75" t="e">
        <f t="shared" si="24"/>
        <v>#DIV/0!</v>
      </c>
      <c r="AQ30" s="76">
        <f t="shared" si="9"/>
        <v>0</v>
      </c>
      <c r="AR30" s="90">
        <f t="shared" si="10"/>
        <v>0</v>
      </c>
    </row>
    <row r="31" spans="1:49" x14ac:dyDescent="0.25">
      <c r="A31" t="str">
        <f t="shared" si="11"/>
        <v>46187E</v>
      </c>
      <c r="B31" s="51">
        <f t="shared" si="27"/>
        <v>46187</v>
      </c>
      <c r="C31" s="52" t="s">
        <v>88</v>
      </c>
      <c r="D31" s="91"/>
      <c r="E31" s="62"/>
      <c r="F31" s="62"/>
      <c r="G31" s="62">
        <f t="shared" si="28"/>
        <v>0</v>
      </c>
      <c r="H31" s="63">
        <f t="shared" si="29"/>
        <v>0</v>
      </c>
      <c r="I31" s="119"/>
      <c r="J31" s="120"/>
      <c r="K31" s="121"/>
      <c r="L31" s="122"/>
      <c r="M31" s="58"/>
      <c r="N31" s="58"/>
      <c r="O31" s="59"/>
      <c r="P31" s="56"/>
      <c r="Q31" s="60"/>
      <c r="R31" s="61">
        <f t="shared" si="12"/>
        <v>0</v>
      </c>
      <c r="S31" s="62">
        <f t="shared" si="13"/>
        <v>0</v>
      </c>
      <c r="T31" s="63">
        <f t="shared" si="14"/>
        <v>0</v>
      </c>
      <c r="U31" s="64"/>
      <c r="V31" s="65"/>
      <c r="W31" s="66"/>
      <c r="X31" s="67"/>
      <c r="Y31" s="68"/>
      <c r="Z31" s="68"/>
      <c r="AA31" s="62">
        <f t="shared" si="15"/>
        <v>0</v>
      </c>
      <c r="AB31" s="63">
        <f t="shared" si="16"/>
        <v>0</v>
      </c>
      <c r="AC31" s="69"/>
      <c r="AD31" s="70"/>
      <c r="AE31" s="70"/>
      <c r="AF31" s="62">
        <f t="shared" si="25"/>
        <v>0</v>
      </c>
      <c r="AG31" s="63">
        <f t="shared" si="26"/>
        <v>0</v>
      </c>
      <c r="AH31" s="89"/>
      <c r="AI31" s="66"/>
      <c r="AJ31" s="66"/>
      <c r="AK31" s="62">
        <f t="shared" si="19"/>
        <v>0</v>
      </c>
      <c r="AL31" s="72">
        <f t="shared" si="20"/>
        <v>0</v>
      </c>
      <c r="AM31" s="73">
        <f t="shared" ref="AM31" si="33">+D31+R31-AC31-AH31</f>
        <v>0</v>
      </c>
      <c r="AN31" s="80">
        <f t="shared" ref="AN31" si="34">+G31+S31-AF31-AK31</f>
        <v>0</v>
      </c>
      <c r="AO31" s="80">
        <f t="shared" ref="AO31" si="35">+H31+T31-AG31-AL31</f>
        <v>0</v>
      </c>
      <c r="AP31" s="75" t="e">
        <f t="shared" si="24"/>
        <v>#DIV/0!</v>
      </c>
      <c r="AQ31" s="76">
        <f t="shared" si="9"/>
        <v>0</v>
      </c>
      <c r="AR31" s="90">
        <f t="shared" si="10"/>
        <v>0</v>
      </c>
      <c r="AS31" s="90">
        <f>SUM(J18:J31)</f>
        <v>16869.030999999999</v>
      </c>
      <c r="AT31" s="83">
        <f>SUM(AM18:AM31)</f>
        <v>13.031000000001086</v>
      </c>
      <c r="AU31" s="83">
        <f>SUM(AN18:AN31)</f>
        <v>-0.7573015999999626</v>
      </c>
      <c r="AV31" s="83">
        <f>SUM(AO18:AO31)</f>
        <v>-31.680257199999716</v>
      </c>
      <c r="AW31" s="83">
        <f>-SUM(AQ18:AQ31)</f>
        <v>9821.0164343572324</v>
      </c>
    </row>
    <row r="32" spans="1:49" x14ac:dyDescent="0.25">
      <c r="A32" t="str">
        <f t="shared" si="11"/>
        <v>46188M</v>
      </c>
      <c r="B32" s="51">
        <f t="shared" si="27"/>
        <v>46188</v>
      </c>
      <c r="C32" s="52" t="s">
        <v>87</v>
      </c>
      <c r="D32" s="91"/>
      <c r="E32" s="62"/>
      <c r="F32" s="62"/>
      <c r="G32" s="62">
        <f t="shared" si="28"/>
        <v>0</v>
      </c>
      <c r="H32" s="63">
        <f t="shared" si="29"/>
        <v>0</v>
      </c>
      <c r="I32" s="119"/>
      <c r="J32" s="120"/>
      <c r="K32" s="121"/>
      <c r="L32" s="122"/>
      <c r="M32" s="58"/>
      <c r="N32" s="57"/>
      <c r="O32" s="59"/>
      <c r="P32" s="56"/>
      <c r="Q32" s="60"/>
      <c r="R32" s="61">
        <f t="shared" si="12"/>
        <v>0</v>
      </c>
      <c r="S32" s="62">
        <f t="shared" si="13"/>
        <v>0</v>
      </c>
      <c r="T32" s="63">
        <f t="shared" si="14"/>
        <v>0</v>
      </c>
      <c r="U32" s="64"/>
      <c r="V32" s="65"/>
      <c r="W32" s="66"/>
      <c r="X32" s="67"/>
      <c r="Y32" s="68"/>
      <c r="Z32" s="68"/>
      <c r="AA32" s="62">
        <f t="shared" si="15"/>
        <v>0</v>
      </c>
      <c r="AB32" s="63">
        <f t="shared" si="16"/>
        <v>0</v>
      </c>
      <c r="AC32" s="69"/>
      <c r="AD32" s="70"/>
      <c r="AE32" s="70"/>
      <c r="AF32" s="62">
        <f t="shared" si="25"/>
        <v>0</v>
      </c>
      <c r="AG32" s="63">
        <f t="shared" si="26"/>
        <v>0</v>
      </c>
      <c r="AH32" s="89"/>
      <c r="AI32" s="66"/>
      <c r="AJ32" s="66"/>
      <c r="AK32" s="62">
        <f t="shared" si="19"/>
        <v>0</v>
      </c>
      <c r="AL32" s="72">
        <f t="shared" si="20"/>
        <v>0</v>
      </c>
      <c r="AM32" s="73">
        <f t="shared" si="30"/>
        <v>0</v>
      </c>
      <c r="AN32" s="80">
        <f t="shared" si="31"/>
        <v>0</v>
      </c>
      <c r="AO32" s="80">
        <f t="shared" si="32"/>
        <v>0</v>
      </c>
      <c r="AP32" s="75" t="e">
        <f t="shared" si="24"/>
        <v>#DIV/0!</v>
      </c>
      <c r="AQ32" s="76">
        <f t="shared" si="9"/>
        <v>0</v>
      </c>
      <c r="AR32" s="90">
        <f t="shared" si="10"/>
        <v>0</v>
      </c>
    </row>
    <row r="33" spans="1:49" x14ac:dyDescent="0.25">
      <c r="A33" t="str">
        <f t="shared" si="11"/>
        <v>46188E</v>
      </c>
      <c r="B33" s="51">
        <f t="shared" si="27"/>
        <v>46188</v>
      </c>
      <c r="C33" s="52" t="s">
        <v>88</v>
      </c>
      <c r="D33" s="91"/>
      <c r="E33" s="62"/>
      <c r="F33" s="62"/>
      <c r="G33" s="62">
        <f t="shared" si="28"/>
        <v>0</v>
      </c>
      <c r="H33" s="63">
        <f t="shared" si="29"/>
        <v>0</v>
      </c>
      <c r="I33" s="119"/>
      <c r="J33" s="120"/>
      <c r="K33" s="121"/>
      <c r="L33" s="122"/>
      <c r="M33" s="58"/>
      <c r="N33" s="58"/>
      <c r="O33" s="59"/>
      <c r="P33" s="56"/>
      <c r="Q33" s="60"/>
      <c r="R33" s="61">
        <f t="shared" si="12"/>
        <v>0</v>
      </c>
      <c r="S33" s="62">
        <f t="shared" si="13"/>
        <v>0</v>
      </c>
      <c r="T33" s="63">
        <f t="shared" si="14"/>
        <v>0</v>
      </c>
      <c r="U33" s="64"/>
      <c r="V33" s="65"/>
      <c r="W33" s="66"/>
      <c r="X33" s="67"/>
      <c r="Y33" s="68"/>
      <c r="Z33" s="68"/>
      <c r="AA33" s="62">
        <f t="shared" si="15"/>
        <v>0</v>
      </c>
      <c r="AB33" s="63">
        <f t="shared" si="16"/>
        <v>0</v>
      </c>
      <c r="AC33" s="69"/>
      <c r="AD33" s="70"/>
      <c r="AE33" s="70"/>
      <c r="AF33" s="62">
        <f t="shared" si="25"/>
        <v>0</v>
      </c>
      <c r="AG33" s="63">
        <f t="shared" si="26"/>
        <v>0</v>
      </c>
      <c r="AH33" s="89"/>
      <c r="AI33" s="66"/>
      <c r="AJ33" s="66"/>
      <c r="AK33" s="62">
        <f t="shared" si="19"/>
        <v>0</v>
      </c>
      <c r="AL33" s="72">
        <f t="shared" si="20"/>
        <v>0</v>
      </c>
      <c r="AM33" s="73">
        <f t="shared" si="30"/>
        <v>0</v>
      </c>
      <c r="AN33" s="80">
        <f t="shared" si="31"/>
        <v>0</v>
      </c>
      <c r="AO33" s="80">
        <f t="shared" si="32"/>
        <v>0</v>
      </c>
      <c r="AP33" s="75" t="e">
        <f t="shared" si="24"/>
        <v>#DIV/0!</v>
      </c>
      <c r="AQ33" s="76">
        <f t="shared" si="9"/>
        <v>0</v>
      </c>
      <c r="AR33" s="90">
        <f t="shared" si="10"/>
        <v>0</v>
      </c>
    </row>
    <row r="34" spans="1:49" x14ac:dyDescent="0.25">
      <c r="A34" t="str">
        <f t="shared" si="11"/>
        <v>46189M</v>
      </c>
      <c r="B34" s="51">
        <f t="shared" si="27"/>
        <v>46189</v>
      </c>
      <c r="C34" s="52" t="s">
        <v>87</v>
      </c>
      <c r="D34" s="91"/>
      <c r="E34" s="62"/>
      <c r="F34" s="62"/>
      <c r="G34" s="62">
        <f t="shared" si="28"/>
        <v>0</v>
      </c>
      <c r="H34" s="63">
        <f t="shared" si="29"/>
        <v>0</v>
      </c>
      <c r="I34" s="119"/>
      <c r="J34" s="120"/>
      <c r="K34" s="121"/>
      <c r="L34" s="122"/>
      <c r="M34" s="58"/>
      <c r="N34" s="58"/>
      <c r="O34" s="59"/>
      <c r="P34" s="56"/>
      <c r="Q34" s="60"/>
      <c r="R34" s="61">
        <f t="shared" si="12"/>
        <v>0</v>
      </c>
      <c r="S34" s="62">
        <f t="shared" si="13"/>
        <v>0</v>
      </c>
      <c r="T34" s="63">
        <f t="shared" si="14"/>
        <v>0</v>
      </c>
      <c r="U34" s="64"/>
      <c r="V34" s="65"/>
      <c r="W34" s="66"/>
      <c r="X34" s="67"/>
      <c r="Y34" s="68"/>
      <c r="Z34" s="68"/>
      <c r="AA34" s="62">
        <f t="shared" si="15"/>
        <v>0</v>
      </c>
      <c r="AB34" s="63">
        <f t="shared" si="16"/>
        <v>0</v>
      </c>
      <c r="AC34" s="69"/>
      <c r="AD34" s="70"/>
      <c r="AE34" s="70"/>
      <c r="AF34" s="62">
        <f t="shared" si="25"/>
        <v>0</v>
      </c>
      <c r="AG34" s="63">
        <f t="shared" si="26"/>
        <v>0</v>
      </c>
      <c r="AH34" s="89"/>
      <c r="AI34" s="66"/>
      <c r="AJ34" s="66"/>
      <c r="AK34" s="62">
        <f t="shared" si="19"/>
        <v>0</v>
      </c>
      <c r="AL34" s="72">
        <f t="shared" si="20"/>
        <v>0</v>
      </c>
      <c r="AM34" s="73">
        <f t="shared" si="30"/>
        <v>0</v>
      </c>
      <c r="AN34" s="80">
        <f t="shared" si="31"/>
        <v>0</v>
      </c>
      <c r="AO34" s="80">
        <f t="shared" si="32"/>
        <v>0</v>
      </c>
      <c r="AP34" s="75" t="e">
        <f t="shared" si="24"/>
        <v>#DIV/0!</v>
      </c>
      <c r="AQ34" s="76">
        <f t="shared" si="9"/>
        <v>0</v>
      </c>
      <c r="AR34" s="90">
        <f t="shared" si="10"/>
        <v>0</v>
      </c>
    </row>
    <row r="35" spans="1:49" x14ac:dyDescent="0.25">
      <c r="A35" t="str">
        <f t="shared" si="11"/>
        <v>46189E</v>
      </c>
      <c r="B35" s="51">
        <f t="shared" si="27"/>
        <v>46189</v>
      </c>
      <c r="C35" s="52" t="s">
        <v>88</v>
      </c>
      <c r="D35" s="91"/>
      <c r="E35" s="62"/>
      <c r="F35" s="62"/>
      <c r="G35" s="62">
        <f t="shared" si="28"/>
        <v>0</v>
      </c>
      <c r="H35" s="63">
        <f t="shared" si="29"/>
        <v>0</v>
      </c>
      <c r="I35" s="119"/>
      <c r="J35" s="120"/>
      <c r="K35" s="121"/>
      <c r="L35" s="122"/>
      <c r="M35" s="58"/>
      <c r="N35" s="58"/>
      <c r="O35" s="59"/>
      <c r="P35" s="56"/>
      <c r="Q35" s="60"/>
      <c r="R35" s="61">
        <f t="shared" si="12"/>
        <v>0</v>
      </c>
      <c r="S35" s="62">
        <f t="shared" si="13"/>
        <v>0</v>
      </c>
      <c r="T35" s="63">
        <f t="shared" si="14"/>
        <v>0</v>
      </c>
      <c r="U35" s="64"/>
      <c r="V35" s="65"/>
      <c r="W35" s="66"/>
      <c r="X35" s="67"/>
      <c r="Y35" s="68"/>
      <c r="Z35" s="68"/>
      <c r="AA35" s="62">
        <f t="shared" si="15"/>
        <v>0</v>
      </c>
      <c r="AB35" s="63">
        <f t="shared" si="16"/>
        <v>0</v>
      </c>
      <c r="AC35" s="69"/>
      <c r="AD35" s="70"/>
      <c r="AE35" s="70"/>
      <c r="AF35" s="62">
        <f t="shared" si="25"/>
        <v>0</v>
      </c>
      <c r="AG35" s="63">
        <f t="shared" si="26"/>
        <v>0</v>
      </c>
      <c r="AH35" s="89"/>
      <c r="AI35" s="66"/>
      <c r="AJ35" s="66"/>
      <c r="AK35" s="62">
        <f t="shared" si="19"/>
        <v>0</v>
      </c>
      <c r="AL35" s="72">
        <f t="shared" si="20"/>
        <v>0</v>
      </c>
      <c r="AM35" s="73">
        <f t="shared" si="30"/>
        <v>0</v>
      </c>
      <c r="AN35" s="80">
        <f t="shared" si="31"/>
        <v>0</v>
      </c>
      <c r="AO35" s="80">
        <f t="shared" si="32"/>
        <v>0</v>
      </c>
      <c r="AP35" s="75" t="e">
        <f t="shared" si="24"/>
        <v>#DIV/0!</v>
      </c>
      <c r="AQ35" s="76">
        <f t="shared" si="9"/>
        <v>0</v>
      </c>
      <c r="AR35" s="90">
        <f t="shared" si="10"/>
        <v>0</v>
      </c>
    </row>
    <row r="36" spans="1:49" x14ac:dyDescent="0.25">
      <c r="A36" t="str">
        <f t="shared" si="11"/>
        <v>46190M</v>
      </c>
      <c r="B36" s="51">
        <f t="shared" si="27"/>
        <v>46190</v>
      </c>
      <c r="C36" s="52" t="s">
        <v>87</v>
      </c>
      <c r="D36" s="91"/>
      <c r="E36" s="62"/>
      <c r="F36" s="62"/>
      <c r="G36" s="62">
        <f t="shared" si="28"/>
        <v>0</v>
      </c>
      <c r="H36" s="63">
        <f t="shared" si="29"/>
        <v>0</v>
      </c>
      <c r="I36" s="119"/>
      <c r="J36" s="120"/>
      <c r="K36" s="121"/>
      <c r="L36" s="122"/>
      <c r="M36" s="58"/>
      <c r="N36" s="58"/>
      <c r="O36" s="59"/>
      <c r="P36" s="56"/>
      <c r="Q36" s="60"/>
      <c r="R36" s="61">
        <f t="shared" ref="R36:R48" si="36">+J36+O36</f>
        <v>0</v>
      </c>
      <c r="S36" s="62">
        <f t="shared" ref="S36:S48" si="37">+J36*K36%+O36*P36%</f>
        <v>0</v>
      </c>
      <c r="T36" s="63">
        <f t="shared" ref="T36:T48" si="38">+J36*L36%+O36*Q36%</f>
        <v>0</v>
      </c>
      <c r="U36" s="64"/>
      <c r="V36" s="85"/>
      <c r="W36" s="66"/>
      <c r="X36" s="67"/>
      <c r="Y36" s="68"/>
      <c r="Z36" s="68"/>
      <c r="AA36" s="62">
        <f t="shared" si="15"/>
        <v>0</v>
      </c>
      <c r="AB36" s="63">
        <f t="shared" si="16"/>
        <v>0</v>
      </c>
      <c r="AC36" s="69"/>
      <c r="AD36" s="70"/>
      <c r="AE36" s="70"/>
      <c r="AF36" s="62">
        <f t="shared" si="25"/>
        <v>0</v>
      </c>
      <c r="AG36" s="63">
        <f t="shared" si="26"/>
        <v>0</v>
      </c>
      <c r="AH36" s="89"/>
      <c r="AI36" s="66"/>
      <c r="AJ36" s="66"/>
      <c r="AK36" s="62">
        <f t="shared" si="19"/>
        <v>0</v>
      </c>
      <c r="AL36" s="72">
        <f t="shared" si="20"/>
        <v>0</v>
      </c>
      <c r="AM36" s="73">
        <f t="shared" ref="AM36:AM49" si="39">+D36+R36-AC36-AH36</f>
        <v>0</v>
      </c>
      <c r="AN36" s="80">
        <f t="shared" ref="AN36:AN49" si="40">+G36+S36-AF36-AK36</f>
        <v>0</v>
      </c>
      <c r="AO36" s="80">
        <f t="shared" ref="AO36:AO49" si="41">+H36+T36-AG36-AL36</f>
        <v>0</v>
      </c>
      <c r="AP36" s="75" t="e">
        <f t="shared" si="24"/>
        <v>#DIV/0!</v>
      </c>
      <c r="AQ36" s="76">
        <f t="shared" si="9"/>
        <v>0</v>
      </c>
      <c r="AR36">
        <f t="shared" si="10"/>
        <v>0</v>
      </c>
    </row>
    <row r="37" spans="1:49" x14ac:dyDescent="0.25">
      <c r="A37" t="str">
        <f t="shared" si="11"/>
        <v>46190E</v>
      </c>
      <c r="B37" s="51">
        <f t="shared" si="27"/>
        <v>46190</v>
      </c>
      <c r="C37" s="52" t="s">
        <v>88</v>
      </c>
      <c r="D37" s="91"/>
      <c r="E37" s="62"/>
      <c r="F37" s="62"/>
      <c r="G37" s="62">
        <f t="shared" si="28"/>
        <v>0</v>
      </c>
      <c r="H37" s="63">
        <f t="shared" si="29"/>
        <v>0</v>
      </c>
      <c r="I37" s="119"/>
      <c r="J37" s="120"/>
      <c r="K37" s="121"/>
      <c r="L37" s="122"/>
      <c r="M37" s="58"/>
      <c r="N37" s="58"/>
      <c r="O37" s="59"/>
      <c r="P37" s="56"/>
      <c r="Q37" s="60"/>
      <c r="R37" s="61">
        <f t="shared" si="36"/>
        <v>0</v>
      </c>
      <c r="S37" s="62">
        <f t="shared" si="37"/>
        <v>0</v>
      </c>
      <c r="T37" s="63">
        <f t="shared" si="38"/>
        <v>0</v>
      </c>
      <c r="U37" s="64"/>
      <c r="V37" s="65"/>
      <c r="W37" s="66"/>
      <c r="X37" s="67"/>
      <c r="Y37" s="68"/>
      <c r="Z37" s="68"/>
      <c r="AA37" s="62">
        <f t="shared" si="15"/>
        <v>0</v>
      </c>
      <c r="AB37" s="63">
        <f t="shared" si="16"/>
        <v>0</v>
      </c>
      <c r="AC37" s="69"/>
      <c r="AD37" s="70"/>
      <c r="AE37" s="70"/>
      <c r="AF37" s="62">
        <f t="shared" si="25"/>
        <v>0</v>
      </c>
      <c r="AG37" s="63">
        <f t="shared" si="26"/>
        <v>0</v>
      </c>
      <c r="AH37" s="89"/>
      <c r="AI37" s="66"/>
      <c r="AJ37" s="66"/>
      <c r="AK37" s="62">
        <f t="shared" si="19"/>
        <v>0</v>
      </c>
      <c r="AL37" s="72">
        <f t="shared" si="20"/>
        <v>0</v>
      </c>
      <c r="AM37" s="73">
        <f t="shared" si="39"/>
        <v>0</v>
      </c>
      <c r="AN37" s="80">
        <f t="shared" si="40"/>
        <v>0</v>
      </c>
      <c r="AO37" s="80">
        <f t="shared" si="41"/>
        <v>0</v>
      </c>
      <c r="AP37" s="75" t="e">
        <f t="shared" si="24"/>
        <v>#DIV/0!</v>
      </c>
      <c r="AQ37" s="76">
        <f t="shared" si="9"/>
        <v>0</v>
      </c>
      <c r="AR37">
        <f t="shared" si="10"/>
        <v>0</v>
      </c>
    </row>
    <row r="38" spans="1:49" x14ac:dyDescent="0.25">
      <c r="A38" t="str">
        <f t="shared" si="11"/>
        <v>46191M</v>
      </c>
      <c r="B38" s="51">
        <f t="shared" si="27"/>
        <v>46191</v>
      </c>
      <c r="C38" s="52" t="s">
        <v>87</v>
      </c>
      <c r="D38" s="91"/>
      <c r="E38" s="62"/>
      <c r="F38" s="62"/>
      <c r="G38" s="62">
        <f t="shared" si="28"/>
        <v>0</v>
      </c>
      <c r="H38" s="63">
        <f t="shared" si="29"/>
        <v>0</v>
      </c>
      <c r="I38" s="119"/>
      <c r="J38" s="120"/>
      <c r="K38" s="121"/>
      <c r="L38" s="122"/>
      <c r="M38" s="58"/>
      <c r="N38" s="58"/>
      <c r="O38" s="59"/>
      <c r="P38" s="56"/>
      <c r="Q38" s="60"/>
      <c r="R38" s="61">
        <f t="shared" si="36"/>
        <v>0</v>
      </c>
      <c r="S38" s="62">
        <f t="shared" si="37"/>
        <v>0</v>
      </c>
      <c r="T38" s="63">
        <f t="shared" si="38"/>
        <v>0</v>
      </c>
      <c r="U38" s="64"/>
      <c r="V38" s="65"/>
      <c r="W38" s="66"/>
      <c r="X38" s="67"/>
      <c r="Y38" s="68"/>
      <c r="Z38" s="68"/>
      <c r="AA38" s="62">
        <f t="shared" si="15"/>
        <v>0</v>
      </c>
      <c r="AB38" s="63">
        <f t="shared" si="16"/>
        <v>0</v>
      </c>
      <c r="AC38" s="69"/>
      <c r="AD38" s="70"/>
      <c r="AE38" s="70"/>
      <c r="AF38" s="62">
        <f t="shared" si="25"/>
        <v>0</v>
      </c>
      <c r="AG38" s="63">
        <f t="shared" si="26"/>
        <v>0</v>
      </c>
      <c r="AH38" s="89"/>
      <c r="AI38" s="66"/>
      <c r="AJ38" s="66"/>
      <c r="AK38" s="62">
        <f t="shared" si="19"/>
        <v>0</v>
      </c>
      <c r="AL38" s="72">
        <f t="shared" si="20"/>
        <v>0</v>
      </c>
      <c r="AM38" s="73">
        <f t="shared" si="39"/>
        <v>0</v>
      </c>
      <c r="AN38" s="80">
        <f t="shared" si="40"/>
        <v>0</v>
      </c>
      <c r="AO38" s="80">
        <f t="shared" si="41"/>
        <v>0</v>
      </c>
      <c r="AP38" s="75" t="e">
        <f t="shared" si="24"/>
        <v>#DIV/0!</v>
      </c>
      <c r="AQ38" s="76">
        <f t="shared" si="9"/>
        <v>0</v>
      </c>
      <c r="AR38">
        <f t="shared" si="10"/>
        <v>0</v>
      </c>
    </row>
    <row r="39" spans="1:49" x14ac:dyDescent="0.25">
      <c r="A39" t="str">
        <f t="shared" si="11"/>
        <v>46191E</v>
      </c>
      <c r="B39" s="51">
        <f t="shared" si="27"/>
        <v>46191</v>
      </c>
      <c r="C39" s="52" t="s">
        <v>88</v>
      </c>
      <c r="D39" s="91"/>
      <c r="E39" s="62"/>
      <c r="F39" s="62"/>
      <c r="G39" s="62">
        <f t="shared" si="28"/>
        <v>0</v>
      </c>
      <c r="H39" s="63">
        <f t="shared" si="29"/>
        <v>0</v>
      </c>
      <c r="I39" s="119"/>
      <c r="J39" s="120"/>
      <c r="K39" s="121"/>
      <c r="L39" s="122"/>
      <c r="M39" s="58"/>
      <c r="N39" s="58"/>
      <c r="O39" s="59"/>
      <c r="P39" s="56"/>
      <c r="Q39" s="60"/>
      <c r="R39" s="61">
        <f t="shared" si="36"/>
        <v>0</v>
      </c>
      <c r="S39" s="62">
        <f t="shared" si="37"/>
        <v>0</v>
      </c>
      <c r="T39" s="63">
        <f t="shared" si="38"/>
        <v>0</v>
      </c>
      <c r="U39" s="64"/>
      <c r="V39" s="65"/>
      <c r="W39" s="66"/>
      <c r="X39" s="67"/>
      <c r="Y39" s="68"/>
      <c r="Z39" s="68"/>
      <c r="AA39" s="62">
        <f t="shared" si="15"/>
        <v>0</v>
      </c>
      <c r="AB39" s="63">
        <f t="shared" si="16"/>
        <v>0</v>
      </c>
      <c r="AC39" s="69"/>
      <c r="AD39" s="70"/>
      <c r="AE39" s="70"/>
      <c r="AF39" s="62">
        <f t="shared" si="25"/>
        <v>0</v>
      </c>
      <c r="AG39" s="63">
        <f t="shared" si="26"/>
        <v>0</v>
      </c>
      <c r="AH39" s="89"/>
      <c r="AI39" s="66"/>
      <c r="AJ39" s="66"/>
      <c r="AK39" s="62">
        <f t="shared" si="19"/>
        <v>0</v>
      </c>
      <c r="AL39" s="72">
        <f t="shared" si="20"/>
        <v>0</v>
      </c>
      <c r="AM39" s="73">
        <f t="shared" si="39"/>
        <v>0</v>
      </c>
      <c r="AN39" s="80">
        <f t="shared" si="40"/>
        <v>0</v>
      </c>
      <c r="AO39" s="80">
        <f t="shared" si="41"/>
        <v>0</v>
      </c>
      <c r="AP39" s="75" t="e">
        <f t="shared" si="24"/>
        <v>#DIV/0!</v>
      </c>
      <c r="AQ39" s="76">
        <f t="shared" si="9"/>
        <v>0</v>
      </c>
      <c r="AR39" s="90">
        <f t="shared" si="10"/>
        <v>0</v>
      </c>
    </row>
    <row r="40" spans="1:49" x14ac:dyDescent="0.25">
      <c r="A40" t="str">
        <f t="shared" si="11"/>
        <v>46192M</v>
      </c>
      <c r="B40" s="51">
        <f t="shared" si="27"/>
        <v>46192</v>
      </c>
      <c r="C40" s="52" t="s">
        <v>87</v>
      </c>
      <c r="D40" s="91"/>
      <c r="E40" s="62"/>
      <c r="F40" s="62"/>
      <c r="G40" s="62">
        <f t="shared" si="28"/>
        <v>0</v>
      </c>
      <c r="H40" s="63">
        <f t="shared" si="29"/>
        <v>0</v>
      </c>
      <c r="I40" s="119"/>
      <c r="J40" s="120"/>
      <c r="K40" s="121"/>
      <c r="L40" s="122"/>
      <c r="M40" s="58"/>
      <c r="N40" s="58"/>
      <c r="O40" s="59"/>
      <c r="P40" s="56"/>
      <c r="Q40" s="60"/>
      <c r="R40" s="61">
        <f t="shared" si="36"/>
        <v>0</v>
      </c>
      <c r="S40" s="62">
        <f t="shared" si="37"/>
        <v>0</v>
      </c>
      <c r="T40" s="63">
        <f t="shared" si="38"/>
        <v>0</v>
      </c>
      <c r="U40" s="64"/>
      <c r="V40" s="65"/>
      <c r="W40" s="66"/>
      <c r="X40" s="67"/>
      <c r="Y40" s="68"/>
      <c r="Z40" s="68"/>
      <c r="AA40" s="62">
        <f t="shared" si="15"/>
        <v>0</v>
      </c>
      <c r="AB40" s="63">
        <f t="shared" si="16"/>
        <v>0</v>
      </c>
      <c r="AC40" s="69"/>
      <c r="AD40" s="70"/>
      <c r="AE40" s="70"/>
      <c r="AF40" s="62">
        <f t="shared" si="25"/>
        <v>0</v>
      </c>
      <c r="AG40" s="63">
        <f t="shared" si="26"/>
        <v>0</v>
      </c>
      <c r="AH40" s="89"/>
      <c r="AI40" s="66"/>
      <c r="AJ40" s="66"/>
      <c r="AK40" s="62">
        <f t="shared" si="19"/>
        <v>0</v>
      </c>
      <c r="AL40" s="72">
        <f t="shared" si="20"/>
        <v>0</v>
      </c>
      <c r="AM40" s="73">
        <f t="shared" si="39"/>
        <v>0</v>
      </c>
      <c r="AN40" s="80">
        <f t="shared" si="40"/>
        <v>0</v>
      </c>
      <c r="AO40" s="80">
        <f t="shared" si="41"/>
        <v>0</v>
      </c>
      <c r="AP40" s="75" t="e">
        <f t="shared" si="24"/>
        <v>#DIV/0!</v>
      </c>
      <c r="AQ40" s="76">
        <f t="shared" si="9"/>
        <v>0</v>
      </c>
      <c r="AR40" s="90">
        <f t="shared" si="10"/>
        <v>0</v>
      </c>
    </row>
    <row r="41" spans="1:49" x14ac:dyDescent="0.25">
      <c r="A41" t="str">
        <f t="shared" si="11"/>
        <v>46192E</v>
      </c>
      <c r="B41" s="51">
        <f t="shared" si="27"/>
        <v>46192</v>
      </c>
      <c r="C41" s="52" t="s">
        <v>88</v>
      </c>
      <c r="D41" s="91"/>
      <c r="E41" s="62"/>
      <c r="F41" s="62"/>
      <c r="G41" s="62">
        <f t="shared" si="28"/>
        <v>0</v>
      </c>
      <c r="H41" s="63">
        <f t="shared" si="29"/>
        <v>0</v>
      </c>
      <c r="I41" s="119"/>
      <c r="J41" s="120"/>
      <c r="K41" s="121"/>
      <c r="L41" s="122"/>
      <c r="M41" s="58"/>
      <c r="N41" s="58"/>
      <c r="O41" s="59"/>
      <c r="P41" s="56"/>
      <c r="Q41" s="60"/>
      <c r="R41" s="61">
        <f t="shared" si="36"/>
        <v>0</v>
      </c>
      <c r="S41" s="62">
        <f t="shared" si="37"/>
        <v>0</v>
      </c>
      <c r="T41" s="63">
        <f t="shared" si="38"/>
        <v>0</v>
      </c>
      <c r="U41" s="64"/>
      <c r="V41" s="65"/>
      <c r="W41" s="66"/>
      <c r="X41" s="67"/>
      <c r="Y41" s="68"/>
      <c r="Z41" s="68"/>
      <c r="AA41" s="62">
        <f t="shared" si="15"/>
        <v>0</v>
      </c>
      <c r="AB41" s="63">
        <f t="shared" si="16"/>
        <v>0</v>
      </c>
      <c r="AC41" s="69"/>
      <c r="AD41" s="70"/>
      <c r="AE41" s="70"/>
      <c r="AF41" s="62">
        <f t="shared" si="25"/>
        <v>0</v>
      </c>
      <c r="AG41" s="63">
        <f t="shared" si="26"/>
        <v>0</v>
      </c>
      <c r="AH41" s="89"/>
      <c r="AI41" s="66"/>
      <c r="AJ41" s="66"/>
      <c r="AK41" s="62">
        <f t="shared" si="19"/>
        <v>0</v>
      </c>
      <c r="AL41" s="72">
        <f t="shared" si="20"/>
        <v>0</v>
      </c>
      <c r="AM41" s="73">
        <f t="shared" si="39"/>
        <v>0</v>
      </c>
      <c r="AN41" s="80">
        <f t="shared" si="40"/>
        <v>0</v>
      </c>
      <c r="AO41" s="80">
        <f t="shared" si="41"/>
        <v>0</v>
      </c>
      <c r="AP41" s="75" t="e">
        <f t="shared" si="24"/>
        <v>#DIV/0!</v>
      </c>
      <c r="AQ41" s="76">
        <f t="shared" si="9"/>
        <v>0</v>
      </c>
      <c r="AR41" s="90">
        <f t="shared" si="10"/>
        <v>0</v>
      </c>
    </row>
    <row r="42" spans="1:49" x14ac:dyDescent="0.25">
      <c r="A42" t="str">
        <f t="shared" si="11"/>
        <v>46193M</v>
      </c>
      <c r="B42" s="51">
        <f t="shared" si="27"/>
        <v>46193</v>
      </c>
      <c r="C42" s="52" t="s">
        <v>87</v>
      </c>
      <c r="D42" s="91"/>
      <c r="E42" s="62"/>
      <c r="F42" s="62"/>
      <c r="G42" s="62">
        <f t="shared" si="28"/>
        <v>0</v>
      </c>
      <c r="H42" s="63">
        <f t="shared" si="29"/>
        <v>0</v>
      </c>
      <c r="I42" s="119"/>
      <c r="J42" s="120"/>
      <c r="K42" s="121"/>
      <c r="L42" s="122"/>
      <c r="M42" s="58"/>
      <c r="N42" s="58"/>
      <c r="O42" s="59"/>
      <c r="P42" s="56"/>
      <c r="Q42" s="60"/>
      <c r="R42" s="61">
        <f t="shared" si="36"/>
        <v>0</v>
      </c>
      <c r="S42" s="62">
        <f t="shared" si="37"/>
        <v>0</v>
      </c>
      <c r="T42" s="63">
        <f t="shared" si="38"/>
        <v>0</v>
      </c>
      <c r="U42" s="64"/>
      <c r="V42" s="65"/>
      <c r="W42" s="66"/>
      <c r="X42" s="67"/>
      <c r="Y42" s="68"/>
      <c r="Z42" s="68"/>
      <c r="AA42" s="62">
        <f t="shared" si="15"/>
        <v>0</v>
      </c>
      <c r="AB42" s="63">
        <f t="shared" si="16"/>
        <v>0</v>
      </c>
      <c r="AC42" s="69"/>
      <c r="AD42" s="70"/>
      <c r="AE42" s="70"/>
      <c r="AF42" s="62">
        <f t="shared" si="25"/>
        <v>0</v>
      </c>
      <c r="AG42" s="63">
        <f t="shared" si="26"/>
        <v>0</v>
      </c>
      <c r="AH42" s="89"/>
      <c r="AI42" s="66"/>
      <c r="AJ42" s="66"/>
      <c r="AK42" s="62">
        <f t="shared" si="19"/>
        <v>0</v>
      </c>
      <c r="AL42" s="72">
        <f t="shared" si="20"/>
        <v>0</v>
      </c>
      <c r="AM42" s="73">
        <f t="shared" si="39"/>
        <v>0</v>
      </c>
      <c r="AN42" s="80">
        <f t="shared" si="40"/>
        <v>0</v>
      </c>
      <c r="AO42" s="80">
        <f t="shared" si="41"/>
        <v>0</v>
      </c>
      <c r="AP42" s="75" t="e">
        <f t="shared" si="24"/>
        <v>#DIV/0!</v>
      </c>
      <c r="AQ42" s="76">
        <f t="shared" si="9"/>
        <v>0</v>
      </c>
      <c r="AR42" s="90">
        <f>(D42+J42+O42)-(X42+AH42)</f>
        <v>0</v>
      </c>
    </row>
    <row r="43" spans="1:49" x14ac:dyDescent="0.25">
      <c r="A43" t="str">
        <f t="shared" si="11"/>
        <v>46193E</v>
      </c>
      <c r="B43" s="51">
        <f t="shared" si="27"/>
        <v>46193</v>
      </c>
      <c r="C43" s="52" t="s">
        <v>88</v>
      </c>
      <c r="D43" s="91"/>
      <c r="E43" s="62"/>
      <c r="F43" s="62"/>
      <c r="G43" s="62">
        <f t="shared" si="28"/>
        <v>0</v>
      </c>
      <c r="H43" s="63">
        <f t="shared" si="29"/>
        <v>0</v>
      </c>
      <c r="I43" s="119"/>
      <c r="J43" s="120"/>
      <c r="K43" s="121"/>
      <c r="L43" s="122"/>
      <c r="M43" s="58"/>
      <c r="N43" s="58"/>
      <c r="O43" s="59"/>
      <c r="P43" s="56"/>
      <c r="Q43" s="60"/>
      <c r="R43" s="61">
        <f t="shared" si="36"/>
        <v>0</v>
      </c>
      <c r="S43" s="62">
        <f t="shared" si="37"/>
        <v>0</v>
      </c>
      <c r="T43" s="63">
        <f t="shared" si="38"/>
        <v>0</v>
      </c>
      <c r="U43" s="64"/>
      <c r="V43" s="65"/>
      <c r="W43" s="66"/>
      <c r="X43" s="67"/>
      <c r="Y43" s="68"/>
      <c r="Z43" s="68"/>
      <c r="AA43" s="62">
        <f t="shared" si="15"/>
        <v>0</v>
      </c>
      <c r="AB43" s="63">
        <f t="shared" si="16"/>
        <v>0</v>
      </c>
      <c r="AC43" s="69"/>
      <c r="AD43" s="70"/>
      <c r="AE43" s="70"/>
      <c r="AF43" s="62">
        <f t="shared" si="25"/>
        <v>0</v>
      </c>
      <c r="AG43" s="63">
        <f t="shared" si="26"/>
        <v>0</v>
      </c>
      <c r="AH43" s="89"/>
      <c r="AI43" s="66"/>
      <c r="AJ43" s="66"/>
      <c r="AK43" s="62">
        <f t="shared" si="19"/>
        <v>0</v>
      </c>
      <c r="AL43" s="72">
        <f t="shared" si="20"/>
        <v>0</v>
      </c>
      <c r="AM43" s="73">
        <f t="shared" si="39"/>
        <v>0</v>
      </c>
      <c r="AN43" s="80">
        <f t="shared" si="40"/>
        <v>0</v>
      </c>
      <c r="AO43" s="80">
        <f t="shared" si="41"/>
        <v>0</v>
      </c>
      <c r="AP43" s="75" t="e">
        <f t="shared" si="24"/>
        <v>#DIV/0!</v>
      </c>
      <c r="AQ43" s="76">
        <f t="shared" si="9"/>
        <v>0</v>
      </c>
      <c r="AR43" s="90">
        <f t="shared" si="10"/>
        <v>0</v>
      </c>
    </row>
    <row r="44" spans="1:49" x14ac:dyDescent="0.25">
      <c r="A44" t="str">
        <f t="shared" si="11"/>
        <v>46194M</v>
      </c>
      <c r="B44" s="51">
        <f t="shared" si="27"/>
        <v>46194</v>
      </c>
      <c r="C44" s="52" t="s">
        <v>87</v>
      </c>
      <c r="D44" s="91"/>
      <c r="E44" s="62"/>
      <c r="F44" s="62"/>
      <c r="G44" s="62">
        <f t="shared" ref="G44:G65" si="42">+D44*E44%</f>
        <v>0</v>
      </c>
      <c r="H44" s="63">
        <f t="shared" ref="H44:H65" si="43">+D44*F44%</f>
        <v>0</v>
      </c>
      <c r="I44" s="119"/>
      <c r="J44" s="120"/>
      <c r="K44" s="121"/>
      <c r="L44" s="122"/>
      <c r="M44" s="58"/>
      <c r="N44" s="58"/>
      <c r="O44" s="59"/>
      <c r="P44" s="56"/>
      <c r="Q44" s="60"/>
      <c r="R44" s="61">
        <f t="shared" si="36"/>
        <v>0</v>
      </c>
      <c r="S44" s="62">
        <f t="shared" si="37"/>
        <v>0</v>
      </c>
      <c r="T44" s="63">
        <f t="shared" si="38"/>
        <v>0</v>
      </c>
      <c r="U44" s="64"/>
      <c r="V44" s="65"/>
      <c r="W44" s="66"/>
      <c r="X44" s="67"/>
      <c r="Y44" s="68"/>
      <c r="Z44" s="68"/>
      <c r="AA44" s="62">
        <f t="shared" si="15"/>
        <v>0</v>
      </c>
      <c r="AB44" s="63">
        <f t="shared" si="16"/>
        <v>0</v>
      </c>
      <c r="AC44" s="69"/>
      <c r="AD44" s="70"/>
      <c r="AE44" s="70"/>
      <c r="AF44" s="62">
        <f t="shared" si="25"/>
        <v>0</v>
      </c>
      <c r="AG44" s="63">
        <f t="shared" si="26"/>
        <v>0</v>
      </c>
      <c r="AH44" s="89"/>
      <c r="AI44" s="66"/>
      <c r="AJ44" s="66"/>
      <c r="AK44" s="62">
        <f t="shared" si="19"/>
        <v>0</v>
      </c>
      <c r="AL44" s="72">
        <f t="shared" si="20"/>
        <v>0</v>
      </c>
      <c r="AM44" s="73">
        <f t="shared" si="39"/>
        <v>0</v>
      </c>
      <c r="AN44" s="80">
        <f t="shared" si="40"/>
        <v>0</v>
      </c>
      <c r="AO44" s="80">
        <f t="shared" si="41"/>
        <v>0</v>
      </c>
      <c r="AP44" s="75" t="e">
        <f t="shared" si="24"/>
        <v>#DIV/0!</v>
      </c>
      <c r="AQ44" s="76">
        <f t="shared" si="9"/>
        <v>0</v>
      </c>
      <c r="AR44" s="90">
        <f t="shared" si="10"/>
        <v>0</v>
      </c>
    </row>
    <row r="45" spans="1:49" x14ac:dyDescent="0.25">
      <c r="A45" t="str">
        <f t="shared" si="11"/>
        <v>46194E</v>
      </c>
      <c r="B45" s="51">
        <f t="shared" si="27"/>
        <v>46194</v>
      </c>
      <c r="C45" s="52" t="s">
        <v>88</v>
      </c>
      <c r="D45" s="91"/>
      <c r="E45" s="62"/>
      <c r="F45" s="62"/>
      <c r="G45" s="62">
        <f t="shared" si="42"/>
        <v>0</v>
      </c>
      <c r="H45" s="63">
        <f t="shared" si="43"/>
        <v>0</v>
      </c>
      <c r="I45" s="119"/>
      <c r="J45" s="120"/>
      <c r="K45" s="121"/>
      <c r="L45" s="122"/>
      <c r="M45" s="58"/>
      <c r="N45" s="58"/>
      <c r="O45" s="59"/>
      <c r="P45" s="56"/>
      <c r="Q45" s="60"/>
      <c r="R45" s="61">
        <f t="shared" si="36"/>
        <v>0</v>
      </c>
      <c r="S45" s="62">
        <f t="shared" si="37"/>
        <v>0</v>
      </c>
      <c r="T45" s="63">
        <f t="shared" si="38"/>
        <v>0</v>
      </c>
      <c r="U45" s="64"/>
      <c r="V45" s="65"/>
      <c r="W45" s="66"/>
      <c r="X45" s="67"/>
      <c r="Y45" s="68"/>
      <c r="Z45" s="68"/>
      <c r="AA45" s="62">
        <f t="shared" si="15"/>
        <v>0</v>
      </c>
      <c r="AB45" s="63">
        <f t="shared" si="16"/>
        <v>0</v>
      </c>
      <c r="AC45" s="69"/>
      <c r="AD45" s="70"/>
      <c r="AE45" s="70"/>
      <c r="AF45" s="62">
        <f t="shared" si="25"/>
        <v>0</v>
      </c>
      <c r="AG45" s="63">
        <f t="shared" si="26"/>
        <v>0</v>
      </c>
      <c r="AH45" s="89"/>
      <c r="AI45" s="66"/>
      <c r="AJ45" s="66"/>
      <c r="AK45" s="62">
        <f t="shared" si="19"/>
        <v>0</v>
      </c>
      <c r="AL45" s="72">
        <f t="shared" si="20"/>
        <v>0</v>
      </c>
      <c r="AM45" s="73">
        <f t="shared" si="39"/>
        <v>0</v>
      </c>
      <c r="AN45" s="80">
        <f t="shared" si="40"/>
        <v>0</v>
      </c>
      <c r="AO45" s="80">
        <f t="shared" si="41"/>
        <v>0</v>
      </c>
      <c r="AP45" s="75" t="e">
        <f t="shared" si="24"/>
        <v>#DIV/0!</v>
      </c>
      <c r="AQ45" s="76">
        <f t="shared" si="9"/>
        <v>0</v>
      </c>
      <c r="AR45" s="90">
        <f t="shared" si="10"/>
        <v>0</v>
      </c>
      <c r="AS45" s="90">
        <f>SUM(J32:J45)</f>
        <v>0</v>
      </c>
      <c r="AT45" s="83">
        <f>SUM(AM32:AM45)</f>
        <v>0</v>
      </c>
      <c r="AU45" s="83">
        <f>SUM(AN32:AN45)</f>
        <v>0</v>
      </c>
      <c r="AV45" s="83">
        <f>SUM(AO32:AO45)</f>
        <v>0</v>
      </c>
      <c r="AW45" s="83">
        <f>-SUM(AQ32:AQ45)</f>
        <v>0</v>
      </c>
    </row>
    <row r="46" spans="1:49" ht="14.25" customHeight="1" x14ac:dyDescent="0.25">
      <c r="A46" t="str">
        <f t="shared" si="11"/>
        <v>46195M</v>
      </c>
      <c r="B46" s="51">
        <f t="shared" si="27"/>
        <v>46195</v>
      </c>
      <c r="C46" s="52" t="s">
        <v>87</v>
      </c>
      <c r="D46" s="91"/>
      <c r="E46" s="62"/>
      <c r="F46" s="62"/>
      <c r="G46" s="62">
        <f t="shared" si="42"/>
        <v>0</v>
      </c>
      <c r="H46" s="63">
        <f t="shared" si="43"/>
        <v>0</v>
      </c>
      <c r="I46" s="119"/>
      <c r="J46" s="120"/>
      <c r="K46" s="121"/>
      <c r="L46" s="122"/>
      <c r="M46" s="58"/>
      <c r="N46" s="58"/>
      <c r="O46" s="59"/>
      <c r="P46" s="56"/>
      <c r="Q46" s="60"/>
      <c r="R46" s="61">
        <f t="shared" si="36"/>
        <v>0</v>
      </c>
      <c r="S46" s="62">
        <f t="shared" si="37"/>
        <v>0</v>
      </c>
      <c r="T46" s="63">
        <f t="shared" si="38"/>
        <v>0</v>
      </c>
      <c r="U46" s="64"/>
      <c r="V46" s="65"/>
      <c r="W46" s="66"/>
      <c r="X46" s="67"/>
      <c r="Y46" s="68"/>
      <c r="Z46" s="68"/>
      <c r="AA46" s="62">
        <f t="shared" si="15"/>
        <v>0</v>
      </c>
      <c r="AB46" s="63">
        <f t="shared" si="16"/>
        <v>0</v>
      </c>
      <c r="AC46" s="69"/>
      <c r="AD46" s="70"/>
      <c r="AE46" s="70"/>
      <c r="AF46" s="62">
        <f t="shared" si="25"/>
        <v>0</v>
      </c>
      <c r="AG46" s="63">
        <f t="shared" si="26"/>
        <v>0</v>
      </c>
      <c r="AH46" s="89"/>
      <c r="AI46" s="66"/>
      <c r="AJ46" s="66"/>
      <c r="AK46" s="62">
        <f t="shared" si="19"/>
        <v>0</v>
      </c>
      <c r="AL46" s="72">
        <f t="shared" si="20"/>
        <v>0</v>
      </c>
      <c r="AM46" s="73">
        <f t="shared" si="39"/>
        <v>0</v>
      </c>
      <c r="AN46" s="80">
        <f t="shared" si="40"/>
        <v>0</v>
      </c>
      <c r="AO46" s="80">
        <f t="shared" si="41"/>
        <v>0</v>
      </c>
      <c r="AP46" s="75" t="e">
        <f t="shared" si="24"/>
        <v>#DIV/0!</v>
      </c>
      <c r="AQ46" s="76">
        <f t="shared" si="9"/>
        <v>0</v>
      </c>
      <c r="AR46" s="90">
        <f t="shared" si="10"/>
        <v>0</v>
      </c>
    </row>
    <row r="47" spans="1:49" x14ac:dyDescent="0.25">
      <c r="A47" t="str">
        <f t="shared" si="11"/>
        <v>46195E</v>
      </c>
      <c r="B47" s="51">
        <f t="shared" si="27"/>
        <v>46195</v>
      </c>
      <c r="C47" s="52" t="s">
        <v>88</v>
      </c>
      <c r="D47" s="91"/>
      <c r="E47" s="62"/>
      <c r="F47" s="62"/>
      <c r="G47" s="62">
        <f t="shared" si="42"/>
        <v>0</v>
      </c>
      <c r="H47" s="63">
        <f t="shared" si="43"/>
        <v>0</v>
      </c>
      <c r="I47" s="119"/>
      <c r="J47" s="120"/>
      <c r="K47" s="121"/>
      <c r="L47" s="122"/>
      <c r="M47" s="58"/>
      <c r="N47" s="58"/>
      <c r="O47" s="59"/>
      <c r="P47" s="56"/>
      <c r="Q47" s="60"/>
      <c r="R47" s="61">
        <f t="shared" si="36"/>
        <v>0</v>
      </c>
      <c r="S47" s="62">
        <f t="shared" si="37"/>
        <v>0</v>
      </c>
      <c r="T47" s="63">
        <f t="shared" si="38"/>
        <v>0</v>
      </c>
      <c r="U47" s="64"/>
      <c r="V47" s="65"/>
      <c r="W47" s="66"/>
      <c r="X47" s="67"/>
      <c r="Y47" s="68"/>
      <c r="Z47" s="68"/>
      <c r="AA47" s="62">
        <f t="shared" si="15"/>
        <v>0</v>
      </c>
      <c r="AB47" s="63">
        <f t="shared" si="16"/>
        <v>0</v>
      </c>
      <c r="AC47" s="69"/>
      <c r="AD47" s="70"/>
      <c r="AE47" s="70"/>
      <c r="AF47" s="62">
        <f t="shared" si="25"/>
        <v>0</v>
      </c>
      <c r="AG47" s="63">
        <f t="shared" si="26"/>
        <v>0</v>
      </c>
      <c r="AH47" s="89"/>
      <c r="AI47" s="66"/>
      <c r="AJ47" s="66"/>
      <c r="AK47" s="62">
        <f t="shared" si="19"/>
        <v>0</v>
      </c>
      <c r="AL47" s="72">
        <f t="shared" si="20"/>
        <v>0</v>
      </c>
      <c r="AM47" s="73">
        <f t="shared" si="39"/>
        <v>0</v>
      </c>
      <c r="AN47" s="80">
        <f t="shared" si="40"/>
        <v>0</v>
      </c>
      <c r="AO47" s="80">
        <f t="shared" si="41"/>
        <v>0</v>
      </c>
      <c r="AP47" s="75" t="e">
        <f t="shared" si="24"/>
        <v>#DIV/0!</v>
      </c>
      <c r="AQ47" s="76">
        <f t="shared" si="9"/>
        <v>0</v>
      </c>
      <c r="AR47" s="90">
        <f t="shared" si="10"/>
        <v>0</v>
      </c>
    </row>
    <row r="48" spans="1:49" x14ac:dyDescent="0.25">
      <c r="A48" t="str">
        <f t="shared" si="11"/>
        <v>46196M</v>
      </c>
      <c r="B48" s="51">
        <f t="shared" si="27"/>
        <v>46196</v>
      </c>
      <c r="C48" s="52" t="s">
        <v>87</v>
      </c>
      <c r="D48" s="91"/>
      <c r="E48" s="62"/>
      <c r="F48" s="62"/>
      <c r="G48" s="62">
        <f t="shared" si="42"/>
        <v>0</v>
      </c>
      <c r="H48" s="63">
        <f t="shared" si="43"/>
        <v>0</v>
      </c>
      <c r="I48" s="119"/>
      <c r="J48" s="120"/>
      <c r="K48" s="121"/>
      <c r="L48" s="122"/>
      <c r="M48" s="58"/>
      <c r="N48" s="58"/>
      <c r="O48" s="59"/>
      <c r="P48" s="56"/>
      <c r="Q48" s="60"/>
      <c r="R48" s="61">
        <f t="shared" si="36"/>
        <v>0</v>
      </c>
      <c r="S48" s="62">
        <f t="shared" si="37"/>
        <v>0</v>
      </c>
      <c r="T48" s="63">
        <f t="shared" si="38"/>
        <v>0</v>
      </c>
      <c r="U48" s="64"/>
      <c r="V48" s="65"/>
      <c r="W48" s="66"/>
      <c r="X48" s="67"/>
      <c r="Y48" s="68"/>
      <c r="Z48" s="68"/>
      <c r="AA48" s="62">
        <f t="shared" si="15"/>
        <v>0</v>
      </c>
      <c r="AB48" s="63">
        <f t="shared" si="16"/>
        <v>0</v>
      </c>
      <c r="AC48" s="69"/>
      <c r="AD48" s="70"/>
      <c r="AE48" s="70"/>
      <c r="AF48" s="62">
        <f t="shared" si="25"/>
        <v>0</v>
      </c>
      <c r="AG48" s="63">
        <f t="shared" si="26"/>
        <v>0</v>
      </c>
      <c r="AH48" s="89"/>
      <c r="AI48" s="66"/>
      <c r="AJ48" s="66"/>
      <c r="AK48" s="62">
        <f t="shared" si="19"/>
        <v>0</v>
      </c>
      <c r="AL48" s="72">
        <f t="shared" si="20"/>
        <v>0</v>
      </c>
      <c r="AM48" s="73">
        <f t="shared" si="39"/>
        <v>0</v>
      </c>
      <c r="AN48" s="80">
        <f t="shared" si="40"/>
        <v>0</v>
      </c>
      <c r="AO48" s="80">
        <f t="shared" si="41"/>
        <v>0</v>
      </c>
      <c r="AP48" s="75" t="e">
        <f t="shared" si="24"/>
        <v>#DIV/0!</v>
      </c>
      <c r="AQ48" s="76">
        <f t="shared" si="9"/>
        <v>0</v>
      </c>
      <c r="AR48" s="90">
        <f t="shared" si="10"/>
        <v>0</v>
      </c>
    </row>
    <row r="49" spans="1:49" x14ac:dyDescent="0.25">
      <c r="A49" t="str">
        <f t="shared" si="11"/>
        <v>46196E</v>
      </c>
      <c r="B49" s="51">
        <f t="shared" si="27"/>
        <v>46196</v>
      </c>
      <c r="C49" s="52" t="s">
        <v>88</v>
      </c>
      <c r="D49" s="91"/>
      <c r="E49" s="62"/>
      <c r="F49" s="62"/>
      <c r="G49" s="62">
        <f t="shared" si="42"/>
        <v>0</v>
      </c>
      <c r="H49" s="63">
        <f t="shared" si="43"/>
        <v>0</v>
      </c>
      <c r="I49" s="119"/>
      <c r="J49" s="120"/>
      <c r="K49" s="121"/>
      <c r="L49" s="122"/>
      <c r="M49" s="58"/>
      <c r="N49" s="58"/>
      <c r="O49" s="59"/>
      <c r="P49" s="56"/>
      <c r="Q49" s="60"/>
      <c r="R49" s="61">
        <f t="shared" ref="R49:R63" si="44">+J49+O49</f>
        <v>0</v>
      </c>
      <c r="S49" s="62">
        <f t="shared" ref="S49:S63" si="45">+J49*K49%+O49*P49%</f>
        <v>0</v>
      </c>
      <c r="T49" s="63">
        <f t="shared" ref="T49:T63" si="46">+J49*L49%+O49*Q49%</f>
        <v>0</v>
      </c>
      <c r="U49" s="64"/>
      <c r="V49" s="65"/>
      <c r="W49" s="66"/>
      <c r="X49" s="67"/>
      <c r="Y49" s="68"/>
      <c r="Z49" s="68"/>
      <c r="AA49" s="62">
        <f t="shared" si="15"/>
        <v>0</v>
      </c>
      <c r="AB49" s="63">
        <f t="shared" si="16"/>
        <v>0</v>
      </c>
      <c r="AC49" s="69"/>
      <c r="AD49" s="70"/>
      <c r="AE49" s="70"/>
      <c r="AF49" s="62">
        <f t="shared" si="25"/>
        <v>0</v>
      </c>
      <c r="AG49" s="63">
        <f t="shared" si="26"/>
        <v>0</v>
      </c>
      <c r="AH49" s="89"/>
      <c r="AI49" s="66"/>
      <c r="AJ49" s="66"/>
      <c r="AK49" s="62">
        <f t="shared" si="19"/>
        <v>0</v>
      </c>
      <c r="AL49" s="72">
        <f t="shared" si="20"/>
        <v>0</v>
      </c>
      <c r="AM49" s="73">
        <f t="shared" si="39"/>
        <v>0</v>
      </c>
      <c r="AN49" s="80">
        <f t="shared" si="40"/>
        <v>0</v>
      </c>
      <c r="AO49" s="80">
        <f t="shared" si="41"/>
        <v>0</v>
      </c>
      <c r="AP49" s="75" t="e">
        <f t="shared" si="24"/>
        <v>#DIV/0!</v>
      </c>
      <c r="AQ49" s="76">
        <f t="shared" si="9"/>
        <v>0</v>
      </c>
      <c r="AR49" s="90">
        <f t="shared" ref="AR49:AR63" si="47">(D49+J49+O49)-(X49+AH49)</f>
        <v>0</v>
      </c>
    </row>
    <row r="50" spans="1:49" x14ac:dyDescent="0.25">
      <c r="A50" t="str">
        <f t="shared" si="11"/>
        <v>46197M</v>
      </c>
      <c r="B50" s="51">
        <f t="shared" si="27"/>
        <v>46197</v>
      </c>
      <c r="C50" s="52" t="s">
        <v>87</v>
      </c>
      <c r="D50" s="91"/>
      <c r="E50" s="62"/>
      <c r="F50" s="62"/>
      <c r="G50" s="62">
        <f t="shared" si="42"/>
        <v>0</v>
      </c>
      <c r="H50" s="63">
        <f t="shared" si="43"/>
        <v>0</v>
      </c>
      <c r="I50" s="119"/>
      <c r="J50" s="120"/>
      <c r="K50" s="121"/>
      <c r="L50" s="122"/>
      <c r="M50" s="58"/>
      <c r="N50" s="58"/>
      <c r="O50" s="59"/>
      <c r="P50" s="56"/>
      <c r="Q50" s="60"/>
      <c r="R50" s="61">
        <f t="shared" si="44"/>
        <v>0</v>
      </c>
      <c r="S50" s="62">
        <f t="shared" si="45"/>
        <v>0</v>
      </c>
      <c r="T50" s="63">
        <f t="shared" si="46"/>
        <v>0</v>
      </c>
      <c r="U50" s="64"/>
      <c r="V50" s="65"/>
      <c r="W50" s="66"/>
      <c r="X50" s="67"/>
      <c r="Y50" s="68"/>
      <c r="Z50" s="68"/>
      <c r="AA50" s="62">
        <f t="shared" si="15"/>
        <v>0</v>
      </c>
      <c r="AB50" s="63">
        <f t="shared" si="16"/>
        <v>0</v>
      </c>
      <c r="AC50" s="69"/>
      <c r="AD50" s="70"/>
      <c r="AE50" s="70"/>
      <c r="AF50" s="62">
        <f t="shared" si="25"/>
        <v>0</v>
      </c>
      <c r="AG50" s="63">
        <f t="shared" si="26"/>
        <v>0</v>
      </c>
      <c r="AH50" s="89"/>
      <c r="AI50" s="66"/>
      <c r="AJ50" s="66"/>
      <c r="AK50" s="62">
        <f t="shared" si="19"/>
        <v>0</v>
      </c>
      <c r="AL50" s="72">
        <f t="shared" si="20"/>
        <v>0</v>
      </c>
      <c r="AM50" s="73">
        <f t="shared" ref="AM50:AM63" si="48">+D50+R50-AC50-AH50</f>
        <v>0</v>
      </c>
      <c r="AN50" s="80">
        <f t="shared" ref="AN50:AN63" si="49">+G50+S50-AF50-AK50</f>
        <v>0</v>
      </c>
      <c r="AO50" s="80">
        <f t="shared" ref="AO50:AO63" si="50">+H50+T50-AG50-AL50</f>
        <v>0</v>
      </c>
      <c r="AP50" s="75" t="e">
        <f t="shared" si="24"/>
        <v>#DIV/0!</v>
      </c>
      <c r="AQ50" s="76">
        <f t="shared" si="9"/>
        <v>0</v>
      </c>
      <c r="AR50" s="90">
        <f t="shared" si="47"/>
        <v>0</v>
      </c>
    </row>
    <row r="51" spans="1:49" x14ac:dyDescent="0.25">
      <c r="A51" t="str">
        <f t="shared" si="11"/>
        <v>46197E</v>
      </c>
      <c r="B51" s="51">
        <f t="shared" si="27"/>
        <v>46197</v>
      </c>
      <c r="C51" s="52" t="s">
        <v>88</v>
      </c>
      <c r="D51" s="91"/>
      <c r="E51" s="62"/>
      <c r="F51" s="62"/>
      <c r="G51" s="62">
        <f t="shared" si="42"/>
        <v>0</v>
      </c>
      <c r="H51" s="63">
        <f t="shared" si="43"/>
        <v>0</v>
      </c>
      <c r="I51" s="119"/>
      <c r="J51" s="120"/>
      <c r="K51" s="121"/>
      <c r="L51" s="122"/>
      <c r="M51" s="58"/>
      <c r="N51" s="58"/>
      <c r="O51" s="59"/>
      <c r="P51" s="56"/>
      <c r="Q51" s="60"/>
      <c r="R51" s="61">
        <f t="shared" si="44"/>
        <v>0</v>
      </c>
      <c r="S51" s="62">
        <f t="shared" si="45"/>
        <v>0</v>
      </c>
      <c r="T51" s="63">
        <f t="shared" si="46"/>
        <v>0</v>
      </c>
      <c r="U51" s="64"/>
      <c r="V51" s="65"/>
      <c r="W51" s="66"/>
      <c r="X51" s="67"/>
      <c r="Y51" s="68"/>
      <c r="Z51" s="68"/>
      <c r="AA51" s="62">
        <f t="shared" si="15"/>
        <v>0</v>
      </c>
      <c r="AB51" s="63">
        <f t="shared" si="16"/>
        <v>0</v>
      </c>
      <c r="AC51" s="69"/>
      <c r="AD51" s="70"/>
      <c r="AE51" s="70"/>
      <c r="AF51" s="62">
        <f t="shared" si="25"/>
        <v>0</v>
      </c>
      <c r="AG51" s="63">
        <f t="shared" si="26"/>
        <v>0</v>
      </c>
      <c r="AH51" s="89"/>
      <c r="AI51" s="66"/>
      <c r="AJ51" s="66"/>
      <c r="AK51" s="62">
        <f t="shared" si="19"/>
        <v>0</v>
      </c>
      <c r="AL51" s="72">
        <f t="shared" si="20"/>
        <v>0</v>
      </c>
      <c r="AM51" s="73">
        <f t="shared" si="48"/>
        <v>0</v>
      </c>
      <c r="AN51" s="80">
        <f t="shared" si="49"/>
        <v>0</v>
      </c>
      <c r="AO51" s="80">
        <f t="shared" si="50"/>
        <v>0</v>
      </c>
      <c r="AP51" s="75" t="e">
        <f t="shared" si="24"/>
        <v>#DIV/0!</v>
      </c>
      <c r="AQ51" s="76">
        <f t="shared" si="9"/>
        <v>0</v>
      </c>
      <c r="AR51" s="90">
        <f t="shared" si="47"/>
        <v>0</v>
      </c>
    </row>
    <row r="52" spans="1:49" x14ac:dyDescent="0.25">
      <c r="A52" t="str">
        <f t="shared" si="11"/>
        <v>46198M</v>
      </c>
      <c r="B52" s="51">
        <f t="shared" si="27"/>
        <v>46198</v>
      </c>
      <c r="C52" s="52" t="s">
        <v>87</v>
      </c>
      <c r="D52" s="91"/>
      <c r="E52" s="62"/>
      <c r="F52" s="62"/>
      <c r="G52" s="62">
        <f t="shared" si="42"/>
        <v>0</v>
      </c>
      <c r="H52" s="63">
        <f t="shared" si="43"/>
        <v>0</v>
      </c>
      <c r="I52" s="119"/>
      <c r="J52" s="120"/>
      <c r="K52" s="121"/>
      <c r="L52" s="122"/>
      <c r="M52" s="58"/>
      <c r="N52" s="58"/>
      <c r="O52" s="59"/>
      <c r="P52" s="56"/>
      <c r="Q52" s="60"/>
      <c r="R52" s="61">
        <f t="shared" si="44"/>
        <v>0</v>
      </c>
      <c r="S52" s="62">
        <f t="shared" si="45"/>
        <v>0</v>
      </c>
      <c r="T52" s="63">
        <f t="shared" si="46"/>
        <v>0</v>
      </c>
      <c r="U52" s="64"/>
      <c r="V52" s="65"/>
      <c r="W52" s="66"/>
      <c r="X52" s="67"/>
      <c r="Y52" s="68"/>
      <c r="Z52" s="68"/>
      <c r="AA52" s="62">
        <f t="shared" si="15"/>
        <v>0</v>
      </c>
      <c r="AB52" s="63">
        <f t="shared" si="16"/>
        <v>0</v>
      </c>
      <c r="AC52" s="69"/>
      <c r="AD52" s="70"/>
      <c r="AE52" s="70"/>
      <c r="AF52" s="62">
        <f t="shared" si="25"/>
        <v>0</v>
      </c>
      <c r="AG52" s="63">
        <f t="shared" si="26"/>
        <v>0</v>
      </c>
      <c r="AH52" s="89"/>
      <c r="AI52" s="66"/>
      <c r="AJ52" s="66"/>
      <c r="AK52" s="62">
        <f t="shared" si="19"/>
        <v>0</v>
      </c>
      <c r="AL52" s="72">
        <f t="shared" si="20"/>
        <v>0</v>
      </c>
      <c r="AM52" s="73">
        <f t="shared" si="48"/>
        <v>0</v>
      </c>
      <c r="AN52" s="80">
        <f t="shared" si="49"/>
        <v>0</v>
      </c>
      <c r="AO52" s="80">
        <f t="shared" si="50"/>
        <v>0</v>
      </c>
      <c r="AP52" s="75" t="e">
        <f t="shared" si="24"/>
        <v>#DIV/0!</v>
      </c>
      <c r="AQ52" s="76">
        <f t="shared" si="9"/>
        <v>0</v>
      </c>
      <c r="AR52" s="90">
        <f t="shared" si="47"/>
        <v>0</v>
      </c>
    </row>
    <row r="53" spans="1:49" x14ac:dyDescent="0.25">
      <c r="A53" t="str">
        <f t="shared" si="11"/>
        <v>46198E</v>
      </c>
      <c r="B53" s="51">
        <f t="shared" si="27"/>
        <v>46198</v>
      </c>
      <c r="C53" s="52" t="s">
        <v>88</v>
      </c>
      <c r="D53" s="91"/>
      <c r="E53" s="62"/>
      <c r="F53" s="62"/>
      <c r="G53" s="62">
        <f t="shared" si="42"/>
        <v>0</v>
      </c>
      <c r="H53" s="63">
        <f t="shared" si="43"/>
        <v>0</v>
      </c>
      <c r="I53" s="119"/>
      <c r="J53" s="120"/>
      <c r="K53" s="121"/>
      <c r="L53" s="122"/>
      <c r="M53" s="58"/>
      <c r="N53" s="58"/>
      <c r="O53" s="59"/>
      <c r="P53" s="56"/>
      <c r="Q53" s="60"/>
      <c r="R53" s="61">
        <f t="shared" si="44"/>
        <v>0</v>
      </c>
      <c r="S53" s="62">
        <f t="shared" si="45"/>
        <v>0</v>
      </c>
      <c r="T53" s="63">
        <f t="shared" si="46"/>
        <v>0</v>
      </c>
      <c r="U53" s="64"/>
      <c r="V53" s="65"/>
      <c r="W53" s="66"/>
      <c r="X53" s="67"/>
      <c r="Y53" s="68"/>
      <c r="Z53" s="68"/>
      <c r="AA53" s="62">
        <f t="shared" si="15"/>
        <v>0</v>
      </c>
      <c r="AB53" s="63">
        <f t="shared" si="16"/>
        <v>0</v>
      </c>
      <c r="AC53" s="69"/>
      <c r="AD53" s="70"/>
      <c r="AE53" s="70"/>
      <c r="AF53" s="62">
        <f t="shared" si="25"/>
        <v>0</v>
      </c>
      <c r="AG53" s="63">
        <f t="shared" si="26"/>
        <v>0</v>
      </c>
      <c r="AH53" s="89"/>
      <c r="AI53" s="66"/>
      <c r="AJ53" s="66"/>
      <c r="AK53" s="62">
        <f t="shared" si="19"/>
        <v>0</v>
      </c>
      <c r="AL53" s="72">
        <f t="shared" si="20"/>
        <v>0</v>
      </c>
      <c r="AM53" s="73">
        <f t="shared" si="48"/>
        <v>0</v>
      </c>
      <c r="AN53" s="80">
        <f t="shared" si="49"/>
        <v>0</v>
      </c>
      <c r="AO53" s="80">
        <f t="shared" si="50"/>
        <v>0</v>
      </c>
      <c r="AP53" s="75" t="e">
        <f t="shared" si="24"/>
        <v>#DIV/0!</v>
      </c>
      <c r="AQ53" s="76">
        <f t="shared" si="9"/>
        <v>0</v>
      </c>
      <c r="AR53" s="90">
        <f t="shared" si="47"/>
        <v>0</v>
      </c>
    </row>
    <row r="54" spans="1:49" x14ac:dyDescent="0.25">
      <c r="A54" t="str">
        <f t="shared" si="11"/>
        <v>46199M</v>
      </c>
      <c r="B54" s="51">
        <f t="shared" si="27"/>
        <v>46199</v>
      </c>
      <c r="C54" s="52" t="s">
        <v>87</v>
      </c>
      <c r="D54" s="91"/>
      <c r="E54" s="62"/>
      <c r="F54" s="62"/>
      <c r="G54" s="62">
        <f t="shared" si="42"/>
        <v>0</v>
      </c>
      <c r="H54" s="63">
        <f t="shared" si="43"/>
        <v>0</v>
      </c>
      <c r="I54" s="119"/>
      <c r="J54" s="120"/>
      <c r="K54" s="121"/>
      <c r="L54" s="122"/>
      <c r="M54" s="58"/>
      <c r="N54" s="58"/>
      <c r="O54" s="59"/>
      <c r="P54" s="56"/>
      <c r="Q54" s="60"/>
      <c r="R54" s="61">
        <f t="shared" si="44"/>
        <v>0</v>
      </c>
      <c r="S54" s="62">
        <f t="shared" si="45"/>
        <v>0</v>
      </c>
      <c r="T54" s="63">
        <f t="shared" si="46"/>
        <v>0</v>
      </c>
      <c r="U54" s="64"/>
      <c r="V54" s="65"/>
      <c r="W54" s="66"/>
      <c r="X54" s="67"/>
      <c r="Y54" s="68"/>
      <c r="Z54" s="68"/>
      <c r="AA54" s="62">
        <f t="shared" si="15"/>
        <v>0</v>
      </c>
      <c r="AB54" s="63">
        <f t="shared" si="16"/>
        <v>0</v>
      </c>
      <c r="AC54" s="69"/>
      <c r="AD54" s="70"/>
      <c r="AE54" s="70"/>
      <c r="AF54" s="62">
        <f t="shared" si="25"/>
        <v>0</v>
      </c>
      <c r="AG54" s="63">
        <f t="shared" si="26"/>
        <v>0</v>
      </c>
      <c r="AH54" s="89"/>
      <c r="AI54" s="66"/>
      <c r="AJ54" s="66"/>
      <c r="AK54" s="62">
        <f t="shared" si="19"/>
        <v>0</v>
      </c>
      <c r="AL54" s="72">
        <f t="shared" si="20"/>
        <v>0</v>
      </c>
      <c r="AM54" s="73">
        <f t="shared" si="48"/>
        <v>0</v>
      </c>
      <c r="AN54" s="80">
        <f t="shared" si="49"/>
        <v>0</v>
      </c>
      <c r="AO54" s="80">
        <f t="shared" si="50"/>
        <v>0</v>
      </c>
      <c r="AP54" s="75" t="e">
        <f t="shared" si="24"/>
        <v>#DIV/0!</v>
      </c>
      <c r="AQ54" s="76">
        <f t="shared" si="9"/>
        <v>0</v>
      </c>
      <c r="AR54" s="90">
        <f t="shared" si="47"/>
        <v>0</v>
      </c>
    </row>
    <row r="55" spans="1:49" x14ac:dyDescent="0.25">
      <c r="A55" t="str">
        <f t="shared" si="11"/>
        <v>46199E</v>
      </c>
      <c r="B55" s="51">
        <f t="shared" si="27"/>
        <v>46199</v>
      </c>
      <c r="C55" s="52" t="s">
        <v>88</v>
      </c>
      <c r="D55" s="91"/>
      <c r="E55" s="62"/>
      <c r="F55" s="62"/>
      <c r="G55" s="62">
        <f t="shared" si="42"/>
        <v>0</v>
      </c>
      <c r="H55" s="63">
        <f t="shared" si="43"/>
        <v>0</v>
      </c>
      <c r="I55" s="119"/>
      <c r="J55" s="120"/>
      <c r="K55" s="121"/>
      <c r="L55" s="122"/>
      <c r="M55" s="58"/>
      <c r="N55" s="58"/>
      <c r="O55" s="59"/>
      <c r="P55" s="56"/>
      <c r="Q55" s="60"/>
      <c r="R55" s="61">
        <f t="shared" si="44"/>
        <v>0</v>
      </c>
      <c r="S55" s="62">
        <f t="shared" si="45"/>
        <v>0</v>
      </c>
      <c r="T55" s="63">
        <f t="shared" si="46"/>
        <v>0</v>
      </c>
      <c r="U55" s="64"/>
      <c r="V55" s="65"/>
      <c r="W55" s="66"/>
      <c r="X55" s="67"/>
      <c r="Y55" s="68"/>
      <c r="Z55" s="68"/>
      <c r="AA55" s="62">
        <f t="shared" si="15"/>
        <v>0</v>
      </c>
      <c r="AB55" s="63">
        <f t="shared" si="16"/>
        <v>0</v>
      </c>
      <c r="AC55" s="69"/>
      <c r="AD55" s="70"/>
      <c r="AE55" s="70"/>
      <c r="AF55" s="62">
        <f t="shared" si="25"/>
        <v>0</v>
      </c>
      <c r="AG55" s="63">
        <f t="shared" si="26"/>
        <v>0</v>
      </c>
      <c r="AH55" s="89"/>
      <c r="AI55" s="66"/>
      <c r="AJ55" s="66"/>
      <c r="AK55" s="62">
        <f t="shared" si="19"/>
        <v>0</v>
      </c>
      <c r="AL55" s="72">
        <f t="shared" si="20"/>
        <v>0</v>
      </c>
      <c r="AM55" s="73">
        <f t="shared" si="48"/>
        <v>0</v>
      </c>
      <c r="AN55" s="80">
        <f t="shared" si="49"/>
        <v>0</v>
      </c>
      <c r="AO55" s="80">
        <f t="shared" si="50"/>
        <v>0</v>
      </c>
      <c r="AP55" s="75" t="e">
        <f t="shared" si="24"/>
        <v>#DIV/0!</v>
      </c>
      <c r="AQ55" s="76">
        <f t="shared" si="9"/>
        <v>0</v>
      </c>
      <c r="AR55" s="90">
        <f t="shared" si="47"/>
        <v>0</v>
      </c>
    </row>
    <row r="56" spans="1:49" x14ac:dyDescent="0.25">
      <c r="A56" t="str">
        <f t="shared" si="11"/>
        <v>46200M</v>
      </c>
      <c r="B56" s="51">
        <f t="shared" si="27"/>
        <v>46200</v>
      </c>
      <c r="C56" s="52" t="s">
        <v>87</v>
      </c>
      <c r="D56" s="91"/>
      <c r="E56" s="62"/>
      <c r="F56" s="62"/>
      <c r="G56" s="62">
        <f t="shared" si="42"/>
        <v>0</v>
      </c>
      <c r="H56" s="63">
        <f t="shared" si="43"/>
        <v>0</v>
      </c>
      <c r="I56" s="119"/>
      <c r="J56" s="120"/>
      <c r="K56" s="121"/>
      <c r="L56" s="122"/>
      <c r="M56" s="58"/>
      <c r="N56" s="58"/>
      <c r="O56" s="59"/>
      <c r="P56" s="56"/>
      <c r="Q56" s="60"/>
      <c r="R56" s="61">
        <f t="shared" si="44"/>
        <v>0</v>
      </c>
      <c r="S56" s="62">
        <f t="shared" si="45"/>
        <v>0</v>
      </c>
      <c r="T56" s="63">
        <f t="shared" si="46"/>
        <v>0</v>
      </c>
      <c r="U56" s="64"/>
      <c r="V56" s="65"/>
      <c r="W56" s="66"/>
      <c r="X56" s="67"/>
      <c r="Y56" s="68"/>
      <c r="Z56" s="68"/>
      <c r="AA56" s="62">
        <f t="shared" si="15"/>
        <v>0</v>
      </c>
      <c r="AB56" s="63">
        <f t="shared" si="16"/>
        <v>0</v>
      </c>
      <c r="AC56" s="69"/>
      <c r="AD56" s="70"/>
      <c r="AE56" s="70"/>
      <c r="AF56" s="62">
        <f t="shared" si="25"/>
        <v>0</v>
      </c>
      <c r="AG56" s="63">
        <f t="shared" si="26"/>
        <v>0</v>
      </c>
      <c r="AH56" s="89"/>
      <c r="AI56" s="66"/>
      <c r="AJ56" s="66"/>
      <c r="AK56" s="62">
        <f t="shared" si="19"/>
        <v>0</v>
      </c>
      <c r="AL56" s="72">
        <f t="shared" si="20"/>
        <v>0</v>
      </c>
      <c r="AM56" s="73">
        <f t="shared" si="48"/>
        <v>0</v>
      </c>
      <c r="AN56" s="80">
        <f t="shared" si="49"/>
        <v>0</v>
      </c>
      <c r="AO56" s="80">
        <f t="shared" si="50"/>
        <v>0</v>
      </c>
      <c r="AP56" s="75" t="e">
        <f t="shared" si="24"/>
        <v>#DIV/0!</v>
      </c>
      <c r="AQ56" s="76">
        <f t="shared" si="9"/>
        <v>0</v>
      </c>
      <c r="AR56" s="90">
        <f t="shared" si="47"/>
        <v>0</v>
      </c>
    </row>
    <row r="57" spans="1:49" x14ac:dyDescent="0.25">
      <c r="A57" t="str">
        <f t="shared" si="11"/>
        <v>46200E</v>
      </c>
      <c r="B57" s="51">
        <f t="shared" si="27"/>
        <v>46200</v>
      </c>
      <c r="C57" s="52" t="s">
        <v>88</v>
      </c>
      <c r="D57" s="91"/>
      <c r="E57" s="62"/>
      <c r="F57" s="62"/>
      <c r="G57" s="62">
        <f t="shared" si="42"/>
        <v>0</v>
      </c>
      <c r="H57" s="63">
        <f t="shared" si="43"/>
        <v>0</v>
      </c>
      <c r="I57" s="119"/>
      <c r="J57" s="120"/>
      <c r="K57" s="121"/>
      <c r="L57" s="122"/>
      <c r="M57" s="58"/>
      <c r="N57" s="58"/>
      <c r="O57" s="59"/>
      <c r="P57" s="56"/>
      <c r="Q57" s="60"/>
      <c r="R57" s="61">
        <f t="shared" si="44"/>
        <v>0</v>
      </c>
      <c r="S57" s="62">
        <f t="shared" si="45"/>
        <v>0</v>
      </c>
      <c r="T57" s="63">
        <f t="shared" si="46"/>
        <v>0</v>
      </c>
      <c r="U57" s="64"/>
      <c r="V57" s="65"/>
      <c r="W57" s="66"/>
      <c r="X57" s="67"/>
      <c r="Y57" s="68"/>
      <c r="Z57" s="68"/>
      <c r="AA57" s="62">
        <f t="shared" si="15"/>
        <v>0</v>
      </c>
      <c r="AB57" s="63">
        <f t="shared" si="16"/>
        <v>0</v>
      </c>
      <c r="AC57" s="69"/>
      <c r="AD57" s="70"/>
      <c r="AE57" s="70"/>
      <c r="AF57" s="62">
        <f t="shared" si="25"/>
        <v>0</v>
      </c>
      <c r="AG57" s="63">
        <f t="shared" si="26"/>
        <v>0</v>
      </c>
      <c r="AH57" s="89"/>
      <c r="AI57" s="66"/>
      <c r="AJ57" s="66"/>
      <c r="AK57" s="62">
        <f t="shared" si="19"/>
        <v>0</v>
      </c>
      <c r="AL57" s="72">
        <f t="shared" si="20"/>
        <v>0</v>
      </c>
      <c r="AM57" s="73">
        <f t="shared" si="48"/>
        <v>0</v>
      </c>
      <c r="AN57" s="80">
        <f t="shared" si="49"/>
        <v>0</v>
      </c>
      <c r="AO57" s="80">
        <f t="shared" si="50"/>
        <v>0</v>
      </c>
      <c r="AP57" s="75" t="e">
        <f t="shared" si="24"/>
        <v>#DIV/0!</v>
      </c>
      <c r="AQ57" s="76">
        <f t="shared" si="9"/>
        <v>0</v>
      </c>
      <c r="AR57" s="90">
        <f t="shared" si="47"/>
        <v>0</v>
      </c>
    </row>
    <row r="58" spans="1:49" x14ac:dyDescent="0.25">
      <c r="A58" t="str">
        <f t="shared" si="11"/>
        <v>46201M</v>
      </c>
      <c r="B58" s="51">
        <f t="shared" si="27"/>
        <v>46201</v>
      </c>
      <c r="C58" s="52" t="s">
        <v>87</v>
      </c>
      <c r="D58" s="91"/>
      <c r="E58" s="62"/>
      <c r="F58" s="62"/>
      <c r="G58" s="62">
        <f t="shared" si="42"/>
        <v>0</v>
      </c>
      <c r="H58" s="63">
        <f t="shared" si="43"/>
        <v>0</v>
      </c>
      <c r="I58" s="119"/>
      <c r="J58" s="120"/>
      <c r="K58" s="121"/>
      <c r="L58" s="122"/>
      <c r="M58" s="58"/>
      <c r="N58" s="58"/>
      <c r="O58" s="59"/>
      <c r="P58" s="56"/>
      <c r="Q58" s="60"/>
      <c r="R58" s="61">
        <f t="shared" si="44"/>
        <v>0</v>
      </c>
      <c r="S58" s="62">
        <f t="shared" si="45"/>
        <v>0</v>
      </c>
      <c r="T58" s="63">
        <f t="shared" si="46"/>
        <v>0</v>
      </c>
      <c r="U58" s="64"/>
      <c r="V58" s="65"/>
      <c r="W58" s="66"/>
      <c r="X58" s="67"/>
      <c r="Y58" s="68"/>
      <c r="Z58" s="68"/>
      <c r="AA58" s="62">
        <f t="shared" si="15"/>
        <v>0</v>
      </c>
      <c r="AB58" s="63">
        <f t="shared" si="16"/>
        <v>0</v>
      </c>
      <c r="AC58" s="69"/>
      <c r="AD58" s="70"/>
      <c r="AE58" s="70"/>
      <c r="AF58" s="62">
        <f t="shared" si="25"/>
        <v>0</v>
      </c>
      <c r="AG58" s="63">
        <f t="shared" si="26"/>
        <v>0</v>
      </c>
      <c r="AH58" s="89"/>
      <c r="AI58" s="66"/>
      <c r="AJ58" s="66"/>
      <c r="AK58" s="62">
        <f t="shared" si="19"/>
        <v>0</v>
      </c>
      <c r="AL58" s="72">
        <f t="shared" si="20"/>
        <v>0</v>
      </c>
      <c r="AM58" s="73">
        <f t="shared" si="48"/>
        <v>0</v>
      </c>
      <c r="AN58" s="80">
        <f t="shared" si="49"/>
        <v>0</v>
      </c>
      <c r="AO58" s="80">
        <f t="shared" si="50"/>
        <v>0</v>
      </c>
      <c r="AP58" s="75" t="e">
        <f t="shared" si="24"/>
        <v>#DIV/0!</v>
      </c>
      <c r="AQ58" s="76">
        <f t="shared" si="9"/>
        <v>0</v>
      </c>
      <c r="AR58" s="90">
        <f t="shared" si="47"/>
        <v>0</v>
      </c>
    </row>
    <row r="59" spans="1:49" x14ac:dyDescent="0.25">
      <c r="A59" t="str">
        <f t="shared" si="11"/>
        <v>46201E</v>
      </c>
      <c r="B59" s="51">
        <f t="shared" si="27"/>
        <v>46201</v>
      </c>
      <c r="C59" s="52" t="s">
        <v>88</v>
      </c>
      <c r="D59" s="91"/>
      <c r="E59" s="62"/>
      <c r="F59" s="62"/>
      <c r="G59" s="62">
        <f t="shared" si="42"/>
        <v>0</v>
      </c>
      <c r="H59" s="63">
        <f t="shared" si="43"/>
        <v>0</v>
      </c>
      <c r="I59" s="119"/>
      <c r="J59" s="120"/>
      <c r="K59" s="121"/>
      <c r="L59" s="122"/>
      <c r="M59" s="58"/>
      <c r="N59" s="58"/>
      <c r="O59" s="59"/>
      <c r="P59" s="56"/>
      <c r="Q59" s="60"/>
      <c r="R59" s="61">
        <f t="shared" si="44"/>
        <v>0</v>
      </c>
      <c r="S59" s="62">
        <f t="shared" si="45"/>
        <v>0</v>
      </c>
      <c r="T59" s="63">
        <f t="shared" si="46"/>
        <v>0</v>
      </c>
      <c r="U59" s="64"/>
      <c r="V59" s="65"/>
      <c r="W59" s="66"/>
      <c r="X59" s="67"/>
      <c r="Y59" s="68"/>
      <c r="Z59" s="68"/>
      <c r="AA59" s="62">
        <f t="shared" si="15"/>
        <v>0</v>
      </c>
      <c r="AB59" s="63">
        <f t="shared" si="16"/>
        <v>0</v>
      </c>
      <c r="AC59" s="69"/>
      <c r="AD59" s="70"/>
      <c r="AE59" s="70"/>
      <c r="AF59" s="62">
        <f t="shared" si="25"/>
        <v>0</v>
      </c>
      <c r="AG59" s="63">
        <f t="shared" si="26"/>
        <v>0</v>
      </c>
      <c r="AH59" s="89"/>
      <c r="AI59" s="66"/>
      <c r="AJ59" s="66"/>
      <c r="AK59" s="62">
        <f t="shared" si="19"/>
        <v>0</v>
      </c>
      <c r="AL59" s="72">
        <f t="shared" si="20"/>
        <v>0</v>
      </c>
      <c r="AM59" s="73">
        <f t="shared" si="48"/>
        <v>0</v>
      </c>
      <c r="AN59" s="80">
        <f t="shared" si="49"/>
        <v>0</v>
      </c>
      <c r="AO59" s="80">
        <f t="shared" si="50"/>
        <v>0</v>
      </c>
      <c r="AP59" s="75" t="e">
        <f t="shared" si="24"/>
        <v>#DIV/0!</v>
      </c>
      <c r="AQ59" s="76">
        <f t="shared" si="9"/>
        <v>0</v>
      </c>
      <c r="AR59" s="90">
        <f t="shared" si="47"/>
        <v>0</v>
      </c>
      <c r="AS59" s="90">
        <f>SUM(J46:J59)</f>
        <v>0</v>
      </c>
      <c r="AT59" s="83">
        <f>SUM(AM46:AM59)</f>
        <v>0</v>
      </c>
      <c r="AU59" s="83">
        <f>SUM(AN46:AN59)</f>
        <v>0</v>
      </c>
      <c r="AV59" s="83">
        <f>SUM(AO46:AO59)</f>
        <v>0</v>
      </c>
      <c r="AW59" s="83">
        <f>-SUM(AQ46:AQ59)</f>
        <v>0</v>
      </c>
    </row>
    <row r="60" spans="1:49" x14ac:dyDescent="0.25">
      <c r="A60" t="str">
        <f t="shared" si="11"/>
        <v>46202M</v>
      </c>
      <c r="B60" s="51">
        <f t="shared" si="27"/>
        <v>46202</v>
      </c>
      <c r="C60" s="52" t="s">
        <v>87</v>
      </c>
      <c r="D60" s="91"/>
      <c r="E60" s="62"/>
      <c r="F60" s="62"/>
      <c r="G60" s="62">
        <f t="shared" si="42"/>
        <v>0</v>
      </c>
      <c r="H60" s="63">
        <f t="shared" si="43"/>
        <v>0</v>
      </c>
      <c r="I60" s="119"/>
      <c r="J60" s="120"/>
      <c r="K60" s="121"/>
      <c r="L60" s="122"/>
      <c r="M60" s="58"/>
      <c r="N60" s="58"/>
      <c r="O60" s="59"/>
      <c r="P60" s="56"/>
      <c r="Q60" s="60"/>
      <c r="R60" s="61">
        <f t="shared" si="44"/>
        <v>0</v>
      </c>
      <c r="S60" s="62">
        <f t="shared" si="45"/>
        <v>0</v>
      </c>
      <c r="T60" s="63">
        <f t="shared" si="46"/>
        <v>0</v>
      </c>
      <c r="U60" s="64"/>
      <c r="V60" s="65"/>
      <c r="W60" s="66"/>
      <c r="X60" s="67"/>
      <c r="Y60" s="68"/>
      <c r="Z60" s="68"/>
      <c r="AA60" s="62">
        <f t="shared" si="15"/>
        <v>0</v>
      </c>
      <c r="AB60" s="63">
        <f t="shared" si="16"/>
        <v>0</v>
      </c>
      <c r="AC60" s="69"/>
      <c r="AD60" s="70"/>
      <c r="AE60" s="70"/>
      <c r="AF60" s="62">
        <f t="shared" si="25"/>
        <v>0</v>
      </c>
      <c r="AG60" s="63">
        <f t="shared" si="26"/>
        <v>0</v>
      </c>
      <c r="AH60" s="89"/>
      <c r="AI60" s="66"/>
      <c r="AJ60" s="66"/>
      <c r="AK60" s="62">
        <f t="shared" si="19"/>
        <v>0</v>
      </c>
      <c r="AL60" s="72">
        <f t="shared" si="20"/>
        <v>0</v>
      </c>
      <c r="AM60" s="73">
        <f t="shared" si="48"/>
        <v>0</v>
      </c>
      <c r="AN60" s="80">
        <f t="shared" si="49"/>
        <v>0</v>
      </c>
      <c r="AO60" s="80">
        <f t="shared" si="50"/>
        <v>0</v>
      </c>
      <c r="AP60" s="75" t="e">
        <f t="shared" si="24"/>
        <v>#DIV/0!</v>
      </c>
      <c r="AQ60" s="76">
        <f t="shared" si="9"/>
        <v>0</v>
      </c>
      <c r="AR60" s="90">
        <f t="shared" si="47"/>
        <v>0</v>
      </c>
    </row>
    <row r="61" spans="1:49" x14ac:dyDescent="0.25">
      <c r="A61" t="str">
        <f t="shared" si="11"/>
        <v>46202E</v>
      </c>
      <c r="B61" s="51">
        <f t="shared" si="27"/>
        <v>46202</v>
      </c>
      <c r="C61" s="52" t="s">
        <v>88</v>
      </c>
      <c r="D61" s="91"/>
      <c r="E61" s="62"/>
      <c r="F61" s="62"/>
      <c r="G61" s="62">
        <f t="shared" si="42"/>
        <v>0</v>
      </c>
      <c r="H61" s="63">
        <f t="shared" si="43"/>
        <v>0</v>
      </c>
      <c r="I61" s="119"/>
      <c r="J61" s="120"/>
      <c r="K61" s="121"/>
      <c r="L61" s="122"/>
      <c r="M61" s="58"/>
      <c r="N61" s="58"/>
      <c r="O61" s="59"/>
      <c r="P61" s="56"/>
      <c r="Q61" s="60"/>
      <c r="R61" s="61">
        <f t="shared" si="44"/>
        <v>0</v>
      </c>
      <c r="S61" s="62">
        <f t="shared" si="45"/>
        <v>0</v>
      </c>
      <c r="T61" s="63">
        <f t="shared" si="46"/>
        <v>0</v>
      </c>
      <c r="U61" s="64"/>
      <c r="V61" s="65"/>
      <c r="W61" s="66"/>
      <c r="X61" s="67"/>
      <c r="Y61" s="68"/>
      <c r="Z61" s="68"/>
      <c r="AA61" s="62">
        <f t="shared" si="15"/>
        <v>0</v>
      </c>
      <c r="AB61" s="63">
        <f t="shared" si="16"/>
        <v>0</v>
      </c>
      <c r="AC61" s="69"/>
      <c r="AD61" s="70"/>
      <c r="AE61" s="70"/>
      <c r="AF61" s="62">
        <f t="shared" si="25"/>
        <v>0</v>
      </c>
      <c r="AG61" s="63">
        <f t="shared" si="26"/>
        <v>0</v>
      </c>
      <c r="AH61" s="89"/>
      <c r="AI61" s="66"/>
      <c r="AJ61" s="66"/>
      <c r="AK61" s="62">
        <f t="shared" si="19"/>
        <v>0</v>
      </c>
      <c r="AL61" s="72">
        <f t="shared" si="20"/>
        <v>0</v>
      </c>
      <c r="AM61" s="73">
        <f t="shared" si="48"/>
        <v>0</v>
      </c>
      <c r="AN61" s="80">
        <f t="shared" si="49"/>
        <v>0</v>
      </c>
      <c r="AO61" s="80">
        <f t="shared" si="50"/>
        <v>0</v>
      </c>
      <c r="AP61" s="75" t="e">
        <f t="shared" si="24"/>
        <v>#DIV/0!</v>
      </c>
      <c r="AQ61" s="76">
        <f t="shared" si="9"/>
        <v>0</v>
      </c>
      <c r="AR61" s="90">
        <f t="shared" si="47"/>
        <v>0</v>
      </c>
    </row>
    <row r="62" spans="1:49" x14ac:dyDescent="0.25">
      <c r="A62" t="str">
        <f t="shared" si="11"/>
        <v>46203M</v>
      </c>
      <c r="B62" s="51">
        <f t="shared" si="27"/>
        <v>46203</v>
      </c>
      <c r="C62" s="52" t="s">
        <v>87</v>
      </c>
      <c r="D62" s="91"/>
      <c r="E62" s="62"/>
      <c r="F62" s="62"/>
      <c r="G62" s="62">
        <f t="shared" si="42"/>
        <v>0</v>
      </c>
      <c r="H62" s="63">
        <f t="shared" si="43"/>
        <v>0</v>
      </c>
      <c r="I62" s="119"/>
      <c r="J62" s="120"/>
      <c r="K62" s="121"/>
      <c r="L62" s="122"/>
      <c r="M62" s="58"/>
      <c r="N62" s="58"/>
      <c r="O62" s="59"/>
      <c r="P62" s="56"/>
      <c r="Q62" s="60"/>
      <c r="R62" s="61">
        <f t="shared" si="44"/>
        <v>0</v>
      </c>
      <c r="S62" s="62">
        <f t="shared" si="45"/>
        <v>0</v>
      </c>
      <c r="T62" s="63">
        <f t="shared" si="46"/>
        <v>0</v>
      </c>
      <c r="U62" s="64"/>
      <c r="V62" s="65"/>
      <c r="W62" s="66"/>
      <c r="X62" s="67"/>
      <c r="Y62" s="68"/>
      <c r="Z62" s="68"/>
      <c r="AA62" s="62">
        <f t="shared" si="15"/>
        <v>0</v>
      </c>
      <c r="AB62" s="63">
        <f t="shared" si="16"/>
        <v>0</v>
      </c>
      <c r="AC62" s="69"/>
      <c r="AD62" s="70"/>
      <c r="AE62" s="70"/>
      <c r="AF62" s="62">
        <f t="shared" si="25"/>
        <v>0</v>
      </c>
      <c r="AG62" s="63">
        <f t="shared" si="26"/>
        <v>0</v>
      </c>
      <c r="AH62" s="89"/>
      <c r="AI62" s="66"/>
      <c r="AJ62" s="66"/>
      <c r="AK62" s="62">
        <f t="shared" si="19"/>
        <v>0</v>
      </c>
      <c r="AL62" s="72">
        <f t="shared" si="20"/>
        <v>0</v>
      </c>
      <c r="AM62" s="73">
        <f t="shared" si="48"/>
        <v>0</v>
      </c>
      <c r="AN62" s="80">
        <f t="shared" si="49"/>
        <v>0</v>
      </c>
      <c r="AO62" s="80">
        <f t="shared" si="50"/>
        <v>0</v>
      </c>
      <c r="AP62" s="75" t="e">
        <f t="shared" si="24"/>
        <v>#DIV/0!</v>
      </c>
      <c r="AQ62" s="76">
        <f t="shared" si="9"/>
        <v>0</v>
      </c>
      <c r="AR62" s="90">
        <f t="shared" si="47"/>
        <v>0</v>
      </c>
    </row>
    <row r="63" spans="1:49" x14ac:dyDescent="0.25">
      <c r="A63" t="str">
        <f t="shared" si="11"/>
        <v>46203E</v>
      </c>
      <c r="B63" s="51">
        <f t="shared" si="27"/>
        <v>46203</v>
      </c>
      <c r="C63" s="52" t="s">
        <v>88</v>
      </c>
      <c r="D63" s="91"/>
      <c r="E63" s="62"/>
      <c r="F63" s="62"/>
      <c r="G63" s="62">
        <f t="shared" si="42"/>
        <v>0</v>
      </c>
      <c r="H63" s="63">
        <f t="shared" si="43"/>
        <v>0</v>
      </c>
      <c r="I63" s="119"/>
      <c r="J63" s="120"/>
      <c r="K63" s="121"/>
      <c r="L63" s="122"/>
      <c r="M63" s="58"/>
      <c r="N63" s="58"/>
      <c r="O63" s="59"/>
      <c r="P63" s="56"/>
      <c r="Q63" s="60"/>
      <c r="R63" s="61">
        <f t="shared" si="44"/>
        <v>0</v>
      </c>
      <c r="S63" s="62">
        <f t="shared" si="45"/>
        <v>0</v>
      </c>
      <c r="T63" s="63">
        <f t="shared" si="46"/>
        <v>0</v>
      </c>
      <c r="U63" s="64"/>
      <c r="V63" s="65"/>
      <c r="W63" s="66"/>
      <c r="X63" s="67"/>
      <c r="Y63" s="68"/>
      <c r="Z63" s="68"/>
      <c r="AA63" s="62">
        <f t="shared" si="15"/>
        <v>0</v>
      </c>
      <c r="AB63" s="63">
        <f t="shared" si="16"/>
        <v>0</v>
      </c>
      <c r="AC63" s="69"/>
      <c r="AD63" s="70"/>
      <c r="AE63" s="70"/>
      <c r="AF63" s="62">
        <f t="shared" si="25"/>
        <v>0</v>
      </c>
      <c r="AG63" s="63">
        <f t="shared" si="26"/>
        <v>0</v>
      </c>
      <c r="AH63" s="89"/>
      <c r="AI63" s="66"/>
      <c r="AJ63" s="66"/>
      <c r="AK63" s="62">
        <f t="shared" si="19"/>
        <v>0</v>
      </c>
      <c r="AL63" s="72">
        <f t="shared" si="20"/>
        <v>0</v>
      </c>
      <c r="AM63" s="73">
        <f t="shared" si="48"/>
        <v>0</v>
      </c>
      <c r="AN63" s="80">
        <f t="shared" si="49"/>
        <v>0</v>
      </c>
      <c r="AO63" s="80">
        <f t="shared" si="50"/>
        <v>0</v>
      </c>
      <c r="AP63" s="75" t="e">
        <f t="shared" si="24"/>
        <v>#DIV/0!</v>
      </c>
      <c r="AQ63" s="76">
        <f t="shared" si="9"/>
        <v>0</v>
      </c>
      <c r="AR63" s="90">
        <f t="shared" si="47"/>
        <v>0</v>
      </c>
    </row>
    <row r="64" spans="1:49" x14ac:dyDescent="0.25">
      <c r="A64" t="str">
        <f t="shared" si="11"/>
        <v>46204M</v>
      </c>
      <c r="B64" s="51">
        <f t="shared" si="27"/>
        <v>46204</v>
      </c>
      <c r="C64" s="52" t="s">
        <v>87</v>
      </c>
      <c r="D64" s="91"/>
      <c r="E64" s="62"/>
      <c r="F64" s="62"/>
      <c r="G64" s="62">
        <f t="shared" si="42"/>
        <v>0</v>
      </c>
      <c r="H64" s="63">
        <f t="shared" si="43"/>
        <v>0</v>
      </c>
      <c r="I64" s="119"/>
      <c r="J64" s="120"/>
      <c r="K64" s="121"/>
      <c r="L64" s="122"/>
      <c r="M64" s="58"/>
      <c r="N64" s="58"/>
      <c r="O64" s="59"/>
      <c r="P64" s="56"/>
      <c r="Q64" s="60"/>
      <c r="R64" s="61">
        <f>I64*1.03</f>
        <v>0</v>
      </c>
      <c r="S64" s="62">
        <f>R64*K64%</f>
        <v>0</v>
      </c>
      <c r="T64" s="63">
        <f>R64*L64%</f>
        <v>0</v>
      </c>
      <c r="U64" s="64"/>
      <c r="V64" s="65"/>
      <c r="W64" s="66"/>
      <c r="X64" s="67"/>
      <c r="Y64" s="68"/>
      <c r="Z64" s="68"/>
      <c r="AA64" s="62">
        <f t="shared" si="15"/>
        <v>0</v>
      </c>
      <c r="AB64" s="63">
        <f t="shared" si="16"/>
        <v>0</v>
      </c>
      <c r="AC64" s="69"/>
      <c r="AD64" s="70"/>
      <c r="AE64" s="70"/>
      <c r="AF64" s="62">
        <f t="shared" si="25"/>
        <v>0</v>
      </c>
      <c r="AG64" s="63">
        <f t="shared" si="26"/>
        <v>0</v>
      </c>
      <c r="AH64" s="89"/>
      <c r="AI64" s="66"/>
      <c r="AJ64" s="66"/>
      <c r="AK64" s="124">
        <f t="shared" si="19"/>
        <v>0</v>
      </c>
      <c r="AL64" s="125">
        <f t="shared" si="20"/>
        <v>0</v>
      </c>
      <c r="AM64" s="73">
        <f t="shared" ref="AM64:AM65" si="51">+D64+R64-AC64-AH64</f>
        <v>0</v>
      </c>
      <c r="AN64" s="80">
        <f t="shared" ref="AN64:AN65" si="52">+G64+S64-AF64-AK64</f>
        <v>0</v>
      </c>
      <c r="AO64" s="80">
        <f t="shared" ref="AO64:AO65" si="53">+H64+T64-AG64-AL64</f>
        <v>0</v>
      </c>
      <c r="AP64" s="75" t="e">
        <f t="shared" si="24"/>
        <v>#DIV/0!</v>
      </c>
      <c r="AQ64" s="76">
        <f t="shared" si="9"/>
        <v>0</v>
      </c>
      <c r="AR64" s="90">
        <f>(D64+J64+O64)-(X64+AH64)</f>
        <v>0</v>
      </c>
    </row>
    <row r="65" spans="1:49" x14ac:dyDescent="0.25">
      <c r="A65" t="str">
        <f t="shared" si="11"/>
        <v>46204E</v>
      </c>
      <c r="B65" s="51">
        <f t="shared" si="27"/>
        <v>46204</v>
      </c>
      <c r="C65" s="52" t="s">
        <v>88</v>
      </c>
      <c r="D65" s="91"/>
      <c r="E65" s="62"/>
      <c r="F65" s="62"/>
      <c r="G65" s="62">
        <f t="shared" si="42"/>
        <v>0</v>
      </c>
      <c r="H65" s="63">
        <f t="shared" si="43"/>
        <v>0</v>
      </c>
      <c r="I65" s="119"/>
      <c r="J65" s="120"/>
      <c r="K65" s="121"/>
      <c r="L65" s="122"/>
      <c r="M65" s="58"/>
      <c r="N65" s="58"/>
      <c r="O65" s="59"/>
      <c r="P65" s="56"/>
      <c r="Q65" s="60"/>
      <c r="R65" s="61">
        <f>I65*1.03</f>
        <v>0</v>
      </c>
      <c r="S65" s="62">
        <f>R65*K65%</f>
        <v>0</v>
      </c>
      <c r="T65" s="63">
        <f>R65*L65%</f>
        <v>0</v>
      </c>
      <c r="U65" s="64"/>
      <c r="V65" s="65"/>
      <c r="W65" s="66"/>
      <c r="X65" s="67"/>
      <c r="Y65" s="68"/>
      <c r="Z65" s="68"/>
      <c r="AA65" s="62">
        <f t="shared" si="15"/>
        <v>0</v>
      </c>
      <c r="AB65" s="63">
        <f t="shared" si="16"/>
        <v>0</v>
      </c>
      <c r="AC65" s="69"/>
      <c r="AD65" s="70"/>
      <c r="AE65" s="70"/>
      <c r="AF65" s="62">
        <f t="shared" si="25"/>
        <v>0</v>
      </c>
      <c r="AG65" s="63">
        <f t="shared" si="26"/>
        <v>0</v>
      </c>
      <c r="AH65" s="89"/>
      <c r="AI65" s="66"/>
      <c r="AJ65" s="66"/>
      <c r="AK65" s="124">
        <f t="shared" si="19"/>
        <v>0</v>
      </c>
      <c r="AL65" s="125">
        <f t="shared" si="20"/>
        <v>0</v>
      </c>
      <c r="AM65" s="73">
        <f t="shared" si="51"/>
        <v>0</v>
      </c>
      <c r="AN65" s="80">
        <f t="shared" si="52"/>
        <v>0</v>
      </c>
      <c r="AO65" s="80">
        <f t="shared" si="53"/>
        <v>0</v>
      </c>
      <c r="AP65" s="75" t="e">
        <f t="shared" si="24"/>
        <v>#DIV/0!</v>
      </c>
      <c r="AQ65" s="76">
        <f t="shared" si="9"/>
        <v>0</v>
      </c>
      <c r="AR65" s="90">
        <f>(D65+J65+O65)-(X65+AH65)</f>
        <v>0</v>
      </c>
      <c r="AS65" s="90">
        <f>SUM(J60:J65)</f>
        <v>0</v>
      </c>
      <c r="AT65" s="83">
        <f>SUM(AM60:AM65)</f>
        <v>0</v>
      </c>
      <c r="AU65" s="83">
        <f>SUM(AN60:AN65)</f>
        <v>0</v>
      </c>
      <c r="AV65" s="83">
        <f>SUM(AO60:AO65)</f>
        <v>0</v>
      </c>
      <c r="AW65" s="83">
        <f>-SUM(AQ60:AQ65)</f>
        <v>0</v>
      </c>
    </row>
    <row r="66" spans="1:49" x14ac:dyDescent="0.25">
      <c r="J66" s="83">
        <f>SUM(J4:J65)</f>
        <v>50629.392500000009</v>
      </c>
      <c r="AM66" s="98">
        <f>-SUM(AM4:AM65)</f>
        <v>386.60749999999803</v>
      </c>
      <c r="AN66" s="98">
        <f t="shared" ref="AN66:AO66" si="54">-SUM(AN4:AN65)</f>
        <v>33.477854399999899</v>
      </c>
      <c r="AO66" s="98">
        <f t="shared" si="54"/>
        <v>102.29163599999958</v>
      </c>
      <c r="AQ66" s="98">
        <f>-SUM(AQ4:AQ65)</f>
        <v>45641.702496543832</v>
      </c>
    </row>
    <row r="67" spans="1:49" x14ac:dyDescent="0.25">
      <c r="I67">
        <f>I65*1.03</f>
        <v>0</v>
      </c>
    </row>
    <row r="68" spans="1:49" x14ac:dyDescent="0.25">
      <c r="K68" s="83">
        <v>500</v>
      </c>
      <c r="L68" s="210">
        <v>5.6</v>
      </c>
      <c r="M68" s="211">
        <v>8.6</v>
      </c>
      <c r="N68">
        <v>44.881135200000003</v>
      </c>
      <c r="O68">
        <f>N68*K68</f>
        <v>22440.567600000002</v>
      </c>
    </row>
    <row r="69" spans="1:49" x14ac:dyDescent="0.25">
      <c r="I69">
        <v>3930.6500000000005</v>
      </c>
      <c r="J69" s="83">
        <f>I65+K68</f>
        <v>500</v>
      </c>
      <c r="AH69" s="89">
        <v>9580</v>
      </c>
      <c r="AI69" s="66">
        <v>3.93</v>
      </c>
      <c r="AJ69" s="66">
        <v>8.24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9" priority="2" operator="lessThan">
      <formula>0.1</formula>
    </cfRule>
    <cfRule type="cellIs" dxfId="8" priority="3" operator="greaterThan">
      <formula>0.1</formula>
    </cfRule>
  </conditionalFormatting>
  <conditionalFormatting sqref="AP1:AQ1">
    <cfRule type="cellIs" dxfId="7" priority="1" operator="lessThan">
      <formula>1</formula>
    </cfRule>
  </conditionalFormatting>
  <conditionalFormatting sqref="AQ4:AQ65">
    <cfRule type="cellIs" dxfId="6" priority="14" operator="lessThan">
      <formula>0</formula>
    </cfRule>
    <cfRule type="cellIs" dxfId="5" priority="15" operator="greaterThan">
      <formula>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4"/>
  <dimension ref="A1:AW66"/>
  <sheetViews>
    <sheetView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C18" sqref="AC18:AE18"/>
    </sheetView>
  </sheetViews>
  <sheetFormatPr defaultRowHeight="15" x14ac:dyDescent="0.25"/>
  <cols>
    <col min="1" max="1" width="5.28515625" customWidth="1"/>
    <col min="2" max="2" width="10.85546875" bestFit="1" customWidth="1"/>
    <col min="3" max="3" width="5.7109375" bestFit="1" customWidth="1"/>
    <col min="4" max="4" width="7.85546875" bestFit="1" customWidth="1"/>
    <col min="5" max="6" width="5.85546875" bestFit="1" customWidth="1"/>
    <col min="7" max="7" width="7.28515625" bestFit="1" customWidth="1"/>
    <col min="8" max="8" width="8.140625" bestFit="1" customWidth="1"/>
    <col min="9" max="9" width="7.140625" bestFit="1" customWidth="1"/>
    <col min="10" max="10" width="9.28515625" bestFit="1" customWidth="1"/>
    <col min="11" max="12" width="5.85546875" bestFit="1" customWidth="1"/>
    <col min="13" max="13" width="6" bestFit="1" customWidth="1"/>
    <col min="14" max="14" width="11" bestFit="1" customWidth="1"/>
    <col min="15" max="15" width="7" bestFit="1" customWidth="1"/>
    <col min="16" max="17" width="5.85546875" bestFit="1" customWidth="1"/>
    <col min="18" max="18" width="7.140625" bestFit="1" customWidth="1"/>
    <col min="19" max="19" width="7.28515625" bestFit="1" customWidth="1"/>
    <col min="20" max="20" width="7.42578125" bestFit="1" customWidth="1"/>
    <col min="21" max="21" width="7.85546875" bestFit="1" customWidth="1"/>
    <col min="22" max="22" width="8.7109375" bestFit="1" customWidth="1"/>
    <col min="23" max="23" width="8.5703125" bestFit="1" customWidth="1"/>
    <col min="24" max="24" width="7.28515625" bestFit="1" customWidth="1"/>
    <col min="25" max="26" width="5.85546875" bestFit="1" customWidth="1"/>
    <col min="27" max="27" width="7.28515625" bestFit="1" customWidth="1"/>
    <col min="28" max="28" width="7.42578125" bestFit="1" customWidth="1"/>
    <col min="29" max="29" width="8.140625" bestFit="1" customWidth="1"/>
    <col min="30" max="31" width="5.85546875" bestFit="1" customWidth="1"/>
    <col min="32" max="32" width="7.28515625" bestFit="1" customWidth="1"/>
    <col min="33" max="33" width="7.42578125" bestFit="1" customWidth="1"/>
    <col min="34" max="34" width="7.28515625" bestFit="1" customWidth="1"/>
    <col min="35" max="36" width="5.85546875" bestFit="1" customWidth="1"/>
    <col min="37" max="37" width="7.28515625" bestFit="1" customWidth="1"/>
    <col min="38" max="38" width="8.140625" bestFit="1" customWidth="1"/>
    <col min="39" max="40" width="7.28515625" bestFit="1" customWidth="1"/>
    <col min="41" max="41" width="7.42578125" bestFit="1" customWidth="1"/>
    <col min="42" max="42" width="9.85546875" bestFit="1" customWidth="1"/>
    <col min="43" max="43" width="9.28515625" bestFit="1" customWidth="1"/>
    <col min="44" max="44" width="5.140625" bestFit="1" customWidth="1"/>
    <col min="45" max="45" width="6.5703125" bestFit="1" customWidth="1"/>
    <col min="46" max="46" width="6.7109375" bestFit="1" customWidth="1"/>
    <col min="47" max="48" width="5.7109375" bestFit="1" customWidth="1"/>
    <col min="49" max="49" width="8.85546875" bestFit="1" customWidth="1"/>
  </cols>
  <sheetData>
    <row r="1" spans="1:44" ht="15.75" thickBot="1" x14ac:dyDescent="0.3">
      <c r="B1" s="43" t="s">
        <v>93</v>
      </c>
      <c r="C1" s="44"/>
      <c r="X1" t="s">
        <v>94</v>
      </c>
      <c r="AG1">
        <v>392</v>
      </c>
      <c r="AP1" s="126">
        <f>Sumarry!$K$4</f>
        <v>448.91</v>
      </c>
      <c r="AQ1" s="126">
        <f>Sumarry!$L$4</f>
        <v>299.27333333333337</v>
      </c>
    </row>
    <row r="2" spans="1:44" x14ac:dyDescent="0.25">
      <c r="B2" s="259" t="s">
        <v>64</v>
      </c>
      <c r="C2" s="261" t="s">
        <v>65</v>
      </c>
      <c r="D2" s="263" t="s">
        <v>66</v>
      </c>
      <c r="E2" s="263"/>
      <c r="F2" s="263"/>
      <c r="G2" s="263"/>
      <c r="H2" s="264"/>
      <c r="I2" s="255" t="s">
        <v>67</v>
      </c>
      <c r="J2" s="256"/>
      <c r="K2" s="256"/>
      <c r="L2" s="257"/>
      <c r="M2" s="255" t="s">
        <v>68</v>
      </c>
      <c r="N2" s="265"/>
      <c r="O2" s="256"/>
      <c r="P2" s="256"/>
      <c r="Q2" s="257"/>
      <c r="R2" s="265" t="s">
        <v>69</v>
      </c>
      <c r="S2" s="256"/>
      <c r="T2" s="257"/>
      <c r="U2" s="252" t="s">
        <v>70</v>
      </c>
      <c r="V2" s="253"/>
      <c r="W2" s="253"/>
      <c r="X2" s="253"/>
      <c r="Y2" s="253"/>
      <c r="Z2" s="253"/>
      <c r="AA2" s="253"/>
      <c r="AB2" s="254"/>
      <c r="AC2" s="255" t="s">
        <v>71</v>
      </c>
      <c r="AD2" s="256"/>
      <c r="AE2" s="256"/>
      <c r="AF2" s="256"/>
      <c r="AG2" s="257"/>
      <c r="AH2" s="255" t="s">
        <v>72</v>
      </c>
      <c r="AI2" s="256"/>
      <c r="AJ2" s="256"/>
      <c r="AK2" s="256"/>
      <c r="AL2" s="258"/>
      <c r="AM2" s="252" t="s">
        <v>73</v>
      </c>
      <c r="AN2" s="253"/>
      <c r="AO2" s="253"/>
      <c r="AP2" s="253"/>
      <c r="AQ2" s="254"/>
    </row>
    <row r="3" spans="1:44" x14ac:dyDescent="0.25">
      <c r="B3" s="260"/>
      <c r="C3" s="262"/>
      <c r="D3" s="45" t="s">
        <v>74</v>
      </c>
      <c r="E3" s="45" t="s">
        <v>75</v>
      </c>
      <c r="F3" s="45" t="s">
        <v>76</v>
      </c>
      <c r="G3" s="45" t="s">
        <v>77</v>
      </c>
      <c r="H3" s="46" t="s">
        <v>8</v>
      </c>
      <c r="I3" s="47" t="s">
        <v>78</v>
      </c>
      <c r="J3" s="45" t="s">
        <v>79</v>
      </c>
      <c r="K3" s="45" t="s">
        <v>75</v>
      </c>
      <c r="L3" s="45" t="s">
        <v>76</v>
      </c>
      <c r="M3" s="47" t="s">
        <v>80</v>
      </c>
      <c r="N3" s="48" t="s">
        <v>81</v>
      </c>
      <c r="O3" s="45" t="s">
        <v>79</v>
      </c>
      <c r="P3" s="45" t="s">
        <v>75</v>
      </c>
      <c r="Q3" s="46" t="s">
        <v>76</v>
      </c>
      <c r="R3" s="48" t="s">
        <v>79</v>
      </c>
      <c r="S3" s="45" t="s">
        <v>77</v>
      </c>
      <c r="T3" s="46" t="s">
        <v>8</v>
      </c>
      <c r="U3" s="47" t="s">
        <v>82</v>
      </c>
      <c r="V3" s="45" t="s">
        <v>83</v>
      </c>
      <c r="W3" s="45" t="s">
        <v>84</v>
      </c>
      <c r="X3" s="45" t="s">
        <v>85</v>
      </c>
      <c r="Y3" s="45" t="s">
        <v>75</v>
      </c>
      <c r="Z3" s="45" t="s">
        <v>76</v>
      </c>
      <c r="AA3" s="45" t="s">
        <v>77</v>
      </c>
      <c r="AB3" s="46" t="s">
        <v>8</v>
      </c>
      <c r="AC3" s="47" t="s">
        <v>85</v>
      </c>
      <c r="AD3" s="45" t="s">
        <v>75</v>
      </c>
      <c r="AE3" s="45" t="s">
        <v>76</v>
      </c>
      <c r="AF3" s="45" t="s">
        <v>77</v>
      </c>
      <c r="AG3" s="46" t="s">
        <v>8</v>
      </c>
      <c r="AH3" s="47" t="s">
        <v>85</v>
      </c>
      <c r="AI3" s="45" t="s">
        <v>75</v>
      </c>
      <c r="AJ3" s="45" t="s">
        <v>76</v>
      </c>
      <c r="AK3" s="45" t="s">
        <v>77</v>
      </c>
      <c r="AL3" s="49" t="s">
        <v>8</v>
      </c>
      <c r="AM3" s="47" t="s">
        <v>85</v>
      </c>
      <c r="AN3" s="45" t="s">
        <v>77</v>
      </c>
      <c r="AO3" s="45" t="s">
        <v>8</v>
      </c>
      <c r="AP3" s="45" t="s">
        <v>86</v>
      </c>
      <c r="AQ3" s="50" t="s">
        <v>11</v>
      </c>
    </row>
    <row r="4" spans="1:44" x14ac:dyDescent="0.25">
      <c r="A4" t="str">
        <f>CONCATENATE(B4,C4)</f>
        <v>46174M</v>
      </c>
      <c r="B4" s="51">
        <v>46174</v>
      </c>
      <c r="C4" s="52" t="s">
        <v>87</v>
      </c>
      <c r="D4" s="108">
        <v>9720</v>
      </c>
      <c r="E4" s="109">
        <v>5.9</v>
      </c>
      <c r="F4" s="109">
        <v>8.6999999999999993</v>
      </c>
      <c r="G4" s="62">
        <f t="shared" ref="G4:G11" si="0">+D4*E4%</f>
        <v>573.48</v>
      </c>
      <c r="H4" s="72">
        <f t="shared" ref="H4:H11" si="1">+D4*F4%</f>
        <v>845.64</v>
      </c>
      <c r="I4" s="148">
        <v>5758.9</v>
      </c>
      <c r="J4" s="145">
        <v>5931.6669999999995</v>
      </c>
      <c r="K4" s="146">
        <v>4.5283509003455524</v>
      </c>
      <c r="L4" s="147">
        <v>8.3061522165691368</v>
      </c>
      <c r="M4" s="58">
        <v>0</v>
      </c>
      <c r="N4" s="58">
        <v>0</v>
      </c>
      <c r="O4" s="59">
        <v>0</v>
      </c>
      <c r="P4" s="56">
        <v>0</v>
      </c>
      <c r="Q4" s="60">
        <v>0</v>
      </c>
      <c r="R4" s="61">
        <f>+J4+O4</f>
        <v>5931.6669999999995</v>
      </c>
      <c r="S4" s="62">
        <f t="shared" ref="S4" si="2">+J4*K4%+O4*P4%</f>
        <v>268.606696</v>
      </c>
      <c r="T4" s="63">
        <f t="shared" ref="T4" si="3">+J4*L4%+O4*Q4%</f>
        <v>492.69328999999993</v>
      </c>
      <c r="U4" s="64" t="s">
        <v>167</v>
      </c>
      <c r="V4" s="65" t="s">
        <v>167</v>
      </c>
      <c r="W4" s="66">
        <v>0</v>
      </c>
      <c r="X4" s="67">
        <v>0</v>
      </c>
      <c r="Y4" s="68">
        <v>0</v>
      </c>
      <c r="Z4" s="68">
        <v>0</v>
      </c>
      <c r="AA4" s="62">
        <f t="shared" ref="AA4" si="4">X4*Y4%</f>
        <v>0</v>
      </c>
      <c r="AB4" s="63">
        <f t="shared" ref="AB4" si="5">X4*Z4%</f>
        <v>0</v>
      </c>
      <c r="AC4" s="69"/>
      <c r="AD4" s="70"/>
      <c r="AE4" s="70"/>
      <c r="AF4" s="62">
        <f t="shared" ref="AF4" si="6">AC4*AD4%</f>
        <v>0</v>
      </c>
      <c r="AG4" s="63">
        <f t="shared" ref="AG4" si="7">AC4*AE4%</f>
        <v>0</v>
      </c>
      <c r="AH4" s="89">
        <v>15651</v>
      </c>
      <c r="AI4" s="66">
        <v>5.7</v>
      </c>
      <c r="AJ4" s="66">
        <v>8.6</v>
      </c>
      <c r="AK4" s="62">
        <f t="shared" ref="AK4" si="8">AH4*AI4%</f>
        <v>892.10700000000008</v>
      </c>
      <c r="AL4" s="72">
        <f t="shared" ref="AL4" si="9">AH4*AJ4%</f>
        <v>1345.9859999999999</v>
      </c>
      <c r="AM4" s="73">
        <f>+D4+R4-AC4-AH4</f>
        <v>0.66699999999946158</v>
      </c>
      <c r="AN4" s="74">
        <f t="shared" ref="AN4:AN11" si="10">+G4+S4-AF4-AK4</f>
        <v>-50.02030400000001</v>
      </c>
      <c r="AO4" s="74">
        <f t="shared" ref="AO4:AO11" si="11">+H4+T4-AG4-AL4</f>
        <v>-7.6527099999998427</v>
      </c>
      <c r="AP4" s="75">
        <f>(AN4+AO4)/(S4+T4)</f>
        <v>-7.5755963563093845E-2</v>
      </c>
      <c r="AQ4" s="76">
        <f t="shared" ref="AQ4" si="12">($AP$1*AN4+$AQ$1*AO4)</f>
        <v>-24744.866699373291</v>
      </c>
      <c r="AR4" s="90">
        <f>(D4+J4+O4)-(X4+AH4)</f>
        <v>0.66699999999946158</v>
      </c>
    </row>
    <row r="5" spans="1:44" x14ac:dyDescent="0.25">
      <c r="A5" t="str">
        <f t="shared" ref="A5:A65" si="13">CONCATENATE(B5,C5)</f>
        <v>46174E</v>
      </c>
      <c r="B5" s="51">
        <f>+B4</f>
        <v>46174</v>
      </c>
      <c r="C5" s="52" t="s">
        <v>88</v>
      </c>
      <c r="D5" s="91">
        <v>15651</v>
      </c>
      <c r="E5" s="62">
        <v>5.7</v>
      </c>
      <c r="F5" s="62">
        <v>8.6</v>
      </c>
      <c r="G5" s="62">
        <f t="shared" si="0"/>
        <v>892.10700000000008</v>
      </c>
      <c r="H5" s="72">
        <f t="shared" si="1"/>
        <v>1345.9859999999999</v>
      </c>
      <c r="I5" s="123">
        <v>5767.5</v>
      </c>
      <c r="J5" s="120">
        <v>5940.5250000000005</v>
      </c>
      <c r="K5" s="121">
        <v>4.3306805374945805</v>
      </c>
      <c r="L5" s="122">
        <v>8.2613281317728653</v>
      </c>
      <c r="M5" s="58">
        <v>0</v>
      </c>
      <c r="N5" s="58">
        <v>0</v>
      </c>
      <c r="O5" s="59">
        <v>0</v>
      </c>
      <c r="P5" s="56">
        <v>0</v>
      </c>
      <c r="Q5" s="60">
        <v>0</v>
      </c>
      <c r="R5" s="61">
        <f t="shared" ref="R5:R59" si="14">+J5+O5</f>
        <v>5940.5250000000005</v>
      </c>
      <c r="S5" s="62">
        <f t="shared" ref="S5:S59" si="15">+J5*K5%+O5*P5%</f>
        <v>257.26515999999998</v>
      </c>
      <c r="T5" s="63">
        <f t="shared" ref="T5:T59" si="16">+J5*L5%+O5*Q5%</f>
        <v>490.76626300000009</v>
      </c>
      <c r="U5" s="64" t="s">
        <v>321</v>
      </c>
      <c r="V5" s="65" t="s">
        <v>322</v>
      </c>
      <c r="W5" s="66" t="s">
        <v>189</v>
      </c>
      <c r="X5" s="67">
        <v>6500</v>
      </c>
      <c r="Y5" s="68">
        <v>4.4000000000000004</v>
      </c>
      <c r="Z5" s="68">
        <v>8.41</v>
      </c>
      <c r="AA5" s="62">
        <f t="shared" ref="AA5:AA59" si="17">X5*Y5%</f>
        <v>286.00000000000006</v>
      </c>
      <c r="AB5" s="63">
        <f t="shared" ref="AB5:AB59" si="18">X5*Z5%</f>
        <v>546.65000000000009</v>
      </c>
      <c r="AC5" s="69">
        <v>6520</v>
      </c>
      <c r="AD5" s="70">
        <v>4.4000000000000004</v>
      </c>
      <c r="AE5" s="70">
        <v>8.2200000000000006</v>
      </c>
      <c r="AF5" s="62">
        <f t="shared" ref="AF5:AF57" si="19">AC5*AD5%</f>
        <v>286.88000000000005</v>
      </c>
      <c r="AG5" s="63">
        <f t="shared" ref="AG5:AG65" si="20">AC5*AE5%</f>
        <v>535.94400000000007</v>
      </c>
      <c r="AH5" s="89">
        <v>15091</v>
      </c>
      <c r="AI5" s="66">
        <v>5.6</v>
      </c>
      <c r="AJ5" s="66">
        <v>8.5</v>
      </c>
      <c r="AK5" s="62">
        <f t="shared" ref="AK5:AK21" si="21">AH5*AI5%</f>
        <v>845.09599999999989</v>
      </c>
      <c r="AL5" s="72">
        <f t="shared" ref="AL5:AL21" si="22">AH5*AJ5%</f>
        <v>1282.7350000000001</v>
      </c>
      <c r="AM5" s="73">
        <f t="shared" ref="AM5:AM35" si="23">+D5+R5-AC5-AH5</f>
        <v>-19.474999999998545</v>
      </c>
      <c r="AN5" s="74">
        <f t="shared" si="10"/>
        <v>17.396160000000123</v>
      </c>
      <c r="AO5" s="74">
        <f t="shared" si="11"/>
        <v>18.07326299999977</v>
      </c>
      <c r="AP5" s="75">
        <f t="shared" ref="AP5:AP59" si="24">(AN5+AO5)/(S5+T5)</f>
        <v>4.741702274718463E-2</v>
      </c>
      <c r="AQ5" s="76">
        <f t="shared" ref="AQ5:AQ59" si="25">($AP$1*AN5+$AQ$1*AO5)</f>
        <v>13218.155847819988</v>
      </c>
      <c r="AR5" s="90">
        <f t="shared" ref="AR5:AR13" si="26">(D5+J5+O5)-(X5+AH5)</f>
        <v>0.52500000000145519</v>
      </c>
    </row>
    <row r="6" spans="1:44" x14ac:dyDescent="0.25">
      <c r="A6" t="str">
        <f t="shared" si="13"/>
        <v>46175M</v>
      </c>
      <c r="B6" s="51">
        <f>+B4+1</f>
        <v>46175</v>
      </c>
      <c r="C6" s="52" t="s">
        <v>87</v>
      </c>
      <c r="D6" s="91">
        <v>15091</v>
      </c>
      <c r="E6" s="62">
        <v>5.6</v>
      </c>
      <c r="F6" s="62">
        <v>8.5</v>
      </c>
      <c r="G6" s="62">
        <f t="shared" si="0"/>
        <v>845.09599999999989</v>
      </c>
      <c r="H6" s="72">
        <f t="shared" si="1"/>
        <v>1282.7350000000001</v>
      </c>
      <c r="I6" s="123">
        <v>5516.7999999999993</v>
      </c>
      <c r="J6" s="120">
        <v>5682.3039999999992</v>
      </c>
      <c r="K6" s="121">
        <v>4.5482888631090495</v>
      </c>
      <c r="L6" s="122">
        <v>8.3050989704176335</v>
      </c>
      <c r="M6" s="58">
        <v>0</v>
      </c>
      <c r="N6" s="58">
        <v>0</v>
      </c>
      <c r="O6" s="59">
        <v>0</v>
      </c>
      <c r="P6" s="56">
        <v>0</v>
      </c>
      <c r="Q6" s="60">
        <v>0</v>
      </c>
      <c r="R6" s="61">
        <f t="shared" si="14"/>
        <v>5682.3039999999992</v>
      </c>
      <c r="S6" s="62">
        <f t="shared" si="15"/>
        <v>258.44759999999997</v>
      </c>
      <c r="T6" s="63">
        <f t="shared" si="16"/>
        <v>471.92097099999995</v>
      </c>
      <c r="U6" s="64" t="s">
        <v>323</v>
      </c>
      <c r="V6" s="65" t="s">
        <v>324</v>
      </c>
      <c r="W6" s="66" t="s">
        <v>208</v>
      </c>
      <c r="X6" s="67">
        <v>6550</v>
      </c>
      <c r="Y6" s="68">
        <v>4.7309160305343507</v>
      </c>
      <c r="Z6" s="68">
        <v>8.2332061068702291</v>
      </c>
      <c r="AA6" s="62">
        <f t="shared" si="17"/>
        <v>309.875</v>
      </c>
      <c r="AB6" s="63">
        <f t="shared" si="18"/>
        <v>539.27499999999998</v>
      </c>
      <c r="AC6" s="69">
        <v>6540</v>
      </c>
      <c r="AD6" s="70">
        <v>4.6308868501529048</v>
      </c>
      <c r="AE6" s="70">
        <v>8.1265443425076445</v>
      </c>
      <c r="AF6" s="62">
        <f t="shared" si="19"/>
        <v>302.86</v>
      </c>
      <c r="AG6" s="63">
        <f t="shared" si="20"/>
        <v>531.47599999999989</v>
      </c>
      <c r="AH6" s="89">
        <v>14221</v>
      </c>
      <c r="AI6" s="66">
        <v>5.4</v>
      </c>
      <c r="AJ6" s="66">
        <v>8.5</v>
      </c>
      <c r="AK6" s="62">
        <f t="shared" si="21"/>
        <v>767.93400000000008</v>
      </c>
      <c r="AL6" s="72">
        <f t="shared" si="22"/>
        <v>1208.7850000000001</v>
      </c>
      <c r="AM6" s="73">
        <f t="shared" si="23"/>
        <v>12.304000000000087</v>
      </c>
      <c r="AN6" s="74">
        <f t="shared" si="10"/>
        <v>32.749599999999873</v>
      </c>
      <c r="AO6" s="74">
        <f t="shared" si="11"/>
        <v>14.394971000000169</v>
      </c>
      <c r="AP6" s="75">
        <f t="shared" si="24"/>
        <v>6.4549013843039585E-2</v>
      </c>
      <c r="AQ6" s="76">
        <f t="shared" si="25"/>
        <v>19009.653890406662</v>
      </c>
      <c r="AR6" s="90">
        <f t="shared" si="26"/>
        <v>2.3040000000000873</v>
      </c>
    </row>
    <row r="7" spans="1:44" x14ac:dyDescent="0.25">
      <c r="A7" t="str">
        <f t="shared" si="13"/>
        <v>46175E</v>
      </c>
      <c r="B7" s="51">
        <f>+B5+1</f>
        <v>46175</v>
      </c>
      <c r="C7" s="52" t="s">
        <v>88</v>
      </c>
      <c r="D7" s="91">
        <v>14221</v>
      </c>
      <c r="E7" s="62">
        <v>5.4</v>
      </c>
      <c r="F7" s="62">
        <v>8.5</v>
      </c>
      <c r="G7" s="62">
        <f t="shared" si="0"/>
        <v>767.93400000000008</v>
      </c>
      <c r="H7" s="72">
        <f t="shared" si="1"/>
        <v>1208.7850000000001</v>
      </c>
      <c r="I7" s="123">
        <v>5782.4</v>
      </c>
      <c r="J7" s="120">
        <v>5955.8719999999994</v>
      </c>
      <c r="K7" s="121">
        <v>4.2904866491422258</v>
      </c>
      <c r="L7" s="122">
        <v>8.2760981599335928</v>
      </c>
      <c r="M7" s="58">
        <v>0</v>
      </c>
      <c r="N7" s="58">
        <v>0</v>
      </c>
      <c r="O7" s="59">
        <v>0</v>
      </c>
      <c r="P7" s="56">
        <v>0</v>
      </c>
      <c r="Q7" s="60">
        <v>0</v>
      </c>
      <c r="R7" s="61">
        <f t="shared" si="14"/>
        <v>5955.8719999999994</v>
      </c>
      <c r="S7" s="62">
        <f t="shared" si="15"/>
        <v>255.53589300000004</v>
      </c>
      <c r="T7" s="63">
        <f t="shared" si="16"/>
        <v>492.913813</v>
      </c>
      <c r="U7" s="64" t="s">
        <v>321</v>
      </c>
      <c r="V7" s="65" t="s">
        <v>325</v>
      </c>
      <c r="W7" s="66" t="s">
        <v>189</v>
      </c>
      <c r="X7" s="67">
        <v>6500</v>
      </c>
      <c r="Y7" s="68">
        <v>4.49</v>
      </c>
      <c r="Z7" s="68">
        <v>8.35</v>
      </c>
      <c r="AA7" s="62">
        <f t="shared" si="17"/>
        <v>291.85000000000002</v>
      </c>
      <c r="AB7" s="63">
        <f t="shared" si="18"/>
        <v>542.74999999999989</v>
      </c>
      <c r="AC7" s="69">
        <v>6520</v>
      </c>
      <c r="AD7" s="70">
        <v>4.4274539877300612</v>
      </c>
      <c r="AE7" s="70">
        <v>8.2057668711656433</v>
      </c>
      <c r="AF7" s="62">
        <f t="shared" si="19"/>
        <v>288.66999999999996</v>
      </c>
      <c r="AG7" s="63">
        <f t="shared" si="20"/>
        <v>535.01599999999996</v>
      </c>
      <c r="AH7" s="89">
        <v>13676</v>
      </c>
      <c r="AI7" s="66">
        <v>5.4</v>
      </c>
      <c r="AJ7" s="66">
        <v>8.4</v>
      </c>
      <c r="AK7" s="62">
        <f t="shared" si="21"/>
        <v>738.50400000000013</v>
      </c>
      <c r="AL7" s="72">
        <f t="shared" si="22"/>
        <v>1148.7840000000001</v>
      </c>
      <c r="AM7" s="73">
        <f t="shared" si="23"/>
        <v>-19.128000000000611</v>
      </c>
      <c r="AN7" s="74">
        <f t="shared" si="10"/>
        <v>-3.7041069999999081</v>
      </c>
      <c r="AO7" s="74">
        <f t="shared" si="11"/>
        <v>17.898812999999791</v>
      </c>
      <c r="AP7" s="75">
        <f t="shared" si="24"/>
        <v>1.8965477421137342E-2</v>
      </c>
      <c r="AQ7" s="76">
        <f t="shared" si="25"/>
        <v>3693.8267558499792</v>
      </c>
      <c r="AR7" s="117">
        <f t="shared" si="26"/>
        <v>0.87199999999938882</v>
      </c>
    </row>
    <row r="8" spans="1:44" x14ac:dyDescent="0.25">
      <c r="A8" t="str">
        <f t="shared" si="13"/>
        <v>46176M</v>
      </c>
      <c r="B8" s="51">
        <f>+B6+1</f>
        <v>46176</v>
      </c>
      <c r="C8" s="52" t="s">
        <v>87</v>
      </c>
      <c r="D8" s="91">
        <v>13676</v>
      </c>
      <c r="E8" s="62">
        <v>5.4</v>
      </c>
      <c r="F8" s="62">
        <v>8.4</v>
      </c>
      <c r="G8" s="62">
        <f t="shared" si="0"/>
        <v>738.50400000000013</v>
      </c>
      <c r="H8" s="72">
        <f t="shared" si="1"/>
        <v>1148.7840000000001</v>
      </c>
      <c r="I8" s="123">
        <v>6718.1</v>
      </c>
      <c r="J8" s="120">
        <v>6919.6430000000009</v>
      </c>
      <c r="K8" s="121">
        <v>4.5108557479049152</v>
      </c>
      <c r="L8" s="122">
        <v>8.2805540256917904</v>
      </c>
      <c r="M8" s="58">
        <v>0</v>
      </c>
      <c r="N8" s="58">
        <v>0</v>
      </c>
      <c r="O8" s="59">
        <v>0</v>
      </c>
      <c r="P8" s="56">
        <v>0</v>
      </c>
      <c r="Q8" s="60">
        <v>0</v>
      </c>
      <c r="R8" s="61">
        <f t="shared" si="14"/>
        <v>6919.6430000000009</v>
      </c>
      <c r="S8" s="62">
        <f t="shared" si="15"/>
        <v>312.13511400000016</v>
      </c>
      <c r="T8" s="63">
        <f t="shared" si="16"/>
        <v>572.98477700000024</v>
      </c>
      <c r="U8" s="64" t="s">
        <v>323</v>
      </c>
      <c r="V8" s="65" t="s">
        <v>326</v>
      </c>
      <c r="W8" s="66" t="s">
        <v>291</v>
      </c>
      <c r="X8" s="67">
        <v>6550</v>
      </c>
      <c r="Y8" s="68">
        <v>4.7</v>
      </c>
      <c r="Z8" s="68">
        <v>8.24</v>
      </c>
      <c r="AA8" s="62">
        <f t="shared" si="17"/>
        <v>307.85000000000002</v>
      </c>
      <c r="AB8" s="63">
        <f t="shared" si="18"/>
        <v>539.72</v>
      </c>
      <c r="AC8" s="69">
        <v>6520</v>
      </c>
      <c r="AD8" s="70">
        <v>4.5794478527607367</v>
      </c>
      <c r="AE8" s="70">
        <v>8.1958895705521488</v>
      </c>
      <c r="AF8" s="62">
        <f t="shared" si="19"/>
        <v>298.58000000000004</v>
      </c>
      <c r="AG8" s="63">
        <f t="shared" si="20"/>
        <v>534.37200000000018</v>
      </c>
      <c r="AH8" s="89">
        <v>14045</v>
      </c>
      <c r="AI8" s="66">
        <v>5.4</v>
      </c>
      <c r="AJ8" s="66">
        <v>8.4</v>
      </c>
      <c r="AK8" s="62">
        <f t="shared" si="21"/>
        <v>758.43000000000006</v>
      </c>
      <c r="AL8" s="72">
        <f t="shared" si="22"/>
        <v>1179.78</v>
      </c>
      <c r="AM8" s="73">
        <f t="shared" si="23"/>
        <v>30.643000000000029</v>
      </c>
      <c r="AN8" s="74">
        <f t="shared" si="10"/>
        <v>-6.370885999999814</v>
      </c>
      <c r="AO8" s="74">
        <f t="shared" si="11"/>
        <v>7.6167769999999564</v>
      </c>
      <c r="AP8" s="75">
        <f t="shared" si="24"/>
        <v>1.4075957536018608E-3</v>
      </c>
      <c r="AQ8" s="76">
        <f t="shared" si="25"/>
        <v>-580.45619221326251</v>
      </c>
      <c r="AR8" s="90">
        <f t="shared" si="26"/>
        <v>0.6430000000000291</v>
      </c>
    </row>
    <row r="9" spans="1:44" x14ac:dyDescent="0.25">
      <c r="A9" t="str">
        <f t="shared" si="13"/>
        <v>46176E</v>
      </c>
      <c r="B9" s="51">
        <f t="shared" ref="B9:B65" si="27">+B7+1</f>
        <v>46176</v>
      </c>
      <c r="C9" s="52" t="s">
        <v>88</v>
      </c>
      <c r="D9" s="91">
        <v>14045</v>
      </c>
      <c r="E9" s="62">
        <v>5.4</v>
      </c>
      <c r="F9" s="62">
        <v>8.4</v>
      </c>
      <c r="G9" s="62">
        <f t="shared" si="0"/>
        <v>758.43000000000006</v>
      </c>
      <c r="H9" s="72">
        <f t="shared" si="1"/>
        <v>1179.78</v>
      </c>
      <c r="I9" s="123">
        <v>6182.5000000000009</v>
      </c>
      <c r="J9" s="120">
        <v>6367.9750000000013</v>
      </c>
      <c r="K9" s="121">
        <v>4.377641730691467</v>
      </c>
      <c r="L9" s="122">
        <v>8.2450432672866985</v>
      </c>
      <c r="M9" s="58">
        <v>0</v>
      </c>
      <c r="N9" s="58">
        <v>0</v>
      </c>
      <c r="O9" s="59">
        <v>0</v>
      </c>
      <c r="P9" s="56">
        <v>0</v>
      </c>
      <c r="Q9" s="60">
        <v>0</v>
      </c>
      <c r="R9" s="61">
        <f t="shared" si="14"/>
        <v>6367.9750000000013</v>
      </c>
      <c r="S9" s="62">
        <f t="shared" si="15"/>
        <v>278.76713100000001</v>
      </c>
      <c r="T9" s="63">
        <f t="shared" si="16"/>
        <v>525.04229400000031</v>
      </c>
      <c r="U9" s="64" t="s">
        <v>323</v>
      </c>
      <c r="V9" s="65" t="s">
        <v>327</v>
      </c>
      <c r="W9" s="66" t="s">
        <v>291</v>
      </c>
      <c r="X9" s="67">
        <v>6550</v>
      </c>
      <c r="Y9" s="68">
        <v>4.75</v>
      </c>
      <c r="Z9" s="68">
        <v>8.2100000000000009</v>
      </c>
      <c r="AA9" s="62">
        <f t="shared" si="17"/>
        <v>311.125</v>
      </c>
      <c r="AB9" s="63">
        <f t="shared" si="18"/>
        <v>537.755</v>
      </c>
      <c r="AC9" s="69">
        <v>6560</v>
      </c>
      <c r="AD9" s="70">
        <v>4.699542682926829</v>
      </c>
      <c r="AE9" s="70">
        <v>8.1799390243902455</v>
      </c>
      <c r="AF9" s="62">
        <f t="shared" si="19"/>
        <v>308.29000000000002</v>
      </c>
      <c r="AG9" s="63">
        <f t="shared" si="20"/>
        <v>536.60400000000004</v>
      </c>
      <c r="AH9" s="89">
        <v>13863</v>
      </c>
      <c r="AI9" s="66">
        <v>5.4</v>
      </c>
      <c r="AJ9" s="66">
        <v>8.4</v>
      </c>
      <c r="AK9" s="62">
        <f t="shared" si="21"/>
        <v>748.60200000000009</v>
      </c>
      <c r="AL9" s="72">
        <f t="shared" si="22"/>
        <v>1164.492</v>
      </c>
      <c r="AM9" s="73">
        <f t="shared" si="23"/>
        <v>-10.024999999997817</v>
      </c>
      <c r="AN9" s="74">
        <f t="shared" si="10"/>
        <v>-19.694868999999926</v>
      </c>
      <c r="AO9" s="74">
        <f t="shared" si="11"/>
        <v>3.72629400000028</v>
      </c>
      <c r="AP9" s="75">
        <f t="shared" si="24"/>
        <v>-1.9866120629276819E-2</v>
      </c>
      <c r="AQ9" s="76">
        <f t="shared" si="25"/>
        <v>-7726.0432164298836</v>
      </c>
      <c r="AR9" s="90">
        <f t="shared" si="26"/>
        <v>-2.4999999997817213E-2</v>
      </c>
    </row>
    <row r="10" spans="1:44" x14ac:dyDescent="0.25">
      <c r="A10" t="str">
        <f t="shared" si="13"/>
        <v>46177M</v>
      </c>
      <c r="B10" s="51">
        <f t="shared" si="27"/>
        <v>46177</v>
      </c>
      <c r="C10" s="52" t="s">
        <v>87</v>
      </c>
      <c r="D10" s="91">
        <v>13863</v>
      </c>
      <c r="E10" s="62">
        <v>5.4</v>
      </c>
      <c r="F10" s="62">
        <v>8.4</v>
      </c>
      <c r="G10" s="62">
        <f t="shared" si="0"/>
        <v>748.60200000000009</v>
      </c>
      <c r="H10" s="72">
        <f t="shared" si="1"/>
        <v>1164.492</v>
      </c>
      <c r="I10" s="123">
        <v>4591.3999999999996</v>
      </c>
      <c r="J10" s="120">
        <v>4729.1419999999998</v>
      </c>
      <c r="K10" s="121">
        <v>4.6802326087903463</v>
      </c>
      <c r="L10" s="122">
        <v>8.3292198457986686</v>
      </c>
      <c r="M10" s="58">
        <v>0</v>
      </c>
      <c r="N10" s="58">
        <v>0</v>
      </c>
      <c r="O10" s="59">
        <v>0</v>
      </c>
      <c r="P10" s="56">
        <v>0</v>
      </c>
      <c r="Q10" s="60">
        <v>0</v>
      </c>
      <c r="R10" s="61">
        <f t="shared" si="14"/>
        <v>4729.1419999999998</v>
      </c>
      <c r="S10" s="62">
        <f t="shared" si="15"/>
        <v>221.33484599999994</v>
      </c>
      <c r="T10" s="63">
        <f t="shared" si="16"/>
        <v>393.90063400000008</v>
      </c>
      <c r="U10" s="64" t="s">
        <v>167</v>
      </c>
      <c r="V10" s="65" t="s">
        <v>167</v>
      </c>
      <c r="W10" s="66">
        <v>0</v>
      </c>
      <c r="X10" s="67">
        <v>0</v>
      </c>
      <c r="Y10" s="68">
        <v>0</v>
      </c>
      <c r="Z10" s="68">
        <v>0</v>
      </c>
      <c r="AA10" s="62">
        <f t="shared" si="17"/>
        <v>0</v>
      </c>
      <c r="AB10" s="63">
        <f t="shared" si="18"/>
        <v>0</v>
      </c>
      <c r="AC10" s="69"/>
      <c r="AD10" s="70"/>
      <c r="AE10" s="70"/>
      <c r="AF10" s="62">
        <f t="shared" si="19"/>
        <v>0</v>
      </c>
      <c r="AG10" s="63">
        <f t="shared" si="20"/>
        <v>0</v>
      </c>
      <c r="AH10" s="89">
        <v>18592</v>
      </c>
      <c r="AI10" s="66">
        <v>5.4</v>
      </c>
      <c r="AJ10" s="66">
        <v>8.4</v>
      </c>
      <c r="AK10" s="62">
        <f t="shared" si="21"/>
        <v>1003.9680000000001</v>
      </c>
      <c r="AL10" s="72">
        <f t="shared" si="22"/>
        <v>1561.7280000000001</v>
      </c>
      <c r="AM10" s="73">
        <f t="shared" si="23"/>
        <v>0.14199999999982538</v>
      </c>
      <c r="AN10" s="74">
        <f t="shared" si="10"/>
        <v>-34.031154000000015</v>
      </c>
      <c r="AO10" s="74">
        <f t="shared" si="11"/>
        <v>-3.3353660000000218</v>
      </c>
      <c r="AP10" s="75">
        <f t="shared" si="24"/>
        <v>-6.0735313899647064E-2</v>
      </c>
      <c r="AQ10" s="76">
        <f t="shared" si="25"/>
        <v>-16275.111442846681</v>
      </c>
      <c r="AR10" s="90">
        <f t="shared" si="26"/>
        <v>0.14199999999982538</v>
      </c>
    </row>
    <row r="11" spans="1:44" x14ac:dyDescent="0.25">
      <c r="A11" t="str">
        <f t="shared" si="13"/>
        <v>46177E</v>
      </c>
      <c r="B11" s="51">
        <f t="shared" si="27"/>
        <v>46177</v>
      </c>
      <c r="C11" s="52" t="s">
        <v>88</v>
      </c>
      <c r="D11" s="91">
        <v>18592</v>
      </c>
      <c r="E11" s="62">
        <v>5.4</v>
      </c>
      <c r="F11" s="62">
        <v>8.4</v>
      </c>
      <c r="G11" s="62">
        <f t="shared" si="0"/>
        <v>1003.9680000000001</v>
      </c>
      <c r="H11" s="72">
        <f t="shared" si="1"/>
        <v>1561.7280000000001</v>
      </c>
      <c r="I11" s="123">
        <v>5735.3</v>
      </c>
      <c r="J11" s="120">
        <v>5907.3590000000004</v>
      </c>
      <c r="K11" s="121">
        <v>4.2375725768486392</v>
      </c>
      <c r="L11" s="122">
        <v>8.2523930744686425</v>
      </c>
      <c r="M11" s="58">
        <v>0</v>
      </c>
      <c r="N11" s="58">
        <v>0</v>
      </c>
      <c r="O11" s="59">
        <v>0</v>
      </c>
      <c r="P11" s="56">
        <v>0</v>
      </c>
      <c r="Q11" s="60">
        <v>0</v>
      </c>
      <c r="R11" s="61">
        <f t="shared" si="14"/>
        <v>5907.3590000000004</v>
      </c>
      <c r="S11" s="62">
        <f t="shared" si="15"/>
        <v>250.32862499999999</v>
      </c>
      <c r="T11" s="63">
        <f t="shared" si="16"/>
        <v>487.49848500000007</v>
      </c>
      <c r="U11" s="64" t="s">
        <v>321</v>
      </c>
      <c r="V11" s="65" t="s">
        <v>328</v>
      </c>
      <c r="W11" s="66" t="s">
        <v>189</v>
      </c>
      <c r="X11" s="67">
        <v>6500</v>
      </c>
      <c r="Y11" s="68">
        <v>4.43</v>
      </c>
      <c r="Z11" s="68">
        <v>8.33</v>
      </c>
      <c r="AA11" s="62">
        <f t="shared" si="17"/>
        <v>287.95</v>
      </c>
      <c r="AB11" s="63">
        <f t="shared" si="18"/>
        <v>541.45000000000005</v>
      </c>
      <c r="AC11" s="69">
        <v>6510</v>
      </c>
      <c r="AD11" s="70">
        <v>4.3807219662058374</v>
      </c>
      <c r="AE11" s="70">
        <v>8.2560829493087571</v>
      </c>
      <c r="AF11" s="62">
        <f t="shared" si="19"/>
        <v>285.185</v>
      </c>
      <c r="AG11" s="63">
        <f t="shared" si="20"/>
        <v>537.47100000000012</v>
      </c>
      <c r="AH11" s="89">
        <v>17680</v>
      </c>
      <c r="AI11" s="66">
        <v>5.4</v>
      </c>
      <c r="AJ11" s="66">
        <v>8.4</v>
      </c>
      <c r="AK11" s="62">
        <f t="shared" si="21"/>
        <v>954.72000000000014</v>
      </c>
      <c r="AL11" s="72">
        <f t="shared" si="22"/>
        <v>1485.1200000000001</v>
      </c>
      <c r="AM11" s="73">
        <f t="shared" si="23"/>
        <v>309.35900000000038</v>
      </c>
      <c r="AN11" s="74">
        <f t="shared" si="10"/>
        <v>14.391624999999863</v>
      </c>
      <c r="AO11" s="74">
        <f t="shared" si="11"/>
        <v>26.635485000000017</v>
      </c>
      <c r="AP11" s="75">
        <f t="shared" si="24"/>
        <v>5.5605316535468421E-2</v>
      </c>
      <c r="AQ11" s="76">
        <f t="shared" si="25"/>
        <v>14431.834759649944</v>
      </c>
      <c r="AR11" s="90">
        <f t="shared" si="26"/>
        <v>319.35900000000038</v>
      </c>
    </row>
    <row r="12" spans="1:44" x14ac:dyDescent="0.25">
      <c r="A12" t="str">
        <f t="shared" si="13"/>
        <v>46178M</v>
      </c>
      <c r="B12" s="51">
        <f t="shared" si="27"/>
        <v>46178</v>
      </c>
      <c r="C12" s="52" t="s">
        <v>87</v>
      </c>
      <c r="D12" s="91">
        <v>17680</v>
      </c>
      <c r="E12" s="62">
        <v>5.4</v>
      </c>
      <c r="F12" s="62">
        <v>8.4</v>
      </c>
      <c r="G12" s="62">
        <f t="shared" ref="G12:G51" si="28">+D12*E12%</f>
        <v>954.72000000000014</v>
      </c>
      <c r="H12" s="72">
        <f t="shared" ref="H12:H51" si="29">+D12*F12%</f>
        <v>1485.1200000000001</v>
      </c>
      <c r="I12" s="123">
        <v>4637.5</v>
      </c>
      <c r="J12" s="120">
        <v>4776.625</v>
      </c>
      <c r="K12" s="121">
        <v>4.4000000000000004</v>
      </c>
      <c r="L12" s="122">
        <v>8.1999999999999993</v>
      </c>
      <c r="M12" s="58">
        <v>0</v>
      </c>
      <c r="N12" s="58">
        <v>0</v>
      </c>
      <c r="O12" s="59">
        <v>0</v>
      </c>
      <c r="P12" s="56">
        <v>0</v>
      </c>
      <c r="Q12" s="60">
        <v>0</v>
      </c>
      <c r="R12" s="61">
        <f t="shared" si="14"/>
        <v>4776.625</v>
      </c>
      <c r="S12" s="62">
        <f t="shared" si="15"/>
        <v>210.17150000000001</v>
      </c>
      <c r="T12" s="63">
        <f t="shared" si="16"/>
        <v>391.68324999999993</v>
      </c>
      <c r="U12" s="64" t="s">
        <v>167</v>
      </c>
      <c r="V12" s="65" t="s">
        <v>167</v>
      </c>
      <c r="W12" s="66">
        <v>0</v>
      </c>
      <c r="X12" s="67">
        <v>0</v>
      </c>
      <c r="Y12" s="68">
        <v>0</v>
      </c>
      <c r="Z12" s="68">
        <v>0</v>
      </c>
      <c r="AA12" s="62">
        <f t="shared" si="17"/>
        <v>0</v>
      </c>
      <c r="AB12" s="63">
        <f t="shared" si="18"/>
        <v>0</v>
      </c>
      <c r="AC12" s="69"/>
      <c r="AD12" s="70"/>
      <c r="AE12" s="70"/>
      <c r="AF12" s="62">
        <f t="shared" si="19"/>
        <v>0</v>
      </c>
      <c r="AG12" s="63">
        <f t="shared" si="20"/>
        <v>0</v>
      </c>
      <c r="AH12" s="89">
        <v>22456</v>
      </c>
      <c r="AI12" s="66">
        <v>5.4</v>
      </c>
      <c r="AJ12" s="66">
        <v>8.4</v>
      </c>
      <c r="AK12" s="62">
        <f t="shared" si="21"/>
        <v>1212.6240000000003</v>
      </c>
      <c r="AL12" s="72">
        <f t="shared" si="22"/>
        <v>1886.3040000000001</v>
      </c>
      <c r="AM12" s="73">
        <f t="shared" si="23"/>
        <v>0.625</v>
      </c>
      <c r="AN12" s="74">
        <f t="shared" ref="AN12:AN35" si="30">+G12+S12-AF12-AK12</f>
        <v>-47.732500000000073</v>
      </c>
      <c r="AO12" s="74">
        <f t="shared" ref="AO12:AO35" si="31">+H12+T12-AG12-AL12</f>
        <v>-9.5007500000001528</v>
      </c>
      <c r="AP12" s="75">
        <f t="shared" si="24"/>
        <v>-9.5094788235866257E-2</v>
      </c>
      <c r="AQ12" s="76">
        <f t="shared" si="25"/>
        <v>-24270.917696666744</v>
      </c>
      <c r="AR12" s="90">
        <f t="shared" si="26"/>
        <v>0.625</v>
      </c>
    </row>
    <row r="13" spans="1:44" x14ac:dyDescent="0.25">
      <c r="A13" t="str">
        <f t="shared" si="13"/>
        <v>46178E</v>
      </c>
      <c r="B13" s="51">
        <f t="shared" si="27"/>
        <v>46178</v>
      </c>
      <c r="C13" s="52" t="s">
        <v>88</v>
      </c>
      <c r="D13" s="91">
        <v>22456</v>
      </c>
      <c r="E13" s="62">
        <v>5.4</v>
      </c>
      <c r="F13" s="62">
        <v>8.4</v>
      </c>
      <c r="G13" s="62">
        <f t="shared" si="28"/>
        <v>1212.6240000000003</v>
      </c>
      <c r="H13" s="72">
        <f t="shared" si="29"/>
        <v>1886.3040000000001</v>
      </c>
      <c r="I13" s="123">
        <v>2248.6999999999998</v>
      </c>
      <c r="J13" s="120">
        <v>2316.1610000000001</v>
      </c>
      <c r="K13" s="121">
        <v>4.3</v>
      </c>
      <c r="L13" s="122">
        <v>8.1999999999999993</v>
      </c>
      <c r="M13" s="58">
        <v>0</v>
      </c>
      <c r="N13" s="58">
        <v>0</v>
      </c>
      <c r="O13" s="59">
        <v>0</v>
      </c>
      <c r="P13" s="56">
        <v>0</v>
      </c>
      <c r="Q13" s="60">
        <v>0</v>
      </c>
      <c r="R13" s="61">
        <f t="shared" si="14"/>
        <v>2316.1610000000001</v>
      </c>
      <c r="S13" s="62">
        <f t="shared" si="15"/>
        <v>99.594922999999994</v>
      </c>
      <c r="T13" s="63">
        <f t="shared" si="16"/>
        <v>189.92520199999998</v>
      </c>
      <c r="U13" s="64" t="s">
        <v>323</v>
      </c>
      <c r="V13" s="65" t="s">
        <v>412</v>
      </c>
      <c r="W13" s="66" t="s">
        <v>208</v>
      </c>
      <c r="X13" s="67">
        <v>6550</v>
      </c>
      <c r="Y13" s="68">
        <v>4.55</v>
      </c>
      <c r="Z13" s="68">
        <v>8.31</v>
      </c>
      <c r="AA13" s="62">
        <f t="shared" si="17"/>
        <v>298.02499999999998</v>
      </c>
      <c r="AB13" s="63">
        <f t="shared" si="18"/>
        <v>544.30500000000006</v>
      </c>
      <c r="AC13" s="226">
        <v>6550</v>
      </c>
      <c r="AD13" s="227">
        <v>4.55</v>
      </c>
      <c r="AE13" s="227">
        <v>8.31</v>
      </c>
      <c r="AF13" s="62">
        <f t="shared" si="19"/>
        <v>298.02499999999998</v>
      </c>
      <c r="AG13" s="63">
        <f t="shared" si="20"/>
        <v>544.30500000000006</v>
      </c>
      <c r="AH13" s="89">
        <v>18222</v>
      </c>
      <c r="AI13" s="66">
        <v>5.4</v>
      </c>
      <c r="AJ13" s="66">
        <v>8.4</v>
      </c>
      <c r="AK13" s="62">
        <f t="shared" si="21"/>
        <v>983.98800000000017</v>
      </c>
      <c r="AL13" s="72">
        <f t="shared" si="22"/>
        <v>1530.6480000000001</v>
      </c>
      <c r="AM13" s="73">
        <f t="shared" si="23"/>
        <v>0.16100000000005821</v>
      </c>
      <c r="AN13" s="74">
        <f t="shared" si="30"/>
        <v>30.205923000000212</v>
      </c>
      <c r="AO13" s="74">
        <f t="shared" si="31"/>
        <v>1.2762019999997847</v>
      </c>
      <c r="AP13" s="75">
        <f t="shared" si="24"/>
        <v>0.10873898662485033</v>
      </c>
      <c r="AQ13" s="76">
        <f t="shared" si="25"/>
        <v>13941.674120476697</v>
      </c>
      <c r="AR13" s="90">
        <f t="shared" si="26"/>
        <v>0.16100000000005821</v>
      </c>
    </row>
    <row r="14" spans="1:44" x14ac:dyDescent="0.25">
      <c r="A14" t="str">
        <f t="shared" si="13"/>
        <v>46179M</v>
      </c>
      <c r="B14" s="51">
        <f t="shared" si="27"/>
        <v>46179</v>
      </c>
      <c r="C14" s="52" t="s">
        <v>87</v>
      </c>
      <c r="D14" s="91">
        <v>18222</v>
      </c>
      <c r="E14" s="62">
        <v>5.4</v>
      </c>
      <c r="F14" s="62">
        <v>8.4</v>
      </c>
      <c r="G14" s="62">
        <f t="shared" si="28"/>
        <v>983.98800000000017</v>
      </c>
      <c r="H14" s="72">
        <f t="shared" si="29"/>
        <v>1530.6480000000001</v>
      </c>
      <c r="I14" s="123">
        <v>4640.3</v>
      </c>
      <c r="J14" s="120">
        <v>4779.509</v>
      </c>
      <c r="K14" s="121">
        <v>4.4000000000000004</v>
      </c>
      <c r="L14" s="122">
        <v>8.1999999999999993</v>
      </c>
      <c r="M14" s="58">
        <v>0</v>
      </c>
      <c r="N14" s="58">
        <v>0</v>
      </c>
      <c r="O14" s="59">
        <v>0</v>
      </c>
      <c r="P14" s="56">
        <v>0</v>
      </c>
      <c r="Q14" s="60">
        <v>0</v>
      </c>
      <c r="R14" s="61">
        <f t="shared" si="14"/>
        <v>4779.509</v>
      </c>
      <c r="S14" s="62">
        <f t="shared" si="15"/>
        <v>210.29839600000003</v>
      </c>
      <c r="T14" s="63">
        <f t="shared" si="16"/>
        <v>391.91973799999994</v>
      </c>
      <c r="U14" s="64" t="s">
        <v>321</v>
      </c>
      <c r="V14" s="65" t="s">
        <v>413</v>
      </c>
      <c r="W14" s="66" t="s">
        <v>189</v>
      </c>
      <c r="X14" s="67">
        <v>6500</v>
      </c>
      <c r="Y14" s="68">
        <v>4.26</v>
      </c>
      <c r="Z14" s="68">
        <v>8.56</v>
      </c>
      <c r="AA14" s="62">
        <f t="shared" si="17"/>
        <v>276.89999999999998</v>
      </c>
      <c r="AB14" s="63">
        <f t="shared" si="18"/>
        <v>556.40000000000009</v>
      </c>
      <c r="AC14" s="69">
        <v>6530</v>
      </c>
      <c r="AD14" s="70">
        <v>4.2277182235834614</v>
      </c>
      <c r="AE14" s="70">
        <v>8.2073047473200607</v>
      </c>
      <c r="AF14" s="62">
        <f t="shared" si="19"/>
        <v>276.07</v>
      </c>
      <c r="AG14" s="63">
        <f t="shared" si="20"/>
        <v>535.9369999999999</v>
      </c>
      <c r="AH14" s="89">
        <v>16501</v>
      </c>
      <c r="AI14" s="66">
        <v>5.4</v>
      </c>
      <c r="AJ14" s="66">
        <v>8.4</v>
      </c>
      <c r="AK14" s="62">
        <f t="shared" si="21"/>
        <v>891.05400000000009</v>
      </c>
      <c r="AL14" s="72">
        <f t="shared" si="22"/>
        <v>1386.0840000000001</v>
      </c>
      <c r="AM14" s="73">
        <f t="shared" si="23"/>
        <v>-29.491000000001804</v>
      </c>
      <c r="AN14" s="74">
        <f t="shared" si="30"/>
        <v>27.162396000000172</v>
      </c>
      <c r="AO14" s="74">
        <f t="shared" si="31"/>
        <v>0.5467380000002322</v>
      </c>
      <c r="AP14" s="75">
        <f t="shared" si="24"/>
        <v>4.6011789475606205E-2</v>
      </c>
      <c r="AQ14" s="76">
        <f t="shared" si="25"/>
        <v>12357.095292080146</v>
      </c>
      <c r="AR14" s="90">
        <f t="shared" ref="AR14:AR65" si="32">(D14+J14+O14)-(X14+AH14)</f>
        <v>0.50899999999819556</v>
      </c>
    </row>
    <row r="15" spans="1:44" x14ac:dyDescent="0.25">
      <c r="A15" t="str">
        <f t="shared" si="13"/>
        <v>46179E</v>
      </c>
      <c r="B15" s="51">
        <f t="shared" si="27"/>
        <v>46179</v>
      </c>
      <c r="C15" s="52" t="s">
        <v>88</v>
      </c>
      <c r="D15" s="91">
        <v>16501</v>
      </c>
      <c r="E15" s="62">
        <v>5.4</v>
      </c>
      <c r="F15" s="62">
        <v>8.4</v>
      </c>
      <c r="G15" s="62">
        <f t="shared" si="28"/>
        <v>891.05400000000009</v>
      </c>
      <c r="H15" s="72">
        <f t="shared" si="29"/>
        <v>1386.0840000000001</v>
      </c>
      <c r="I15" s="123">
        <v>4279.8</v>
      </c>
      <c r="J15" s="120">
        <v>4408.1940000000004</v>
      </c>
      <c r="K15" s="121">
        <v>4.3</v>
      </c>
      <c r="L15" s="122">
        <v>8.1999999999999993</v>
      </c>
      <c r="M15" s="58">
        <v>0</v>
      </c>
      <c r="N15" s="58">
        <v>0</v>
      </c>
      <c r="O15" s="59">
        <v>0</v>
      </c>
      <c r="P15" s="56">
        <v>0</v>
      </c>
      <c r="Q15" s="60">
        <v>0</v>
      </c>
      <c r="R15" s="61">
        <f t="shared" si="14"/>
        <v>4408.1940000000004</v>
      </c>
      <c r="S15" s="62">
        <f t="shared" si="15"/>
        <v>189.55234200000001</v>
      </c>
      <c r="T15" s="63">
        <f t="shared" si="16"/>
        <v>361.47190799999998</v>
      </c>
      <c r="U15" s="64" t="s">
        <v>323</v>
      </c>
      <c r="V15" s="65" t="s">
        <v>414</v>
      </c>
      <c r="W15" s="66" t="s">
        <v>208</v>
      </c>
      <c r="X15" s="67">
        <v>6550</v>
      </c>
      <c r="Y15" s="68">
        <v>4.6500000000000004</v>
      </c>
      <c r="Z15" s="68">
        <v>8.32</v>
      </c>
      <c r="AA15" s="62">
        <f t="shared" si="17"/>
        <v>304.57500000000005</v>
      </c>
      <c r="AB15" s="63">
        <f t="shared" si="18"/>
        <v>544.95999999999992</v>
      </c>
      <c r="AC15" s="69">
        <v>6550</v>
      </c>
      <c r="AD15" s="70">
        <v>4.5977099236641221</v>
      </c>
      <c r="AE15" s="70">
        <v>8.1635114503816801</v>
      </c>
      <c r="AF15" s="62">
        <f t="shared" si="19"/>
        <v>301.14999999999998</v>
      </c>
      <c r="AG15" s="63">
        <f t="shared" si="20"/>
        <v>534.71</v>
      </c>
      <c r="AH15" s="89">
        <v>14359</v>
      </c>
      <c r="AI15" s="66">
        <v>5.4</v>
      </c>
      <c r="AJ15" s="66">
        <v>8.4</v>
      </c>
      <c r="AK15" s="62">
        <f t="shared" si="21"/>
        <v>775.38600000000008</v>
      </c>
      <c r="AL15" s="72">
        <f t="shared" si="22"/>
        <v>1206.1560000000002</v>
      </c>
      <c r="AM15" s="73">
        <f t="shared" si="23"/>
        <v>0.19399999999950523</v>
      </c>
      <c r="AN15" s="74">
        <f t="shared" si="30"/>
        <v>4.0703419999999824</v>
      </c>
      <c r="AO15" s="74">
        <f t="shared" si="31"/>
        <v>6.6899079999998321</v>
      </c>
      <c r="AP15" s="75">
        <f t="shared" si="24"/>
        <v>1.9527724959472866E-2</v>
      </c>
      <c r="AQ15" s="76">
        <f t="shared" si="25"/>
        <v>3829.3282940732752</v>
      </c>
      <c r="AR15" s="90">
        <f t="shared" si="32"/>
        <v>0.19399999999950523</v>
      </c>
    </row>
    <row r="16" spans="1:44" x14ac:dyDescent="0.25">
      <c r="A16" t="str">
        <f t="shared" si="13"/>
        <v>46180M</v>
      </c>
      <c r="B16" s="51">
        <f t="shared" si="27"/>
        <v>46180</v>
      </c>
      <c r="C16" s="52" t="s">
        <v>87</v>
      </c>
      <c r="D16" s="91">
        <v>14359</v>
      </c>
      <c r="E16" s="62">
        <v>5.4</v>
      </c>
      <c r="F16" s="62">
        <v>8.4</v>
      </c>
      <c r="G16" s="62">
        <f t="shared" si="28"/>
        <v>775.38600000000008</v>
      </c>
      <c r="H16" s="72">
        <f t="shared" si="29"/>
        <v>1206.1560000000002</v>
      </c>
      <c r="I16" s="123">
        <v>4548.1000000000004</v>
      </c>
      <c r="J16" s="120">
        <v>4684.5430000000006</v>
      </c>
      <c r="K16" s="121">
        <v>4.4000000000000004</v>
      </c>
      <c r="L16" s="122">
        <v>8.1999999999999993</v>
      </c>
      <c r="M16" s="58">
        <v>0</v>
      </c>
      <c r="N16" s="58" t="s">
        <v>167</v>
      </c>
      <c r="O16" s="59">
        <v>0</v>
      </c>
      <c r="P16" s="56">
        <v>0</v>
      </c>
      <c r="Q16" s="60">
        <v>0</v>
      </c>
      <c r="R16" s="61">
        <f t="shared" si="14"/>
        <v>4684.5430000000006</v>
      </c>
      <c r="S16" s="62">
        <f t="shared" si="15"/>
        <v>206.11989200000005</v>
      </c>
      <c r="T16" s="63">
        <f t="shared" si="16"/>
        <v>384.13252599999998</v>
      </c>
      <c r="U16" s="64" t="s">
        <v>167</v>
      </c>
      <c r="V16" s="65" t="s">
        <v>167</v>
      </c>
      <c r="W16" s="66">
        <v>0</v>
      </c>
      <c r="X16" s="67">
        <v>0</v>
      </c>
      <c r="Y16" s="68">
        <v>0</v>
      </c>
      <c r="Z16" s="68">
        <v>0</v>
      </c>
      <c r="AA16" s="62">
        <f t="shared" si="17"/>
        <v>0</v>
      </c>
      <c r="AB16" s="63">
        <f t="shared" si="18"/>
        <v>0</v>
      </c>
      <c r="AC16" s="69"/>
      <c r="AD16" s="70"/>
      <c r="AE16" s="70"/>
      <c r="AF16" s="62">
        <f t="shared" si="19"/>
        <v>0</v>
      </c>
      <c r="AG16" s="63">
        <f t="shared" si="20"/>
        <v>0</v>
      </c>
      <c r="AH16" s="89">
        <v>19043</v>
      </c>
      <c r="AI16" s="66">
        <v>5.4</v>
      </c>
      <c r="AJ16" s="66">
        <v>8.4</v>
      </c>
      <c r="AK16" s="62">
        <f t="shared" si="21"/>
        <v>1028.3220000000001</v>
      </c>
      <c r="AL16" s="72">
        <f t="shared" si="22"/>
        <v>1599.6120000000001</v>
      </c>
      <c r="AM16" s="73">
        <f t="shared" si="23"/>
        <v>0.5430000000014843</v>
      </c>
      <c r="AN16" s="74">
        <f t="shared" si="30"/>
        <v>-46.816107999999986</v>
      </c>
      <c r="AO16" s="74">
        <f t="shared" si="31"/>
        <v>-9.3234739999998055</v>
      </c>
      <c r="AP16" s="75">
        <f t="shared" si="24"/>
        <v>-9.5111142772141569E-2</v>
      </c>
      <c r="AQ16" s="76">
        <f t="shared" si="25"/>
        <v>-23806.486184506604</v>
      </c>
      <c r="AR16" s="90">
        <f t="shared" si="32"/>
        <v>0.5430000000014843</v>
      </c>
    </row>
    <row r="17" spans="1:49" x14ac:dyDescent="0.25">
      <c r="A17" t="str">
        <f t="shared" si="13"/>
        <v>46180E</v>
      </c>
      <c r="B17" s="51">
        <f t="shared" si="27"/>
        <v>46180</v>
      </c>
      <c r="C17" s="52" t="s">
        <v>88</v>
      </c>
      <c r="D17" s="91">
        <v>19043</v>
      </c>
      <c r="E17" s="62">
        <v>5.4</v>
      </c>
      <c r="F17" s="62">
        <v>8.4</v>
      </c>
      <c r="G17" s="62">
        <f t="shared" si="28"/>
        <v>1028.3220000000001</v>
      </c>
      <c r="H17" s="72">
        <f t="shared" si="29"/>
        <v>1599.6120000000001</v>
      </c>
      <c r="I17" s="123">
        <v>4355.2</v>
      </c>
      <c r="J17" s="120">
        <v>4485.8559999999998</v>
      </c>
      <c r="K17" s="121">
        <v>4.3</v>
      </c>
      <c r="L17" s="122">
        <v>8.1999999999999993</v>
      </c>
      <c r="M17" s="58">
        <v>0</v>
      </c>
      <c r="N17" s="58">
        <v>0</v>
      </c>
      <c r="O17" s="59">
        <v>0</v>
      </c>
      <c r="P17" s="56">
        <v>0</v>
      </c>
      <c r="Q17" s="60">
        <v>0</v>
      </c>
      <c r="R17" s="61">
        <f t="shared" si="14"/>
        <v>4485.8559999999998</v>
      </c>
      <c r="S17" s="62">
        <f t="shared" si="15"/>
        <v>192.89180799999997</v>
      </c>
      <c r="T17" s="63">
        <f t="shared" si="16"/>
        <v>367.84019199999994</v>
      </c>
      <c r="U17" s="64" t="s">
        <v>321</v>
      </c>
      <c r="V17" s="65" t="s">
        <v>415</v>
      </c>
      <c r="W17" s="66" t="s">
        <v>189</v>
      </c>
      <c r="X17" s="67">
        <v>6500</v>
      </c>
      <c r="Y17" s="68">
        <v>4.4400000000000004</v>
      </c>
      <c r="Z17" s="68">
        <v>8.6</v>
      </c>
      <c r="AA17" s="62">
        <f t="shared" si="17"/>
        <v>288.60000000000002</v>
      </c>
      <c r="AB17" s="63">
        <f t="shared" si="18"/>
        <v>559</v>
      </c>
      <c r="AC17" s="226">
        <v>6500</v>
      </c>
      <c r="AD17" s="227">
        <v>4.4400000000000004</v>
      </c>
      <c r="AE17" s="227">
        <v>8.6</v>
      </c>
      <c r="AF17" s="62">
        <f t="shared" si="19"/>
        <v>288.60000000000002</v>
      </c>
      <c r="AG17" s="63">
        <f t="shared" si="20"/>
        <v>559</v>
      </c>
      <c r="AH17" s="89">
        <v>17028</v>
      </c>
      <c r="AI17" s="66">
        <v>5.4</v>
      </c>
      <c r="AJ17" s="66">
        <v>8.4</v>
      </c>
      <c r="AK17" s="62">
        <f t="shared" si="21"/>
        <v>919.51200000000006</v>
      </c>
      <c r="AL17" s="72">
        <f t="shared" si="22"/>
        <v>1430.3520000000001</v>
      </c>
      <c r="AM17" s="73">
        <f t="shared" si="23"/>
        <v>0.85599999999976717</v>
      </c>
      <c r="AN17" s="74">
        <f t="shared" si="30"/>
        <v>13.101807999999892</v>
      </c>
      <c r="AO17" s="74">
        <f t="shared" si="31"/>
        <v>-21.899808000000121</v>
      </c>
      <c r="AP17" s="75">
        <f t="shared" si="24"/>
        <v>-1.5690204946391912E-2</v>
      </c>
      <c r="AQ17" s="76">
        <f t="shared" si="25"/>
        <v>-672.49591024008532</v>
      </c>
      <c r="AR17" s="90">
        <f t="shared" si="32"/>
        <v>0.85599999999976717</v>
      </c>
      <c r="AS17" s="90">
        <f>SUM(J4:J17)</f>
        <v>72885.375</v>
      </c>
      <c r="AT17" s="83">
        <f>SUM(AM4:AM17)</f>
        <v>277.37500000000182</v>
      </c>
      <c r="AU17" s="83">
        <f>SUM(AN4:AN17)</f>
        <v>-69.292073999999616</v>
      </c>
      <c r="AV17" s="83">
        <f>SUM(AO4:AO17)</f>
        <v>45.146342999999888</v>
      </c>
      <c r="AW17" s="83">
        <f>-SUM(AQ4:AQ17)</f>
        <v>17594.808381919862</v>
      </c>
    </row>
    <row r="18" spans="1:49" x14ac:dyDescent="0.25">
      <c r="A18" t="str">
        <f t="shared" si="13"/>
        <v>46181M</v>
      </c>
      <c r="B18" s="51">
        <f t="shared" si="27"/>
        <v>46181</v>
      </c>
      <c r="C18" s="52" t="s">
        <v>87</v>
      </c>
      <c r="D18" s="91">
        <v>17028</v>
      </c>
      <c r="E18" s="62">
        <v>5.4</v>
      </c>
      <c r="F18" s="62">
        <v>8.4</v>
      </c>
      <c r="G18" s="62">
        <f t="shared" si="28"/>
        <v>919.51200000000006</v>
      </c>
      <c r="H18" s="72">
        <f t="shared" si="29"/>
        <v>1430.3520000000001</v>
      </c>
      <c r="I18" s="123">
        <v>4463.7</v>
      </c>
      <c r="J18" s="120">
        <v>4597.6109999999999</v>
      </c>
      <c r="K18" s="121">
        <v>4.4000000000000004</v>
      </c>
      <c r="L18" s="122">
        <v>8.3000000000000007</v>
      </c>
      <c r="M18" s="58">
        <v>0</v>
      </c>
      <c r="N18" s="58">
        <v>0</v>
      </c>
      <c r="O18" s="59">
        <v>0</v>
      </c>
      <c r="P18" s="56">
        <v>0</v>
      </c>
      <c r="Q18" s="60">
        <v>0</v>
      </c>
      <c r="R18" s="61">
        <f t="shared" si="14"/>
        <v>4597.6109999999999</v>
      </c>
      <c r="S18" s="62">
        <f t="shared" si="15"/>
        <v>202.29488400000002</v>
      </c>
      <c r="T18" s="63">
        <f t="shared" si="16"/>
        <v>381.60171300000002</v>
      </c>
      <c r="U18" s="64" t="s">
        <v>323</v>
      </c>
      <c r="V18" s="65" t="s">
        <v>416</v>
      </c>
      <c r="W18" s="66" t="s">
        <v>291</v>
      </c>
      <c r="X18" s="67">
        <v>6550</v>
      </c>
      <c r="Y18" s="68">
        <v>4.7300000000000004</v>
      </c>
      <c r="Z18" s="68">
        <v>8.27</v>
      </c>
      <c r="AA18" s="62">
        <f t="shared" si="17"/>
        <v>309.815</v>
      </c>
      <c r="AB18" s="63">
        <f t="shared" si="18"/>
        <v>541.68499999999995</v>
      </c>
      <c r="AC18" s="69">
        <v>6520</v>
      </c>
      <c r="AD18" s="70">
        <v>4.6059815950920244</v>
      </c>
      <c r="AE18" s="70">
        <v>8.2240644171779138</v>
      </c>
      <c r="AF18" s="62">
        <f t="shared" si="19"/>
        <v>300.31</v>
      </c>
      <c r="AG18" s="63">
        <f t="shared" si="20"/>
        <v>536.20899999999995</v>
      </c>
      <c r="AH18" s="89">
        <v>15075</v>
      </c>
      <c r="AI18" s="66">
        <v>5.4</v>
      </c>
      <c r="AJ18" s="66">
        <v>8.4</v>
      </c>
      <c r="AK18" s="62">
        <f t="shared" si="21"/>
        <v>814.05000000000007</v>
      </c>
      <c r="AL18" s="72">
        <f t="shared" si="22"/>
        <v>1266.3000000000002</v>
      </c>
      <c r="AM18" s="73">
        <f t="shared" si="23"/>
        <v>30.611000000000786</v>
      </c>
      <c r="AN18" s="74">
        <f t="shared" si="30"/>
        <v>7.4468840000000682</v>
      </c>
      <c r="AO18" s="74">
        <f t="shared" si="31"/>
        <v>9.4447129999998651</v>
      </c>
      <c r="AP18" s="75">
        <f t="shared" si="24"/>
        <v>2.8929089648385007E-2</v>
      </c>
      <c r="AQ18" s="76">
        <f t="shared" si="25"/>
        <v>6169.5314383266577</v>
      </c>
      <c r="AR18" s="90">
        <f t="shared" si="32"/>
        <v>0.6110000000007858</v>
      </c>
    </row>
    <row r="19" spans="1:49" x14ac:dyDescent="0.25">
      <c r="A19" t="str">
        <f t="shared" si="13"/>
        <v>46181E</v>
      </c>
      <c r="B19" s="51">
        <f t="shared" si="27"/>
        <v>46181</v>
      </c>
      <c r="C19" s="52" t="s">
        <v>88</v>
      </c>
      <c r="D19" s="91">
        <v>15075</v>
      </c>
      <c r="E19" s="62">
        <v>5.4</v>
      </c>
      <c r="F19" s="62">
        <v>8.4</v>
      </c>
      <c r="G19" s="62">
        <f t="shared" si="28"/>
        <v>814.05000000000007</v>
      </c>
      <c r="H19" s="72">
        <f t="shared" si="29"/>
        <v>1266.3000000000002</v>
      </c>
      <c r="I19" s="123">
        <v>4303.8999999999996</v>
      </c>
      <c r="J19" s="120">
        <v>4433.0169999999998</v>
      </c>
      <c r="K19" s="121">
        <v>4.3</v>
      </c>
      <c r="L19" s="122">
        <v>8.1999999999999993</v>
      </c>
      <c r="M19" s="58">
        <v>0</v>
      </c>
      <c r="N19" s="58">
        <v>0</v>
      </c>
      <c r="O19" s="59">
        <v>0</v>
      </c>
      <c r="P19" s="56">
        <v>0</v>
      </c>
      <c r="Q19" s="60">
        <v>0</v>
      </c>
      <c r="R19" s="61">
        <f t="shared" si="14"/>
        <v>4433.0169999999998</v>
      </c>
      <c r="S19" s="62">
        <f t="shared" si="15"/>
        <v>190.61973099999997</v>
      </c>
      <c r="T19" s="63">
        <f t="shared" si="16"/>
        <v>363.50739399999992</v>
      </c>
      <c r="U19" s="64" t="s">
        <v>167</v>
      </c>
      <c r="V19" s="65" t="s">
        <v>187</v>
      </c>
      <c r="W19" s="66">
        <v>0</v>
      </c>
      <c r="X19" s="67">
        <v>0</v>
      </c>
      <c r="Y19" s="68">
        <v>0</v>
      </c>
      <c r="Z19" s="68">
        <v>0</v>
      </c>
      <c r="AA19" s="62">
        <f t="shared" si="17"/>
        <v>0</v>
      </c>
      <c r="AB19" s="63">
        <f t="shared" si="18"/>
        <v>0</v>
      </c>
      <c r="AC19" s="69"/>
      <c r="AD19" s="70"/>
      <c r="AE19" s="70"/>
      <c r="AF19" s="62">
        <f t="shared" si="19"/>
        <v>0</v>
      </c>
      <c r="AG19" s="63">
        <f t="shared" si="20"/>
        <v>0</v>
      </c>
      <c r="AH19" s="89">
        <v>19508</v>
      </c>
      <c r="AI19" s="66">
        <v>5.4</v>
      </c>
      <c r="AJ19" s="66">
        <v>8.4</v>
      </c>
      <c r="AK19" s="62">
        <f t="shared" si="21"/>
        <v>1053.432</v>
      </c>
      <c r="AL19" s="72">
        <f t="shared" si="22"/>
        <v>1638.672</v>
      </c>
      <c r="AM19" s="73">
        <f t="shared" si="23"/>
        <v>1.6999999999825377E-2</v>
      </c>
      <c r="AN19" s="74">
        <f t="shared" si="30"/>
        <v>-48.762268999999947</v>
      </c>
      <c r="AO19" s="74">
        <f t="shared" si="31"/>
        <v>-8.864605999999867</v>
      </c>
      <c r="AP19" s="75">
        <f t="shared" si="24"/>
        <v>-0.10399576631445326</v>
      </c>
      <c r="AQ19" s="76">
        <f t="shared" si="25"/>
        <v>-24542.810363096603</v>
      </c>
      <c r="AR19" s="90">
        <f t="shared" si="32"/>
        <v>1.6999999999825377E-2</v>
      </c>
    </row>
    <row r="20" spans="1:49" x14ac:dyDescent="0.25">
      <c r="A20" t="str">
        <f t="shared" si="13"/>
        <v>46182M</v>
      </c>
      <c r="B20" s="51">
        <f t="shared" si="27"/>
        <v>46182</v>
      </c>
      <c r="C20" s="52" t="s">
        <v>87</v>
      </c>
      <c r="D20" s="91"/>
      <c r="E20" s="62"/>
      <c r="F20" s="62"/>
      <c r="G20" s="62">
        <f t="shared" si="28"/>
        <v>0</v>
      </c>
      <c r="H20" s="72">
        <f t="shared" si="29"/>
        <v>0</v>
      </c>
      <c r="I20" s="123"/>
      <c r="J20" s="120"/>
      <c r="K20" s="121"/>
      <c r="L20" s="122"/>
      <c r="M20" s="58"/>
      <c r="N20" s="58"/>
      <c r="O20" s="59"/>
      <c r="P20" s="56"/>
      <c r="Q20" s="60"/>
      <c r="R20" s="61">
        <f t="shared" si="14"/>
        <v>0</v>
      </c>
      <c r="S20" s="62">
        <f t="shared" si="15"/>
        <v>0</v>
      </c>
      <c r="T20" s="63">
        <f t="shared" si="16"/>
        <v>0</v>
      </c>
      <c r="U20" s="64"/>
      <c r="V20" s="65"/>
      <c r="W20" s="66"/>
      <c r="X20" s="67"/>
      <c r="Y20" s="68"/>
      <c r="Z20" s="68"/>
      <c r="AA20" s="62">
        <f t="shared" si="17"/>
        <v>0</v>
      </c>
      <c r="AB20" s="63">
        <f t="shared" si="18"/>
        <v>0</v>
      </c>
      <c r="AC20" s="69"/>
      <c r="AD20" s="70"/>
      <c r="AE20" s="70"/>
      <c r="AF20" s="62">
        <f t="shared" si="19"/>
        <v>0</v>
      </c>
      <c r="AG20" s="63">
        <f t="shared" si="20"/>
        <v>0</v>
      </c>
      <c r="AH20" s="89"/>
      <c r="AI20" s="66"/>
      <c r="AJ20" s="66"/>
      <c r="AK20" s="62">
        <f t="shared" si="21"/>
        <v>0</v>
      </c>
      <c r="AL20" s="72">
        <f t="shared" si="22"/>
        <v>0</v>
      </c>
      <c r="AM20" s="73">
        <f t="shared" si="23"/>
        <v>0</v>
      </c>
      <c r="AN20" s="74">
        <f t="shared" si="30"/>
        <v>0</v>
      </c>
      <c r="AO20" s="74">
        <f t="shared" si="31"/>
        <v>0</v>
      </c>
      <c r="AP20" s="75" t="e">
        <f t="shared" si="24"/>
        <v>#DIV/0!</v>
      </c>
      <c r="AQ20" s="76">
        <f t="shared" si="25"/>
        <v>0</v>
      </c>
      <c r="AR20" s="90">
        <f t="shared" si="32"/>
        <v>0</v>
      </c>
    </row>
    <row r="21" spans="1:49" x14ac:dyDescent="0.25">
      <c r="A21" t="str">
        <f t="shared" si="13"/>
        <v>46182E</v>
      </c>
      <c r="B21" s="51">
        <f t="shared" si="27"/>
        <v>46182</v>
      </c>
      <c r="C21" s="52" t="s">
        <v>88</v>
      </c>
      <c r="D21" s="91"/>
      <c r="E21" s="62"/>
      <c r="F21" s="62"/>
      <c r="G21" s="62">
        <f t="shared" si="28"/>
        <v>0</v>
      </c>
      <c r="H21" s="72">
        <f t="shared" si="29"/>
        <v>0</v>
      </c>
      <c r="I21" s="123"/>
      <c r="J21" s="120"/>
      <c r="K21" s="121"/>
      <c r="L21" s="122"/>
      <c r="M21" s="58"/>
      <c r="N21" s="58"/>
      <c r="O21" s="59"/>
      <c r="P21" s="56"/>
      <c r="Q21" s="60"/>
      <c r="R21" s="61">
        <f t="shared" si="14"/>
        <v>0</v>
      </c>
      <c r="S21" s="62">
        <f t="shared" si="15"/>
        <v>0</v>
      </c>
      <c r="T21" s="63">
        <f t="shared" si="16"/>
        <v>0</v>
      </c>
      <c r="U21" s="64"/>
      <c r="V21" s="65"/>
      <c r="W21" s="66"/>
      <c r="X21" s="67"/>
      <c r="Y21" s="68"/>
      <c r="Z21" s="68"/>
      <c r="AA21" s="62">
        <f t="shared" si="17"/>
        <v>0</v>
      </c>
      <c r="AB21" s="63">
        <f t="shared" si="18"/>
        <v>0</v>
      </c>
      <c r="AC21" s="69"/>
      <c r="AD21" s="70"/>
      <c r="AE21" s="70"/>
      <c r="AF21" s="62">
        <f t="shared" si="19"/>
        <v>0</v>
      </c>
      <c r="AG21" s="63">
        <f t="shared" si="20"/>
        <v>0</v>
      </c>
      <c r="AH21" s="89"/>
      <c r="AI21" s="66"/>
      <c r="AJ21" s="66"/>
      <c r="AK21" s="62">
        <f t="shared" si="21"/>
        <v>0</v>
      </c>
      <c r="AL21" s="72">
        <f t="shared" si="22"/>
        <v>0</v>
      </c>
      <c r="AM21" s="73">
        <f t="shared" si="23"/>
        <v>0</v>
      </c>
      <c r="AN21" s="74">
        <f t="shared" si="30"/>
        <v>0</v>
      </c>
      <c r="AO21" s="74">
        <f t="shared" si="31"/>
        <v>0</v>
      </c>
      <c r="AP21" s="75" t="e">
        <f t="shared" si="24"/>
        <v>#DIV/0!</v>
      </c>
      <c r="AQ21" s="76">
        <f t="shared" si="25"/>
        <v>0</v>
      </c>
      <c r="AR21" s="90">
        <f t="shared" si="32"/>
        <v>0</v>
      </c>
    </row>
    <row r="22" spans="1:49" x14ac:dyDescent="0.25">
      <c r="A22" t="str">
        <f t="shared" si="13"/>
        <v>46183M</v>
      </c>
      <c r="B22" s="51">
        <f t="shared" si="27"/>
        <v>46183</v>
      </c>
      <c r="C22" s="52" t="s">
        <v>87</v>
      </c>
      <c r="D22" s="91"/>
      <c r="E22" s="62"/>
      <c r="F22" s="62"/>
      <c r="G22" s="62">
        <f t="shared" si="28"/>
        <v>0</v>
      </c>
      <c r="H22" s="72">
        <f t="shared" si="29"/>
        <v>0</v>
      </c>
      <c r="I22" s="123"/>
      <c r="J22" s="120"/>
      <c r="K22" s="121"/>
      <c r="L22" s="122"/>
      <c r="M22" s="58"/>
      <c r="N22" s="58"/>
      <c r="O22" s="59"/>
      <c r="P22" s="56"/>
      <c r="Q22" s="60"/>
      <c r="R22" s="61">
        <f t="shared" si="14"/>
        <v>0</v>
      </c>
      <c r="S22" s="62">
        <f t="shared" si="15"/>
        <v>0</v>
      </c>
      <c r="T22" s="63">
        <f t="shared" si="16"/>
        <v>0</v>
      </c>
      <c r="U22" s="64"/>
      <c r="V22" s="65"/>
      <c r="W22" s="66"/>
      <c r="X22" s="67"/>
      <c r="Y22" s="68"/>
      <c r="Z22" s="68"/>
      <c r="AA22" s="62">
        <f t="shared" si="17"/>
        <v>0</v>
      </c>
      <c r="AB22" s="63">
        <f t="shared" si="18"/>
        <v>0</v>
      </c>
      <c r="AC22" s="69"/>
      <c r="AD22" s="70"/>
      <c r="AE22" s="70"/>
      <c r="AF22" s="62">
        <f t="shared" si="19"/>
        <v>0</v>
      </c>
      <c r="AG22" s="63">
        <f t="shared" si="20"/>
        <v>0</v>
      </c>
      <c r="AH22" s="89"/>
      <c r="AI22" s="66"/>
      <c r="AJ22" s="66"/>
      <c r="AK22" s="62">
        <f t="shared" ref="AK22:AK50" si="33">AH22*AI22%</f>
        <v>0</v>
      </c>
      <c r="AL22" s="72">
        <f t="shared" ref="AL22:AL65" si="34">AH22*AJ22%</f>
        <v>0</v>
      </c>
      <c r="AM22" s="73">
        <f t="shared" si="23"/>
        <v>0</v>
      </c>
      <c r="AN22" s="74">
        <f t="shared" si="30"/>
        <v>0</v>
      </c>
      <c r="AO22" s="74">
        <f t="shared" si="31"/>
        <v>0</v>
      </c>
      <c r="AP22" s="75" t="e">
        <f t="shared" si="24"/>
        <v>#DIV/0!</v>
      </c>
      <c r="AQ22" s="76">
        <f t="shared" si="25"/>
        <v>0</v>
      </c>
      <c r="AR22" s="90">
        <f>(D22+J22+O22)-(X22+AH22)</f>
        <v>0</v>
      </c>
    </row>
    <row r="23" spans="1:49" x14ac:dyDescent="0.25">
      <c r="A23" t="str">
        <f t="shared" si="13"/>
        <v>46183E</v>
      </c>
      <c r="B23" s="51">
        <f t="shared" si="27"/>
        <v>46183</v>
      </c>
      <c r="C23" s="52" t="s">
        <v>88</v>
      </c>
      <c r="D23" s="91"/>
      <c r="E23" s="62"/>
      <c r="F23" s="62"/>
      <c r="G23" s="62">
        <f t="shared" si="28"/>
        <v>0</v>
      </c>
      <c r="H23" s="72">
        <f t="shared" si="29"/>
        <v>0</v>
      </c>
      <c r="I23" s="123"/>
      <c r="J23" s="120"/>
      <c r="K23" s="121"/>
      <c r="L23" s="122"/>
      <c r="M23" s="58"/>
      <c r="N23" s="58"/>
      <c r="O23" s="59"/>
      <c r="P23" s="56"/>
      <c r="Q23" s="60"/>
      <c r="R23" s="61">
        <f t="shared" si="14"/>
        <v>0</v>
      </c>
      <c r="S23" s="62">
        <f t="shared" si="15"/>
        <v>0</v>
      </c>
      <c r="T23" s="63">
        <f t="shared" si="16"/>
        <v>0</v>
      </c>
      <c r="U23" s="64"/>
      <c r="V23" s="65"/>
      <c r="W23" s="66"/>
      <c r="X23" s="67"/>
      <c r="Y23" s="68"/>
      <c r="Z23" s="68"/>
      <c r="AA23" s="62">
        <f t="shared" si="17"/>
        <v>0</v>
      </c>
      <c r="AB23" s="63">
        <f t="shared" si="18"/>
        <v>0</v>
      </c>
      <c r="AC23" s="69"/>
      <c r="AD23" s="70"/>
      <c r="AE23" s="70"/>
      <c r="AF23" s="62">
        <f t="shared" si="19"/>
        <v>0</v>
      </c>
      <c r="AG23" s="63">
        <f t="shared" si="20"/>
        <v>0</v>
      </c>
      <c r="AH23" s="89"/>
      <c r="AI23" s="66"/>
      <c r="AJ23" s="66"/>
      <c r="AK23" s="62">
        <f t="shared" si="33"/>
        <v>0</v>
      </c>
      <c r="AL23" s="72">
        <f t="shared" si="34"/>
        <v>0</v>
      </c>
      <c r="AM23" s="73">
        <f t="shared" si="23"/>
        <v>0</v>
      </c>
      <c r="AN23" s="74">
        <f t="shared" si="30"/>
        <v>0</v>
      </c>
      <c r="AO23" s="74">
        <f t="shared" si="31"/>
        <v>0</v>
      </c>
      <c r="AP23" s="75" t="e">
        <f t="shared" si="24"/>
        <v>#DIV/0!</v>
      </c>
      <c r="AQ23" s="76">
        <f t="shared" si="25"/>
        <v>0</v>
      </c>
      <c r="AR23" s="90">
        <f t="shared" si="32"/>
        <v>0</v>
      </c>
    </row>
    <row r="24" spans="1:49" x14ac:dyDescent="0.25">
      <c r="A24" t="str">
        <f t="shared" si="13"/>
        <v>46184M</v>
      </c>
      <c r="B24" s="51">
        <f t="shared" si="27"/>
        <v>46184</v>
      </c>
      <c r="C24" s="52" t="s">
        <v>87</v>
      </c>
      <c r="D24" s="91"/>
      <c r="E24" s="62"/>
      <c r="F24" s="62"/>
      <c r="G24" s="62">
        <f t="shared" si="28"/>
        <v>0</v>
      </c>
      <c r="H24" s="72">
        <f t="shared" si="29"/>
        <v>0</v>
      </c>
      <c r="I24" s="123"/>
      <c r="J24" s="120"/>
      <c r="K24" s="121"/>
      <c r="L24" s="122"/>
      <c r="M24" s="58"/>
      <c r="N24" s="58"/>
      <c r="O24" s="59"/>
      <c r="P24" s="56"/>
      <c r="Q24" s="60"/>
      <c r="R24" s="61">
        <f t="shared" si="14"/>
        <v>0</v>
      </c>
      <c r="S24" s="62">
        <f t="shared" si="15"/>
        <v>0</v>
      </c>
      <c r="T24" s="63">
        <f t="shared" si="16"/>
        <v>0</v>
      </c>
      <c r="U24" s="64"/>
      <c r="V24" s="65"/>
      <c r="W24" s="66"/>
      <c r="X24" s="67"/>
      <c r="Y24" s="68"/>
      <c r="Z24" s="68"/>
      <c r="AA24" s="62">
        <f t="shared" si="17"/>
        <v>0</v>
      </c>
      <c r="AB24" s="63">
        <f t="shared" si="18"/>
        <v>0</v>
      </c>
      <c r="AC24" s="69"/>
      <c r="AD24" s="70"/>
      <c r="AE24" s="70"/>
      <c r="AF24" s="62">
        <f t="shared" si="19"/>
        <v>0</v>
      </c>
      <c r="AG24" s="63">
        <f t="shared" si="20"/>
        <v>0</v>
      </c>
      <c r="AH24" s="89"/>
      <c r="AI24" s="66"/>
      <c r="AJ24" s="66"/>
      <c r="AK24" s="62">
        <f t="shared" si="33"/>
        <v>0</v>
      </c>
      <c r="AL24" s="72">
        <f t="shared" si="34"/>
        <v>0</v>
      </c>
      <c r="AM24" s="73">
        <f t="shared" si="23"/>
        <v>0</v>
      </c>
      <c r="AN24" s="74">
        <f t="shared" si="30"/>
        <v>0</v>
      </c>
      <c r="AO24" s="74">
        <f t="shared" si="31"/>
        <v>0</v>
      </c>
      <c r="AP24" s="75" t="e">
        <f t="shared" si="24"/>
        <v>#DIV/0!</v>
      </c>
      <c r="AQ24" s="76">
        <f t="shared" si="25"/>
        <v>0</v>
      </c>
      <c r="AR24" s="90">
        <f t="shared" ref="AR24:AR30" si="35">(D24+J24+O24)-(X24+AH24)</f>
        <v>0</v>
      </c>
    </row>
    <row r="25" spans="1:49" x14ac:dyDescent="0.25">
      <c r="A25" t="str">
        <f t="shared" si="13"/>
        <v>46184E</v>
      </c>
      <c r="B25" s="51">
        <f t="shared" si="27"/>
        <v>46184</v>
      </c>
      <c r="C25" s="52" t="s">
        <v>88</v>
      </c>
      <c r="D25" s="91"/>
      <c r="E25" s="62"/>
      <c r="F25" s="62"/>
      <c r="G25" s="62">
        <f t="shared" si="28"/>
        <v>0</v>
      </c>
      <c r="H25" s="72">
        <f t="shared" si="29"/>
        <v>0</v>
      </c>
      <c r="I25" s="123"/>
      <c r="J25" s="120"/>
      <c r="K25" s="121"/>
      <c r="L25" s="122"/>
      <c r="M25" s="58"/>
      <c r="N25" s="58"/>
      <c r="O25" s="59"/>
      <c r="P25" s="56"/>
      <c r="Q25" s="60"/>
      <c r="R25" s="61">
        <f t="shared" si="14"/>
        <v>0</v>
      </c>
      <c r="S25" s="62">
        <f t="shared" si="15"/>
        <v>0</v>
      </c>
      <c r="T25" s="63">
        <f t="shared" si="16"/>
        <v>0</v>
      </c>
      <c r="U25" s="64"/>
      <c r="V25" s="65"/>
      <c r="W25" s="66"/>
      <c r="X25" s="67"/>
      <c r="Y25" s="68"/>
      <c r="Z25" s="68"/>
      <c r="AA25" s="62">
        <f t="shared" si="17"/>
        <v>0</v>
      </c>
      <c r="AB25" s="63">
        <f t="shared" si="18"/>
        <v>0</v>
      </c>
      <c r="AC25" s="69"/>
      <c r="AD25" s="70"/>
      <c r="AE25" s="70"/>
      <c r="AF25" s="62">
        <f t="shared" si="19"/>
        <v>0</v>
      </c>
      <c r="AG25" s="63">
        <f t="shared" si="20"/>
        <v>0</v>
      </c>
      <c r="AH25" s="89"/>
      <c r="AI25" s="66"/>
      <c r="AJ25" s="66"/>
      <c r="AK25" s="62">
        <f t="shared" si="33"/>
        <v>0</v>
      </c>
      <c r="AL25" s="72">
        <f t="shared" si="34"/>
        <v>0</v>
      </c>
      <c r="AM25" s="73">
        <f t="shared" si="23"/>
        <v>0</v>
      </c>
      <c r="AN25" s="74">
        <f t="shared" si="30"/>
        <v>0</v>
      </c>
      <c r="AO25" s="74">
        <f t="shared" si="31"/>
        <v>0</v>
      </c>
      <c r="AP25" s="75" t="e">
        <f t="shared" si="24"/>
        <v>#DIV/0!</v>
      </c>
      <c r="AQ25" s="76">
        <f t="shared" si="25"/>
        <v>0</v>
      </c>
      <c r="AR25" s="90">
        <f t="shared" si="35"/>
        <v>0</v>
      </c>
    </row>
    <row r="26" spans="1:49" x14ac:dyDescent="0.25">
      <c r="A26" t="str">
        <f t="shared" si="13"/>
        <v>46185M</v>
      </c>
      <c r="B26" s="51">
        <f t="shared" si="27"/>
        <v>46185</v>
      </c>
      <c r="C26" s="52" t="s">
        <v>87</v>
      </c>
      <c r="D26" s="91"/>
      <c r="E26" s="62"/>
      <c r="F26" s="62"/>
      <c r="G26" s="62">
        <f t="shared" si="28"/>
        <v>0</v>
      </c>
      <c r="H26" s="72">
        <f t="shared" si="29"/>
        <v>0</v>
      </c>
      <c r="I26" s="123"/>
      <c r="J26" s="120"/>
      <c r="K26" s="121"/>
      <c r="L26" s="122"/>
      <c r="M26" s="58"/>
      <c r="N26" s="58"/>
      <c r="O26" s="59"/>
      <c r="P26" s="56"/>
      <c r="Q26" s="60"/>
      <c r="R26" s="61">
        <f t="shared" si="14"/>
        <v>0</v>
      </c>
      <c r="S26" s="62">
        <f t="shared" si="15"/>
        <v>0</v>
      </c>
      <c r="T26" s="63">
        <f t="shared" si="16"/>
        <v>0</v>
      </c>
      <c r="U26" s="64"/>
      <c r="V26" s="65"/>
      <c r="W26" s="66"/>
      <c r="X26" s="67"/>
      <c r="Y26" s="68"/>
      <c r="Z26" s="68"/>
      <c r="AA26" s="62">
        <f t="shared" si="17"/>
        <v>0</v>
      </c>
      <c r="AB26" s="63">
        <f t="shared" si="18"/>
        <v>0</v>
      </c>
      <c r="AC26" s="69"/>
      <c r="AD26" s="70"/>
      <c r="AE26" s="70"/>
      <c r="AF26" s="62">
        <f t="shared" si="19"/>
        <v>0</v>
      </c>
      <c r="AG26" s="63">
        <f t="shared" si="20"/>
        <v>0</v>
      </c>
      <c r="AH26" s="89"/>
      <c r="AI26" s="66"/>
      <c r="AJ26" s="66"/>
      <c r="AK26" s="62">
        <f t="shared" si="33"/>
        <v>0</v>
      </c>
      <c r="AL26" s="72">
        <f t="shared" si="34"/>
        <v>0</v>
      </c>
      <c r="AM26" s="73">
        <f t="shared" si="23"/>
        <v>0</v>
      </c>
      <c r="AN26" s="74">
        <f t="shared" si="30"/>
        <v>0</v>
      </c>
      <c r="AO26" s="74">
        <f t="shared" si="31"/>
        <v>0</v>
      </c>
      <c r="AP26" s="75" t="e">
        <f t="shared" si="24"/>
        <v>#DIV/0!</v>
      </c>
      <c r="AQ26" s="76">
        <f t="shared" si="25"/>
        <v>0</v>
      </c>
      <c r="AR26" s="90">
        <f t="shared" si="35"/>
        <v>0</v>
      </c>
    </row>
    <row r="27" spans="1:49" x14ac:dyDescent="0.25">
      <c r="A27" t="str">
        <f t="shared" si="13"/>
        <v>46185E</v>
      </c>
      <c r="B27" s="51">
        <f t="shared" si="27"/>
        <v>46185</v>
      </c>
      <c r="C27" s="52" t="s">
        <v>88</v>
      </c>
      <c r="D27" s="91"/>
      <c r="E27" s="62"/>
      <c r="F27" s="62"/>
      <c r="G27" s="62">
        <f t="shared" si="28"/>
        <v>0</v>
      </c>
      <c r="H27" s="72">
        <f t="shared" si="29"/>
        <v>0</v>
      </c>
      <c r="I27" s="123"/>
      <c r="J27" s="120"/>
      <c r="K27" s="121"/>
      <c r="L27" s="122"/>
      <c r="M27" s="58"/>
      <c r="N27" s="58"/>
      <c r="O27" s="59"/>
      <c r="P27" s="56"/>
      <c r="Q27" s="60"/>
      <c r="R27" s="61">
        <f t="shared" si="14"/>
        <v>0</v>
      </c>
      <c r="S27" s="62">
        <f t="shared" si="15"/>
        <v>0</v>
      </c>
      <c r="T27" s="63">
        <f t="shared" si="16"/>
        <v>0</v>
      </c>
      <c r="U27" s="64"/>
      <c r="V27" s="65"/>
      <c r="W27" s="66"/>
      <c r="X27" s="67"/>
      <c r="Y27" s="68"/>
      <c r="Z27" s="68"/>
      <c r="AA27" s="62">
        <f t="shared" si="17"/>
        <v>0</v>
      </c>
      <c r="AB27" s="63">
        <f t="shared" si="18"/>
        <v>0</v>
      </c>
      <c r="AC27" s="69"/>
      <c r="AD27" s="70"/>
      <c r="AE27" s="70"/>
      <c r="AF27" s="62">
        <f t="shared" si="19"/>
        <v>0</v>
      </c>
      <c r="AG27" s="63">
        <f t="shared" si="20"/>
        <v>0</v>
      </c>
      <c r="AH27" s="89"/>
      <c r="AI27" s="66"/>
      <c r="AJ27" s="66"/>
      <c r="AK27" s="62">
        <f t="shared" si="33"/>
        <v>0</v>
      </c>
      <c r="AL27" s="72">
        <f t="shared" si="34"/>
        <v>0</v>
      </c>
      <c r="AM27" s="73">
        <f t="shared" si="23"/>
        <v>0</v>
      </c>
      <c r="AN27" s="74">
        <f t="shared" si="30"/>
        <v>0</v>
      </c>
      <c r="AO27" s="74">
        <f t="shared" si="31"/>
        <v>0</v>
      </c>
      <c r="AP27" s="75" t="e">
        <f t="shared" si="24"/>
        <v>#DIV/0!</v>
      </c>
      <c r="AQ27" s="76">
        <f t="shared" si="25"/>
        <v>0</v>
      </c>
      <c r="AR27" s="90">
        <f t="shared" si="35"/>
        <v>0</v>
      </c>
      <c r="AS27" s="90">
        <f>SUM(J14:J27)</f>
        <v>27388.730000000003</v>
      </c>
      <c r="AT27" s="83">
        <f>SUM(AM14:AM27)</f>
        <v>2.7299999999995634</v>
      </c>
      <c r="AU27" s="83">
        <f>SUM(AN14:AN27)</f>
        <v>-43.796946999999818</v>
      </c>
      <c r="AV27" s="83">
        <f>SUM(AO14:AO27)</f>
        <v>-23.406528999999864</v>
      </c>
      <c r="AW27" s="83">
        <f>-SUM(AQ14:AQ27)</f>
        <v>26665.837433363216</v>
      </c>
    </row>
    <row r="28" spans="1:49" x14ac:dyDescent="0.25">
      <c r="A28" t="str">
        <f t="shared" si="13"/>
        <v>46186M</v>
      </c>
      <c r="B28" s="51">
        <f t="shared" si="27"/>
        <v>46186</v>
      </c>
      <c r="C28" s="52" t="s">
        <v>87</v>
      </c>
      <c r="D28" s="91"/>
      <c r="E28" s="62"/>
      <c r="F28" s="62"/>
      <c r="G28" s="62">
        <f t="shared" si="28"/>
        <v>0</v>
      </c>
      <c r="H28" s="72">
        <f t="shared" si="29"/>
        <v>0</v>
      </c>
      <c r="I28" s="123"/>
      <c r="J28" s="120"/>
      <c r="K28" s="121"/>
      <c r="L28" s="122"/>
      <c r="M28" s="58"/>
      <c r="N28" s="58"/>
      <c r="O28" s="59"/>
      <c r="P28" s="56"/>
      <c r="Q28" s="60"/>
      <c r="R28" s="61">
        <f t="shared" si="14"/>
        <v>0</v>
      </c>
      <c r="S28" s="62">
        <f t="shared" si="15"/>
        <v>0</v>
      </c>
      <c r="T28" s="63">
        <f t="shared" si="16"/>
        <v>0</v>
      </c>
      <c r="U28" s="64"/>
      <c r="V28" s="65"/>
      <c r="W28" s="66"/>
      <c r="X28" s="67"/>
      <c r="Y28" s="68"/>
      <c r="Z28" s="68"/>
      <c r="AA28" s="62">
        <f t="shared" si="17"/>
        <v>0</v>
      </c>
      <c r="AB28" s="63">
        <f t="shared" si="18"/>
        <v>0</v>
      </c>
      <c r="AC28" s="69"/>
      <c r="AD28" s="70"/>
      <c r="AE28" s="70"/>
      <c r="AF28" s="62">
        <f t="shared" si="19"/>
        <v>0</v>
      </c>
      <c r="AG28" s="63">
        <f t="shared" si="20"/>
        <v>0</v>
      </c>
      <c r="AH28" s="89"/>
      <c r="AI28" s="66"/>
      <c r="AJ28" s="66"/>
      <c r="AK28" s="62">
        <f t="shared" si="33"/>
        <v>0</v>
      </c>
      <c r="AL28" s="72">
        <f t="shared" si="34"/>
        <v>0</v>
      </c>
      <c r="AM28" s="73">
        <f t="shared" si="23"/>
        <v>0</v>
      </c>
      <c r="AN28" s="74">
        <f t="shared" si="30"/>
        <v>0</v>
      </c>
      <c r="AO28" s="74">
        <f t="shared" si="31"/>
        <v>0</v>
      </c>
      <c r="AP28" s="75" t="e">
        <f t="shared" si="24"/>
        <v>#DIV/0!</v>
      </c>
      <c r="AQ28" s="76">
        <f t="shared" si="25"/>
        <v>0</v>
      </c>
      <c r="AR28" s="90">
        <f t="shared" si="35"/>
        <v>0</v>
      </c>
    </row>
    <row r="29" spans="1:49" x14ac:dyDescent="0.25">
      <c r="A29" t="str">
        <f t="shared" si="13"/>
        <v>46186E</v>
      </c>
      <c r="B29" s="51">
        <f t="shared" si="27"/>
        <v>46186</v>
      </c>
      <c r="C29" s="52" t="s">
        <v>88</v>
      </c>
      <c r="D29" s="91"/>
      <c r="E29" s="62"/>
      <c r="F29" s="62"/>
      <c r="G29" s="62">
        <f t="shared" si="28"/>
        <v>0</v>
      </c>
      <c r="H29" s="72">
        <f t="shared" si="29"/>
        <v>0</v>
      </c>
      <c r="I29" s="123"/>
      <c r="J29" s="120"/>
      <c r="K29" s="121"/>
      <c r="L29" s="122"/>
      <c r="M29" s="58"/>
      <c r="N29" s="58"/>
      <c r="O29" s="59"/>
      <c r="P29" s="56"/>
      <c r="Q29" s="60"/>
      <c r="R29" s="61">
        <f t="shared" si="14"/>
        <v>0</v>
      </c>
      <c r="S29" s="62">
        <f t="shared" si="15"/>
        <v>0</v>
      </c>
      <c r="T29" s="63">
        <f t="shared" si="16"/>
        <v>0</v>
      </c>
      <c r="U29" s="64"/>
      <c r="V29" s="65"/>
      <c r="W29" s="66"/>
      <c r="X29" s="67"/>
      <c r="Y29" s="68"/>
      <c r="Z29" s="68"/>
      <c r="AA29" s="62">
        <f t="shared" si="17"/>
        <v>0</v>
      </c>
      <c r="AB29" s="63">
        <f t="shared" si="18"/>
        <v>0</v>
      </c>
      <c r="AC29" s="69"/>
      <c r="AD29" s="70"/>
      <c r="AE29" s="70"/>
      <c r="AF29" s="62">
        <f t="shared" si="19"/>
        <v>0</v>
      </c>
      <c r="AG29" s="63">
        <f t="shared" si="20"/>
        <v>0</v>
      </c>
      <c r="AH29" s="89"/>
      <c r="AI29" s="66"/>
      <c r="AJ29" s="66"/>
      <c r="AK29" s="62">
        <f t="shared" si="33"/>
        <v>0</v>
      </c>
      <c r="AL29" s="72">
        <f t="shared" si="34"/>
        <v>0</v>
      </c>
      <c r="AM29" s="73">
        <f t="shared" ref="AM29" si="36">+D29+R29-AC29-AH29</f>
        <v>0</v>
      </c>
      <c r="AN29" s="74">
        <f t="shared" ref="AN29" si="37">+G29+S29-AF29-AK29</f>
        <v>0</v>
      </c>
      <c r="AO29" s="74">
        <f t="shared" ref="AO29" si="38">+H29+T29-AG29-AL29</f>
        <v>0</v>
      </c>
      <c r="AP29" s="75" t="e">
        <f t="shared" ref="AP29" si="39">(AN29+AO29)/(S29+T29)</f>
        <v>#DIV/0!</v>
      </c>
      <c r="AQ29" s="76">
        <f t="shared" ref="AQ29" si="40">($AP$1*AN29+$AQ$1*AO29)</f>
        <v>0</v>
      </c>
      <c r="AR29" s="90">
        <f t="shared" si="35"/>
        <v>0</v>
      </c>
    </row>
    <row r="30" spans="1:49" x14ac:dyDescent="0.25">
      <c r="A30" t="str">
        <f t="shared" si="13"/>
        <v>46187M</v>
      </c>
      <c r="B30" s="51">
        <f t="shared" si="27"/>
        <v>46187</v>
      </c>
      <c r="C30" s="52" t="s">
        <v>87</v>
      </c>
      <c r="D30" s="91"/>
      <c r="E30" s="62"/>
      <c r="F30" s="62"/>
      <c r="G30" s="62">
        <f t="shared" si="28"/>
        <v>0</v>
      </c>
      <c r="H30" s="72">
        <f t="shared" si="29"/>
        <v>0</v>
      </c>
      <c r="I30" s="123"/>
      <c r="J30" s="120"/>
      <c r="K30" s="121"/>
      <c r="L30" s="122"/>
      <c r="M30" s="58"/>
      <c r="N30" s="58"/>
      <c r="O30" s="59"/>
      <c r="P30" s="56"/>
      <c r="Q30" s="60"/>
      <c r="R30" s="61">
        <f t="shared" si="14"/>
        <v>0</v>
      </c>
      <c r="S30" s="62">
        <f t="shared" si="15"/>
        <v>0</v>
      </c>
      <c r="T30" s="63">
        <f t="shared" si="16"/>
        <v>0</v>
      </c>
      <c r="U30" s="64"/>
      <c r="V30" s="65"/>
      <c r="W30" s="66"/>
      <c r="X30" s="67"/>
      <c r="Y30" s="68"/>
      <c r="Z30" s="68"/>
      <c r="AA30" s="62">
        <f t="shared" si="17"/>
        <v>0</v>
      </c>
      <c r="AB30" s="63">
        <f t="shared" si="18"/>
        <v>0</v>
      </c>
      <c r="AC30" s="69"/>
      <c r="AD30" s="70"/>
      <c r="AE30" s="70"/>
      <c r="AF30" s="62">
        <f t="shared" si="19"/>
        <v>0</v>
      </c>
      <c r="AG30" s="63">
        <f t="shared" si="20"/>
        <v>0</v>
      </c>
      <c r="AH30" s="89"/>
      <c r="AI30" s="66"/>
      <c r="AJ30" s="66"/>
      <c r="AK30" s="62">
        <f t="shared" si="33"/>
        <v>0</v>
      </c>
      <c r="AL30" s="72">
        <f t="shared" si="34"/>
        <v>0</v>
      </c>
      <c r="AM30" s="73">
        <f t="shared" si="23"/>
        <v>0</v>
      </c>
      <c r="AN30" s="74">
        <f t="shared" si="30"/>
        <v>0</v>
      </c>
      <c r="AO30" s="74">
        <f t="shared" si="31"/>
        <v>0</v>
      </c>
      <c r="AP30" s="75" t="e">
        <f t="shared" si="24"/>
        <v>#DIV/0!</v>
      </c>
      <c r="AQ30" s="76">
        <f t="shared" si="25"/>
        <v>0</v>
      </c>
      <c r="AR30" s="90">
        <f t="shared" si="35"/>
        <v>0</v>
      </c>
    </row>
    <row r="31" spans="1:49" x14ac:dyDescent="0.25">
      <c r="A31" t="str">
        <f t="shared" si="13"/>
        <v>46187E</v>
      </c>
      <c r="B31" s="51">
        <f t="shared" si="27"/>
        <v>46187</v>
      </c>
      <c r="C31" s="52" t="s">
        <v>88</v>
      </c>
      <c r="D31" s="91"/>
      <c r="E31" s="62"/>
      <c r="F31" s="62"/>
      <c r="G31" s="62">
        <f t="shared" si="28"/>
        <v>0</v>
      </c>
      <c r="H31" s="72">
        <f t="shared" si="29"/>
        <v>0</v>
      </c>
      <c r="I31" s="123"/>
      <c r="J31" s="120"/>
      <c r="K31" s="121"/>
      <c r="L31" s="122"/>
      <c r="M31" s="58"/>
      <c r="N31" s="58"/>
      <c r="O31" s="59"/>
      <c r="P31" s="56"/>
      <c r="Q31" s="60"/>
      <c r="R31" s="61">
        <f t="shared" si="14"/>
        <v>0</v>
      </c>
      <c r="S31" s="62">
        <f t="shared" si="15"/>
        <v>0</v>
      </c>
      <c r="T31" s="63">
        <f t="shared" si="16"/>
        <v>0</v>
      </c>
      <c r="U31" s="64"/>
      <c r="V31" s="65"/>
      <c r="W31" s="66"/>
      <c r="X31" s="67"/>
      <c r="Y31" s="68"/>
      <c r="Z31" s="68"/>
      <c r="AA31" s="62">
        <f t="shared" si="17"/>
        <v>0</v>
      </c>
      <c r="AB31" s="63">
        <f t="shared" si="18"/>
        <v>0</v>
      </c>
      <c r="AC31" s="69"/>
      <c r="AD31" s="70"/>
      <c r="AE31" s="70"/>
      <c r="AF31" s="62">
        <f t="shared" si="19"/>
        <v>0</v>
      </c>
      <c r="AG31" s="63">
        <f t="shared" si="20"/>
        <v>0</v>
      </c>
      <c r="AH31" s="89"/>
      <c r="AI31" s="66"/>
      <c r="AJ31" s="66"/>
      <c r="AK31" s="62">
        <f t="shared" si="33"/>
        <v>0</v>
      </c>
      <c r="AL31" s="72">
        <f t="shared" si="34"/>
        <v>0</v>
      </c>
      <c r="AM31" s="73">
        <f t="shared" si="23"/>
        <v>0</v>
      </c>
      <c r="AN31" s="74">
        <f t="shared" si="30"/>
        <v>0</v>
      </c>
      <c r="AO31" s="74">
        <f t="shared" si="31"/>
        <v>0</v>
      </c>
      <c r="AP31" s="75" t="e">
        <f t="shared" si="24"/>
        <v>#DIV/0!</v>
      </c>
      <c r="AQ31" s="76">
        <f t="shared" si="25"/>
        <v>0</v>
      </c>
      <c r="AR31" s="90">
        <f>(D31+J31+O31)-(X31+AH31)</f>
        <v>0</v>
      </c>
    </row>
    <row r="32" spans="1:49" x14ac:dyDescent="0.25">
      <c r="A32" t="str">
        <f t="shared" si="13"/>
        <v>46188M</v>
      </c>
      <c r="B32" s="51">
        <f t="shared" si="27"/>
        <v>46188</v>
      </c>
      <c r="C32" s="52" t="s">
        <v>87</v>
      </c>
      <c r="D32" s="91"/>
      <c r="E32" s="62"/>
      <c r="F32" s="62"/>
      <c r="G32" s="62">
        <f t="shared" si="28"/>
        <v>0</v>
      </c>
      <c r="H32" s="72">
        <f t="shared" si="29"/>
        <v>0</v>
      </c>
      <c r="I32" s="123"/>
      <c r="J32" s="120"/>
      <c r="K32" s="121"/>
      <c r="L32" s="122"/>
      <c r="M32" s="58"/>
      <c r="N32" s="58"/>
      <c r="O32" s="59"/>
      <c r="P32" s="56"/>
      <c r="Q32" s="60"/>
      <c r="R32" s="61">
        <f t="shared" si="14"/>
        <v>0</v>
      </c>
      <c r="S32" s="62">
        <f t="shared" si="15"/>
        <v>0</v>
      </c>
      <c r="T32" s="63">
        <f t="shared" si="16"/>
        <v>0</v>
      </c>
      <c r="U32" s="64"/>
      <c r="V32" s="65"/>
      <c r="W32" s="66"/>
      <c r="X32" s="67"/>
      <c r="Y32" s="68"/>
      <c r="Z32" s="68"/>
      <c r="AA32" s="62">
        <f t="shared" si="17"/>
        <v>0</v>
      </c>
      <c r="AB32" s="63">
        <f t="shared" si="18"/>
        <v>0</v>
      </c>
      <c r="AC32" s="69"/>
      <c r="AD32" s="70"/>
      <c r="AE32" s="70"/>
      <c r="AF32" s="62">
        <f t="shared" si="19"/>
        <v>0</v>
      </c>
      <c r="AG32" s="63">
        <f t="shared" si="20"/>
        <v>0</v>
      </c>
      <c r="AH32" s="89"/>
      <c r="AI32" s="66"/>
      <c r="AJ32" s="66"/>
      <c r="AK32" s="62">
        <f t="shared" si="33"/>
        <v>0</v>
      </c>
      <c r="AL32" s="72">
        <f t="shared" si="34"/>
        <v>0</v>
      </c>
      <c r="AM32" s="73">
        <f t="shared" si="23"/>
        <v>0</v>
      </c>
      <c r="AN32" s="74">
        <f t="shared" si="30"/>
        <v>0</v>
      </c>
      <c r="AO32" s="74">
        <f t="shared" si="31"/>
        <v>0</v>
      </c>
      <c r="AP32" s="75" t="e">
        <f t="shared" si="24"/>
        <v>#DIV/0!</v>
      </c>
      <c r="AQ32" s="76">
        <f t="shared" si="25"/>
        <v>0</v>
      </c>
      <c r="AR32" s="90">
        <f t="shared" si="32"/>
        <v>0</v>
      </c>
    </row>
    <row r="33" spans="1:49" x14ac:dyDescent="0.25">
      <c r="A33" t="str">
        <f t="shared" si="13"/>
        <v>46188E</v>
      </c>
      <c r="B33" s="51">
        <f t="shared" si="27"/>
        <v>46188</v>
      </c>
      <c r="C33" s="52" t="s">
        <v>88</v>
      </c>
      <c r="D33" s="91"/>
      <c r="E33" s="62"/>
      <c r="F33" s="62"/>
      <c r="G33" s="62">
        <f t="shared" si="28"/>
        <v>0</v>
      </c>
      <c r="H33" s="72">
        <f t="shared" si="29"/>
        <v>0</v>
      </c>
      <c r="I33" s="123"/>
      <c r="J33" s="120"/>
      <c r="K33" s="121"/>
      <c r="L33" s="122"/>
      <c r="M33" s="58"/>
      <c r="N33" s="58"/>
      <c r="O33" s="59"/>
      <c r="P33" s="56"/>
      <c r="Q33" s="60"/>
      <c r="R33" s="61">
        <f t="shared" si="14"/>
        <v>0</v>
      </c>
      <c r="S33" s="62">
        <f t="shared" si="15"/>
        <v>0</v>
      </c>
      <c r="T33" s="63">
        <f t="shared" si="16"/>
        <v>0</v>
      </c>
      <c r="U33" s="64"/>
      <c r="V33" s="65"/>
      <c r="W33" s="66"/>
      <c r="X33" s="67"/>
      <c r="Y33" s="68"/>
      <c r="Z33" s="68"/>
      <c r="AA33" s="62">
        <f t="shared" si="17"/>
        <v>0</v>
      </c>
      <c r="AB33" s="63">
        <f t="shared" si="18"/>
        <v>0</v>
      </c>
      <c r="AC33" s="69"/>
      <c r="AD33" s="70"/>
      <c r="AE33" s="70"/>
      <c r="AF33" s="62">
        <f t="shared" si="19"/>
        <v>0</v>
      </c>
      <c r="AG33" s="63">
        <f t="shared" si="20"/>
        <v>0</v>
      </c>
      <c r="AH33" s="89"/>
      <c r="AI33" s="66"/>
      <c r="AJ33" s="66"/>
      <c r="AK33" s="62">
        <f t="shared" si="33"/>
        <v>0</v>
      </c>
      <c r="AL33" s="72">
        <f t="shared" si="34"/>
        <v>0</v>
      </c>
      <c r="AM33" s="73">
        <f t="shared" si="23"/>
        <v>0</v>
      </c>
      <c r="AN33" s="74">
        <f t="shared" si="30"/>
        <v>0</v>
      </c>
      <c r="AO33" s="74">
        <f t="shared" si="31"/>
        <v>0</v>
      </c>
      <c r="AP33" s="75" t="e">
        <f t="shared" si="24"/>
        <v>#DIV/0!</v>
      </c>
      <c r="AQ33" s="76">
        <f t="shared" si="25"/>
        <v>0</v>
      </c>
      <c r="AR33" s="90">
        <f t="shared" si="32"/>
        <v>0</v>
      </c>
    </row>
    <row r="34" spans="1:49" x14ac:dyDescent="0.25">
      <c r="A34" t="str">
        <f t="shared" si="13"/>
        <v>46189M</v>
      </c>
      <c r="B34" s="51">
        <f t="shared" si="27"/>
        <v>46189</v>
      </c>
      <c r="C34" s="52" t="s">
        <v>87</v>
      </c>
      <c r="D34" s="91"/>
      <c r="E34" s="62"/>
      <c r="F34" s="62"/>
      <c r="G34" s="62">
        <f t="shared" si="28"/>
        <v>0</v>
      </c>
      <c r="H34" s="72">
        <f t="shared" si="29"/>
        <v>0</v>
      </c>
      <c r="I34" s="123"/>
      <c r="J34" s="120"/>
      <c r="K34" s="121"/>
      <c r="L34" s="122"/>
      <c r="M34" s="58"/>
      <c r="N34" s="58"/>
      <c r="O34" s="59"/>
      <c r="P34" s="56"/>
      <c r="Q34" s="60"/>
      <c r="R34" s="61">
        <f t="shared" si="14"/>
        <v>0</v>
      </c>
      <c r="S34" s="62">
        <f t="shared" si="15"/>
        <v>0</v>
      </c>
      <c r="T34" s="63">
        <f t="shared" si="16"/>
        <v>0</v>
      </c>
      <c r="U34" s="64"/>
      <c r="V34" s="65"/>
      <c r="W34" s="66"/>
      <c r="X34" s="67"/>
      <c r="Y34" s="68"/>
      <c r="Z34" s="68"/>
      <c r="AA34" s="62">
        <f t="shared" si="17"/>
        <v>0</v>
      </c>
      <c r="AB34" s="63">
        <f t="shared" si="18"/>
        <v>0</v>
      </c>
      <c r="AC34" s="69"/>
      <c r="AD34" s="70"/>
      <c r="AE34" s="70"/>
      <c r="AF34" s="62">
        <f t="shared" si="19"/>
        <v>0</v>
      </c>
      <c r="AG34" s="63">
        <f t="shared" si="20"/>
        <v>0</v>
      </c>
      <c r="AH34" s="89"/>
      <c r="AI34" s="66"/>
      <c r="AJ34" s="66"/>
      <c r="AK34" s="62">
        <f t="shared" si="33"/>
        <v>0</v>
      </c>
      <c r="AL34" s="72">
        <f t="shared" si="34"/>
        <v>0</v>
      </c>
      <c r="AM34" s="73">
        <f t="shared" si="23"/>
        <v>0</v>
      </c>
      <c r="AN34" s="74">
        <f t="shared" si="30"/>
        <v>0</v>
      </c>
      <c r="AO34" s="74">
        <f t="shared" si="31"/>
        <v>0</v>
      </c>
      <c r="AP34" s="75" t="e">
        <f t="shared" si="24"/>
        <v>#DIV/0!</v>
      </c>
      <c r="AQ34" s="76">
        <f t="shared" si="25"/>
        <v>0</v>
      </c>
      <c r="AR34" s="90">
        <f t="shared" si="32"/>
        <v>0</v>
      </c>
    </row>
    <row r="35" spans="1:49" x14ac:dyDescent="0.25">
      <c r="A35" t="str">
        <f t="shared" si="13"/>
        <v>46189E</v>
      </c>
      <c r="B35" s="51">
        <f t="shared" si="27"/>
        <v>46189</v>
      </c>
      <c r="C35" s="52" t="s">
        <v>88</v>
      </c>
      <c r="D35" s="91"/>
      <c r="E35" s="62"/>
      <c r="F35" s="62"/>
      <c r="G35" s="62">
        <f t="shared" si="28"/>
        <v>0</v>
      </c>
      <c r="H35" s="72">
        <f t="shared" si="29"/>
        <v>0</v>
      </c>
      <c r="I35" s="123"/>
      <c r="J35" s="120"/>
      <c r="K35" s="121"/>
      <c r="L35" s="122"/>
      <c r="M35" s="58"/>
      <c r="N35" s="58"/>
      <c r="O35" s="59"/>
      <c r="P35" s="56"/>
      <c r="Q35" s="60"/>
      <c r="R35" s="61">
        <f t="shared" si="14"/>
        <v>0</v>
      </c>
      <c r="S35" s="62">
        <f t="shared" si="15"/>
        <v>0</v>
      </c>
      <c r="T35" s="63">
        <f t="shared" si="16"/>
        <v>0</v>
      </c>
      <c r="U35" s="64"/>
      <c r="V35" s="65"/>
      <c r="W35" s="66"/>
      <c r="X35" s="67"/>
      <c r="Y35" s="68"/>
      <c r="Z35" s="68"/>
      <c r="AA35" s="62">
        <f t="shared" si="17"/>
        <v>0</v>
      </c>
      <c r="AB35" s="63">
        <f t="shared" si="18"/>
        <v>0</v>
      </c>
      <c r="AC35" s="69"/>
      <c r="AD35" s="70"/>
      <c r="AE35" s="70"/>
      <c r="AF35" s="62">
        <f t="shared" si="19"/>
        <v>0</v>
      </c>
      <c r="AG35" s="63">
        <f t="shared" si="20"/>
        <v>0</v>
      </c>
      <c r="AH35" s="89"/>
      <c r="AI35" s="66"/>
      <c r="AJ35" s="66"/>
      <c r="AK35" s="62">
        <f t="shared" si="33"/>
        <v>0</v>
      </c>
      <c r="AL35" s="72">
        <f t="shared" si="34"/>
        <v>0</v>
      </c>
      <c r="AM35" s="73">
        <f t="shared" si="23"/>
        <v>0</v>
      </c>
      <c r="AN35" s="74">
        <f t="shared" si="30"/>
        <v>0</v>
      </c>
      <c r="AO35" s="74">
        <f t="shared" si="31"/>
        <v>0</v>
      </c>
      <c r="AP35" s="75" t="e">
        <f t="shared" si="24"/>
        <v>#DIV/0!</v>
      </c>
      <c r="AQ35" s="76">
        <f t="shared" si="25"/>
        <v>0</v>
      </c>
      <c r="AR35" s="90">
        <f t="shared" ref="AR35" si="41">(D35+J35+O35)-(X35+AH35)</f>
        <v>0</v>
      </c>
    </row>
    <row r="36" spans="1:49" x14ac:dyDescent="0.25">
      <c r="A36" t="str">
        <f t="shared" si="13"/>
        <v>46190M</v>
      </c>
      <c r="B36" s="51">
        <f t="shared" si="27"/>
        <v>46190</v>
      </c>
      <c r="C36" s="52" t="s">
        <v>87</v>
      </c>
      <c r="D36" s="91"/>
      <c r="E36" s="62"/>
      <c r="F36" s="62"/>
      <c r="G36" s="62">
        <f t="shared" si="28"/>
        <v>0</v>
      </c>
      <c r="H36" s="72">
        <f t="shared" si="29"/>
        <v>0</v>
      </c>
      <c r="I36" s="123"/>
      <c r="J36" s="120"/>
      <c r="K36" s="121"/>
      <c r="L36" s="122"/>
      <c r="M36" s="58"/>
      <c r="N36" s="58"/>
      <c r="O36" s="59"/>
      <c r="P36" s="56"/>
      <c r="Q36" s="60"/>
      <c r="R36" s="61">
        <f t="shared" si="14"/>
        <v>0</v>
      </c>
      <c r="S36" s="62">
        <f t="shared" si="15"/>
        <v>0</v>
      </c>
      <c r="T36" s="63">
        <f t="shared" si="16"/>
        <v>0</v>
      </c>
      <c r="U36" s="64"/>
      <c r="V36" s="85"/>
      <c r="W36" s="66"/>
      <c r="X36" s="67"/>
      <c r="Y36" s="68"/>
      <c r="Z36" s="68"/>
      <c r="AA36" s="62">
        <f t="shared" si="17"/>
        <v>0</v>
      </c>
      <c r="AB36" s="63">
        <f t="shared" si="18"/>
        <v>0</v>
      </c>
      <c r="AC36" s="69"/>
      <c r="AD36" s="70"/>
      <c r="AE36" s="70"/>
      <c r="AF36" s="62">
        <f t="shared" si="19"/>
        <v>0</v>
      </c>
      <c r="AG36" s="63">
        <f t="shared" si="20"/>
        <v>0</v>
      </c>
      <c r="AH36" s="89"/>
      <c r="AI36" s="66"/>
      <c r="AJ36" s="66"/>
      <c r="AK36" s="62">
        <f t="shared" si="33"/>
        <v>0</v>
      </c>
      <c r="AL36" s="72">
        <f t="shared" si="34"/>
        <v>0</v>
      </c>
      <c r="AM36" s="73">
        <f t="shared" ref="AM36:AM49" si="42">+D36+R36-AC36-AH36</f>
        <v>0</v>
      </c>
      <c r="AN36" s="80">
        <f t="shared" ref="AN36:AN49" si="43">+G36+S36-AF36-AK36</f>
        <v>0</v>
      </c>
      <c r="AO36" s="80">
        <f t="shared" ref="AO36:AO49" si="44">+H36+T36-AG36-AL36</f>
        <v>0</v>
      </c>
      <c r="AP36" s="75" t="e">
        <f t="shared" si="24"/>
        <v>#DIV/0!</v>
      </c>
      <c r="AQ36" s="76">
        <f t="shared" si="25"/>
        <v>0</v>
      </c>
      <c r="AR36" s="90">
        <f t="shared" ref="AR36:AR49" si="45">(D36+J36+O36)-(X36+AH36)</f>
        <v>0</v>
      </c>
    </row>
    <row r="37" spans="1:49" x14ac:dyDescent="0.25">
      <c r="A37" t="str">
        <f t="shared" si="13"/>
        <v>46190E</v>
      </c>
      <c r="B37" s="51">
        <f t="shared" si="27"/>
        <v>46190</v>
      </c>
      <c r="C37" s="52" t="s">
        <v>88</v>
      </c>
      <c r="D37" s="91"/>
      <c r="E37" s="62"/>
      <c r="F37" s="62"/>
      <c r="G37" s="62">
        <f t="shared" si="28"/>
        <v>0</v>
      </c>
      <c r="H37" s="72">
        <f t="shared" si="29"/>
        <v>0</v>
      </c>
      <c r="I37" s="123"/>
      <c r="J37" s="120"/>
      <c r="K37" s="121"/>
      <c r="L37" s="122"/>
      <c r="M37" s="58"/>
      <c r="N37" s="58"/>
      <c r="O37" s="59"/>
      <c r="P37" s="56"/>
      <c r="Q37" s="60"/>
      <c r="R37" s="61">
        <f t="shared" si="14"/>
        <v>0</v>
      </c>
      <c r="S37" s="62">
        <f t="shared" si="15"/>
        <v>0</v>
      </c>
      <c r="T37" s="63">
        <f t="shared" si="16"/>
        <v>0</v>
      </c>
      <c r="U37" s="64"/>
      <c r="V37" s="65"/>
      <c r="W37" s="66"/>
      <c r="X37" s="67"/>
      <c r="Y37" s="68"/>
      <c r="Z37" s="68"/>
      <c r="AA37" s="62">
        <f t="shared" si="17"/>
        <v>0</v>
      </c>
      <c r="AB37" s="63">
        <f t="shared" si="18"/>
        <v>0</v>
      </c>
      <c r="AC37" s="69"/>
      <c r="AD37" s="70"/>
      <c r="AE37" s="70"/>
      <c r="AF37" s="62">
        <f t="shared" si="19"/>
        <v>0</v>
      </c>
      <c r="AG37" s="63">
        <f t="shared" si="20"/>
        <v>0</v>
      </c>
      <c r="AH37" s="89"/>
      <c r="AI37" s="66"/>
      <c r="AJ37" s="66"/>
      <c r="AK37" s="62">
        <f t="shared" si="33"/>
        <v>0</v>
      </c>
      <c r="AL37" s="72">
        <f t="shared" si="34"/>
        <v>0</v>
      </c>
      <c r="AM37" s="73">
        <f t="shared" si="42"/>
        <v>0</v>
      </c>
      <c r="AN37" s="80">
        <f t="shared" si="43"/>
        <v>0</v>
      </c>
      <c r="AO37" s="80">
        <f t="shared" si="44"/>
        <v>0</v>
      </c>
      <c r="AP37" s="75" t="e">
        <f t="shared" si="24"/>
        <v>#DIV/0!</v>
      </c>
      <c r="AQ37" s="76">
        <f t="shared" si="25"/>
        <v>0</v>
      </c>
      <c r="AR37" s="90">
        <f t="shared" si="45"/>
        <v>0</v>
      </c>
    </row>
    <row r="38" spans="1:49" x14ac:dyDescent="0.25">
      <c r="A38" t="str">
        <f t="shared" si="13"/>
        <v>46191M</v>
      </c>
      <c r="B38" s="51">
        <f t="shared" si="27"/>
        <v>46191</v>
      </c>
      <c r="C38" s="52" t="s">
        <v>87</v>
      </c>
      <c r="D38" s="91"/>
      <c r="E38" s="62"/>
      <c r="F38" s="62"/>
      <c r="G38" s="62">
        <f t="shared" si="28"/>
        <v>0</v>
      </c>
      <c r="H38" s="72">
        <f t="shared" si="29"/>
        <v>0</v>
      </c>
      <c r="I38" s="123"/>
      <c r="J38" s="120"/>
      <c r="K38" s="121"/>
      <c r="L38" s="122"/>
      <c r="M38" s="58"/>
      <c r="N38" s="58"/>
      <c r="O38" s="59"/>
      <c r="P38" s="56"/>
      <c r="Q38" s="60"/>
      <c r="R38" s="61">
        <f t="shared" si="14"/>
        <v>0</v>
      </c>
      <c r="S38" s="62">
        <f t="shared" si="15"/>
        <v>0</v>
      </c>
      <c r="T38" s="63">
        <f t="shared" si="16"/>
        <v>0</v>
      </c>
      <c r="U38" s="64"/>
      <c r="V38" s="65"/>
      <c r="W38" s="66"/>
      <c r="X38" s="67"/>
      <c r="Y38" s="68"/>
      <c r="Z38" s="68"/>
      <c r="AA38" s="62">
        <f t="shared" si="17"/>
        <v>0</v>
      </c>
      <c r="AB38" s="63">
        <f t="shared" si="18"/>
        <v>0</v>
      </c>
      <c r="AC38" s="69"/>
      <c r="AD38" s="70"/>
      <c r="AE38" s="70"/>
      <c r="AF38" s="62">
        <f t="shared" si="19"/>
        <v>0</v>
      </c>
      <c r="AG38" s="63">
        <f t="shared" si="20"/>
        <v>0</v>
      </c>
      <c r="AH38" s="89"/>
      <c r="AI38" s="66"/>
      <c r="AJ38" s="66"/>
      <c r="AK38" s="62">
        <f t="shared" si="33"/>
        <v>0</v>
      </c>
      <c r="AL38" s="72">
        <f t="shared" si="34"/>
        <v>0</v>
      </c>
      <c r="AM38" s="73">
        <f t="shared" si="42"/>
        <v>0</v>
      </c>
      <c r="AN38" s="80">
        <f t="shared" si="43"/>
        <v>0</v>
      </c>
      <c r="AO38" s="80">
        <f t="shared" si="44"/>
        <v>0</v>
      </c>
      <c r="AP38" s="75" t="e">
        <f t="shared" si="24"/>
        <v>#DIV/0!</v>
      </c>
      <c r="AQ38" s="76">
        <f t="shared" si="25"/>
        <v>0</v>
      </c>
      <c r="AR38" s="90">
        <f t="shared" si="45"/>
        <v>0</v>
      </c>
    </row>
    <row r="39" spans="1:49" x14ac:dyDescent="0.25">
      <c r="A39" t="str">
        <f t="shared" si="13"/>
        <v>46191E</v>
      </c>
      <c r="B39" s="51">
        <f t="shared" si="27"/>
        <v>46191</v>
      </c>
      <c r="C39" s="52" t="s">
        <v>88</v>
      </c>
      <c r="D39" s="91"/>
      <c r="E39" s="62"/>
      <c r="F39" s="62"/>
      <c r="G39" s="62">
        <f t="shared" si="28"/>
        <v>0</v>
      </c>
      <c r="H39" s="72">
        <f t="shared" si="29"/>
        <v>0</v>
      </c>
      <c r="I39" s="123"/>
      <c r="J39" s="120"/>
      <c r="K39" s="121"/>
      <c r="L39" s="122"/>
      <c r="M39" s="58"/>
      <c r="N39" s="58"/>
      <c r="O39" s="59"/>
      <c r="P39" s="56"/>
      <c r="Q39" s="60"/>
      <c r="R39" s="61">
        <f t="shared" si="14"/>
        <v>0</v>
      </c>
      <c r="S39" s="62">
        <f t="shared" si="15"/>
        <v>0</v>
      </c>
      <c r="T39" s="63">
        <f t="shared" si="16"/>
        <v>0</v>
      </c>
      <c r="U39" s="64"/>
      <c r="V39" s="65"/>
      <c r="W39" s="66"/>
      <c r="X39" s="67"/>
      <c r="Y39" s="68"/>
      <c r="Z39" s="68"/>
      <c r="AA39" s="62">
        <f t="shared" si="17"/>
        <v>0</v>
      </c>
      <c r="AB39" s="63">
        <f t="shared" si="18"/>
        <v>0</v>
      </c>
      <c r="AC39" s="69"/>
      <c r="AD39" s="70"/>
      <c r="AE39" s="70"/>
      <c r="AF39" s="62">
        <f t="shared" si="19"/>
        <v>0</v>
      </c>
      <c r="AG39" s="63">
        <f t="shared" si="20"/>
        <v>0</v>
      </c>
      <c r="AH39" s="89"/>
      <c r="AI39" s="66"/>
      <c r="AJ39" s="66"/>
      <c r="AK39" s="62">
        <f t="shared" si="33"/>
        <v>0</v>
      </c>
      <c r="AL39" s="72">
        <f t="shared" si="34"/>
        <v>0</v>
      </c>
      <c r="AM39" s="73">
        <f t="shared" si="42"/>
        <v>0</v>
      </c>
      <c r="AN39" s="80">
        <f t="shared" si="43"/>
        <v>0</v>
      </c>
      <c r="AO39" s="80">
        <f t="shared" si="44"/>
        <v>0</v>
      </c>
      <c r="AP39" s="75" t="e">
        <f t="shared" si="24"/>
        <v>#DIV/0!</v>
      </c>
      <c r="AQ39" s="76">
        <f t="shared" si="25"/>
        <v>0</v>
      </c>
      <c r="AR39" s="90">
        <f t="shared" si="45"/>
        <v>0</v>
      </c>
    </row>
    <row r="40" spans="1:49" x14ac:dyDescent="0.25">
      <c r="A40" t="str">
        <f t="shared" si="13"/>
        <v>46192M</v>
      </c>
      <c r="B40" s="51">
        <f t="shared" si="27"/>
        <v>46192</v>
      </c>
      <c r="C40" s="52" t="s">
        <v>87</v>
      </c>
      <c r="D40" s="91"/>
      <c r="E40" s="62"/>
      <c r="F40" s="62"/>
      <c r="G40" s="62">
        <f t="shared" si="28"/>
        <v>0</v>
      </c>
      <c r="H40" s="72">
        <f t="shared" si="29"/>
        <v>0</v>
      </c>
      <c r="I40" s="123"/>
      <c r="J40" s="120"/>
      <c r="K40" s="121"/>
      <c r="L40" s="122"/>
      <c r="M40" s="58"/>
      <c r="N40" s="58"/>
      <c r="O40" s="59"/>
      <c r="P40" s="56"/>
      <c r="Q40" s="60"/>
      <c r="R40" s="61">
        <f t="shared" si="14"/>
        <v>0</v>
      </c>
      <c r="S40" s="62">
        <f t="shared" si="15"/>
        <v>0</v>
      </c>
      <c r="T40" s="63">
        <f t="shared" si="16"/>
        <v>0</v>
      </c>
      <c r="U40" s="64"/>
      <c r="V40" s="65"/>
      <c r="W40" s="66"/>
      <c r="X40" s="67"/>
      <c r="Y40" s="68"/>
      <c r="Z40" s="68"/>
      <c r="AA40" s="62">
        <f t="shared" si="17"/>
        <v>0</v>
      </c>
      <c r="AB40" s="63">
        <f t="shared" si="18"/>
        <v>0</v>
      </c>
      <c r="AC40" s="69"/>
      <c r="AD40" s="70"/>
      <c r="AE40" s="70"/>
      <c r="AF40" s="62">
        <f t="shared" si="19"/>
        <v>0</v>
      </c>
      <c r="AG40" s="63">
        <f t="shared" si="20"/>
        <v>0</v>
      </c>
      <c r="AH40" s="89"/>
      <c r="AI40" s="66"/>
      <c r="AJ40" s="66"/>
      <c r="AK40" s="62">
        <f t="shared" si="33"/>
        <v>0</v>
      </c>
      <c r="AL40" s="72">
        <f t="shared" si="34"/>
        <v>0</v>
      </c>
      <c r="AM40" s="73">
        <f t="shared" si="42"/>
        <v>0</v>
      </c>
      <c r="AN40" s="80">
        <f t="shared" si="43"/>
        <v>0</v>
      </c>
      <c r="AO40" s="80">
        <f t="shared" si="44"/>
        <v>0</v>
      </c>
      <c r="AP40" s="75" t="e">
        <f t="shared" si="24"/>
        <v>#DIV/0!</v>
      </c>
      <c r="AQ40" s="76">
        <f t="shared" si="25"/>
        <v>0</v>
      </c>
      <c r="AR40" s="90">
        <f t="shared" si="45"/>
        <v>0</v>
      </c>
    </row>
    <row r="41" spans="1:49" x14ac:dyDescent="0.25">
      <c r="A41" t="str">
        <f t="shared" si="13"/>
        <v>46192E</v>
      </c>
      <c r="B41" s="51">
        <f t="shared" si="27"/>
        <v>46192</v>
      </c>
      <c r="C41" s="52" t="s">
        <v>88</v>
      </c>
      <c r="D41" s="91"/>
      <c r="E41" s="62"/>
      <c r="F41" s="62"/>
      <c r="G41" s="62">
        <f t="shared" si="28"/>
        <v>0</v>
      </c>
      <c r="H41" s="72">
        <f t="shared" si="29"/>
        <v>0</v>
      </c>
      <c r="I41" s="123"/>
      <c r="J41" s="120"/>
      <c r="K41" s="121"/>
      <c r="L41" s="122"/>
      <c r="M41" s="58"/>
      <c r="N41" s="58"/>
      <c r="O41" s="59"/>
      <c r="P41" s="56"/>
      <c r="Q41" s="60"/>
      <c r="R41" s="61">
        <f t="shared" si="14"/>
        <v>0</v>
      </c>
      <c r="S41" s="62">
        <f t="shared" si="15"/>
        <v>0</v>
      </c>
      <c r="T41" s="63">
        <f t="shared" si="16"/>
        <v>0</v>
      </c>
      <c r="U41" s="64"/>
      <c r="V41" s="65"/>
      <c r="W41" s="66"/>
      <c r="X41" s="67"/>
      <c r="Y41" s="68"/>
      <c r="Z41" s="68"/>
      <c r="AA41" s="62">
        <f t="shared" si="17"/>
        <v>0</v>
      </c>
      <c r="AB41" s="63">
        <f t="shared" si="18"/>
        <v>0</v>
      </c>
      <c r="AC41" s="69"/>
      <c r="AD41" s="70"/>
      <c r="AE41" s="70"/>
      <c r="AF41" s="62">
        <f t="shared" si="19"/>
        <v>0</v>
      </c>
      <c r="AG41" s="63">
        <f t="shared" si="20"/>
        <v>0</v>
      </c>
      <c r="AH41" s="89"/>
      <c r="AI41" s="66"/>
      <c r="AJ41" s="66"/>
      <c r="AK41" s="62">
        <f t="shared" si="33"/>
        <v>0</v>
      </c>
      <c r="AL41" s="72">
        <f t="shared" si="34"/>
        <v>0</v>
      </c>
      <c r="AM41" s="73">
        <f t="shared" si="42"/>
        <v>0</v>
      </c>
      <c r="AN41" s="80">
        <f t="shared" si="43"/>
        <v>0</v>
      </c>
      <c r="AO41" s="80">
        <f t="shared" si="44"/>
        <v>0</v>
      </c>
      <c r="AP41" s="75" t="e">
        <f t="shared" si="24"/>
        <v>#DIV/0!</v>
      </c>
      <c r="AQ41" s="76">
        <f t="shared" si="25"/>
        <v>0</v>
      </c>
      <c r="AR41" s="90">
        <f t="shared" si="45"/>
        <v>0</v>
      </c>
      <c r="AS41" s="90">
        <f>SUM(J28:J41)</f>
        <v>0</v>
      </c>
      <c r="AT41" s="83">
        <f>SUM(AM28:AM41)</f>
        <v>0</v>
      </c>
      <c r="AU41" s="83">
        <f>SUM(AN28:AN41)</f>
        <v>0</v>
      </c>
      <c r="AV41" s="83">
        <f>SUM(AO28:AO41)</f>
        <v>0</v>
      </c>
      <c r="AW41" s="83">
        <f>-SUM(AQ28:AQ41)</f>
        <v>0</v>
      </c>
    </row>
    <row r="42" spans="1:49" x14ac:dyDescent="0.25">
      <c r="A42" t="str">
        <f t="shared" si="13"/>
        <v>46193M</v>
      </c>
      <c r="B42" s="51">
        <f t="shared" si="27"/>
        <v>46193</v>
      </c>
      <c r="C42" s="52" t="s">
        <v>87</v>
      </c>
      <c r="D42" s="91"/>
      <c r="E42" s="62"/>
      <c r="F42" s="62"/>
      <c r="G42" s="62">
        <f t="shared" si="28"/>
        <v>0</v>
      </c>
      <c r="H42" s="72">
        <f t="shared" si="29"/>
        <v>0</v>
      </c>
      <c r="I42" s="123"/>
      <c r="J42" s="120"/>
      <c r="K42" s="121"/>
      <c r="L42" s="122"/>
      <c r="M42" s="58"/>
      <c r="N42" s="58"/>
      <c r="O42" s="59"/>
      <c r="P42" s="56"/>
      <c r="Q42" s="60"/>
      <c r="R42" s="61">
        <f t="shared" si="14"/>
        <v>0</v>
      </c>
      <c r="S42" s="62">
        <f t="shared" si="15"/>
        <v>0</v>
      </c>
      <c r="T42" s="63">
        <f t="shared" si="16"/>
        <v>0</v>
      </c>
      <c r="U42" s="64"/>
      <c r="V42" s="65"/>
      <c r="W42" s="66"/>
      <c r="X42" s="67"/>
      <c r="Y42" s="68"/>
      <c r="Z42" s="68"/>
      <c r="AA42" s="62">
        <f t="shared" si="17"/>
        <v>0</v>
      </c>
      <c r="AB42" s="63">
        <f t="shared" si="18"/>
        <v>0</v>
      </c>
      <c r="AC42" s="69"/>
      <c r="AD42" s="70"/>
      <c r="AE42" s="70"/>
      <c r="AF42" s="62">
        <f t="shared" si="19"/>
        <v>0</v>
      </c>
      <c r="AG42" s="63">
        <f t="shared" si="20"/>
        <v>0</v>
      </c>
      <c r="AH42" s="89"/>
      <c r="AI42" s="66"/>
      <c r="AJ42" s="66"/>
      <c r="AK42" s="62">
        <f t="shared" si="33"/>
        <v>0</v>
      </c>
      <c r="AL42" s="72">
        <f t="shared" si="34"/>
        <v>0</v>
      </c>
      <c r="AM42" s="73">
        <f t="shared" si="42"/>
        <v>0</v>
      </c>
      <c r="AN42" s="80">
        <f t="shared" si="43"/>
        <v>0</v>
      </c>
      <c r="AO42" s="80">
        <f t="shared" si="44"/>
        <v>0</v>
      </c>
      <c r="AP42" s="75" t="e">
        <f t="shared" si="24"/>
        <v>#DIV/0!</v>
      </c>
      <c r="AQ42" s="76">
        <f t="shared" si="25"/>
        <v>0</v>
      </c>
      <c r="AR42" s="90">
        <f t="shared" si="45"/>
        <v>0</v>
      </c>
      <c r="AS42" s="90"/>
      <c r="AT42" s="83"/>
      <c r="AU42" s="83"/>
      <c r="AV42" s="83"/>
      <c r="AW42" s="83"/>
    </row>
    <row r="43" spans="1:49" x14ac:dyDescent="0.25">
      <c r="A43" t="str">
        <f t="shared" si="13"/>
        <v>46193E</v>
      </c>
      <c r="B43" s="51">
        <f t="shared" si="27"/>
        <v>46193</v>
      </c>
      <c r="C43" s="52" t="s">
        <v>88</v>
      </c>
      <c r="D43" s="91"/>
      <c r="E43" s="62"/>
      <c r="F43" s="62"/>
      <c r="G43" s="62">
        <f t="shared" si="28"/>
        <v>0</v>
      </c>
      <c r="H43" s="72">
        <f t="shared" si="29"/>
        <v>0</v>
      </c>
      <c r="I43" s="123"/>
      <c r="J43" s="120"/>
      <c r="K43" s="121"/>
      <c r="L43" s="122"/>
      <c r="M43" s="58"/>
      <c r="N43" s="58"/>
      <c r="O43" s="59"/>
      <c r="P43" s="56"/>
      <c r="Q43" s="60"/>
      <c r="R43" s="61">
        <f t="shared" si="14"/>
        <v>0</v>
      </c>
      <c r="S43" s="62">
        <f t="shared" si="15"/>
        <v>0</v>
      </c>
      <c r="T43" s="63">
        <f t="shared" si="16"/>
        <v>0</v>
      </c>
      <c r="U43" s="64"/>
      <c r="V43" s="65"/>
      <c r="W43" s="66"/>
      <c r="X43" s="67"/>
      <c r="Y43" s="68"/>
      <c r="Z43" s="68"/>
      <c r="AA43" s="62">
        <f t="shared" si="17"/>
        <v>0</v>
      </c>
      <c r="AB43" s="63">
        <f t="shared" si="18"/>
        <v>0</v>
      </c>
      <c r="AC43" s="69"/>
      <c r="AD43" s="70"/>
      <c r="AE43" s="70"/>
      <c r="AF43" s="62">
        <f t="shared" si="19"/>
        <v>0</v>
      </c>
      <c r="AG43" s="63">
        <f t="shared" si="20"/>
        <v>0</v>
      </c>
      <c r="AH43" s="89"/>
      <c r="AI43" s="66"/>
      <c r="AJ43" s="66"/>
      <c r="AK43" s="62">
        <f t="shared" si="33"/>
        <v>0</v>
      </c>
      <c r="AL43" s="72">
        <f t="shared" si="34"/>
        <v>0</v>
      </c>
      <c r="AM43" s="73">
        <f t="shared" si="42"/>
        <v>0</v>
      </c>
      <c r="AN43" s="80">
        <f t="shared" si="43"/>
        <v>0</v>
      </c>
      <c r="AO43" s="80">
        <f t="shared" si="44"/>
        <v>0</v>
      </c>
      <c r="AP43" s="75" t="e">
        <f t="shared" si="24"/>
        <v>#DIV/0!</v>
      </c>
      <c r="AQ43" s="76">
        <f t="shared" si="25"/>
        <v>0</v>
      </c>
      <c r="AR43" s="90">
        <f t="shared" si="45"/>
        <v>0</v>
      </c>
      <c r="AS43" s="90"/>
      <c r="AT43" s="83"/>
      <c r="AU43" s="83"/>
      <c r="AV43" s="83"/>
      <c r="AW43" s="83"/>
    </row>
    <row r="44" spans="1:49" x14ac:dyDescent="0.25">
      <c r="A44" t="str">
        <f t="shared" si="13"/>
        <v>46194M</v>
      </c>
      <c r="B44" s="51">
        <f t="shared" si="27"/>
        <v>46194</v>
      </c>
      <c r="C44" s="52" t="s">
        <v>87</v>
      </c>
      <c r="D44" s="91"/>
      <c r="E44" s="62"/>
      <c r="F44" s="62"/>
      <c r="G44" s="62">
        <f t="shared" si="28"/>
        <v>0</v>
      </c>
      <c r="H44" s="72">
        <f t="shared" si="29"/>
        <v>0</v>
      </c>
      <c r="I44" s="123"/>
      <c r="J44" s="120"/>
      <c r="K44" s="121"/>
      <c r="L44" s="122"/>
      <c r="M44" s="58"/>
      <c r="N44" s="58"/>
      <c r="O44" s="59"/>
      <c r="P44" s="56"/>
      <c r="Q44" s="60"/>
      <c r="R44" s="61">
        <f t="shared" si="14"/>
        <v>0</v>
      </c>
      <c r="S44" s="62">
        <f t="shared" si="15"/>
        <v>0</v>
      </c>
      <c r="T44" s="63">
        <f t="shared" si="16"/>
        <v>0</v>
      </c>
      <c r="U44" s="64"/>
      <c r="V44" s="65"/>
      <c r="W44" s="66"/>
      <c r="X44" s="67"/>
      <c r="Y44" s="68"/>
      <c r="Z44" s="68"/>
      <c r="AA44" s="62">
        <f t="shared" si="17"/>
        <v>0</v>
      </c>
      <c r="AB44" s="63">
        <f t="shared" si="18"/>
        <v>0</v>
      </c>
      <c r="AC44" s="69"/>
      <c r="AD44" s="70"/>
      <c r="AE44" s="70"/>
      <c r="AF44" s="62">
        <f t="shared" si="19"/>
        <v>0</v>
      </c>
      <c r="AG44" s="63">
        <f t="shared" si="20"/>
        <v>0</v>
      </c>
      <c r="AH44" s="89"/>
      <c r="AI44" s="66"/>
      <c r="AJ44" s="66"/>
      <c r="AK44" s="62">
        <f t="shared" si="33"/>
        <v>0</v>
      </c>
      <c r="AL44" s="72">
        <f t="shared" si="34"/>
        <v>0</v>
      </c>
      <c r="AM44" s="73">
        <f t="shared" si="42"/>
        <v>0</v>
      </c>
      <c r="AN44" s="80">
        <f t="shared" si="43"/>
        <v>0</v>
      </c>
      <c r="AO44" s="80">
        <f t="shared" si="44"/>
        <v>0</v>
      </c>
      <c r="AP44" s="75" t="e">
        <f t="shared" si="24"/>
        <v>#DIV/0!</v>
      </c>
      <c r="AQ44" s="76">
        <f t="shared" si="25"/>
        <v>0</v>
      </c>
      <c r="AR44" s="90">
        <f t="shared" si="45"/>
        <v>0</v>
      </c>
    </row>
    <row r="45" spans="1:49" x14ac:dyDescent="0.25">
      <c r="A45" t="str">
        <f t="shared" si="13"/>
        <v>46194E</v>
      </c>
      <c r="B45" s="51">
        <f t="shared" si="27"/>
        <v>46194</v>
      </c>
      <c r="C45" s="52" t="s">
        <v>88</v>
      </c>
      <c r="D45" s="91"/>
      <c r="E45" s="62"/>
      <c r="F45" s="62"/>
      <c r="G45" s="62">
        <f t="shared" si="28"/>
        <v>0</v>
      </c>
      <c r="H45" s="72">
        <f t="shared" si="29"/>
        <v>0</v>
      </c>
      <c r="I45" s="123"/>
      <c r="J45" s="120"/>
      <c r="K45" s="121"/>
      <c r="L45" s="122"/>
      <c r="M45" s="58"/>
      <c r="N45" s="58"/>
      <c r="O45" s="59"/>
      <c r="P45" s="56"/>
      <c r="Q45" s="60"/>
      <c r="R45" s="61">
        <f t="shared" si="14"/>
        <v>0</v>
      </c>
      <c r="S45" s="62">
        <f t="shared" si="15"/>
        <v>0</v>
      </c>
      <c r="T45" s="63">
        <f t="shared" si="16"/>
        <v>0</v>
      </c>
      <c r="U45" s="64"/>
      <c r="V45" s="65"/>
      <c r="W45" s="66"/>
      <c r="X45" s="67"/>
      <c r="Y45" s="68"/>
      <c r="Z45" s="68"/>
      <c r="AA45" s="62">
        <f t="shared" si="17"/>
        <v>0</v>
      </c>
      <c r="AB45" s="63">
        <f t="shared" si="18"/>
        <v>0</v>
      </c>
      <c r="AC45" s="69"/>
      <c r="AD45" s="70"/>
      <c r="AE45" s="70"/>
      <c r="AF45" s="62">
        <f t="shared" si="19"/>
        <v>0</v>
      </c>
      <c r="AG45" s="63">
        <f t="shared" si="20"/>
        <v>0</v>
      </c>
      <c r="AH45" s="89"/>
      <c r="AI45" s="66"/>
      <c r="AJ45" s="66"/>
      <c r="AK45" s="62">
        <f t="shared" si="33"/>
        <v>0</v>
      </c>
      <c r="AL45" s="72">
        <f t="shared" si="34"/>
        <v>0</v>
      </c>
      <c r="AM45" s="73">
        <f t="shared" si="42"/>
        <v>0</v>
      </c>
      <c r="AN45" s="80">
        <f t="shared" si="43"/>
        <v>0</v>
      </c>
      <c r="AO45" s="80">
        <f t="shared" si="44"/>
        <v>0</v>
      </c>
      <c r="AP45" s="75" t="e">
        <f t="shared" si="24"/>
        <v>#DIV/0!</v>
      </c>
      <c r="AQ45" s="76">
        <f t="shared" si="25"/>
        <v>0</v>
      </c>
      <c r="AR45" s="90">
        <f t="shared" si="45"/>
        <v>0</v>
      </c>
    </row>
    <row r="46" spans="1:49" x14ac:dyDescent="0.25">
      <c r="A46" t="str">
        <f t="shared" si="13"/>
        <v>46195M</v>
      </c>
      <c r="B46" s="51">
        <f t="shared" si="27"/>
        <v>46195</v>
      </c>
      <c r="C46" s="52" t="s">
        <v>87</v>
      </c>
      <c r="D46" s="91"/>
      <c r="E46" s="62"/>
      <c r="F46" s="62"/>
      <c r="G46" s="62">
        <f t="shared" si="28"/>
        <v>0</v>
      </c>
      <c r="H46" s="72">
        <f t="shared" si="29"/>
        <v>0</v>
      </c>
      <c r="I46" s="123"/>
      <c r="J46" s="120"/>
      <c r="K46" s="121"/>
      <c r="L46" s="122"/>
      <c r="M46" s="58"/>
      <c r="N46" s="58"/>
      <c r="O46" s="59"/>
      <c r="P46" s="56"/>
      <c r="Q46" s="60"/>
      <c r="R46" s="61">
        <f t="shared" si="14"/>
        <v>0</v>
      </c>
      <c r="S46" s="62">
        <f t="shared" si="15"/>
        <v>0</v>
      </c>
      <c r="T46" s="63">
        <f t="shared" si="16"/>
        <v>0</v>
      </c>
      <c r="U46" s="64"/>
      <c r="V46" s="65"/>
      <c r="W46" s="66"/>
      <c r="X46" s="67"/>
      <c r="Y46" s="68"/>
      <c r="Z46" s="68"/>
      <c r="AA46" s="62">
        <f t="shared" si="17"/>
        <v>0</v>
      </c>
      <c r="AB46" s="63">
        <f t="shared" si="18"/>
        <v>0</v>
      </c>
      <c r="AC46" s="69"/>
      <c r="AD46" s="70"/>
      <c r="AE46" s="70"/>
      <c r="AF46" s="62">
        <f t="shared" si="19"/>
        <v>0</v>
      </c>
      <c r="AG46" s="63">
        <f t="shared" si="20"/>
        <v>0</v>
      </c>
      <c r="AH46" s="89"/>
      <c r="AI46" s="66"/>
      <c r="AJ46" s="66"/>
      <c r="AK46" s="62">
        <f t="shared" si="33"/>
        <v>0</v>
      </c>
      <c r="AL46" s="72">
        <f t="shared" si="34"/>
        <v>0</v>
      </c>
      <c r="AM46" s="73">
        <f t="shared" si="42"/>
        <v>0</v>
      </c>
      <c r="AN46" s="80">
        <f t="shared" si="43"/>
        <v>0</v>
      </c>
      <c r="AO46" s="80">
        <f t="shared" si="44"/>
        <v>0</v>
      </c>
      <c r="AP46" s="75" t="e">
        <f t="shared" si="24"/>
        <v>#DIV/0!</v>
      </c>
      <c r="AQ46" s="76">
        <f t="shared" si="25"/>
        <v>0</v>
      </c>
      <c r="AR46" s="90">
        <f t="shared" si="45"/>
        <v>0</v>
      </c>
    </row>
    <row r="47" spans="1:49" x14ac:dyDescent="0.25">
      <c r="A47" t="str">
        <f t="shared" si="13"/>
        <v>46195E</v>
      </c>
      <c r="B47" s="51">
        <f t="shared" si="27"/>
        <v>46195</v>
      </c>
      <c r="C47" s="52" t="s">
        <v>88</v>
      </c>
      <c r="D47" s="91"/>
      <c r="E47" s="62"/>
      <c r="F47" s="62"/>
      <c r="G47" s="62">
        <f t="shared" si="28"/>
        <v>0</v>
      </c>
      <c r="H47" s="72">
        <f t="shared" si="29"/>
        <v>0</v>
      </c>
      <c r="I47" s="123"/>
      <c r="J47" s="120"/>
      <c r="K47" s="121"/>
      <c r="L47" s="122"/>
      <c r="M47" s="58"/>
      <c r="N47" s="58"/>
      <c r="O47" s="59"/>
      <c r="P47" s="56"/>
      <c r="Q47" s="60"/>
      <c r="R47" s="61">
        <f t="shared" si="14"/>
        <v>0</v>
      </c>
      <c r="S47" s="62">
        <f t="shared" si="15"/>
        <v>0</v>
      </c>
      <c r="T47" s="63">
        <f t="shared" si="16"/>
        <v>0</v>
      </c>
      <c r="U47" s="64"/>
      <c r="V47" s="65"/>
      <c r="W47" s="66"/>
      <c r="X47" s="67"/>
      <c r="Y47" s="68"/>
      <c r="Z47" s="68"/>
      <c r="AA47" s="62">
        <f t="shared" si="17"/>
        <v>0</v>
      </c>
      <c r="AB47" s="63">
        <f t="shared" si="18"/>
        <v>0</v>
      </c>
      <c r="AC47" s="69"/>
      <c r="AD47" s="70"/>
      <c r="AE47" s="70"/>
      <c r="AF47" s="62">
        <f t="shared" si="19"/>
        <v>0</v>
      </c>
      <c r="AG47" s="63">
        <f t="shared" si="20"/>
        <v>0</v>
      </c>
      <c r="AH47" s="89"/>
      <c r="AI47" s="66"/>
      <c r="AJ47" s="66"/>
      <c r="AK47" s="62">
        <f t="shared" si="33"/>
        <v>0</v>
      </c>
      <c r="AL47" s="72">
        <f t="shared" si="34"/>
        <v>0</v>
      </c>
      <c r="AM47" s="73">
        <f t="shared" si="42"/>
        <v>0</v>
      </c>
      <c r="AN47" s="80">
        <f t="shared" si="43"/>
        <v>0</v>
      </c>
      <c r="AO47" s="80">
        <f t="shared" si="44"/>
        <v>0</v>
      </c>
      <c r="AP47" s="75" t="e">
        <f t="shared" si="24"/>
        <v>#DIV/0!</v>
      </c>
      <c r="AQ47" s="76">
        <f t="shared" si="25"/>
        <v>0</v>
      </c>
      <c r="AR47" s="90">
        <f t="shared" si="45"/>
        <v>0</v>
      </c>
    </row>
    <row r="48" spans="1:49" x14ac:dyDescent="0.25">
      <c r="A48" t="str">
        <f t="shared" si="13"/>
        <v>46196M</v>
      </c>
      <c r="B48" s="51">
        <f t="shared" si="27"/>
        <v>46196</v>
      </c>
      <c r="C48" s="52" t="s">
        <v>87</v>
      </c>
      <c r="D48" s="91"/>
      <c r="E48" s="62"/>
      <c r="F48" s="62"/>
      <c r="G48" s="62">
        <f t="shared" si="28"/>
        <v>0</v>
      </c>
      <c r="H48" s="72">
        <f t="shared" si="29"/>
        <v>0</v>
      </c>
      <c r="I48" s="123"/>
      <c r="J48" s="120"/>
      <c r="K48" s="121"/>
      <c r="L48" s="122"/>
      <c r="M48" s="58"/>
      <c r="N48" s="58"/>
      <c r="O48" s="59"/>
      <c r="P48" s="56"/>
      <c r="Q48" s="60"/>
      <c r="R48" s="61">
        <f t="shared" si="14"/>
        <v>0</v>
      </c>
      <c r="S48" s="62">
        <f t="shared" si="15"/>
        <v>0</v>
      </c>
      <c r="T48" s="63">
        <f t="shared" si="16"/>
        <v>0</v>
      </c>
      <c r="U48" s="64"/>
      <c r="V48" s="65"/>
      <c r="W48" s="66"/>
      <c r="X48" s="67"/>
      <c r="Y48" s="68"/>
      <c r="Z48" s="68"/>
      <c r="AA48" s="62">
        <f t="shared" si="17"/>
        <v>0</v>
      </c>
      <c r="AB48" s="63">
        <f t="shared" si="18"/>
        <v>0</v>
      </c>
      <c r="AC48" s="69"/>
      <c r="AD48" s="70"/>
      <c r="AE48" s="70"/>
      <c r="AF48" s="62">
        <f t="shared" si="19"/>
        <v>0</v>
      </c>
      <c r="AG48" s="63">
        <f t="shared" si="20"/>
        <v>0</v>
      </c>
      <c r="AH48" s="89"/>
      <c r="AI48" s="66"/>
      <c r="AJ48" s="66"/>
      <c r="AK48" s="62">
        <f t="shared" si="33"/>
        <v>0</v>
      </c>
      <c r="AL48" s="72">
        <f t="shared" si="34"/>
        <v>0</v>
      </c>
      <c r="AM48" s="73">
        <f t="shared" si="42"/>
        <v>0</v>
      </c>
      <c r="AN48" s="80">
        <f t="shared" si="43"/>
        <v>0</v>
      </c>
      <c r="AO48" s="80">
        <f t="shared" si="44"/>
        <v>0</v>
      </c>
      <c r="AP48" s="75" t="e">
        <f t="shared" si="24"/>
        <v>#DIV/0!</v>
      </c>
      <c r="AQ48" s="76">
        <f t="shared" si="25"/>
        <v>0</v>
      </c>
      <c r="AR48" s="90">
        <f t="shared" si="45"/>
        <v>0</v>
      </c>
    </row>
    <row r="49" spans="1:49" x14ac:dyDescent="0.25">
      <c r="A49" t="str">
        <f t="shared" si="13"/>
        <v>46196E</v>
      </c>
      <c r="B49" s="51">
        <f t="shared" si="27"/>
        <v>46196</v>
      </c>
      <c r="C49" s="52" t="s">
        <v>88</v>
      </c>
      <c r="D49" s="91"/>
      <c r="E49" s="62"/>
      <c r="F49" s="62"/>
      <c r="G49" s="62">
        <f t="shared" si="28"/>
        <v>0</v>
      </c>
      <c r="H49" s="72">
        <f t="shared" si="29"/>
        <v>0</v>
      </c>
      <c r="I49" s="123"/>
      <c r="J49" s="120"/>
      <c r="K49" s="121"/>
      <c r="L49" s="122"/>
      <c r="M49" s="58"/>
      <c r="N49" s="58"/>
      <c r="O49" s="59"/>
      <c r="P49" s="56"/>
      <c r="Q49" s="60"/>
      <c r="R49" s="61">
        <f t="shared" si="14"/>
        <v>0</v>
      </c>
      <c r="S49" s="62">
        <f t="shared" si="15"/>
        <v>0</v>
      </c>
      <c r="T49" s="63">
        <f t="shared" si="16"/>
        <v>0</v>
      </c>
      <c r="U49" s="64"/>
      <c r="V49" s="65"/>
      <c r="W49" s="66"/>
      <c r="X49" s="67"/>
      <c r="Y49" s="68"/>
      <c r="Z49" s="68"/>
      <c r="AA49" s="62">
        <f t="shared" si="17"/>
        <v>0</v>
      </c>
      <c r="AB49" s="63">
        <f t="shared" si="18"/>
        <v>0</v>
      </c>
      <c r="AC49" s="69"/>
      <c r="AD49" s="70"/>
      <c r="AE49" s="70"/>
      <c r="AF49" s="62">
        <f t="shared" si="19"/>
        <v>0</v>
      </c>
      <c r="AG49" s="63">
        <f t="shared" si="20"/>
        <v>0</v>
      </c>
      <c r="AH49" s="89"/>
      <c r="AI49" s="66"/>
      <c r="AJ49" s="66"/>
      <c r="AK49" s="62">
        <f t="shared" si="33"/>
        <v>0</v>
      </c>
      <c r="AL49" s="72">
        <f t="shared" si="34"/>
        <v>0</v>
      </c>
      <c r="AM49" s="73">
        <f t="shared" si="42"/>
        <v>0</v>
      </c>
      <c r="AN49" s="80">
        <f t="shared" si="43"/>
        <v>0</v>
      </c>
      <c r="AO49" s="80">
        <f t="shared" si="44"/>
        <v>0</v>
      </c>
      <c r="AP49" s="75" t="e">
        <f t="shared" si="24"/>
        <v>#DIV/0!</v>
      </c>
      <c r="AQ49" s="76">
        <f t="shared" si="25"/>
        <v>0</v>
      </c>
      <c r="AR49" s="90">
        <f t="shared" si="45"/>
        <v>0</v>
      </c>
    </row>
    <row r="50" spans="1:49" x14ac:dyDescent="0.25">
      <c r="A50" t="str">
        <f t="shared" si="13"/>
        <v>46197M</v>
      </c>
      <c r="B50" s="51">
        <f t="shared" si="27"/>
        <v>46197</v>
      </c>
      <c r="C50" s="52" t="s">
        <v>87</v>
      </c>
      <c r="D50" s="91"/>
      <c r="E50" s="62"/>
      <c r="F50" s="62"/>
      <c r="G50" s="62">
        <f t="shared" si="28"/>
        <v>0</v>
      </c>
      <c r="H50" s="72">
        <f t="shared" si="29"/>
        <v>0</v>
      </c>
      <c r="I50" s="123"/>
      <c r="J50" s="120"/>
      <c r="K50" s="121"/>
      <c r="L50" s="122"/>
      <c r="M50" s="58"/>
      <c r="N50" s="58"/>
      <c r="O50" s="59"/>
      <c r="P50" s="56"/>
      <c r="Q50" s="60"/>
      <c r="R50" s="61">
        <f t="shared" si="14"/>
        <v>0</v>
      </c>
      <c r="S50" s="62">
        <f t="shared" si="15"/>
        <v>0</v>
      </c>
      <c r="T50" s="63">
        <f t="shared" si="16"/>
        <v>0</v>
      </c>
      <c r="U50" s="64"/>
      <c r="V50" s="65"/>
      <c r="W50" s="66"/>
      <c r="X50" s="67"/>
      <c r="Y50" s="68"/>
      <c r="Z50" s="68"/>
      <c r="AA50" s="62">
        <f t="shared" si="17"/>
        <v>0</v>
      </c>
      <c r="AB50" s="63">
        <f t="shared" si="18"/>
        <v>0</v>
      </c>
      <c r="AC50" s="69"/>
      <c r="AD50" s="70"/>
      <c r="AE50" s="70"/>
      <c r="AF50" s="62">
        <f t="shared" si="19"/>
        <v>0</v>
      </c>
      <c r="AG50" s="63">
        <f t="shared" si="20"/>
        <v>0</v>
      </c>
      <c r="AH50" s="89"/>
      <c r="AI50" s="66"/>
      <c r="AJ50" s="66"/>
      <c r="AK50" s="62">
        <f t="shared" si="33"/>
        <v>0</v>
      </c>
      <c r="AL50" s="72">
        <f t="shared" si="34"/>
        <v>0</v>
      </c>
      <c r="AM50" s="73">
        <f t="shared" ref="AM50" si="46">+D50+R50-AC50-AH50</f>
        <v>0</v>
      </c>
      <c r="AN50" s="80">
        <f t="shared" ref="AN50:AO50" si="47">+G50+S50-AF50-AK50</f>
        <v>0</v>
      </c>
      <c r="AO50" s="80">
        <f t="shared" si="47"/>
        <v>0</v>
      </c>
      <c r="AP50" s="75" t="e">
        <f t="shared" si="24"/>
        <v>#DIV/0!</v>
      </c>
      <c r="AQ50" s="76">
        <f t="shared" si="25"/>
        <v>0</v>
      </c>
      <c r="AR50" s="90">
        <f t="shared" ref="AR50:AR57" si="48">(D50+J50+O50)-(X50+AH50)</f>
        <v>0</v>
      </c>
    </row>
    <row r="51" spans="1:49" x14ac:dyDescent="0.25">
      <c r="A51" t="str">
        <f t="shared" si="13"/>
        <v>46197E</v>
      </c>
      <c r="B51" s="51">
        <f t="shared" si="27"/>
        <v>46197</v>
      </c>
      <c r="C51" s="52" t="s">
        <v>88</v>
      </c>
      <c r="D51" s="91"/>
      <c r="E51" s="62"/>
      <c r="F51" s="62"/>
      <c r="G51" s="62">
        <f t="shared" si="28"/>
        <v>0</v>
      </c>
      <c r="H51" s="72">
        <f t="shared" si="29"/>
        <v>0</v>
      </c>
      <c r="I51" s="123"/>
      <c r="J51" s="120"/>
      <c r="K51" s="121"/>
      <c r="L51" s="122"/>
      <c r="M51" s="58"/>
      <c r="N51" s="58"/>
      <c r="O51" s="59"/>
      <c r="P51" s="56"/>
      <c r="Q51" s="60"/>
      <c r="R51" s="61">
        <f t="shared" si="14"/>
        <v>0</v>
      </c>
      <c r="S51" s="62">
        <f t="shared" si="15"/>
        <v>0</v>
      </c>
      <c r="T51" s="63">
        <f t="shared" si="16"/>
        <v>0</v>
      </c>
      <c r="U51" s="64"/>
      <c r="V51" s="85"/>
      <c r="W51" s="66"/>
      <c r="X51" s="67"/>
      <c r="Y51" s="68"/>
      <c r="Z51" s="68"/>
      <c r="AA51" s="62">
        <f t="shared" si="17"/>
        <v>0</v>
      </c>
      <c r="AB51" s="63">
        <f t="shared" si="18"/>
        <v>0</v>
      </c>
      <c r="AC51" s="69"/>
      <c r="AD51" s="70"/>
      <c r="AE51" s="70"/>
      <c r="AF51" s="62">
        <f t="shared" si="19"/>
        <v>0</v>
      </c>
      <c r="AG51" s="63">
        <f t="shared" si="20"/>
        <v>0</v>
      </c>
      <c r="AH51" s="89"/>
      <c r="AI51" s="66"/>
      <c r="AJ51" s="66"/>
      <c r="AK51" s="62">
        <f t="shared" ref="AK51:AK59" si="49">AH51*AI51%</f>
        <v>0</v>
      </c>
      <c r="AL51" s="72">
        <f t="shared" si="34"/>
        <v>0</v>
      </c>
      <c r="AM51" s="73">
        <f t="shared" ref="AM51:AM59" si="50">+D51+R51-AC51-AH51</f>
        <v>0</v>
      </c>
      <c r="AN51" s="80">
        <f t="shared" ref="AN51:AN59" si="51">+G51+S51-AF51-AK51</f>
        <v>0</v>
      </c>
      <c r="AO51" s="80">
        <f t="shared" ref="AO51:AO59" si="52">+H51+T51-AG51-AL51</f>
        <v>0</v>
      </c>
      <c r="AP51" s="75" t="e">
        <f t="shared" si="24"/>
        <v>#DIV/0!</v>
      </c>
      <c r="AQ51" s="76">
        <f t="shared" si="25"/>
        <v>0</v>
      </c>
      <c r="AR51" s="90">
        <f t="shared" si="48"/>
        <v>0</v>
      </c>
    </row>
    <row r="52" spans="1:49" x14ac:dyDescent="0.25">
      <c r="A52" t="str">
        <f t="shared" si="13"/>
        <v>46198M</v>
      </c>
      <c r="B52" s="51">
        <f t="shared" si="27"/>
        <v>46198</v>
      </c>
      <c r="C52" s="52" t="s">
        <v>87</v>
      </c>
      <c r="D52" s="91"/>
      <c r="E52" s="62"/>
      <c r="F52" s="62"/>
      <c r="G52" s="62">
        <f t="shared" ref="G52:G57" si="53">+D52*E52%</f>
        <v>0</v>
      </c>
      <c r="H52" s="72">
        <f t="shared" ref="H52:H57" si="54">+D52*F52%</f>
        <v>0</v>
      </c>
      <c r="I52" s="123"/>
      <c r="J52" s="120"/>
      <c r="K52" s="121"/>
      <c r="L52" s="122"/>
      <c r="M52" s="58"/>
      <c r="N52" s="58"/>
      <c r="O52" s="59"/>
      <c r="P52" s="56"/>
      <c r="Q52" s="60"/>
      <c r="R52" s="61">
        <f t="shared" si="14"/>
        <v>0</v>
      </c>
      <c r="S52" s="62">
        <f t="shared" si="15"/>
        <v>0</v>
      </c>
      <c r="T52" s="63">
        <f t="shared" si="16"/>
        <v>0</v>
      </c>
      <c r="U52" s="64"/>
      <c r="V52" s="65"/>
      <c r="W52" s="66"/>
      <c r="X52" s="67"/>
      <c r="Y52" s="68"/>
      <c r="Z52" s="68"/>
      <c r="AA52" s="62">
        <f t="shared" si="17"/>
        <v>0</v>
      </c>
      <c r="AB52" s="63">
        <f t="shared" si="18"/>
        <v>0</v>
      </c>
      <c r="AC52" s="69"/>
      <c r="AD52" s="70"/>
      <c r="AE52" s="70"/>
      <c r="AF52" s="62">
        <f t="shared" si="19"/>
        <v>0</v>
      </c>
      <c r="AG52" s="63">
        <f t="shared" si="20"/>
        <v>0</v>
      </c>
      <c r="AH52" s="89"/>
      <c r="AI52" s="66"/>
      <c r="AJ52" s="66"/>
      <c r="AK52" s="62">
        <f t="shared" si="49"/>
        <v>0</v>
      </c>
      <c r="AL52" s="72">
        <f t="shared" si="34"/>
        <v>0</v>
      </c>
      <c r="AM52" s="73">
        <f t="shared" si="50"/>
        <v>0</v>
      </c>
      <c r="AN52" s="80">
        <f t="shared" si="51"/>
        <v>0</v>
      </c>
      <c r="AO52" s="80">
        <f t="shared" si="52"/>
        <v>0</v>
      </c>
      <c r="AP52" s="75" t="e">
        <f t="shared" si="24"/>
        <v>#DIV/0!</v>
      </c>
      <c r="AQ52" s="76">
        <f t="shared" si="25"/>
        <v>0</v>
      </c>
      <c r="AR52" s="90">
        <f t="shared" si="48"/>
        <v>0</v>
      </c>
    </row>
    <row r="53" spans="1:49" x14ac:dyDescent="0.25">
      <c r="A53" t="str">
        <f t="shared" si="13"/>
        <v>46198E</v>
      </c>
      <c r="B53" s="51">
        <f t="shared" si="27"/>
        <v>46198</v>
      </c>
      <c r="C53" s="52" t="s">
        <v>88</v>
      </c>
      <c r="D53" s="91"/>
      <c r="E53" s="62"/>
      <c r="F53" s="62"/>
      <c r="G53" s="62">
        <f t="shared" si="53"/>
        <v>0</v>
      </c>
      <c r="H53" s="72">
        <f t="shared" si="54"/>
        <v>0</v>
      </c>
      <c r="I53" s="123"/>
      <c r="J53" s="120"/>
      <c r="K53" s="121"/>
      <c r="L53" s="122"/>
      <c r="M53" s="58"/>
      <c r="N53" s="58"/>
      <c r="O53" s="59"/>
      <c r="P53" s="56"/>
      <c r="Q53" s="60"/>
      <c r="R53" s="61">
        <f t="shared" si="14"/>
        <v>0</v>
      </c>
      <c r="S53" s="62">
        <f t="shared" si="15"/>
        <v>0</v>
      </c>
      <c r="T53" s="63">
        <f t="shared" si="16"/>
        <v>0</v>
      </c>
      <c r="U53" s="64"/>
      <c r="V53" s="65"/>
      <c r="W53" s="66"/>
      <c r="X53" s="67"/>
      <c r="Y53" s="68"/>
      <c r="Z53" s="68"/>
      <c r="AA53" s="62">
        <f t="shared" si="17"/>
        <v>0</v>
      </c>
      <c r="AB53" s="63">
        <f t="shared" si="18"/>
        <v>0</v>
      </c>
      <c r="AC53" s="69"/>
      <c r="AD53" s="70"/>
      <c r="AE53" s="70"/>
      <c r="AF53" s="62">
        <f t="shared" si="19"/>
        <v>0</v>
      </c>
      <c r="AG53" s="63">
        <f t="shared" si="20"/>
        <v>0</v>
      </c>
      <c r="AH53" s="89"/>
      <c r="AI53" s="66"/>
      <c r="AJ53" s="66"/>
      <c r="AK53" s="62">
        <f t="shared" si="49"/>
        <v>0</v>
      </c>
      <c r="AL53" s="72">
        <f t="shared" si="34"/>
        <v>0</v>
      </c>
      <c r="AM53" s="73">
        <f t="shared" si="50"/>
        <v>0</v>
      </c>
      <c r="AN53" s="80">
        <f t="shared" si="51"/>
        <v>0</v>
      </c>
      <c r="AO53" s="80">
        <f t="shared" si="52"/>
        <v>0</v>
      </c>
      <c r="AP53" s="75" t="e">
        <f t="shared" si="24"/>
        <v>#DIV/0!</v>
      </c>
      <c r="AQ53" s="76">
        <f t="shared" si="25"/>
        <v>0</v>
      </c>
      <c r="AR53" s="90">
        <f t="shared" si="48"/>
        <v>0</v>
      </c>
    </row>
    <row r="54" spans="1:49" x14ac:dyDescent="0.25">
      <c r="A54" t="str">
        <f t="shared" si="13"/>
        <v>46199M</v>
      </c>
      <c r="B54" s="51">
        <f t="shared" si="27"/>
        <v>46199</v>
      </c>
      <c r="C54" s="52" t="s">
        <v>87</v>
      </c>
      <c r="D54" s="91"/>
      <c r="E54" s="62"/>
      <c r="F54" s="62"/>
      <c r="G54" s="62">
        <f t="shared" si="53"/>
        <v>0</v>
      </c>
      <c r="H54" s="72">
        <f t="shared" si="54"/>
        <v>0</v>
      </c>
      <c r="I54" s="123"/>
      <c r="J54" s="120"/>
      <c r="K54" s="121"/>
      <c r="L54" s="122"/>
      <c r="M54" s="58"/>
      <c r="N54" s="58"/>
      <c r="O54" s="59"/>
      <c r="P54" s="56"/>
      <c r="Q54" s="60"/>
      <c r="R54" s="61">
        <f t="shared" si="14"/>
        <v>0</v>
      </c>
      <c r="S54" s="62">
        <f t="shared" si="15"/>
        <v>0</v>
      </c>
      <c r="T54" s="63">
        <f t="shared" si="16"/>
        <v>0</v>
      </c>
      <c r="U54" s="64"/>
      <c r="V54" s="65"/>
      <c r="W54" s="66"/>
      <c r="X54" s="67"/>
      <c r="Y54" s="68"/>
      <c r="Z54" s="68"/>
      <c r="AA54" s="62">
        <f t="shared" si="17"/>
        <v>0</v>
      </c>
      <c r="AB54" s="63">
        <f t="shared" si="18"/>
        <v>0</v>
      </c>
      <c r="AC54" s="69"/>
      <c r="AD54" s="70"/>
      <c r="AE54" s="70"/>
      <c r="AF54" s="62">
        <f t="shared" si="19"/>
        <v>0</v>
      </c>
      <c r="AG54" s="63">
        <f t="shared" si="20"/>
        <v>0</v>
      </c>
      <c r="AH54" s="89"/>
      <c r="AI54" s="66"/>
      <c r="AJ54" s="66"/>
      <c r="AK54" s="62">
        <f t="shared" si="49"/>
        <v>0</v>
      </c>
      <c r="AL54" s="72">
        <f t="shared" si="34"/>
        <v>0</v>
      </c>
      <c r="AM54" s="73">
        <f t="shared" si="50"/>
        <v>0</v>
      </c>
      <c r="AN54" s="80">
        <f t="shared" si="51"/>
        <v>0</v>
      </c>
      <c r="AO54" s="80">
        <f t="shared" si="52"/>
        <v>0</v>
      </c>
      <c r="AP54" s="75" t="e">
        <f t="shared" si="24"/>
        <v>#DIV/0!</v>
      </c>
      <c r="AQ54" s="76">
        <f t="shared" si="25"/>
        <v>0</v>
      </c>
      <c r="AR54" s="90">
        <f t="shared" si="48"/>
        <v>0</v>
      </c>
    </row>
    <row r="55" spans="1:49" x14ac:dyDescent="0.25">
      <c r="A55" t="str">
        <f t="shared" si="13"/>
        <v>46199E</v>
      </c>
      <c r="B55" s="51">
        <f t="shared" si="27"/>
        <v>46199</v>
      </c>
      <c r="C55" s="52" t="s">
        <v>88</v>
      </c>
      <c r="D55" s="91"/>
      <c r="E55" s="62"/>
      <c r="F55" s="62"/>
      <c r="G55" s="62">
        <f t="shared" si="53"/>
        <v>0</v>
      </c>
      <c r="H55" s="72">
        <f t="shared" si="54"/>
        <v>0</v>
      </c>
      <c r="I55" s="123"/>
      <c r="J55" s="120"/>
      <c r="K55" s="121"/>
      <c r="L55" s="122"/>
      <c r="M55" s="58"/>
      <c r="N55" s="58"/>
      <c r="O55" s="59"/>
      <c r="P55" s="56"/>
      <c r="Q55" s="60"/>
      <c r="R55" s="61">
        <f t="shared" si="14"/>
        <v>0</v>
      </c>
      <c r="S55" s="62">
        <f t="shared" si="15"/>
        <v>0</v>
      </c>
      <c r="T55" s="63">
        <f t="shared" si="16"/>
        <v>0</v>
      </c>
      <c r="U55" s="64"/>
      <c r="V55" s="65"/>
      <c r="W55" s="66"/>
      <c r="X55" s="67"/>
      <c r="Y55" s="68"/>
      <c r="Z55" s="68"/>
      <c r="AA55" s="62">
        <f t="shared" si="17"/>
        <v>0</v>
      </c>
      <c r="AB55" s="63">
        <f t="shared" si="18"/>
        <v>0</v>
      </c>
      <c r="AC55" s="69"/>
      <c r="AD55" s="70"/>
      <c r="AE55" s="70"/>
      <c r="AF55" s="62">
        <f t="shared" si="19"/>
        <v>0</v>
      </c>
      <c r="AG55" s="63">
        <f t="shared" si="20"/>
        <v>0</v>
      </c>
      <c r="AH55" s="89"/>
      <c r="AI55" s="66"/>
      <c r="AJ55" s="66"/>
      <c r="AK55" s="62">
        <f t="shared" si="49"/>
        <v>0</v>
      </c>
      <c r="AL55" s="72">
        <f t="shared" si="34"/>
        <v>0</v>
      </c>
      <c r="AM55" s="73">
        <f t="shared" si="50"/>
        <v>0</v>
      </c>
      <c r="AN55" s="80">
        <f t="shared" si="51"/>
        <v>0</v>
      </c>
      <c r="AO55" s="80">
        <f t="shared" si="52"/>
        <v>0</v>
      </c>
      <c r="AP55" s="75" t="e">
        <f t="shared" si="24"/>
        <v>#DIV/0!</v>
      </c>
      <c r="AQ55" s="76">
        <f t="shared" si="25"/>
        <v>0</v>
      </c>
      <c r="AR55" s="90">
        <f t="shared" si="48"/>
        <v>0</v>
      </c>
      <c r="AS55" s="90">
        <f>SUM(J42:J55)</f>
        <v>0</v>
      </c>
      <c r="AT55" s="83">
        <f>SUM(AM42:AM55)</f>
        <v>0</v>
      </c>
      <c r="AU55" s="83">
        <f>SUM(AN42:AN55)</f>
        <v>0</v>
      </c>
      <c r="AV55" s="83">
        <f>SUM(AO42:AO55)</f>
        <v>0</v>
      </c>
      <c r="AW55" s="83">
        <f>-SUM(AQ42:AQ55)</f>
        <v>0</v>
      </c>
    </row>
    <row r="56" spans="1:49" x14ac:dyDescent="0.25">
      <c r="A56" t="str">
        <f t="shared" si="13"/>
        <v>46200M</v>
      </c>
      <c r="B56" s="51">
        <f t="shared" si="27"/>
        <v>46200</v>
      </c>
      <c r="C56" s="52" t="s">
        <v>87</v>
      </c>
      <c r="D56" s="91"/>
      <c r="E56" s="62"/>
      <c r="F56" s="62"/>
      <c r="G56" s="62">
        <f t="shared" si="53"/>
        <v>0</v>
      </c>
      <c r="H56" s="72">
        <f t="shared" si="54"/>
        <v>0</v>
      </c>
      <c r="I56" s="123"/>
      <c r="J56" s="120"/>
      <c r="K56" s="121"/>
      <c r="L56" s="122"/>
      <c r="M56" s="58"/>
      <c r="N56" s="58"/>
      <c r="O56" s="59"/>
      <c r="P56" s="56"/>
      <c r="Q56" s="60"/>
      <c r="R56" s="61">
        <f t="shared" si="14"/>
        <v>0</v>
      </c>
      <c r="S56" s="62">
        <f t="shared" si="15"/>
        <v>0</v>
      </c>
      <c r="T56" s="63">
        <f t="shared" si="16"/>
        <v>0</v>
      </c>
      <c r="U56" s="64"/>
      <c r="V56" s="65"/>
      <c r="W56" s="66"/>
      <c r="X56" s="67"/>
      <c r="Y56" s="68"/>
      <c r="Z56" s="68"/>
      <c r="AA56" s="62">
        <f t="shared" si="17"/>
        <v>0</v>
      </c>
      <c r="AB56" s="63">
        <f t="shared" si="18"/>
        <v>0</v>
      </c>
      <c r="AC56" s="69"/>
      <c r="AD56" s="70"/>
      <c r="AE56" s="70"/>
      <c r="AF56" s="62">
        <f t="shared" si="19"/>
        <v>0</v>
      </c>
      <c r="AG56" s="63">
        <f t="shared" si="20"/>
        <v>0</v>
      </c>
      <c r="AH56" s="89"/>
      <c r="AI56" s="66"/>
      <c r="AJ56" s="66"/>
      <c r="AK56" s="62">
        <f t="shared" si="49"/>
        <v>0</v>
      </c>
      <c r="AL56" s="72">
        <f t="shared" si="34"/>
        <v>0</v>
      </c>
      <c r="AM56" s="73">
        <f t="shared" si="50"/>
        <v>0</v>
      </c>
      <c r="AN56" s="80">
        <f t="shared" si="51"/>
        <v>0</v>
      </c>
      <c r="AO56" s="80">
        <f t="shared" si="52"/>
        <v>0</v>
      </c>
      <c r="AP56" s="75" t="e">
        <f t="shared" si="24"/>
        <v>#DIV/0!</v>
      </c>
      <c r="AQ56" s="76">
        <f t="shared" si="25"/>
        <v>0</v>
      </c>
      <c r="AR56" s="90">
        <f t="shared" si="48"/>
        <v>0</v>
      </c>
    </row>
    <row r="57" spans="1:49" x14ac:dyDescent="0.25">
      <c r="A57" t="str">
        <f t="shared" si="13"/>
        <v>46200E</v>
      </c>
      <c r="B57" s="51">
        <f t="shared" si="27"/>
        <v>46200</v>
      </c>
      <c r="C57" s="52" t="s">
        <v>88</v>
      </c>
      <c r="D57" s="91"/>
      <c r="E57" s="62"/>
      <c r="F57" s="62"/>
      <c r="G57" s="62">
        <f t="shared" si="53"/>
        <v>0</v>
      </c>
      <c r="H57" s="72">
        <f t="shared" si="54"/>
        <v>0</v>
      </c>
      <c r="I57" s="123"/>
      <c r="J57" s="120"/>
      <c r="K57" s="121"/>
      <c r="L57" s="122"/>
      <c r="M57" s="58"/>
      <c r="N57" s="58"/>
      <c r="O57" s="59"/>
      <c r="P57" s="56"/>
      <c r="Q57" s="60"/>
      <c r="R57" s="61">
        <f t="shared" si="14"/>
        <v>0</v>
      </c>
      <c r="S57" s="62">
        <f t="shared" si="15"/>
        <v>0</v>
      </c>
      <c r="T57" s="63">
        <f t="shared" si="16"/>
        <v>0</v>
      </c>
      <c r="U57" s="64"/>
      <c r="V57" s="65"/>
      <c r="W57" s="66"/>
      <c r="X57" s="67"/>
      <c r="Y57" s="68"/>
      <c r="Z57" s="68"/>
      <c r="AA57" s="62">
        <f t="shared" si="17"/>
        <v>0</v>
      </c>
      <c r="AB57" s="63">
        <f t="shared" si="18"/>
        <v>0</v>
      </c>
      <c r="AC57" s="69"/>
      <c r="AD57" s="70"/>
      <c r="AE57" s="70"/>
      <c r="AF57" s="62">
        <f t="shared" si="19"/>
        <v>0</v>
      </c>
      <c r="AG57" s="63">
        <f t="shared" si="20"/>
        <v>0</v>
      </c>
      <c r="AH57" s="89"/>
      <c r="AI57" s="66"/>
      <c r="AJ57" s="66"/>
      <c r="AK57" s="62">
        <f t="shared" si="49"/>
        <v>0</v>
      </c>
      <c r="AL57" s="72">
        <f t="shared" si="34"/>
        <v>0</v>
      </c>
      <c r="AM57" s="73">
        <f t="shared" si="50"/>
        <v>0</v>
      </c>
      <c r="AN57" s="80">
        <f t="shared" si="51"/>
        <v>0</v>
      </c>
      <c r="AO57" s="80">
        <f t="shared" si="52"/>
        <v>0</v>
      </c>
      <c r="AP57" s="75" t="e">
        <f t="shared" si="24"/>
        <v>#DIV/0!</v>
      </c>
      <c r="AQ57" s="76">
        <f t="shared" si="25"/>
        <v>0</v>
      </c>
      <c r="AR57" s="90">
        <f t="shared" si="48"/>
        <v>0</v>
      </c>
    </row>
    <row r="58" spans="1:49" x14ac:dyDescent="0.25">
      <c r="A58" t="str">
        <f t="shared" si="13"/>
        <v>46201M</v>
      </c>
      <c r="B58" s="51">
        <f t="shared" si="27"/>
        <v>46201</v>
      </c>
      <c r="C58" s="52" t="s">
        <v>87</v>
      </c>
      <c r="D58" s="91"/>
      <c r="E58" s="62"/>
      <c r="F58" s="62"/>
      <c r="G58" s="62">
        <f t="shared" ref="G58:G65" si="55">+D58*E58%</f>
        <v>0</v>
      </c>
      <c r="H58" s="72">
        <f t="shared" ref="H58:H65" si="56">+D58*F58%</f>
        <v>0</v>
      </c>
      <c r="I58" s="123"/>
      <c r="J58" s="120"/>
      <c r="K58" s="121"/>
      <c r="L58" s="122"/>
      <c r="M58" s="58"/>
      <c r="N58" s="58"/>
      <c r="O58" s="59"/>
      <c r="P58" s="56"/>
      <c r="Q58" s="60"/>
      <c r="R58" s="61">
        <f t="shared" si="14"/>
        <v>0</v>
      </c>
      <c r="S58" s="62">
        <f t="shared" si="15"/>
        <v>0</v>
      </c>
      <c r="T58" s="63">
        <f t="shared" si="16"/>
        <v>0</v>
      </c>
      <c r="U58" s="64"/>
      <c r="V58" s="65"/>
      <c r="W58" s="66"/>
      <c r="X58" s="67"/>
      <c r="Y58" s="68"/>
      <c r="Z58" s="68"/>
      <c r="AA58" s="62">
        <f t="shared" si="17"/>
        <v>0</v>
      </c>
      <c r="AB58" s="63">
        <f t="shared" si="18"/>
        <v>0</v>
      </c>
      <c r="AC58" s="69"/>
      <c r="AD58" s="70"/>
      <c r="AE58" s="70"/>
      <c r="AF58" s="62">
        <f t="shared" ref="AF58:AF59" si="57">AC58*AD58%</f>
        <v>0</v>
      </c>
      <c r="AG58" s="63">
        <f t="shared" si="20"/>
        <v>0</v>
      </c>
      <c r="AH58" s="89"/>
      <c r="AI58" s="66"/>
      <c r="AJ58" s="66"/>
      <c r="AK58" s="62">
        <f t="shared" si="49"/>
        <v>0</v>
      </c>
      <c r="AL58" s="72">
        <f t="shared" si="34"/>
        <v>0</v>
      </c>
      <c r="AM58" s="73">
        <f t="shared" si="50"/>
        <v>0</v>
      </c>
      <c r="AN58" s="80">
        <f t="shared" si="51"/>
        <v>0</v>
      </c>
      <c r="AO58" s="80">
        <f t="shared" si="52"/>
        <v>0</v>
      </c>
      <c r="AP58" s="75" t="e">
        <f t="shared" si="24"/>
        <v>#DIV/0!</v>
      </c>
      <c r="AQ58" s="76">
        <f t="shared" si="25"/>
        <v>0</v>
      </c>
      <c r="AR58" s="90">
        <f t="shared" si="32"/>
        <v>0</v>
      </c>
    </row>
    <row r="59" spans="1:49" x14ac:dyDescent="0.25">
      <c r="A59" t="str">
        <f t="shared" si="13"/>
        <v>46201E</v>
      </c>
      <c r="B59" s="51">
        <f>+B57+1</f>
        <v>46201</v>
      </c>
      <c r="C59" s="52" t="s">
        <v>88</v>
      </c>
      <c r="D59" s="91"/>
      <c r="E59" s="62"/>
      <c r="F59" s="62"/>
      <c r="G59" s="62">
        <f t="shared" si="55"/>
        <v>0</v>
      </c>
      <c r="H59" s="72">
        <f t="shared" si="56"/>
        <v>0</v>
      </c>
      <c r="I59" s="123"/>
      <c r="J59" s="120"/>
      <c r="K59" s="121"/>
      <c r="L59" s="122"/>
      <c r="M59" s="58"/>
      <c r="N59" s="58"/>
      <c r="O59" s="59"/>
      <c r="P59" s="56"/>
      <c r="Q59" s="60"/>
      <c r="R59" s="61">
        <f t="shared" si="14"/>
        <v>0</v>
      </c>
      <c r="S59" s="62">
        <f t="shared" si="15"/>
        <v>0</v>
      </c>
      <c r="T59" s="63">
        <f t="shared" si="16"/>
        <v>0</v>
      </c>
      <c r="U59" s="64"/>
      <c r="V59" s="65"/>
      <c r="W59" s="66"/>
      <c r="X59" s="67"/>
      <c r="Y59" s="68"/>
      <c r="Z59" s="68"/>
      <c r="AA59" s="62">
        <f t="shared" si="17"/>
        <v>0</v>
      </c>
      <c r="AB59" s="63">
        <f t="shared" si="18"/>
        <v>0</v>
      </c>
      <c r="AC59" s="69"/>
      <c r="AD59" s="70"/>
      <c r="AE59" s="70"/>
      <c r="AF59" s="62">
        <f t="shared" si="57"/>
        <v>0</v>
      </c>
      <c r="AG59" s="63">
        <f t="shared" si="20"/>
        <v>0</v>
      </c>
      <c r="AH59" s="89"/>
      <c r="AI59" s="66"/>
      <c r="AJ59" s="66"/>
      <c r="AK59" s="62">
        <f t="shared" si="49"/>
        <v>0</v>
      </c>
      <c r="AL59" s="72">
        <f t="shared" si="34"/>
        <v>0</v>
      </c>
      <c r="AM59" s="73">
        <f t="shared" si="50"/>
        <v>0</v>
      </c>
      <c r="AN59" s="80">
        <f t="shared" si="51"/>
        <v>0</v>
      </c>
      <c r="AO59" s="80">
        <f t="shared" si="52"/>
        <v>0</v>
      </c>
      <c r="AP59" s="75" t="e">
        <f t="shared" si="24"/>
        <v>#DIV/0!</v>
      </c>
      <c r="AQ59" s="76">
        <f t="shared" si="25"/>
        <v>0</v>
      </c>
      <c r="AR59" s="90">
        <f t="shared" si="32"/>
        <v>0</v>
      </c>
    </row>
    <row r="60" spans="1:49" x14ac:dyDescent="0.25">
      <c r="A60" t="str">
        <f t="shared" si="13"/>
        <v>46202M</v>
      </c>
      <c r="B60" s="51">
        <f>+B58+1</f>
        <v>46202</v>
      </c>
      <c r="C60" s="52" t="s">
        <v>87</v>
      </c>
      <c r="D60" s="89"/>
      <c r="E60" s="66"/>
      <c r="F60" s="66"/>
      <c r="G60" s="62">
        <f t="shared" si="55"/>
        <v>0</v>
      </c>
      <c r="H60" s="72">
        <f t="shared" si="56"/>
        <v>0</v>
      </c>
      <c r="I60" s="123"/>
      <c r="J60" s="120"/>
      <c r="K60" s="121"/>
      <c r="L60" s="122"/>
      <c r="M60" s="58"/>
      <c r="N60" s="58"/>
      <c r="O60" s="59"/>
      <c r="P60" s="56"/>
      <c r="Q60" s="60"/>
      <c r="R60" s="61">
        <f t="shared" ref="R60:R65" si="58">+J60+O60</f>
        <v>0</v>
      </c>
      <c r="S60" s="62">
        <f t="shared" ref="S60:S65" si="59">+J60*K60%+O60*P60%</f>
        <v>0</v>
      </c>
      <c r="T60" s="63">
        <f t="shared" ref="T60:T65" si="60">+J60*L60%+O60*Q60%</f>
        <v>0</v>
      </c>
      <c r="U60" s="64"/>
      <c r="V60" s="65"/>
      <c r="W60" s="66"/>
      <c r="X60" s="67"/>
      <c r="Y60" s="68"/>
      <c r="Z60" s="68"/>
      <c r="AA60" s="62">
        <f t="shared" ref="AA60:AA65" si="61">X60*Y60%</f>
        <v>0</v>
      </c>
      <c r="AB60" s="63">
        <f t="shared" ref="AB60:AB65" si="62">X60*Z60%</f>
        <v>0</v>
      </c>
      <c r="AC60" s="69"/>
      <c r="AD60" s="70"/>
      <c r="AE60" s="70"/>
      <c r="AF60" s="62">
        <f t="shared" ref="AF60:AF65" si="63">AC60*AD60%</f>
        <v>0</v>
      </c>
      <c r="AG60" s="63">
        <f t="shared" si="20"/>
        <v>0</v>
      </c>
      <c r="AH60" s="89"/>
      <c r="AI60" s="66"/>
      <c r="AJ60" s="66"/>
      <c r="AK60" s="62">
        <f t="shared" ref="AK60:AK65" si="64">AH60*AI60%</f>
        <v>0</v>
      </c>
      <c r="AL60" s="72">
        <f t="shared" si="34"/>
        <v>0</v>
      </c>
      <c r="AM60" s="73">
        <f t="shared" ref="AM60:AM65" si="65">+D60+R60-AC60-AH60</f>
        <v>0</v>
      </c>
      <c r="AN60" s="80">
        <f t="shared" ref="AN60:AN65" si="66">+G60+S60-AF60-AK60</f>
        <v>0</v>
      </c>
      <c r="AO60" s="80">
        <f t="shared" ref="AO60:AO65" si="67">+H60+T60-AG60-AL60</f>
        <v>0</v>
      </c>
      <c r="AP60" s="75" t="e">
        <f t="shared" ref="AP60:AP65" si="68">(AN60+AO60)/(S60+T60)</f>
        <v>#DIV/0!</v>
      </c>
      <c r="AQ60" s="76">
        <f t="shared" ref="AQ60:AQ65" si="69">($AP$1*AN60+$AQ$1*AO60)</f>
        <v>0</v>
      </c>
      <c r="AR60" s="90">
        <f t="shared" si="32"/>
        <v>0</v>
      </c>
    </row>
    <row r="61" spans="1:49" x14ac:dyDescent="0.25">
      <c r="A61" t="str">
        <f t="shared" si="13"/>
        <v>46202E</v>
      </c>
      <c r="B61" s="51">
        <f t="shared" si="27"/>
        <v>46202</v>
      </c>
      <c r="C61" s="52" t="s">
        <v>88</v>
      </c>
      <c r="D61" s="91"/>
      <c r="E61" s="62"/>
      <c r="F61" s="62"/>
      <c r="G61" s="62">
        <f t="shared" si="55"/>
        <v>0</v>
      </c>
      <c r="H61" s="72">
        <f t="shared" si="56"/>
        <v>0</v>
      </c>
      <c r="I61" s="123"/>
      <c r="J61" s="120"/>
      <c r="K61" s="121"/>
      <c r="L61" s="122"/>
      <c r="M61" s="58"/>
      <c r="N61" s="58"/>
      <c r="O61" s="59"/>
      <c r="P61" s="56"/>
      <c r="Q61" s="60"/>
      <c r="R61" s="61">
        <f t="shared" si="58"/>
        <v>0</v>
      </c>
      <c r="S61" s="62">
        <f t="shared" si="59"/>
        <v>0</v>
      </c>
      <c r="T61" s="63">
        <f t="shared" si="60"/>
        <v>0</v>
      </c>
      <c r="U61" s="64"/>
      <c r="V61" s="65"/>
      <c r="W61" s="66"/>
      <c r="X61" s="67"/>
      <c r="Y61" s="68"/>
      <c r="Z61" s="68"/>
      <c r="AA61" s="62">
        <f t="shared" si="61"/>
        <v>0</v>
      </c>
      <c r="AB61" s="63">
        <f t="shared" si="62"/>
        <v>0</v>
      </c>
      <c r="AC61" s="69"/>
      <c r="AD61" s="70"/>
      <c r="AE61" s="70"/>
      <c r="AF61" s="62">
        <f t="shared" si="63"/>
        <v>0</v>
      </c>
      <c r="AG61" s="63">
        <f t="shared" si="20"/>
        <v>0</v>
      </c>
      <c r="AH61" s="89"/>
      <c r="AI61" s="66"/>
      <c r="AJ61" s="66"/>
      <c r="AK61" s="62">
        <f t="shared" si="64"/>
        <v>0</v>
      </c>
      <c r="AL61" s="72">
        <f t="shared" si="34"/>
        <v>0</v>
      </c>
      <c r="AM61" s="73">
        <f t="shared" si="65"/>
        <v>0</v>
      </c>
      <c r="AN61" s="80">
        <f t="shared" si="66"/>
        <v>0</v>
      </c>
      <c r="AO61" s="80">
        <f t="shared" si="67"/>
        <v>0</v>
      </c>
      <c r="AP61" s="75" t="e">
        <f t="shared" si="68"/>
        <v>#DIV/0!</v>
      </c>
      <c r="AQ61" s="76">
        <f t="shared" si="69"/>
        <v>0</v>
      </c>
      <c r="AR61" s="90">
        <f t="shared" si="32"/>
        <v>0</v>
      </c>
      <c r="AS61" s="90">
        <f>SUM(J48:J61)</f>
        <v>0</v>
      </c>
      <c r="AT61" s="83">
        <f>SUM(AM48:AM61)</f>
        <v>0</v>
      </c>
      <c r="AU61" s="83">
        <f>SUM(AN48:AN61)</f>
        <v>0</v>
      </c>
      <c r="AV61" s="83">
        <f>SUM(AO48:AO61)</f>
        <v>0</v>
      </c>
      <c r="AW61" s="83">
        <f>-SUM(AQ48:AQ61)</f>
        <v>0</v>
      </c>
    </row>
    <row r="62" spans="1:49" x14ac:dyDescent="0.25">
      <c r="A62" t="str">
        <f t="shared" si="13"/>
        <v>46203M</v>
      </c>
      <c r="B62" s="51">
        <f t="shared" si="27"/>
        <v>46203</v>
      </c>
      <c r="C62" s="52" t="s">
        <v>87</v>
      </c>
      <c r="D62" s="91"/>
      <c r="E62" s="62"/>
      <c r="F62" s="62"/>
      <c r="G62" s="62">
        <f t="shared" si="55"/>
        <v>0</v>
      </c>
      <c r="H62" s="72">
        <f t="shared" si="56"/>
        <v>0</v>
      </c>
      <c r="I62" s="123"/>
      <c r="J62" s="120"/>
      <c r="K62" s="121"/>
      <c r="L62" s="122"/>
      <c r="M62" s="58"/>
      <c r="N62" s="58"/>
      <c r="O62" s="59"/>
      <c r="P62" s="56"/>
      <c r="Q62" s="60"/>
      <c r="R62" s="61">
        <f t="shared" si="58"/>
        <v>0</v>
      </c>
      <c r="S62" s="62">
        <f t="shared" si="59"/>
        <v>0</v>
      </c>
      <c r="T62" s="63">
        <f t="shared" si="60"/>
        <v>0</v>
      </c>
      <c r="U62" s="64"/>
      <c r="V62" s="65"/>
      <c r="W62" s="66"/>
      <c r="X62" s="67"/>
      <c r="Y62" s="68"/>
      <c r="Z62" s="68"/>
      <c r="AA62" s="62">
        <f t="shared" si="61"/>
        <v>0</v>
      </c>
      <c r="AB62" s="63">
        <f t="shared" si="62"/>
        <v>0</v>
      </c>
      <c r="AC62" s="69"/>
      <c r="AD62" s="70"/>
      <c r="AE62" s="70"/>
      <c r="AF62" s="62">
        <f t="shared" si="63"/>
        <v>0</v>
      </c>
      <c r="AG62" s="63">
        <f t="shared" si="20"/>
        <v>0</v>
      </c>
      <c r="AH62" s="89"/>
      <c r="AI62" s="66"/>
      <c r="AJ62" s="66"/>
      <c r="AK62" s="62">
        <f t="shared" si="64"/>
        <v>0</v>
      </c>
      <c r="AL62" s="72">
        <f t="shared" si="34"/>
        <v>0</v>
      </c>
      <c r="AM62" s="73">
        <f t="shared" si="65"/>
        <v>0</v>
      </c>
      <c r="AN62" s="80">
        <f t="shared" si="66"/>
        <v>0</v>
      </c>
      <c r="AO62" s="80">
        <f t="shared" si="67"/>
        <v>0</v>
      </c>
      <c r="AP62" s="75" t="e">
        <f t="shared" si="68"/>
        <v>#DIV/0!</v>
      </c>
      <c r="AQ62" s="76">
        <f t="shared" si="69"/>
        <v>0</v>
      </c>
      <c r="AR62" s="90">
        <f t="shared" si="32"/>
        <v>0</v>
      </c>
    </row>
    <row r="63" spans="1:49" x14ac:dyDescent="0.25">
      <c r="A63" t="str">
        <f t="shared" si="13"/>
        <v>46203E</v>
      </c>
      <c r="B63" s="51">
        <f t="shared" si="27"/>
        <v>46203</v>
      </c>
      <c r="C63" s="52" t="s">
        <v>88</v>
      </c>
      <c r="D63" s="91"/>
      <c r="E63" s="62"/>
      <c r="F63" s="62"/>
      <c r="G63" s="62">
        <f t="shared" si="55"/>
        <v>0</v>
      </c>
      <c r="H63" s="72">
        <f t="shared" si="56"/>
        <v>0</v>
      </c>
      <c r="I63" s="123"/>
      <c r="J63" s="120"/>
      <c r="K63" s="121"/>
      <c r="L63" s="122"/>
      <c r="M63" s="58"/>
      <c r="N63" s="58"/>
      <c r="O63" s="59"/>
      <c r="P63" s="56"/>
      <c r="Q63" s="60"/>
      <c r="R63" s="61">
        <f t="shared" si="58"/>
        <v>0</v>
      </c>
      <c r="S63" s="62">
        <f t="shared" si="59"/>
        <v>0</v>
      </c>
      <c r="T63" s="63">
        <f t="shared" si="60"/>
        <v>0</v>
      </c>
      <c r="U63" s="64"/>
      <c r="V63" s="65"/>
      <c r="W63" s="66"/>
      <c r="X63" s="67"/>
      <c r="Y63" s="68"/>
      <c r="Z63" s="68"/>
      <c r="AA63" s="62">
        <f t="shared" si="61"/>
        <v>0</v>
      </c>
      <c r="AB63" s="63">
        <f t="shared" si="62"/>
        <v>0</v>
      </c>
      <c r="AC63" s="69"/>
      <c r="AD63" s="70"/>
      <c r="AE63" s="70"/>
      <c r="AF63" s="62">
        <f t="shared" si="63"/>
        <v>0</v>
      </c>
      <c r="AG63" s="63">
        <f t="shared" si="20"/>
        <v>0</v>
      </c>
      <c r="AH63" s="89"/>
      <c r="AI63" s="66"/>
      <c r="AJ63" s="66"/>
      <c r="AK63" s="62">
        <f t="shared" si="64"/>
        <v>0</v>
      </c>
      <c r="AL63" s="72">
        <f t="shared" si="34"/>
        <v>0</v>
      </c>
      <c r="AM63" s="73">
        <f t="shared" si="65"/>
        <v>0</v>
      </c>
      <c r="AN63" s="80">
        <f t="shared" si="66"/>
        <v>0</v>
      </c>
      <c r="AO63" s="80">
        <f t="shared" si="67"/>
        <v>0</v>
      </c>
      <c r="AP63" s="75" t="e">
        <f t="shared" si="68"/>
        <v>#DIV/0!</v>
      </c>
      <c r="AQ63" s="76">
        <f t="shared" si="69"/>
        <v>0</v>
      </c>
      <c r="AR63" s="90">
        <f t="shared" si="32"/>
        <v>0</v>
      </c>
    </row>
    <row r="64" spans="1:49" x14ac:dyDescent="0.25">
      <c r="A64" t="str">
        <f t="shared" si="13"/>
        <v>46204M</v>
      </c>
      <c r="B64" s="51">
        <f t="shared" si="27"/>
        <v>46204</v>
      </c>
      <c r="C64" s="52" t="s">
        <v>87</v>
      </c>
      <c r="D64" s="91"/>
      <c r="E64" s="62"/>
      <c r="F64" s="62"/>
      <c r="G64" s="62">
        <f t="shared" si="55"/>
        <v>0</v>
      </c>
      <c r="H64" s="72">
        <f t="shared" si="56"/>
        <v>0</v>
      </c>
      <c r="I64" s="123"/>
      <c r="J64" s="120"/>
      <c r="K64" s="121"/>
      <c r="L64" s="121"/>
      <c r="M64" s="58"/>
      <c r="N64" s="58"/>
      <c r="O64" s="59"/>
      <c r="P64" s="56"/>
      <c r="Q64" s="60"/>
      <c r="R64" s="61">
        <f t="shared" si="58"/>
        <v>0</v>
      </c>
      <c r="S64" s="62">
        <f t="shared" si="59"/>
        <v>0</v>
      </c>
      <c r="T64" s="63">
        <f t="shared" si="60"/>
        <v>0</v>
      </c>
      <c r="U64" s="64"/>
      <c r="V64" s="65"/>
      <c r="W64" s="66"/>
      <c r="X64" s="67"/>
      <c r="Y64" s="68"/>
      <c r="Z64" s="68"/>
      <c r="AA64" s="62">
        <f t="shared" si="61"/>
        <v>0</v>
      </c>
      <c r="AB64" s="63">
        <f t="shared" si="62"/>
        <v>0</v>
      </c>
      <c r="AC64" s="69"/>
      <c r="AD64" s="70"/>
      <c r="AE64" s="70"/>
      <c r="AF64" s="62">
        <f t="shared" si="63"/>
        <v>0</v>
      </c>
      <c r="AG64" s="63">
        <f t="shared" si="20"/>
        <v>0</v>
      </c>
      <c r="AH64" s="89"/>
      <c r="AI64" s="66"/>
      <c r="AJ64" s="66"/>
      <c r="AK64" s="62">
        <f t="shared" si="64"/>
        <v>0</v>
      </c>
      <c r="AL64" s="72">
        <f t="shared" si="34"/>
        <v>0</v>
      </c>
      <c r="AM64" s="73">
        <f t="shared" si="65"/>
        <v>0</v>
      </c>
      <c r="AN64" s="80">
        <f t="shared" si="66"/>
        <v>0</v>
      </c>
      <c r="AO64" s="80">
        <f t="shared" si="67"/>
        <v>0</v>
      </c>
      <c r="AP64" s="75" t="e">
        <f t="shared" si="68"/>
        <v>#DIV/0!</v>
      </c>
      <c r="AQ64" s="76">
        <f t="shared" si="69"/>
        <v>0</v>
      </c>
      <c r="AR64" s="90">
        <f t="shared" si="32"/>
        <v>0</v>
      </c>
    </row>
    <row r="65" spans="1:49" x14ac:dyDescent="0.25">
      <c r="A65" t="str">
        <f t="shared" si="13"/>
        <v>46204E</v>
      </c>
      <c r="B65" s="51">
        <f t="shared" si="27"/>
        <v>46204</v>
      </c>
      <c r="C65" s="52" t="s">
        <v>88</v>
      </c>
      <c r="D65" s="91"/>
      <c r="E65" s="62"/>
      <c r="F65" s="62"/>
      <c r="G65" s="62">
        <f t="shared" si="55"/>
        <v>0</v>
      </c>
      <c r="H65" s="72">
        <f t="shared" si="56"/>
        <v>0</v>
      </c>
      <c r="I65" s="123"/>
      <c r="J65" s="120"/>
      <c r="K65" s="121"/>
      <c r="L65" s="121"/>
      <c r="M65" s="58"/>
      <c r="N65" s="58"/>
      <c r="O65" s="59"/>
      <c r="P65" s="56"/>
      <c r="Q65" s="60"/>
      <c r="R65" s="61">
        <f t="shared" si="58"/>
        <v>0</v>
      </c>
      <c r="S65" s="62">
        <f t="shared" si="59"/>
        <v>0</v>
      </c>
      <c r="T65" s="63">
        <f t="shared" si="60"/>
        <v>0</v>
      </c>
      <c r="U65" s="64"/>
      <c r="V65" s="65"/>
      <c r="W65" s="66"/>
      <c r="X65" s="67"/>
      <c r="Y65" s="68"/>
      <c r="Z65" s="68"/>
      <c r="AA65" s="62">
        <f t="shared" si="61"/>
        <v>0</v>
      </c>
      <c r="AB65" s="63">
        <f t="shared" si="62"/>
        <v>0</v>
      </c>
      <c r="AC65" s="69"/>
      <c r="AD65" s="70"/>
      <c r="AE65" s="70"/>
      <c r="AF65" s="62">
        <f t="shared" si="63"/>
        <v>0</v>
      </c>
      <c r="AG65" s="63">
        <f t="shared" si="20"/>
        <v>0</v>
      </c>
      <c r="AH65" s="89"/>
      <c r="AI65" s="66"/>
      <c r="AJ65" s="66"/>
      <c r="AK65" s="62">
        <f t="shared" si="64"/>
        <v>0</v>
      </c>
      <c r="AL65" s="72">
        <f t="shared" si="34"/>
        <v>0</v>
      </c>
      <c r="AM65" s="73">
        <f t="shared" si="65"/>
        <v>0</v>
      </c>
      <c r="AN65" s="80">
        <f t="shared" si="66"/>
        <v>0</v>
      </c>
      <c r="AO65" s="80">
        <f t="shared" si="67"/>
        <v>0</v>
      </c>
      <c r="AP65" s="75" t="e">
        <f t="shared" si="68"/>
        <v>#DIV/0!</v>
      </c>
      <c r="AQ65" s="76">
        <f t="shared" si="69"/>
        <v>0</v>
      </c>
      <c r="AR65" s="90">
        <f t="shared" si="32"/>
        <v>0</v>
      </c>
      <c r="AS65" s="90">
        <f>SUM(J52:J65)</f>
        <v>0</v>
      </c>
      <c r="AT65" s="83">
        <f>SUM(AM52:AM65)</f>
        <v>0</v>
      </c>
      <c r="AU65" s="83">
        <f>SUM(AN52:AN65)</f>
        <v>0</v>
      </c>
      <c r="AV65" s="83">
        <f>SUM(AO52:AO65)</f>
        <v>0</v>
      </c>
      <c r="AW65" s="83">
        <f>-SUM(AQ52:AQ65)</f>
        <v>0</v>
      </c>
    </row>
    <row r="66" spans="1:49" x14ac:dyDescent="0.25">
      <c r="J66" s="83">
        <f>SUM(J4:J65)</f>
        <v>81916.002999999997</v>
      </c>
      <c r="AM66" s="83">
        <f>-SUM(AM4:AM65)</f>
        <v>-308.00300000000243</v>
      </c>
      <c r="AN66" s="83">
        <f t="shared" ref="AN66:AO66" si="70">-SUM(AN4:AN65)</f>
        <v>110.60745899999949</v>
      </c>
      <c r="AO66" s="83">
        <f t="shared" si="70"/>
        <v>-45.726449999999886</v>
      </c>
      <c r="AQ66" s="83">
        <f>-SUM(AQ4:AQ65)</f>
        <v>35968.087306689806</v>
      </c>
    </row>
  </sheetData>
  <mergeCells count="10">
    <mergeCell ref="U2:AB2"/>
    <mergeCell ref="AC2:AG2"/>
    <mergeCell ref="AH2:AL2"/>
    <mergeCell ref="AM2:AQ2"/>
    <mergeCell ref="B2:B3"/>
    <mergeCell ref="C2:C3"/>
    <mergeCell ref="D2:H2"/>
    <mergeCell ref="I2:L2"/>
    <mergeCell ref="M2:Q2"/>
    <mergeCell ref="R2:T2"/>
  </mergeCells>
  <conditionalFormatting sqref="AM4:AO65">
    <cfRule type="cellIs" dxfId="4" priority="2" operator="lessThan">
      <formula>0.1</formula>
    </cfRule>
    <cfRule type="cellIs" dxfId="3" priority="3" operator="greaterThan">
      <formula>0.1</formula>
    </cfRule>
  </conditionalFormatting>
  <conditionalFormatting sqref="AP1:AQ1">
    <cfRule type="cellIs" dxfId="2" priority="1" operator="lessThan">
      <formula>1</formula>
    </cfRule>
  </conditionalFormatting>
  <conditionalFormatting sqref="AQ4:AQ65">
    <cfRule type="cellIs" dxfId="1" priority="12" operator="lessThan">
      <formula>0</formula>
    </cfRule>
    <cfRule type="cellIs" dxfId="0" priority="13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</vt:i4>
      </vt:variant>
    </vt:vector>
  </HeadingPairs>
  <TitlesOfParts>
    <vt:vector size="26" baseType="lpstr">
      <vt:lpstr>Sumarry</vt:lpstr>
      <vt:lpstr>Manjhaul</vt:lpstr>
      <vt:lpstr>Hasanpur</vt:lpstr>
      <vt:lpstr>Singhia </vt:lpstr>
      <vt:lpstr>Sahibpur Kamal</vt:lpstr>
      <vt:lpstr>Matihani</vt:lpstr>
      <vt:lpstr>Bachhwara</vt:lpstr>
      <vt:lpstr>Alauli</vt:lpstr>
      <vt:lpstr>Dalsingsarai</vt:lpstr>
      <vt:lpstr>Musrigharari</vt:lpstr>
      <vt:lpstr>Mahua</vt:lpstr>
      <vt:lpstr>Warisnagar</vt:lpstr>
      <vt:lpstr>Kalyanpur</vt:lpstr>
      <vt:lpstr>Gaighat</vt:lpstr>
      <vt:lpstr>Buxar</vt:lpstr>
      <vt:lpstr>Asarganj</vt:lpstr>
      <vt:lpstr>Laldiyara</vt:lpstr>
      <vt:lpstr>Parbatta</vt:lpstr>
      <vt:lpstr>Gopalpur</vt:lpstr>
      <vt:lpstr>Sonvarsha</vt:lpstr>
      <vt:lpstr>Madhatpur</vt:lpstr>
      <vt:lpstr>Araiya</vt:lpstr>
      <vt:lpstr>Chautham</vt:lpstr>
      <vt:lpstr>Teghra</vt:lpstr>
      <vt:lpstr>Halsi</vt:lpstr>
      <vt:lpstr>Sumarry!Print_Area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kumar</dc:creator>
  <cp:lastModifiedBy>RAHUL PANDIT</cp:lastModifiedBy>
  <dcterms:created xsi:type="dcterms:W3CDTF">2015-06-05T18:17:20Z</dcterms:created>
  <dcterms:modified xsi:type="dcterms:W3CDTF">2026-06-15T06:55:46Z</dcterms:modified>
</cp:coreProperties>
</file>