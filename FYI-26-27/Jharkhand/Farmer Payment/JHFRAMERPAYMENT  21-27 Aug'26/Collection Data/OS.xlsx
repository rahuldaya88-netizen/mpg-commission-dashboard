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Jharkhand\Farmer Payment\JHFRAMERPAYMENT  21-27 Aug'26\Collection Data\"/>
    </mc:Choice>
  </mc:AlternateContent>
  <xr:revisionPtr revIDLastSave="0" documentId="13_ncr:1_{2E45492C-374F-49CE-986F-B19B87B99A4C}" xr6:coauthVersionLast="47" xr6:coauthVersionMax="47" xr10:uidLastSave="{00000000-0000-0000-0000-000000000000}"/>
  <bookViews>
    <workbookView xWindow="-120" yWindow="-120" windowWidth="29040" windowHeight="15720" xr2:uid="{633D2404-AAFF-4129-AD7B-BEDA94FD9C20}"/>
  </bookViews>
  <sheets>
    <sheet name="Sheet2" sheetId="2" r:id="rId1"/>
    <sheet name="Sheet1" sheetId="1" r:id="rId2"/>
  </sheets>
  <calcPr calcId="191029"/>
  <pivotCaches>
    <pivotCache cacheId="149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<sst xmlns="http://schemas.openxmlformats.org/spreadsheetml/2006/main" count="81" uniqueCount="45">
  <si>
    <t>Sales Date</t>
  </si>
  <si>
    <t>0</t>
  </si>
  <si>
    <t>Item Name</t>
  </si>
  <si>
    <t>UoM</t>
  </si>
  <si>
    <t>MPG Code</t>
  </si>
  <si>
    <t>MPG Name</t>
  </si>
  <si>
    <t>BMC Name</t>
  </si>
  <si>
    <t>CSP</t>
  </si>
  <si>
    <t>Challan No</t>
  </si>
  <si>
    <t>Qty</t>
  </si>
  <si>
    <t>Rate</t>
  </si>
  <si>
    <t>Total Amount</t>
  </si>
  <si>
    <t>Payment Mode</t>
  </si>
  <si>
    <t>Cycle</t>
  </si>
  <si>
    <t>Payment Date</t>
  </si>
  <si>
    <t>Payment Amount</t>
  </si>
  <si>
    <t>Balance Due</t>
  </si>
  <si>
    <t>Remarks</t>
  </si>
  <si>
    <t>Agening</t>
  </si>
  <si>
    <t>Column 1</t>
  </si>
  <si>
    <t>Chanho</t>
  </si>
  <si>
    <t>Gomukh Gold 50KG</t>
  </si>
  <si>
    <t>Bag</t>
  </si>
  <si>
    <t>Naudi</t>
  </si>
  <si>
    <t>Daya Society</t>
  </si>
  <si>
    <t>Farmer Payment</t>
  </si>
  <si>
    <t>27 Feb - 05 Mar &amp; 06-12 Mar 13-19 Mar 20-26 Mar, 27-31 Mar</t>
  </si>
  <si>
    <t>yes</t>
  </si>
  <si>
    <t>Ningani</t>
  </si>
  <si>
    <t>Kundo</t>
  </si>
  <si>
    <t>CHATTI BHANDRA</t>
  </si>
  <si>
    <t>Tigra</t>
  </si>
  <si>
    <t>GARRI</t>
  </si>
  <si>
    <t>Paali</t>
  </si>
  <si>
    <t>07-13 Aug</t>
  </si>
  <si>
    <t>Pali</t>
  </si>
  <si>
    <t>KANBHITHA</t>
  </si>
  <si>
    <t>Murma</t>
  </si>
  <si>
    <t>TIKO TOLI</t>
  </si>
  <si>
    <t>Bero</t>
  </si>
  <si>
    <t>Itki</t>
  </si>
  <si>
    <t>14-20 Aug</t>
  </si>
  <si>
    <t>Grand Total</t>
  </si>
  <si>
    <t>Sum of Balance Due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</si>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</sst>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&quot;-&quot;mmm&quot;-&quot;yyyy"/>
  </numFmts>
  <fonts count="7" x14ac:knownFonts="1">
    <font>
      <sz val="11"/>
      <color theme="1"/>
      <name val="Calibri"/>
      <family val="2"/>
      <scheme val="minor"/>
    </font>
    <font>
      <b/>
      <sz val="10"/>
      <color theme="1"/>
      <name val="Roboto"/>
    </font>
    <font>
      <sz val="10"/>
      <color rgb="FF535FC1"/>
      <name val="Roboto"/>
    </font>
    <font>
      <sz val="10"/>
      <color rgb="FFFFFFFF"/>
      <name val="Roboto"/>
    </font>
    <font>
      <sz val="10"/>
      <color theme="1"/>
      <name val="Arial"/>
      <family val="2"/>
    </font>
    <font>
      <sz val="10"/>
      <color rgb="FF434343"/>
      <name val="Roboto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rgb="FFFFFFFF"/>
      </patternFill>
    </fill>
    <fill>
      <patternFill patternType="solid">
        <fgColor theme="0"/>
        <bgColor rgb="FF00FF00"/>
      </patternFill>
    </fill>
    <fill>
      <patternFill patternType="solid">
        <fgColor theme="0"/>
        <bgColor rgb="FFB6D7A8"/>
      </patternFill>
    </fill>
    <fill>
      <patternFill patternType="solid">
        <fgColor theme="7"/>
        <bgColor rgb="FF535FC1"/>
      </patternFill>
    </fill>
    <fill>
      <patternFill patternType="solid">
        <fgColor theme="7"/>
        <bgColor rgb="FFF6F8F9"/>
      </patternFill>
    </fill>
    <fill>
      <patternFill patternType="solid">
        <fgColor theme="7"/>
        <bgColor rgb="FF35685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4" fillId="2" borderId="1" xfId="0" applyFont="1" applyFill="1" applyBorder="1" applyAlignment="1">
      <alignment vertical="center"/>
    </xf>
    <xf numFmtId="164" fontId="4" fillId="2" borderId="1" xfId="0" applyNumberFormat="1" applyFont="1" applyFill="1" applyBorder="1" applyAlignment="1">
      <alignment vertical="center"/>
    </xf>
    <xf numFmtId="0" fontId="5" fillId="2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vertical="center"/>
    </xf>
    <xf numFmtId="164" fontId="4" fillId="3" borderId="1" xfId="0" applyNumberFormat="1" applyFont="1" applyFill="1" applyBorder="1" applyAlignment="1">
      <alignment vertical="center"/>
    </xf>
    <xf numFmtId="0" fontId="5" fillId="3" borderId="1" xfId="0" applyFont="1" applyFill="1" applyBorder="1" applyAlignment="1">
      <alignment horizontal="right" vertical="center"/>
    </xf>
    <xf numFmtId="0" fontId="5" fillId="3" borderId="1" xfId="0" applyFont="1" applyFill="1" applyBorder="1" applyAlignment="1">
      <alignment vertical="center"/>
    </xf>
    <xf numFmtId="164" fontId="4" fillId="4" borderId="1" xfId="0" applyNumberFormat="1" applyFont="1" applyFill="1" applyBorder="1" applyAlignment="1">
      <alignment vertical="center"/>
    </xf>
    <xf numFmtId="0" fontId="1" fillId="5" borderId="1" xfId="0" applyFont="1" applyFill="1" applyBorder="1" applyAlignment="1">
      <alignment horizontal="left" vertical="center"/>
    </xf>
    <xf numFmtId="49" fontId="2" fillId="6" borderId="1" xfId="0" applyNumberFormat="1" applyFont="1" applyFill="1" applyBorder="1" applyAlignment="1">
      <alignment horizontal="right" vertical="center"/>
    </xf>
    <xf numFmtId="0" fontId="3" fillId="7" borderId="1" xfId="0" applyFont="1" applyFill="1" applyBorder="1" applyAlignment="1">
      <alignment horizontal="left" vertical="center"/>
    </xf>
    <xf numFmtId="49" fontId="3" fillId="7" borderId="1" xfId="0" applyNumberFormat="1" applyFont="1" applyFill="1" applyBorder="1" applyAlignment="1">
      <alignment horizontal="left" vertical="center"/>
    </xf>
    <xf numFmtId="0" fontId="0" fillId="8" borderId="0" xfId="0" applyFill="1"/>
    <xf numFmtId="0" fontId="0" fillId="0" borderId="0" xfId="0" pivotButton="1"/>
    <xf numFmtId="0" fontId="6" fillId="9" borderId="2" xfId="0" applyFont="1" applyFill="1" applyBorder="1"/>
    <xf numFmtId="0" fontId="6" fillId="9" borderId="3" xfId="0" applyFont="1" applyFill="1" applyBorder="1"/>
    <xf numFmtId="0" fontId="0" fillId="0" borderId="0" xfId="0" applyNumberFormat="1"/>
    <xf numFmtId="0" fontId="6" fillId="9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265.544218402778" createdVersion="8" refreshedVersion="8" minRefreshableVersion="3" recordCount="7" xr:uid="{5F19D668-F777-425F-85B7-1915A9E48196}">
  <cacheSource type="worksheet">
    <worksheetSource ref="A1:T8" sheet="Sheet1"/>
  </cacheSource>
  <cacheFields count="20">
    <cacheField name="Sales Date" numFmtId="164">
      <sharedItems containsSemiMixedTypes="0" containsNonDate="0" containsDate="1" containsString="0" minDate="2026-03-06T00:00:00" maxDate="2026-08-15T00:00:00"/>
    </cacheField>
    <cacheField name="0" numFmtId="0">
      <sharedItems/>
    </cacheField>
    <cacheField name="Item Name" numFmtId="0">
      <sharedItems/>
    </cacheField>
    <cacheField name="UoM" numFmtId="0">
      <sharedItems/>
    </cacheField>
    <cacheField name="MPG Code" numFmtId="0">
      <sharedItems containsSemiMixedTypes="0" containsString="0" containsNumber="1" containsInteger="1" minValue="20010003" maxValue="20090003" count="7">
        <n v="20090003"/>
        <n v="20080035"/>
        <n v="20020027"/>
        <n v="20050002"/>
        <n v="20020029"/>
        <n v="20020020"/>
        <n v="20010003"/>
      </sharedItems>
    </cacheField>
    <cacheField name="MPG Name" numFmtId="0">
      <sharedItems/>
    </cacheField>
    <cacheField name="BMC Name" numFmtId="0">
      <sharedItems/>
    </cacheField>
    <cacheField name="CSP" numFmtId="0">
      <sharedItems/>
    </cacheField>
    <cacheField name="Challan No" numFmtId="0">
      <sharedItems containsSemiMixedTypes="0" containsString="0" containsNumber="1" containsInteger="1" minValue="0" maxValue="2851"/>
    </cacheField>
    <cacheField name="Qty" numFmtId="0">
      <sharedItems containsSemiMixedTypes="0" containsString="0" containsNumber="1" containsInteger="1" minValue="3" maxValue="15"/>
    </cacheField>
    <cacheField name="Rate" numFmtId="0">
      <sharedItems containsSemiMixedTypes="0" containsString="0" containsNumber="1" containsInteger="1" minValue="1250" maxValue="1270"/>
    </cacheField>
    <cacheField name="Total Amount" numFmtId="0">
      <sharedItems containsSemiMixedTypes="0" containsString="0" containsNumber="1" containsInteger="1" minValue="3810" maxValue="19050"/>
    </cacheField>
    <cacheField name="Payment Mode" numFmtId="0">
      <sharedItems containsBlank="1"/>
    </cacheField>
    <cacheField name="Cycle" numFmtId="0">
      <sharedItems containsBlank="1"/>
    </cacheField>
    <cacheField name="Payment Date" numFmtId="164">
      <sharedItems containsNonDate="0" containsDate="1" containsString="0" containsBlank="1" minDate="2026-03-05T00:00:00" maxDate="2026-08-21T00:00:00"/>
    </cacheField>
    <cacheField name="Payment Amount" numFmtId="0">
      <sharedItems containsString="0" containsBlank="1" containsNumber="1" minValue="1829" maxValue="16830.25"/>
    </cacheField>
    <cacheField name="Balance Due" numFmtId="0">
      <sharedItems containsSemiMixedTypes="0" containsString="0" containsNumber="1" minValue="553" maxValue="12700"/>
    </cacheField>
    <cacheField name="Remarks" numFmtId="0">
      <sharedItems containsNonDate="0" containsString="0" containsBlank="1"/>
    </cacheField>
    <cacheField name="Agening" numFmtId="0">
      <sharedItems containsSemiMixedTypes="0" containsString="0" containsNumber="1" containsInteger="1" minValue="17" maxValue="178"/>
    </cacheField>
    <cacheField name="Column 1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d v="2026-03-06T00:00:00"/>
    <s v="Chanho"/>
    <s v="Gomukh Gold 50KG"/>
    <s v="Bag"/>
    <x v="0"/>
    <s v="Naudi"/>
    <s v="Chanho"/>
    <s v="Daya Society"/>
    <n v="2851"/>
    <n v="10"/>
    <n v="1250"/>
    <n v="12500"/>
    <s v="Farmer Payment"/>
    <s v="27 Feb - 05 Mar &amp; 06-12 Mar 13-19 Mar 20-26 Mar, 27-31 Mar"/>
    <d v="2026-03-05T00:00:00"/>
    <n v="9956"/>
    <n v="2544"/>
    <m/>
    <n v="178"/>
    <s v="yes"/>
  </r>
  <r>
    <d v="2026-07-30T00:00:00"/>
    <s v="Ningani"/>
    <s v="Gomukh Gold 50KG"/>
    <s v="Bag"/>
    <x v="1"/>
    <s v="Kundo"/>
    <s v="CHATTI BHANDRA"/>
    <s v="Daya Society"/>
    <n v="0"/>
    <n v="10"/>
    <n v="1270"/>
    <n v="12700"/>
    <m/>
    <m/>
    <m/>
    <m/>
    <n v="12700"/>
    <m/>
    <n v="32"/>
    <m/>
  </r>
  <r>
    <d v="2026-08-13T00:00:00"/>
    <s v="Tigra"/>
    <s v="Gomukh Gold 50KG"/>
    <s v="Bag"/>
    <x v="2"/>
    <s v="GARRI"/>
    <s v="Paali"/>
    <s v="Daya Society"/>
    <n v="0"/>
    <n v="5"/>
    <n v="1270"/>
    <n v="6350"/>
    <s v="Farmer Payment"/>
    <s v="07-13 Aug"/>
    <d v="2026-08-13T00:00:00"/>
    <n v="4813"/>
    <n v="1537"/>
    <m/>
    <n v="18"/>
    <m/>
  </r>
  <r>
    <d v="2026-08-13T00:00:00"/>
    <s v="Pali"/>
    <s v="Gomukh Gold 50KG"/>
    <s v="Bag"/>
    <x v="3"/>
    <s v="KANBHITHA"/>
    <s v="Paali"/>
    <s v="Daya Society"/>
    <n v="0"/>
    <n v="5"/>
    <n v="1270"/>
    <n v="6350"/>
    <s v="Farmer Payment"/>
    <s v="07-13 Aug"/>
    <d v="2026-08-13T00:00:00"/>
    <n v="5660"/>
    <n v="690"/>
    <m/>
    <n v="18"/>
    <m/>
  </r>
  <r>
    <d v="2026-08-13T00:00:00"/>
    <s v="Pali"/>
    <s v="Gomukh Gold 50KG"/>
    <s v="Bag"/>
    <x v="4"/>
    <s v="Murma"/>
    <s v="Paali"/>
    <s v="Daya Society"/>
    <n v="0"/>
    <n v="4"/>
    <n v="1270"/>
    <n v="5080"/>
    <s v="Farmer Payment"/>
    <s v="07-13 Aug"/>
    <d v="2026-08-13T00:00:00"/>
    <n v="1829"/>
    <n v="3251"/>
    <m/>
    <n v="18"/>
    <m/>
  </r>
  <r>
    <d v="2026-08-14T00:00:00"/>
    <s v="Pali"/>
    <s v="Gomukh Gold 50KG"/>
    <s v="Bag"/>
    <x v="5"/>
    <s v="TIKO TOLI"/>
    <s v="Paali"/>
    <s v="Daya Society"/>
    <n v="0"/>
    <n v="3"/>
    <n v="1270"/>
    <n v="3810"/>
    <s v="Farmer Payment"/>
    <s v="07-13 Aug"/>
    <d v="2026-08-13T00:00:00"/>
    <n v="3257"/>
    <n v="553"/>
    <m/>
    <n v="17"/>
    <m/>
  </r>
  <r>
    <d v="2026-08-14T00:00:00"/>
    <s v="Bero"/>
    <s v="Gomukh Gold 50KG"/>
    <s v="Bag"/>
    <x v="6"/>
    <s v="Bero"/>
    <s v="Itki"/>
    <s v="Daya Society"/>
    <n v="0"/>
    <n v="15"/>
    <n v="1270"/>
    <n v="19050"/>
    <s v="Farmer Payment"/>
    <s v="14-20 Aug"/>
    <d v="2026-08-20T00:00:00"/>
    <n v="16830.25"/>
    <n v="2219.75"/>
    <m/>
    <n v="17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E1377C-36F7-468A-A8EE-1E66CC17C691}" name="PivotTable4" cacheId="14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B12" firstHeaderRow="2" firstDataRow="2" firstDataCol="1"/>
  <pivotFields count="20">
    <pivotField compact="0" numFmtId="164" outline="0" showAll="0"/>
    <pivotField compact="0" outline="0" showAll="0"/>
    <pivotField compact="0" outline="0" showAll="0"/>
    <pivotField compact="0" outline="0" showAll="0"/>
    <pivotField axis="axisRow" compact="0" outline="0" showAll="0">
      <items count="8">
        <item x="6"/>
        <item x="5"/>
        <item x="2"/>
        <item x="4"/>
        <item x="3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Balance Due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A21BE-1268-4C21-B705-2EAD1EF360F8}">
  <dimension ref="A3:H12"/>
  <sheetViews>
    <sheetView tabSelected="1" workbookViewId="0">
      <selection activeCell="Q32" sqref="Q32"/>
    </sheetView>
  </sheetViews>
  <sheetFormatPr defaultRowHeight="15" x14ac:dyDescent="0.25"/>
  <cols>
    <col min="1" max="1" width="18.7109375" bestFit="1" customWidth="1"/>
    <col min="2" max="2" width="9" bestFit="1" customWidth="1"/>
    <col min="6" max="6" width="15.7109375" bestFit="1" customWidth="1"/>
  </cols>
  <sheetData>
    <row r="3" spans="1:8" x14ac:dyDescent="0.25">
      <c r="A3" s="14" t="s">
        <v>43</v>
      </c>
    </row>
    <row r="4" spans="1:8" x14ac:dyDescent="0.25">
      <c r="A4" s="14" t="s">
        <v>4</v>
      </c>
      <c r="B4" t="s">
        <v>44</v>
      </c>
      <c r="F4" s="15"/>
      <c r="G4" s="15" t="s">
        <v>4</v>
      </c>
      <c r="H4" s="15" t="s">
        <v>44</v>
      </c>
    </row>
    <row r="5" spans="1:8" x14ac:dyDescent="0.25">
      <c r="A5">
        <v>20010003</v>
      </c>
      <c r="B5" s="17">
        <v>2219.75</v>
      </c>
      <c r="G5">
        <v>20010003</v>
      </c>
      <c r="H5" s="17">
        <v>2219.75</v>
      </c>
    </row>
    <row r="6" spans="1:8" x14ac:dyDescent="0.25">
      <c r="A6">
        <v>20020020</v>
      </c>
      <c r="B6" s="17">
        <v>553</v>
      </c>
      <c r="G6">
        <v>20020020</v>
      </c>
      <c r="H6" s="17">
        <v>553</v>
      </c>
    </row>
    <row r="7" spans="1:8" x14ac:dyDescent="0.25">
      <c r="A7">
        <v>20020027</v>
      </c>
      <c r="B7" s="17">
        <v>1537</v>
      </c>
      <c r="G7">
        <v>20020027</v>
      </c>
      <c r="H7" s="17">
        <v>1537</v>
      </c>
    </row>
    <row r="8" spans="1:8" x14ac:dyDescent="0.25">
      <c r="A8">
        <v>20020029</v>
      </c>
      <c r="B8" s="17">
        <v>3251</v>
      </c>
      <c r="G8">
        <v>20020029</v>
      </c>
      <c r="H8" s="17">
        <v>3251</v>
      </c>
    </row>
    <row r="9" spans="1:8" x14ac:dyDescent="0.25">
      <c r="A9">
        <v>20050002</v>
      </c>
      <c r="B9" s="17">
        <v>690</v>
      </c>
      <c r="G9">
        <v>20050002</v>
      </c>
      <c r="H9" s="17">
        <v>690</v>
      </c>
    </row>
    <row r="10" spans="1:8" x14ac:dyDescent="0.25">
      <c r="A10">
        <v>20080035</v>
      </c>
      <c r="B10" s="17">
        <v>12700</v>
      </c>
      <c r="G10">
        <v>20080035</v>
      </c>
      <c r="H10" s="17">
        <v>12700</v>
      </c>
    </row>
    <row r="11" spans="1:8" x14ac:dyDescent="0.25">
      <c r="A11">
        <v>20090003</v>
      </c>
      <c r="B11" s="17">
        <v>2544</v>
      </c>
      <c r="G11">
        <v>20090003</v>
      </c>
      <c r="H11" s="17">
        <v>2544</v>
      </c>
    </row>
    <row r="12" spans="1:8" x14ac:dyDescent="0.25">
      <c r="A12" t="s">
        <v>42</v>
      </c>
      <c r="B12" s="17">
        <v>23494.75</v>
      </c>
      <c r="F12" s="16"/>
      <c r="G12" s="16"/>
      <c r="H12" s="18">
        <v>23494.75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FBA30-C4A3-45C5-9F88-ECC71389F47F}">
  <dimension ref="A1:T8"/>
  <sheetViews>
    <sheetView workbookViewId="0">
      <selection sqref="A1:T8"/>
    </sheetView>
  </sheetViews>
  <sheetFormatPr defaultRowHeight="15" x14ac:dyDescent="0.25"/>
  <cols>
    <col min="1" max="1" width="11.5703125" bestFit="1" customWidth="1"/>
    <col min="2" max="2" width="7.28515625" bestFit="1" customWidth="1"/>
    <col min="3" max="3" width="17.28515625" bestFit="1" customWidth="1"/>
    <col min="5" max="5" width="10.140625" bestFit="1" customWidth="1"/>
    <col min="6" max="6" width="11.140625" bestFit="1" customWidth="1"/>
    <col min="7" max="7" width="16.7109375" bestFit="1" customWidth="1"/>
    <col min="8" max="8" width="12" bestFit="1" customWidth="1"/>
    <col min="13" max="15" width="0" hidden="1" customWidth="1"/>
  </cols>
  <sheetData>
    <row r="1" spans="1:20" s="13" customFormat="1" x14ac:dyDescent="0.25">
      <c r="A1" s="9" t="s">
        <v>0</v>
      </c>
      <c r="B1" s="9" t="s">
        <v>1</v>
      </c>
      <c r="C1" s="9" t="s">
        <v>2</v>
      </c>
      <c r="D1" s="9" t="s">
        <v>3</v>
      </c>
      <c r="E1" s="10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1" t="s">
        <v>12</v>
      </c>
      <c r="N1" s="11" t="s">
        <v>13</v>
      </c>
      <c r="O1" s="11" t="s">
        <v>14</v>
      </c>
      <c r="P1" s="12" t="s">
        <v>15</v>
      </c>
      <c r="Q1" s="11" t="s">
        <v>16</v>
      </c>
      <c r="R1" s="11" t="s">
        <v>17</v>
      </c>
      <c r="S1" s="11" t="s">
        <v>18</v>
      </c>
      <c r="T1" s="11" t="s">
        <v>19</v>
      </c>
    </row>
    <row r="2" spans="1:20" x14ac:dyDescent="0.25">
      <c r="A2" s="2">
        <v>46087</v>
      </c>
      <c r="B2" s="1" t="s">
        <v>20</v>
      </c>
      <c r="C2" s="1" t="s">
        <v>21</v>
      </c>
      <c r="D2" s="1" t="s">
        <v>22</v>
      </c>
      <c r="E2" s="1">
        <v>20090003</v>
      </c>
      <c r="F2" s="1" t="s">
        <v>23</v>
      </c>
      <c r="G2" s="1" t="s">
        <v>20</v>
      </c>
      <c r="H2" s="1" t="s">
        <v>24</v>
      </c>
      <c r="I2" s="1">
        <v>2851</v>
      </c>
      <c r="J2" s="1">
        <v>10</v>
      </c>
      <c r="K2" s="3">
        <v>1250</v>
      </c>
      <c r="L2" s="1">
        <v>12500</v>
      </c>
      <c r="M2" s="1" t="s">
        <v>25</v>
      </c>
      <c r="N2" s="1" t="s">
        <v>26</v>
      </c>
      <c r="O2" s="2">
        <v>46086</v>
      </c>
      <c r="P2" s="1">
        <v>9956</v>
      </c>
      <c r="Q2" s="1">
        <v>2544</v>
      </c>
      <c r="R2" s="1"/>
      <c r="S2" s="1">
        <v>178</v>
      </c>
      <c r="T2" s="1" t="s">
        <v>27</v>
      </c>
    </row>
    <row r="3" spans="1:20" x14ac:dyDescent="0.25">
      <c r="A3" s="5">
        <v>46233</v>
      </c>
      <c r="B3" s="4" t="s">
        <v>28</v>
      </c>
      <c r="C3" s="4" t="s">
        <v>21</v>
      </c>
      <c r="D3" s="4" t="s">
        <v>22</v>
      </c>
      <c r="E3" s="4">
        <v>20080035</v>
      </c>
      <c r="F3" s="4" t="s">
        <v>29</v>
      </c>
      <c r="G3" s="4" t="s">
        <v>30</v>
      </c>
      <c r="H3" s="4" t="s">
        <v>24</v>
      </c>
      <c r="I3" s="4">
        <v>0</v>
      </c>
      <c r="J3" s="4">
        <v>10</v>
      </c>
      <c r="K3" s="6">
        <v>1270</v>
      </c>
      <c r="L3" s="4">
        <v>12700</v>
      </c>
      <c r="M3" s="4"/>
      <c r="N3" s="7"/>
      <c r="O3" s="5"/>
      <c r="P3" s="4"/>
      <c r="Q3" s="4">
        <v>12700</v>
      </c>
      <c r="R3" s="4"/>
      <c r="S3" s="4">
        <v>32</v>
      </c>
      <c r="T3" s="4"/>
    </row>
    <row r="4" spans="1:20" x14ac:dyDescent="0.25">
      <c r="A4" s="5">
        <v>46247</v>
      </c>
      <c r="B4" s="4" t="s">
        <v>31</v>
      </c>
      <c r="C4" s="4" t="s">
        <v>21</v>
      </c>
      <c r="D4" s="4" t="s">
        <v>22</v>
      </c>
      <c r="E4" s="4">
        <v>20020027</v>
      </c>
      <c r="F4" s="4" t="s">
        <v>32</v>
      </c>
      <c r="G4" s="4" t="s">
        <v>33</v>
      </c>
      <c r="H4" s="4" t="s">
        <v>24</v>
      </c>
      <c r="I4" s="4">
        <v>0</v>
      </c>
      <c r="J4" s="4">
        <v>5</v>
      </c>
      <c r="K4" s="6">
        <v>1270</v>
      </c>
      <c r="L4" s="4">
        <v>6350</v>
      </c>
      <c r="M4" s="4" t="s">
        <v>25</v>
      </c>
      <c r="N4" s="7" t="s">
        <v>34</v>
      </c>
      <c r="O4" s="5">
        <v>46247</v>
      </c>
      <c r="P4" s="4">
        <v>4813</v>
      </c>
      <c r="Q4" s="4">
        <v>1537</v>
      </c>
      <c r="R4" s="4"/>
      <c r="S4" s="4">
        <v>18</v>
      </c>
      <c r="T4" s="4"/>
    </row>
    <row r="5" spans="1:20" x14ac:dyDescent="0.25">
      <c r="A5" s="5">
        <v>46247</v>
      </c>
      <c r="B5" s="4" t="s">
        <v>35</v>
      </c>
      <c r="C5" s="4" t="s">
        <v>21</v>
      </c>
      <c r="D5" s="4" t="s">
        <v>22</v>
      </c>
      <c r="E5" s="4">
        <v>20050002</v>
      </c>
      <c r="F5" s="4" t="s">
        <v>36</v>
      </c>
      <c r="G5" s="4" t="s">
        <v>33</v>
      </c>
      <c r="H5" s="4" t="s">
        <v>24</v>
      </c>
      <c r="I5" s="4">
        <v>0</v>
      </c>
      <c r="J5" s="4">
        <v>5</v>
      </c>
      <c r="K5" s="6">
        <v>1270</v>
      </c>
      <c r="L5" s="4">
        <v>6350</v>
      </c>
      <c r="M5" s="4" t="s">
        <v>25</v>
      </c>
      <c r="N5" s="7" t="s">
        <v>34</v>
      </c>
      <c r="O5" s="5">
        <v>46247</v>
      </c>
      <c r="P5" s="4">
        <v>5660</v>
      </c>
      <c r="Q5" s="4">
        <v>690</v>
      </c>
      <c r="R5" s="4"/>
      <c r="S5" s="4">
        <v>18</v>
      </c>
      <c r="T5" s="4"/>
    </row>
    <row r="6" spans="1:20" x14ac:dyDescent="0.25">
      <c r="A6" s="5">
        <v>46247</v>
      </c>
      <c r="B6" s="4" t="s">
        <v>35</v>
      </c>
      <c r="C6" s="4" t="s">
        <v>21</v>
      </c>
      <c r="D6" s="4" t="s">
        <v>22</v>
      </c>
      <c r="E6" s="4">
        <v>20020029</v>
      </c>
      <c r="F6" s="4" t="s">
        <v>37</v>
      </c>
      <c r="G6" s="4" t="s">
        <v>33</v>
      </c>
      <c r="H6" s="4" t="s">
        <v>24</v>
      </c>
      <c r="I6" s="4">
        <v>0</v>
      </c>
      <c r="J6" s="4">
        <v>4</v>
      </c>
      <c r="K6" s="6">
        <v>1270</v>
      </c>
      <c r="L6" s="4">
        <v>5080</v>
      </c>
      <c r="M6" s="4" t="s">
        <v>25</v>
      </c>
      <c r="N6" s="7" t="s">
        <v>34</v>
      </c>
      <c r="O6" s="5">
        <v>46247</v>
      </c>
      <c r="P6" s="4">
        <v>1829</v>
      </c>
      <c r="Q6" s="4">
        <v>3251</v>
      </c>
      <c r="R6" s="4"/>
      <c r="S6" s="4">
        <v>18</v>
      </c>
      <c r="T6" s="4"/>
    </row>
    <row r="7" spans="1:20" x14ac:dyDescent="0.25">
      <c r="A7" s="8">
        <v>46248</v>
      </c>
      <c r="B7" s="4" t="s">
        <v>35</v>
      </c>
      <c r="C7" s="4" t="s">
        <v>21</v>
      </c>
      <c r="D7" s="4" t="s">
        <v>22</v>
      </c>
      <c r="E7" s="4">
        <v>20020020</v>
      </c>
      <c r="F7" s="4" t="s">
        <v>38</v>
      </c>
      <c r="G7" s="4" t="s">
        <v>33</v>
      </c>
      <c r="H7" s="4" t="s">
        <v>24</v>
      </c>
      <c r="I7" s="4">
        <v>0</v>
      </c>
      <c r="J7" s="4">
        <v>3</v>
      </c>
      <c r="K7" s="6">
        <v>1270</v>
      </c>
      <c r="L7" s="4">
        <v>3810</v>
      </c>
      <c r="M7" s="4" t="s">
        <v>25</v>
      </c>
      <c r="N7" s="7" t="s">
        <v>34</v>
      </c>
      <c r="O7" s="5">
        <v>46247</v>
      </c>
      <c r="P7" s="4">
        <v>3257</v>
      </c>
      <c r="Q7" s="4">
        <v>553</v>
      </c>
      <c r="R7" s="4"/>
      <c r="S7" s="4">
        <v>17</v>
      </c>
      <c r="T7" s="4"/>
    </row>
    <row r="8" spans="1:20" x14ac:dyDescent="0.25">
      <c r="A8" s="5">
        <v>46248</v>
      </c>
      <c r="B8" s="4" t="s">
        <v>39</v>
      </c>
      <c r="C8" s="4" t="s">
        <v>21</v>
      </c>
      <c r="D8" s="4" t="s">
        <v>22</v>
      </c>
      <c r="E8" s="4">
        <v>20010003</v>
      </c>
      <c r="F8" s="4" t="s">
        <v>39</v>
      </c>
      <c r="G8" s="4" t="s">
        <v>40</v>
      </c>
      <c r="H8" s="4" t="s">
        <v>24</v>
      </c>
      <c r="I8" s="4">
        <v>0</v>
      </c>
      <c r="J8" s="4">
        <v>15</v>
      </c>
      <c r="K8" s="6">
        <v>1270</v>
      </c>
      <c r="L8" s="4">
        <v>19050</v>
      </c>
      <c r="M8" s="4" t="s">
        <v>25</v>
      </c>
      <c r="N8" s="7" t="s">
        <v>41</v>
      </c>
      <c r="O8" s="5">
        <v>46254</v>
      </c>
      <c r="P8" s="4">
        <v>16830.25</v>
      </c>
      <c r="Q8" s="4">
        <v>2219.75</v>
      </c>
      <c r="R8" s="4"/>
      <c r="S8" s="4">
        <v>17</v>
      </c>
      <c r="T8" s="4"/>
    </row>
  </sheetData>
  <dataValidations count="2">
    <dataValidation type="list" allowBlank="1" sqref="C2:C8 M2:M8" xr:uid="{F9019121-70EE-4E3E-A540-D1220BBAFE5C}">
      <formula1>#REF!</formula1>
    </dataValidation>
    <dataValidation type="custom" allowBlank="1" showDropDown="1" sqref="A2:A8 O2:O8" xr:uid="{B0518EDF-5CFA-478D-9104-0B210B6982D9}">
      <formula1>OR(NOT(ISERROR(DATEVALUE(A2))), AND(ISNUMBER(A2), LEFT(CELL("format", A2))="D"))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Rupam Kumari</dc:creator>
  <cp:lastModifiedBy>RAHUL PANDIT</cp:lastModifiedBy>
  <dcterms:created xsi:type="dcterms:W3CDTF">2026-08-31T03:54:32Z</dcterms:created>
  <dcterms:modified xsi:type="dcterms:W3CDTF">2026-08-31T07:53:33Z</dcterms:modified>
</cp:coreProperties>
</file>