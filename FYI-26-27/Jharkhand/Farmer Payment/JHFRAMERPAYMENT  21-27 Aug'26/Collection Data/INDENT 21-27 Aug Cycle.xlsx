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1-27 Aug'26\Collection Data\"/>
    </mc:Choice>
  </mc:AlternateContent>
  <xr:revisionPtr revIDLastSave="0" documentId="13_ncr:1_{4662AFBA-C7A0-448C-81B8-8291E7D76E1C}" xr6:coauthVersionLast="47" xr6:coauthVersionMax="47" xr10:uidLastSave="{00000000-0000-0000-0000-000000000000}"/>
  <bookViews>
    <workbookView xWindow="-120" yWindow="-120" windowWidth="29040" windowHeight="15720" xr2:uid="{8D21F51C-963C-4765-921E-9D00695FA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0" i="1" l="1"/>
  <c r="T16" i="1"/>
  <c r="S14" i="1"/>
  <c r="F3" i="1"/>
  <c r="F4" i="1"/>
  <c r="F5" i="1"/>
  <c r="F6" i="1"/>
  <c r="F7" i="1"/>
  <c r="F8" i="1"/>
  <c r="F9" i="1"/>
  <c r="F10" i="1"/>
  <c r="F11" i="1"/>
  <c r="F12" i="1"/>
  <c r="F13" i="1"/>
  <c r="F2" i="1"/>
  <c r="T14" i="1" l="1"/>
</calcChain>
</file>

<file path=xl/sharedStrings.xml><?xml version="1.0" encoding="utf-8"?>
<sst xmlns="http://schemas.openxmlformats.org/spreadsheetml/2006/main" count="122" uniqueCount="52">
  <si>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</si>
  <si>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</si>
  <si>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</si>
  <si>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</si>
  <si>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</si>
  <si>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</si>
  <si>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</si>
  <si>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</si>
  <si>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</si>
  <si>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</si>
  <si>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</si>
  <si>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</si>
  <si>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</si>
  <si>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</si>
  <si>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</si>
  <si>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</si>
  <si>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</si>
  <si>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</si>
  <si>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</si>
  <si>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</si>
  <si>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Gomukh Gold 50KG</t>
  </si>
  <si>
    <t>DUMARDAGA</t>
  </si>
  <si>
    <t>0002</t>
  </si>
  <si>
    <t>ORMANJHI</t>
  </si>
  <si>
    <t>Daya Society</t>
  </si>
  <si>
    <t>Chanho</t>
  </si>
  <si>
    <t>0003</t>
  </si>
  <si>
    <t>Bero</t>
  </si>
  <si>
    <t>Itki</t>
  </si>
  <si>
    <t>Erchoro</t>
  </si>
  <si>
    <t>0059</t>
  </si>
  <si>
    <t>0035</t>
  </si>
  <si>
    <t>Vikash</t>
  </si>
  <si>
    <t>Bijuliya</t>
  </si>
  <si>
    <t>Paali</t>
  </si>
  <si>
    <t>0005</t>
  </si>
  <si>
    <t>Amar sahu</t>
  </si>
  <si>
    <t>GANESHPUR</t>
  </si>
  <si>
    <t>PAKARIYO 2</t>
  </si>
  <si>
    <t>CHOREYA</t>
  </si>
  <si>
    <t>0013</t>
  </si>
  <si>
    <t>0015</t>
  </si>
  <si>
    <t>HUTAR</t>
  </si>
  <si>
    <t>0072</t>
  </si>
  <si>
    <t>0112</t>
  </si>
  <si>
    <t>21-08-2026 to 27-08-2026</t>
  </si>
  <si>
    <t>Type</t>
  </si>
  <si>
    <t>Direct</t>
  </si>
  <si>
    <t>Deduction</t>
  </si>
  <si>
    <t>Indent</t>
  </si>
  <si>
    <t>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</si>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</sst>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3" borderId="0" xfId="0" applyFill="1"/>
    <xf numFmtId="0" fontId="0" fillId="0" borderId="7" xfId="0" applyBorder="1"/>
    <xf numFmtId="0" fontId="0" fillId="0" borderId="9" xfId="0" applyBorder="1"/>
    <xf numFmtId="0" fontId="2" fillId="2" borderId="6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0" fillId="0" borderId="8" xfId="0" applyBorder="1"/>
    <xf numFmtId="0" fontId="0" fillId="0" borderId="0" xfId="0" quotePrefix="1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D12D6DE3-8469-4C24-8938-5D2CD4D49BFE}">
      <tableStyleElement type="wholeTable" size="0" dxfId="50"/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CCE0C-8F79-4B96-A2D4-C107CC81BBB7}" name="Table7" displayName="Table7" ref="A1:U14" totalsRowCount="1" headerRowDxfId="46" totalsRowDxfId="43" headerRowBorderDxfId="45" tableBorderDxfId="44">
  <tableColumns count="21">
    <tableColumn id="1" xr3:uid="{6B80EAF2-C192-4E77-8D75-6F0DFEA87412}" name="Timestamp" dataDxfId="42" totalsRowDxfId="41"/>
    <tableColumn id="2" xr3:uid="{FD7FEC2B-60D6-4259-9038-FDB197303724}" name="User Name" dataDxfId="40" totalsRowDxfId="39"/>
    <tableColumn id="3" xr3:uid="{944C215A-A6CE-46E7-9E66-F4EBA1439D69}" name="Order Date" dataDxfId="38" totalsRowDxfId="37"/>
    <tableColumn id="4" xr3:uid="{5CBA94EB-CCB6-4CF2-9611-D02EDC8CBE85}" name="Deduction Cycle" dataDxfId="36" totalsRowDxfId="35"/>
    <tableColumn id="5" xr3:uid="{610935D8-E0F1-40E6-92A1-A9EDDAF8CFA2}" name="Item Name" dataDxfId="34" totalsRowDxfId="33"/>
    <tableColumn id="6" xr3:uid="{B0902A7C-5235-4FBE-8F1C-E3A1626D2CAC}" name="ID" dataDxfId="32" totalsRowDxfId="31">
      <calculatedColumnFormula>CONCATENATE(Table7[[#This Row],[MPG Code]],Table7[[#This Row],[Farmer code]])</calculatedColumnFormula>
    </tableColumn>
    <tableColumn id="7" xr3:uid="{8518C1C7-8F66-45A9-BCB0-8C584E961DB7}" name="MPG Code" dataDxfId="30" totalsRowDxfId="29"/>
    <tableColumn id="20" xr3:uid="{584AAF60-2DE3-4F2C-895A-732C932AADE8}" name="Type" dataDxfId="28" totalsRowDxfId="27"/>
    <tableColumn id="8" xr3:uid="{F11CB876-50B1-426E-8C84-C09CDF0615F0}" name="MPG Name" dataDxfId="26" totalsRowDxfId="25"/>
    <tableColumn id="9" xr3:uid="{233C7270-6D09-4208-833F-68E70E375A2C}" name="Farmer code" dataDxfId="24" totalsRowDxfId="23"/>
    <tableColumn id="10" xr3:uid="{5DE558EE-2443-4DC1-A757-F07722866639}" name="BMC Name" dataDxfId="22" totalsRowDxfId="21"/>
    <tableColumn id="11" xr3:uid="{45EFF60D-04C5-463C-BA00-4DFB87D4B9DF}" name="CSP" dataDxfId="20" totalsRowDxfId="19"/>
    <tableColumn id="12" xr3:uid="{CC88FD0F-94F9-454B-AF7E-5FEAFC4EBA89}" name="Qty" dataDxfId="18" totalsRowDxfId="17"/>
    <tableColumn id="13" xr3:uid="{D93667C4-BEAC-419C-B4B2-0107E499A9A5}" name="Rate" dataDxfId="16" totalsRowDxfId="15"/>
    <tableColumn id="14" xr3:uid="{5E70EAD4-9CCD-4E78-ABE7-8D889FA4FE65}" name="Total Amount" dataDxfId="14" totalsRowDxfId="13"/>
    <tableColumn id="15" xr3:uid="{D10BFBDA-67C9-40C2-830F-FFFA2A529BA8}" name="Other Due Amt" dataDxfId="12" totalsRowDxfId="11"/>
    <tableColumn id="16" xr3:uid="{292E2779-E173-4624-9943-42D7ED878C96}" name="Total Amount (Proposed)" dataDxfId="10" totalsRowDxfId="9"/>
    <tableColumn id="17" xr3:uid="{99E8E0E2-5C63-4172-81C5-AE6652698664}" name="Final Qty" dataDxfId="8" totalsRowDxfId="7"/>
    <tableColumn id="18" xr3:uid="{EB5461D0-2B14-4982-B658-60D041062BA7}" name="Final Amount" totalsRowFunction="sum" dataDxfId="6" totalsRowDxfId="5"/>
    <tableColumn id="21" xr3:uid="{9C19F1E1-2E2F-4FBD-96FB-DBD032087AC6}" name="Deduction" totalsRowFunction="sum" dataDxfId="4" totalsRowDxfId="3"/>
    <tableColumn id="19" xr3:uid="{27ECD1D6-B670-4364-9AC6-C285EDDDC909}" name="Milk Amonnt" dataDxfId="2" totalsRowDxfId="1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3F4C-7319-4C35-9FAB-6FB64FA49B4C}">
  <dimension ref="A1:U20"/>
  <sheetViews>
    <sheetView tabSelected="1" workbookViewId="0">
      <selection activeCell="L23" sqref="L23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11" bestFit="1" customWidth="1"/>
    <col min="4" max="4" width="24" bestFit="1" customWidth="1"/>
    <col min="5" max="5" width="18" bestFit="1" customWidth="1"/>
    <col min="6" max="6" width="14.42578125" bestFit="1" customWidth="1"/>
    <col min="7" max="7" width="10.140625" bestFit="1" customWidth="1"/>
    <col min="8" max="8" width="10.140625" customWidth="1"/>
    <col min="9" max="9" width="12.42578125" bestFit="1" customWidth="1"/>
    <col min="10" max="10" width="11.7109375" bestFit="1" customWidth="1"/>
    <col min="11" max="11" width="10.5703125" bestFit="1" customWidth="1"/>
    <col min="12" max="12" width="11.7109375" bestFit="1" customWidth="1"/>
  </cols>
  <sheetData>
    <row r="1" spans="1:21" s="16" customForma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46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5" t="s">
        <v>48</v>
      </c>
      <c r="U1" s="15" t="s">
        <v>18</v>
      </c>
    </row>
    <row r="2" spans="1:21" x14ac:dyDescent="0.25">
      <c r="A2" s="1">
        <v>46263.529065439812</v>
      </c>
      <c r="B2" s="2" t="s">
        <v>36</v>
      </c>
      <c r="C2" s="3">
        <v>46263</v>
      </c>
      <c r="D2" s="2" t="s">
        <v>45</v>
      </c>
      <c r="E2" s="2" t="s">
        <v>20</v>
      </c>
      <c r="F2" t="str">
        <f>CONCATENATE(Table7[[#This Row],[MPG Code]],Table7[[#This Row],[Farmer code]])</f>
        <v>200400010003</v>
      </c>
      <c r="G2" s="4">
        <v>20040001</v>
      </c>
      <c r="H2" s="4" t="s">
        <v>47</v>
      </c>
      <c r="I2" s="2" t="s">
        <v>39</v>
      </c>
      <c r="J2" s="5" t="s">
        <v>26</v>
      </c>
      <c r="K2" s="2" t="s">
        <v>39</v>
      </c>
      <c r="L2" s="2" t="s">
        <v>24</v>
      </c>
      <c r="M2" s="4">
        <v>2</v>
      </c>
      <c r="N2" s="4">
        <v>1270</v>
      </c>
      <c r="O2" s="4">
        <v>2540</v>
      </c>
      <c r="P2" s="4">
        <v>0</v>
      </c>
      <c r="Q2" s="4">
        <v>2540</v>
      </c>
      <c r="R2" s="4">
        <v>2</v>
      </c>
      <c r="S2" s="4">
        <v>2540</v>
      </c>
      <c r="T2" s="19">
        <v>2540</v>
      </c>
      <c r="U2" s="6"/>
    </row>
    <row r="3" spans="1:21" x14ac:dyDescent="0.25">
      <c r="A3" s="1">
        <v>46263.529591539351</v>
      </c>
      <c r="B3" s="2" t="s">
        <v>36</v>
      </c>
      <c r="C3" s="3">
        <v>46263</v>
      </c>
      <c r="D3" s="2" t="s">
        <v>45</v>
      </c>
      <c r="E3" s="2" t="s">
        <v>20</v>
      </c>
      <c r="F3" t="str">
        <f>CONCATENATE(Table7[[#This Row],[MPG Code]],Table7[[#This Row],[Farmer code]])</f>
        <v>200900080005</v>
      </c>
      <c r="G3" s="4">
        <v>20090008</v>
      </c>
      <c r="H3" s="4" t="s">
        <v>47</v>
      </c>
      <c r="I3" s="2" t="s">
        <v>37</v>
      </c>
      <c r="J3" s="5" t="s">
        <v>35</v>
      </c>
      <c r="K3" s="2" t="s">
        <v>25</v>
      </c>
      <c r="L3" s="2" t="s">
        <v>24</v>
      </c>
      <c r="M3" s="4">
        <v>0</v>
      </c>
      <c r="N3" s="4">
        <v>1270</v>
      </c>
      <c r="O3" s="4">
        <v>0</v>
      </c>
      <c r="P3" s="4">
        <v>635</v>
      </c>
      <c r="Q3" s="4">
        <v>635</v>
      </c>
      <c r="R3" s="4">
        <v>0</v>
      </c>
      <c r="S3" s="4">
        <v>635</v>
      </c>
      <c r="T3" s="19">
        <v>635</v>
      </c>
      <c r="U3" s="6"/>
    </row>
    <row r="4" spans="1:21" x14ac:dyDescent="0.25">
      <c r="A4" s="1">
        <v>46263.529935844912</v>
      </c>
      <c r="B4" s="2" t="s">
        <v>36</v>
      </c>
      <c r="C4" s="3">
        <v>46263</v>
      </c>
      <c r="D4" s="2" t="s">
        <v>45</v>
      </c>
      <c r="E4" s="2" t="s">
        <v>20</v>
      </c>
      <c r="F4" t="str">
        <f>CONCATENATE(Table7[[#This Row],[MPG Code]],Table7[[#This Row],[Farmer code]])</f>
        <v>200900200002</v>
      </c>
      <c r="G4" s="4">
        <v>20090020</v>
      </c>
      <c r="H4" s="4" t="s">
        <v>47</v>
      </c>
      <c r="I4" s="2" t="s">
        <v>38</v>
      </c>
      <c r="J4" s="5" t="s">
        <v>22</v>
      </c>
      <c r="K4" s="2" t="s">
        <v>25</v>
      </c>
      <c r="L4" s="2" t="s">
        <v>24</v>
      </c>
      <c r="M4" s="4">
        <v>0</v>
      </c>
      <c r="N4" s="4">
        <v>1270</v>
      </c>
      <c r="O4" s="4">
        <v>0</v>
      </c>
      <c r="P4" s="4">
        <v>635</v>
      </c>
      <c r="Q4" s="4">
        <v>635</v>
      </c>
      <c r="R4" s="4">
        <v>0</v>
      </c>
      <c r="S4" s="4">
        <v>635</v>
      </c>
      <c r="T4" s="19">
        <v>635</v>
      </c>
      <c r="U4" s="6"/>
    </row>
    <row r="5" spans="1:21" x14ac:dyDescent="0.25">
      <c r="A5" s="1">
        <v>46263.531113333331</v>
      </c>
      <c r="B5" s="2" t="s">
        <v>36</v>
      </c>
      <c r="C5" s="3">
        <v>46263</v>
      </c>
      <c r="D5" s="2" t="s">
        <v>45</v>
      </c>
      <c r="E5" s="2" t="s">
        <v>20</v>
      </c>
      <c r="F5" t="str">
        <f>CONCATENATE(Table7[[#This Row],[MPG Code]],Table7[[#This Row],[Farmer code]])</f>
        <v>200900140015</v>
      </c>
      <c r="G5" s="4">
        <v>20090014</v>
      </c>
      <c r="H5" s="4" t="s">
        <v>47</v>
      </c>
      <c r="I5" s="2" t="s">
        <v>42</v>
      </c>
      <c r="J5" s="5" t="s">
        <v>41</v>
      </c>
      <c r="K5" s="2" t="s">
        <v>25</v>
      </c>
      <c r="L5" s="2" t="s">
        <v>24</v>
      </c>
      <c r="M5" s="4">
        <v>10</v>
      </c>
      <c r="N5" s="4">
        <v>1270</v>
      </c>
      <c r="O5" s="4">
        <v>12700</v>
      </c>
      <c r="P5" s="4">
        <v>0</v>
      </c>
      <c r="Q5" s="4">
        <v>12700</v>
      </c>
      <c r="R5" s="4">
        <v>10</v>
      </c>
      <c r="S5" s="4">
        <v>12700</v>
      </c>
      <c r="T5" s="19">
        <v>12700</v>
      </c>
      <c r="U5" s="6"/>
    </row>
    <row r="6" spans="1:21" x14ac:dyDescent="0.25">
      <c r="A6" s="1">
        <v>46263.533032870371</v>
      </c>
      <c r="B6" s="2" t="s">
        <v>36</v>
      </c>
      <c r="C6" s="3">
        <v>46263</v>
      </c>
      <c r="D6" s="2" t="s">
        <v>45</v>
      </c>
      <c r="E6" s="2" t="s">
        <v>20</v>
      </c>
      <c r="F6" t="str">
        <f>CONCATENATE(Table7[[#This Row],[MPG Code]],Table7[[#This Row],[Farmer code]])</f>
        <v>200400010072</v>
      </c>
      <c r="G6" s="4">
        <v>20040001</v>
      </c>
      <c r="H6" s="4" t="s">
        <v>47</v>
      </c>
      <c r="I6" s="2" t="s">
        <v>39</v>
      </c>
      <c r="J6" s="5" t="s">
        <v>43</v>
      </c>
      <c r="K6" s="2" t="s">
        <v>39</v>
      </c>
      <c r="L6" s="2" t="s">
        <v>24</v>
      </c>
      <c r="M6" s="4">
        <v>0</v>
      </c>
      <c r="N6" s="4">
        <v>1270</v>
      </c>
      <c r="O6" s="4">
        <v>0</v>
      </c>
      <c r="P6" s="4">
        <v>551</v>
      </c>
      <c r="Q6" s="4">
        <v>551</v>
      </c>
      <c r="R6" s="4">
        <v>0</v>
      </c>
      <c r="S6" s="4">
        <v>551</v>
      </c>
      <c r="T6" s="19">
        <v>551</v>
      </c>
      <c r="U6" s="6"/>
    </row>
    <row r="7" spans="1:21" x14ac:dyDescent="0.25">
      <c r="A7" s="1">
        <v>46263.545564259257</v>
      </c>
      <c r="B7" s="2" t="s">
        <v>19</v>
      </c>
      <c r="C7" s="3">
        <v>46263</v>
      </c>
      <c r="D7" s="2" t="s">
        <v>45</v>
      </c>
      <c r="E7" s="2" t="s">
        <v>20</v>
      </c>
      <c r="F7" t="str">
        <f>CONCATENATE(Table7[[#This Row],[MPG Code]],Table7[[#This Row],[Farmer code]])</f>
        <v>200100080035</v>
      </c>
      <c r="G7" s="4">
        <v>20010008</v>
      </c>
      <c r="H7" s="4" t="s">
        <v>47</v>
      </c>
      <c r="I7" s="2" t="s">
        <v>29</v>
      </c>
      <c r="J7" s="5" t="s">
        <v>31</v>
      </c>
      <c r="K7" s="2" t="s">
        <v>28</v>
      </c>
      <c r="L7" s="2" t="s">
        <v>24</v>
      </c>
      <c r="M7" s="4">
        <v>10</v>
      </c>
      <c r="N7" s="4">
        <v>1270</v>
      </c>
      <c r="O7" s="4">
        <v>12700</v>
      </c>
      <c r="P7" s="4">
        <v>0</v>
      </c>
      <c r="Q7" s="4">
        <v>12700</v>
      </c>
      <c r="R7" s="4">
        <v>10</v>
      </c>
      <c r="S7" s="4">
        <v>12700</v>
      </c>
      <c r="T7" s="19">
        <v>12700</v>
      </c>
      <c r="U7" s="6"/>
    </row>
    <row r="8" spans="1:21" x14ac:dyDescent="0.25">
      <c r="A8" s="1">
        <v>46263.546001516203</v>
      </c>
      <c r="B8" s="2" t="s">
        <v>19</v>
      </c>
      <c r="C8" s="3">
        <v>46263</v>
      </c>
      <c r="D8" s="2" t="s">
        <v>45</v>
      </c>
      <c r="E8" s="2" t="s">
        <v>20</v>
      </c>
      <c r="F8" t="str">
        <f>CONCATENATE(Table7[[#This Row],[MPG Code]],Table7[[#This Row],[Farmer code]])</f>
        <v>200100080059</v>
      </c>
      <c r="G8" s="4">
        <v>20010008</v>
      </c>
      <c r="H8" s="4" t="s">
        <v>47</v>
      </c>
      <c r="I8" s="2" t="s">
        <v>29</v>
      </c>
      <c r="J8" s="5" t="s">
        <v>30</v>
      </c>
      <c r="K8" s="2" t="s">
        <v>28</v>
      </c>
      <c r="L8" s="2" t="s">
        <v>24</v>
      </c>
      <c r="M8" s="4">
        <v>5</v>
      </c>
      <c r="N8" s="4">
        <v>1270</v>
      </c>
      <c r="O8" s="4">
        <v>6350</v>
      </c>
      <c r="P8" s="4">
        <v>0</v>
      </c>
      <c r="Q8" s="4">
        <v>6350</v>
      </c>
      <c r="R8" s="4">
        <v>5</v>
      </c>
      <c r="S8" s="4">
        <v>6350</v>
      </c>
      <c r="T8" s="19">
        <v>6350</v>
      </c>
      <c r="U8" s="6"/>
    </row>
    <row r="9" spans="1:21" x14ac:dyDescent="0.25">
      <c r="A9" s="1">
        <v>46263.554104803239</v>
      </c>
      <c r="B9" s="2" t="s">
        <v>19</v>
      </c>
      <c r="C9" s="3">
        <v>46263</v>
      </c>
      <c r="D9" s="2" t="s">
        <v>45</v>
      </c>
      <c r="E9" s="2" t="s">
        <v>20</v>
      </c>
      <c r="F9" t="str">
        <f>CONCATENATE(Table7[[#This Row],[MPG Code]],Table7[[#This Row],[Farmer code]])</f>
        <v>200100030112</v>
      </c>
      <c r="G9" s="4">
        <v>20010003</v>
      </c>
      <c r="H9" s="4" t="s">
        <v>47</v>
      </c>
      <c r="I9" s="2" t="s">
        <v>27</v>
      </c>
      <c r="J9" s="5" t="s">
        <v>44</v>
      </c>
      <c r="K9" s="2" t="s">
        <v>28</v>
      </c>
      <c r="L9" s="2" t="s">
        <v>24</v>
      </c>
      <c r="M9" s="4">
        <v>1</v>
      </c>
      <c r="N9" s="4">
        <v>1270</v>
      </c>
      <c r="O9" s="4">
        <v>1270</v>
      </c>
      <c r="P9" s="4">
        <v>0</v>
      </c>
      <c r="Q9" s="4">
        <v>1270</v>
      </c>
      <c r="R9" s="4">
        <v>1</v>
      </c>
      <c r="S9" s="4">
        <v>1270</v>
      </c>
      <c r="T9" s="19">
        <v>1270</v>
      </c>
      <c r="U9" s="6"/>
    </row>
    <row r="10" spans="1:21" x14ac:dyDescent="0.25">
      <c r="A10" s="1">
        <v>46263.554652858795</v>
      </c>
      <c r="B10" s="2" t="s">
        <v>19</v>
      </c>
      <c r="C10" s="3">
        <v>46263</v>
      </c>
      <c r="D10" s="2" t="s">
        <v>45</v>
      </c>
      <c r="E10" s="2" t="s">
        <v>20</v>
      </c>
      <c r="F10" t="str">
        <f>CONCATENATE(Table7[[#This Row],[MPG Code]],Table7[[#This Row],[Farmer code]])</f>
        <v>200100030013</v>
      </c>
      <c r="G10" s="4">
        <v>20010003</v>
      </c>
      <c r="H10" s="4" t="s">
        <v>47</v>
      </c>
      <c r="I10" s="2" t="s">
        <v>27</v>
      </c>
      <c r="J10" s="5" t="s">
        <v>40</v>
      </c>
      <c r="K10" s="2" t="s">
        <v>28</v>
      </c>
      <c r="L10" s="2" t="s">
        <v>24</v>
      </c>
      <c r="M10" s="4">
        <v>2</v>
      </c>
      <c r="N10" s="4">
        <v>1270</v>
      </c>
      <c r="O10" s="4">
        <v>2540</v>
      </c>
      <c r="P10" s="4">
        <v>0</v>
      </c>
      <c r="Q10" s="4">
        <v>2540</v>
      </c>
      <c r="R10" s="4">
        <v>2</v>
      </c>
      <c r="S10" s="4">
        <v>2540</v>
      </c>
      <c r="T10" s="19">
        <v>2356</v>
      </c>
      <c r="U10" s="6"/>
    </row>
    <row r="11" spans="1:21" x14ac:dyDescent="0.25">
      <c r="A11" s="1">
        <v>46263.56505049768</v>
      </c>
      <c r="B11" s="2" t="s">
        <v>19</v>
      </c>
      <c r="C11" s="3">
        <v>46263</v>
      </c>
      <c r="D11" s="2" t="s">
        <v>45</v>
      </c>
      <c r="E11" s="2" t="s">
        <v>20</v>
      </c>
      <c r="F11" t="str">
        <f>CONCATENATE(Table7[[#This Row],[MPG Code]],Table7[[#This Row],[Farmer code]])</f>
        <v>200600030002</v>
      </c>
      <c r="G11" s="4">
        <v>20060003</v>
      </c>
      <c r="H11" s="4" t="s">
        <v>47</v>
      </c>
      <c r="I11" s="2" t="s">
        <v>21</v>
      </c>
      <c r="J11" s="5" t="s">
        <v>22</v>
      </c>
      <c r="K11" s="2" t="s">
        <v>23</v>
      </c>
      <c r="L11" s="2" t="s">
        <v>24</v>
      </c>
      <c r="M11" s="4">
        <v>20</v>
      </c>
      <c r="N11" s="4">
        <v>1270</v>
      </c>
      <c r="O11" s="4">
        <v>25400</v>
      </c>
      <c r="P11" s="4">
        <v>0</v>
      </c>
      <c r="Q11" s="4">
        <v>25400</v>
      </c>
      <c r="R11" s="4">
        <v>20</v>
      </c>
      <c r="S11" s="4">
        <v>25400</v>
      </c>
      <c r="T11" s="19">
        <v>25400</v>
      </c>
      <c r="U11" s="6"/>
    </row>
    <row r="12" spans="1:21" x14ac:dyDescent="0.25">
      <c r="A12" s="1">
        <v>46263.567133460645</v>
      </c>
      <c r="B12" s="2" t="s">
        <v>19</v>
      </c>
      <c r="C12" s="3">
        <v>46263</v>
      </c>
      <c r="D12" s="2" t="s">
        <v>45</v>
      </c>
      <c r="E12" s="2" t="s">
        <v>20</v>
      </c>
      <c r="F12" t="str">
        <f>CONCATENATE(Table7[[#This Row],[MPG Code]],Table7[[#This Row],[Farmer code]])</f>
        <v>200100030003</v>
      </c>
      <c r="G12" s="4">
        <v>20010003</v>
      </c>
      <c r="H12" s="4" t="s">
        <v>47</v>
      </c>
      <c r="I12" s="2" t="s">
        <v>27</v>
      </c>
      <c r="J12" s="5" t="s">
        <v>26</v>
      </c>
      <c r="K12" s="2" t="s">
        <v>28</v>
      </c>
      <c r="L12" s="2" t="s">
        <v>24</v>
      </c>
      <c r="M12" s="4">
        <v>0</v>
      </c>
      <c r="N12" s="4">
        <v>1270</v>
      </c>
      <c r="O12" s="4">
        <v>0</v>
      </c>
      <c r="P12" s="4">
        <v>2220</v>
      </c>
      <c r="Q12" s="4">
        <v>2220</v>
      </c>
      <c r="R12" s="4">
        <v>0</v>
      </c>
      <c r="S12" s="4">
        <v>2220</v>
      </c>
      <c r="T12" s="19">
        <v>2220</v>
      </c>
      <c r="U12" s="6"/>
    </row>
    <row r="13" spans="1:21" x14ac:dyDescent="0.25">
      <c r="A13" s="7">
        <v>46263.608196168978</v>
      </c>
      <c r="B13" s="8" t="s">
        <v>32</v>
      </c>
      <c r="C13" s="9">
        <v>46263</v>
      </c>
      <c r="D13" s="2" t="s">
        <v>45</v>
      </c>
      <c r="E13" s="8" t="s">
        <v>20</v>
      </c>
      <c r="F13" t="str">
        <f>CONCATENATE(Table7[[#This Row],[MPG Code]],Table7[[#This Row],[Farmer code]])</f>
        <v>200200030002</v>
      </c>
      <c r="G13" s="10">
        <v>20020003</v>
      </c>
      <c r="H13" s="10" t="s">
        <v>47</v>
      </c>
      <c r="I13" s="8" t="s">
        <v>33</v>
      </c>
      <c r="J13" s="11" t="s">
        <v>22</v>
      </c>
      <c r="K13" s="8" t="s">
        <v>34</v>
      </c>
      <c r="L13" s="8" t="s">
        <v>24</v>
      </c>
      <c r="M13" s="10">
        <v>3</v>
      </c>
      <c r="N13" s="10">
        <v>1270</v>
      </c>
      <c r="O13" s="10">
        <v>3810</v>
      </c>
      <c r="P13" s="10">
        <v>0</v>
      </c>
      <c r="Q13" s="10">
        <v>3810</v>
      </c>
      <c r="R13" s="10">
        <v>3</v>
      </c>
      <c r="S13" s="10">
        <v>3810</v>
      </c>
      <c r="T13" s="20">
        <v>3810</v>
      </c>
      <c r="U13" s="12"/>
    </row>
    <row r="14" spans="1:21" x14ac:dyDescent="0.25">
      <c r="A14" s="17"/>
      <c r="B14" s="21"/>
      <c r="C14" s="21"/>
      <c r="D14" s="21"/>
      <c r="E14" s="21"/>
      <c r="F14" s="21"/>
      <c r="G14" s="21"/>
      <c r="H14" s="10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>
        <f>SUBTOTAL(109,Table7[Final Amount])</f>
        <v>71351</v>
      </c>
      <c r="T14" s="20">
        <f>SUBTOTAL(109,Table7[Deduction])</f>
        <v>71167</v>
      </c>
      <c r="U14" s="18"/>
    </row>
    <row r="16" spans="1:21" x14ac:dyDescent="0.25">
      <c r="R16" t="s">
        <v>49</v>
      </c>
      <c r="T16">
        <f>Table7[[#Totals],[Deduction]]</f>
        <v>71167</v>
      </c>
    </row>
    <row r="17" spans="18:20" x14ac:dyDescent="0.25">
      <c r="R17" s="22">
        <v>20020020</v>
      </c>
      <c r="S17" t="s">
        <v>50</v>
      </c>
      <c r="T17">
        <v>553</v>
      </c>
    </row>
    <row r="18" spans="18:20" x14ac:dyDescent="0.25">
      <c r="R18" s="22">
        <v>20020027</v>
      </c>
      <c r="S18" t="s">
        <v>50</v>
      </c>
      <c r="T18">
        <v>1537</v>
      </c>
    </row>
    <row r="19" spans="18:20" ht="15.75" thickBot="1" x14ac:dyDescent="0.3">
      <c r="R19" s="23">
        <v>20020029</v>
      </c>
      <c r="S19" s="24" t="s">
        <v>50</v>
      </c>
      <c r="T19" s="24">
        <v>3251</v>
      </c>
    </row>
    <row r="20" spans="18:20" ht="15.75" thickBot="1" x14ac:dyDescent="0.3">
      <c r="R20" s="25" t="s">
        <v>51</v>
      </c>
      <c r="S20" s="25"/>
      <c r="T20" s="25">
        <f>SUM(T16:T19)</f>
        <v>76508</v>
      </c>
    </row>
  </sheetData>
  <conditionalFormatting sqref="R17:R19">
    <cfRule type="duplicateValues" dxfId="0" priority="1"/>
  </conditionalFormatting>
  <dataValidations count="1">
    <dataValidation type="list" allowBlank="1" sqref="E2:E13" xr:uid="{43D04081-AE0F-4D47-B42C-9216DEDD7BE7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2026-08-29T11:09:49Z</dcterms:created>
  <dcterms:modified xsi:type="dcterms:W3CDTF">2026-09-02T08:11:18Z</dcterms:modified>
</cp:coreProperties>
</file>