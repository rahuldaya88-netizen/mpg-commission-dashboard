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8-14 May'26\Collection Data\"/>
    </mc:Choice>
  </mc:AlternateContent>
  <xr:revisionPtr revIDLastSave="0" documentId="13_ncr:1_{06F6DABE-5275-46C2-B3C6-06DB6416DBA4}" xr6:coauthVersionLast="47" xr6:coauthVersionMax="47" xr10:uidLastSave="{00000000-0000-0000-0000-000000000000}"/>
  <bookViews>
    <workbookView xWindow="-120" yWindow="-120" windowWidth="29040" windowHeight="15720" tabRatio="876" activeTab="5" xr2:uid="{00000000-000D-0000-FFFF-FFFF00000000}"/>
  </bookViews>
  <sheets>
    <sheet name="Summary" sheetId="1" r:id="rId1"/>
    <sheet name="PnL" sheetId="9" r:id="rId2"/>
    <sheet name="Sheet3" sheetId="14" r:id="rId3"/>
    <sheet name="Purchases" sheetId="2" r:id="rId4"/>
    <sheet name="Sales" sheetId="3" r:id="rId5"/>
    <sheet name="OS 08-14" sheetId="18" r:id="rId6"/>
    <sheet name="Check" sheetId="16" r:id="rId7"/>
    <sheet name="Bank Deposit" sheetId="4" r:id="rId8"/>
    <sheet name="Special Rate" sheetId="17" r:id="rId9"/>
    <sheet name="Month wise Report" sheetId="6" r:id="rId10"/>
    <sheet name="Farmer Deduction" sheetId="8" r:id="rId11"/>
  </sheets>
  <definedNames>
    <definedName name="_xlnm._FilterDatabase" localSheetId="7" hidden="1">'Bank Deposit'!$A$1:$I$496</definedName>
    <definedName name="_xlnm._FilterDatabase" localSheetId="10" hidden="1">'Farmer Deduction'!$A$1:$O$361</definedName>
    <definedName name="_xlnm._FilterDatabase" localSheetId="4" hidden="1">Sales!$A$1:$S$1</definedName>
    <definedName name="_xlnm._FilterDatabase" localSheetId="8" hidden="1">'Special Rate'!$A$1:$E$9</definedName>
    <definedName name="Collection">#REF!</definedName>
    <definedName name="Farmer">#REF!</definedName>
  </definedNames>
  <calcPr calcId="191029"/>
  <pivotCaches>
    <pivotCache cacheId="34" r:id="rId12"/>
    <pivotCache cacheId="35" r:id="rId13"/>
    <pivotCache cacheId="43" r:id="rId14"/>
    <pivotCache cacheId="48" r:id="rId15"/>
    <pivotCache cacheId="52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4" i="3" l="1"/>
  <c r="P78" i="3"/>
  <c r="P79" i="3"/>
  <c r="P75" i="3"/>
  <c r="P37" i="3"/>
  <c r="H74" i="3"/>
  <c r="Q74" i="3" s="1"/>
  <c r="S74" i="3" s="1"/>
  <c r="L74" i="3"/>
  <c r="Q145" i="3"/>
  <c r="P104" i="3"/>
  <c r="P134" i="3"/>
  <c r="P63" i="3"/>
  <c r="P96" i="3"/>
  <c r="P83" i="3"/>
  <c r="P135" i="3"/>
  <c r="P106" i="3"/>
  <c r="P72" i="3"/>
  <c r="P60" i="3"/>
  <c r="P58" i="3"/>
  <c r="P155" i="3"/>
  <c r="P54" i="3"/>
  <c r="H131" i="3"/>
  <c r="Q131" i="3" s="1"/>
  <c r="S131" i="3" s="1"/>
  <c r="L131" i="3"/>
  <c r="P128" i="3"/>
  <c r="P65" i="3"/>
  <c r="P52" i="3"/>
  <c r="P36" i="3"/>
  <c r="H137" i="3" l="1"/>
  <c r="Q137" i="3" s="1"/>
  <c r="S137" i="3" s="1"/>
  <c r="L137" i="3"/>
  <c r="H136" i="3"/>
  <c r="Q136" i="3" s="1"/>
  <c r="S136" i="3" s="1"/>
  <c r="L136" i="3"/>
  <c r="P105" i="3" l="1"/>
  <c r="P101" i="3"/>
  <c r="P84" i="3"/>
  <c r="P55" i="3"/>
  <c r="P93" i="3"/>
  <c r="P95" i="3"/>
  <c r="P118" i="3"/>
  <c r="P110" i="3"/>
  <c r="P107" i="3"/>
  <c r="M296" i="8"/>
  <c r="H132" i="3"/>
  <c r="Q132" i="3" s="1"/>
  <c r="S132" i="3" s="1"/>
  <c r="L132" i="3"/>
  <c r="H135" i="3"/>
  <c r="Q135" i="3" s="1"/>
  <c r="S135" i="3" s="1"/>
  <c r="L135" i="3"/>
  <c r="H134" i="3"/>
  <c r="L134" i="3"/>
  <c r="H133" i="3"/>
  <c r="Q133" i="3" s="1"/>
  <c r="S133" i="3" s="1"/>
  <c r="L133" i="3"/>
  <c r="H128" i="3"/>
  <c r="Q128" i="3" s="1"/>
  <c r="S128" i="3" s="1"/>
  <c r="L128" i="3"/>
  <c r="H129" i="3"/>
  <c r="Q129" i="3" s="1"/>
  <c r="S129" i="3" s="1"/>
  <c r="L129" i="3"/>
  <c r="H130" i="3"/>
  <c r="Q130" i="3" s="1"/>
  <c r="S130" i="3" s="1"/>
  <c r="L130" i="3"/>
  <c r="J10" i="2"/>
  <c r="Q10" i="2" s="1"/>
  <c r="J11" i="2"/>
  <c r="Q11" i="2" s="1"/>
  <c r="P14" i="3"/>
  <c r="P85" i="3"/>
  <c r="Q134" i="3" l="1"/>
  <c r="S134" i="3" s="1"/>
  <c r="T10" i="2"/>
  <c r="T11" i="2"/>
  <c r="H117" i="3"/>
  <c r="Q117" i="3" s="1"/>
  <c r="S117" i="3" s="1"/>
  <c r="L117" i="3"/>
  <c r="H127" i="3"/>
  <c r="Q127" i="3" s="1"/>
  <c r="S127" i="3" s="1"/>
  <c r="L127" i="3"/>
  <c r="H126" i="3"/>
  <c r="Q126" i="3" s="1"/>
  <c r="S126" i="3" s="1"/>
  <c r="L126" i="3"/>
  <c r="H125" i="3"/>
  <c r="Q125" i="3" s="1"/>
  <c r="S125" i="3" s="1"/>
  <c r="L125" i="3"/>
  <c r="H124" i="3"/>
  <c r="Q124" i="3" s="1"/>
  <c r="S124" i="3" s="1"/>
  <c r="L124" i="3"/>
  <c r="J8" i="2"/>
  <c r="Q8" i="2" s="1"/>
  <c r="T8" i="2" s="1"/>
  <c r="J9" i="2"/>
  <c r="H123" i="3"/>
  <c r="Q123" i="3" s="1"/>
  <c r="S123" i="3" s="1"/>
  <c r="L123" i="3"/>
  <c r="H122" i="3"/>
  <c r="Q122" i="3" s="1"/>
  <c r="S122" i="3" s="1"/>
  <c r="L122" i="3"/>
  <c r="H121" i="3"/>
  <c r="Q121" i="3" s="1"/>
  <c r="S121" i="3" s="1"/>
  <c r="L121" i="3"/>
  <c r="H120" i="3"/>
  <c r="Q120" i="3" s="1"/>
  <c r="S120" i="3" s="1"/>
  <c r="L120" i="3"/>
  <c r="H119" i="3"/>
  <c r="Q119" i="3" s="1"/>
  <c r="S119" i="3" s="1"/>
  <c r="L119" i="3"/>
  <c r="H118" i="3"/>
  <c r="Q118" i="3" s="1"/>
  <c r="S118" i="3" s="1"/>
  <c r="L118" i="3"/>
  <c r="H116" i="3"/>
  <c r="Q116" i="3" s="1"/>
  <c r="S116" i="3" s="1"/>
  <c r="L116" i="3"/>
  <c r="H115" i="3"/>
  <c r="Q115" i="3" s="1"/>
  <c r="S115" i="3" s="1"/>
  <c r="L115" i="3"/>
  <c r="H114" i="3"/>
  <c r="Q114" i="3" s="1"/>
  <c r="S114" i="3" s="1"/>
  <c r="L114" i="3"/>
  <c r="H113" i="3"/>
  <c r="Q113" i="3" s="1"/>
  <c r="S113" i="3" s="1"/>
  <c r="L113" i="3"/>
  <c r="H112" i="3"/>
  <c r="Q112" i="3" s="1"/>
  <c r="S112" i="3" s="1"/>
  <c r="L112" i="3"/>
  <c r="H111" i="3"/>
  <c r="Q111" i="3" s="1"/>
  <c r="S111" i="3" s="1"/>
  <c r="L111" i="3"/>
  <c r="H110" i="3"/>
  <c r="Q110" i="3" s="1"/>
  <c r="S110" i="3" s="1"/>
  <c r="L110" i="3"/>
  <c r="H109" i="3"/>
  <c r="Q109" i="3" s="1"/>
  <c r="S109" i="3" s="1"/>
  <c r="L109" i="3"/>
  <c r="H108" i="3"/>
  <c r="Q108" i="3" s="1"/>
  <c r="S108" i="3" s="1"/>
  <c r="L108" i="3"/>
  <c r="H107" i="3"/>
  <c r="Q107" i="3" s="1"/>
  <c r="S107" i="3" s="1"/>
  <c r="L107" i="3"/>
  <c r="P68" i="3"/>
  <c r="P81" i="3"/>
  <c r="P92" i="3"/>
  <c r="P86" i="3"/>
  <c r="P98" i="3"/>
  <c r="H99" i="3"/>
  <c r="Q99" i="3" s="1"/>
  <c r="S99" i="3" s="1"/>
  <c r="L99" i="3"/>
  <c r="Q9" i="2" l="1"/>
  <c r="T9" i="2" s="1"/>
  <c r="H106" i="3"/>
  <c r="Q106" i="3" s="1"/>
  <c r="S106" i="3" s="1"/>
  <c r="L106" i="3"/>
  <c r="H105" i="3"/>
  <c r="Q105" i="3" s="1"/>
  <c r="S105" i="3" s="1"/>
  <c r="L105" i="3"/>
  <c r="H14" i="3"/>
  <c r="Q13" i="3"/>
  <c r="S13" i="3" s="1"/>
  <c r="L13" i="3"/>
  <c r="H90" i="3"/>
  <c r="Q90" i="3" s="1"/>
  <c r="S90" i="3" s="1"/>
  <c r="H2" i="3"/>
  <c r="H3" i="3"/>
  <c r="H4" i="3"/>
  <c r="H5" i="3"/>
  <c r="H6" i="3"/>
  <c r="H7" i="3"/>
  <c r="H8" i="3"/>
  <c r="H9" i="3"/>
  <c r="H10" i="3"/>
  <c r="H11" i="3"/>
  <c r="H12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Q66" i="3" s="1"/>
  <c r="S66" i="3" s="1"/>
  <c r="H67" i="3"/>
  <c r="H68" i="3"/>
  <c r="H69" i="3"/>
  <c r="H70" i="3"/>
  <c r="H71" i="3"/>
  <c r="H72" i="3"/>
  <c r="H73" i="3"/>
  <c r="H75" i="3"/>
  <c r="H76" i="3"/>
  <c r="Q76" i="3" s="1"/>
  <c r="S76" i="3" s="1"/>
  <c r="H77" i="3"/>
  <c r="Q77" i="3" s="1"/>
  <c r="S77" i="3" s="1"/>
  <c r="H78" i="3"/>
  <c r="H79" i="3"/>
  <c r="H80" i="3"/>
  <c r="Q80" i="3" s="1"/>
  <c r="S80" i="3" s="1"/>
  <c r="H81" i="3"/>
  <c r="Q81" i="3" s="1"/>
  <c r="S81" i="3" s="1"/>
  <c r="H82" i="3"/>
  <c r="Q82" i="3" s="1"/>
  <c r="S82" i="3" s="1"/>
  <c r="H83" i="3"/>
  <c r="Q83" i="3" s="1"/>
  <c r="S83" i="3" s="1"/>
  <c r="H84" i="3"/>
  <c r="Q84" i="3" s="1"/>
  <c r="S84" i="3" s="1"/>
  <c r="H85" i="3"/>
  <c r="Q85" i="3" s="1"/>
  <c r="S85" i="3" s="1"/>
  <c r="H86" i="3"/>
  <c r="H87" i="3"/>
  <c r="H88" i="3"/>
  <c r="Q88" i="3" s="1"/>
  <c r="S88" i="3" s="1"/>
  <c r="H89" i="3"/>
  <c r="H91" i="3"/>
  <c r="Q91" i="3" s="1"/>
  <c r="S91" i="3" s="1"/>
  <c r="H92" i="3"/>
  <c r="Q92" i="3" s="1"/>
  <c r="S92" i="3" s="1"/>
  <c r="H93" i="3"/>
  <c r="Q93" i="3" s="1"/>
  <c r="S93" i="3" s="1"/>
  <c r="H94" i="3"/>
  <c r="Q94" i="3" s="1"/>
  <c r="S94" i="3" s="1"/>
  <c r="H95" i="3"/>
  <c r="Q95" i="3" s="1"/>
  <c r="S95" i="3" s="1"/>
  <c r="H96" i="3"/>
  <c r="Q96" i="3" s="1"/>
  <c r="S96" i="3" s="1"/>
  <c r="H97" i="3"/>
  <c r="Q97" i="3" s="1"/>
  <c r="S97" i="3" s="1"/>
  <c r="H98" i="3"/>
  <c r="Q98" i="3" s="1"/>
  <c r="S98" i="3" s="1"/>
  <c r="H100" i="3"/>
  <c r="Q100" i="3" s="1"/>
  <c r="S100" i="3" s="1"/>
  <c r="H101" i="3"/>
  <c r="Q101" i="3" s="1"/>
  <c r="S101" i="3" s="1"/>
  <c r="H102" i="3"/>
  <c r="Q102" i="3" s="1"/>
  <c r="S102" i="3" s="1"/>
  <c r="H103" i="3"/>
  <c r="Q103" i="3" s="1"/>
  <c r="S103" i="3" s="1"/>
  <c r="H104" i="3"/>
  <c r="L90" i="3"/>
  <c r="P73" i="3"/>
  <c r="P87" i="3"/>
  <c r="P89" i="3"/>
  <c r="P59" i="3"/>
  <c r="L104" i="3"/>
  <c r="L103" i="3"/>
  <c r="L102" i="3"/>
  <c r="L101" i="3"/>
  <c r="L100" i="3"/>
  <c r="L98" i="3"/>
  <c r="L97" i="3"/>
  <c r="L96" i="3"/>
  <c r="L95" i="3"/>
  <c r="L94" i="3"/>
  <c r="L93" i="3"/>
  <c r="L92" i="3"/>
  <c r="L91" i="3"/>
  <c r="L89" i="3"/>
  <c r="L88" i="3"/>
  <c r="L87" i="3"/>
  <c r="L86" i="3"/>
  <c r="P16" i="3"/>
  <c r="P57" i="3"/>
  <c r="L85" i="3"/>
  <c r="L84" i="3"/>
  <c r="L83" i="3"/>
  <c r="L82" i="3"/>
  <c r="L81" i="3"/>
  <c r="L80" i="3"/>
  <c r="L67" i="3"/>
  <c r="L79" i="3"/>
  <c r="L78" i="3"/>
  <c r="L77" i="3"/>
  <c r="L76" i="3"/>
  <c r="L75" i="3"/>
  <c r="L66" i="3"/>
  <c r="P43" i="3"/>
  <c r="P47" i="3"/>
  <c r="P71" i="3"/>
  <c r="P35" i="3"/>
  <c r="P48" i="3"/>
  <c r="Q67" i="3" l="1"/>
  <c r="S67" i="3" s="1"/>
  <c r="Q104" i="3"/>
  <c r="S104" i="3" s="1"/>
  <c r="Q79" i="3"/>
  <c r="S79" i="3" s="1"/>
  <c r="Q75" i="3"/>
  <c r="S75" i="3" s="1"/>
  <c r="Q86" i="3"/>
  <c r="S86" i="3" s="1"/>
  <c r="Q78" i="3"/>
  <c r="S78" i="3" s="1"/>
  <c r="Q89" i="3"/>
  <c r="S89" i="3" s="1"/>
  <c r="Q87" i="3"/>
  <c r="S87" i="3" s="1"/>
  <c r="Q73" i="3"/>
  <c r="S73" i="3" s="1"/>
  <c r="L73" i="3"/>
  <c r="Q72" i="3"/>
  <c r="S72" i="3" s="1"/>
  <c r="L72" i="3"/>
  <c r="Q62" i="3"/>
  <c r="S62" i="3" s="1"/>
  <c r="L62" i="3"/>
  <c r="Q71" i="3"/>
  <c r="S71" i="3" s="1"/>
  <c r="L71" i="3"/>
  <c r="Q70" i="3"/>
  <c r="S70" i="3" s="1"/>
  <c r="L70" i="3"/>
  <c r="Q69" i="3"/>
  <c r="S69" i="3" s="1"/>
  <c r="L69" i="3"/>
  <c r="Q68" i="3"/>
  <c r="S68" i="3" s="1"/>
  <c r="L68" i="3"/>
  <c r="Q65" i="3"/>
  <c r="S65" i="3" s="1"/>
  <c r="L65" i="3"/>
  <c r="Q64" i="3"/>
  <c r="S64" i="3" s="1"/>
  <c r="L64" i="3"/>
  <c r="Q63" i="3"/>
  <c r="S63" i="3" s="1"/>
  <c r="L63" i="3"/>
  <c r="Q61" i="3"/>
  <c r="S61" i="3" s="1"/>
  <c r="L61" i="3"/>
  <c r="Q44" i="3"/>
  <c r="S44" i="3" s="1"/>
  <c r="L44" i="3"/>
  <c r="Q40" i="3"/>
  <c r="S40" i="3" s="1"/>
  <c r="L40" i="3"/>
  <c r="P12" i="3"/>
  <c r="P28" i="3"/>
  <c r="P19" i="3"/>
  <c r="P21" i="3"/>
  <c r="P31" i="3"/>
  <c r="Q60" i="3" l="1"/>
  <c r="S60" i="3" s="1"/>
  <c r="L60" i="3"/>
  <c r="Q59" i="3"/>
  <c r="S59" i="3" s="1"/>
  <c r="L59" i="3"/>
  <c r="Q58" i="3"/>
  <c r="S58" i="3" s="1"/>
  <c r="L58" i="3"/>
  <c r="Q57" i="3"/>
  <c r="S57" i="3" s="1"/>
  <c r="L57" i="3"/>
  <c r="Q56" i="3"/>
  <c r="S56" i="3" s="1"/>
  <c r="L56" i="3"/>
  <c r="Q55" i="3"/>
  <c r="S55" i="3" s="1"/>
  <c r="L55" i="3"/>
  <c r="Q54" i="3"/>
  <c r="S54" i="3" s="1"/>
  <c r="L54" i="3"/>
  <c r="Q53" i="3"/>
  <c r="S53" i="3" s="1"/>
  <c r="L53" i="3"/>
  <c r="Q52" i="3"/>
  <c r="S52" i="3" s="1"/>
  <c r="L52" i="3"/>
  <c r="Q51" i="3"/>
  <c r="S51" i="3" s="1"/>
  <c r="L51" i="3"/>
  <c r="Q50" i="3"/>
  <c r="S50" i="3" s="1"/>
  <c r="L50" i="3"/>
  <c r="Q46" i="3"/>
  <c r="S46" i="3" s="1"/>
  <c r="L46" i="3"/>
  <c r="Q49" i="3" l="1"/>
  <c r="S49" i="3" s="1"/>
  <c r="L49" i="3"/>
  <c r="Q48" i="3"/>
  <c r="S48" i="3" s="1"/>
  <c r="L48" i="3"/>
  <c r="Q47" i="3"/>
  <c r="S47" i="3" s="1"/>
  <c r="L47" i="3"/>
  <c r="P27" i="3" l="1"/>
  <c r="P26" i="3"/>
  <c r="P10" i="3"/>
  <c r="P30" i="3"/>
  <c r="Q45" i="3" l="1"/>
  <c r="S45" i="3" s="1"/>
  <c r="L45" i="3"/>
  <c r="Q43" i="3"/>
  <c r="S43" i="3" s="1"/>
  <c r="L43" i="3"/>
  <c r="Q42" i="3"/>
  <c r="S42" i="3" s="1"/>
  <c r="L42" i="3"/>
  <c r="Q41" i="3"/>
  <c r="S41" i="3" s="1"/>
  <c r="L41" i="3"/>
  <c r="Q39" i="3"/>
  <c r="S39" i="3" s="1"/>
  <c r="L39" i="3"/>
  <c r="Q38" i="3"/>
  <c r="S38" i="3" s="1"/>
  <c r="L38" i="3"/>
  <c r="Q37" i="3"/>
  <c r="S37" i="3" s="1"/>
  <c r="L37" i="3"/>
  <c r="Q36" i="3"/>
  <c r="S36" i="3" s="1"/>
  <c r="L36" i="3"/>
  <c r="Q35" i="3"/>
  <c r="S35" i="3" s="1"/>
  <c r="L35" i="3"/>
  <c r="J6" i="2"/>
  <c r="Q6" i="2" s="1"/>
  <c r="J7" i="2"/>
  <c r="Q7" i="2" s="1"/>
  <c r="Q34" i="3"/>
  <c r="S34" i="3" s="1"/>
  <c r="L34" i="3"/>
  <c r="Q33" i="3"/>
  <c r="S33" i="3" s="1"/>
  <c r="L33" i="3"/>
  <c r="Q32" i="3"/>
  <c r="S32" i="3" s="1"/>
  <c r="L32" i="3"/>
  <c r="T6" i="2" l="1"/>
  <c r="T7" i="2"/>
  <c r="Q31" i="3"/>
  <c r="S31" i="3" s="1"/>
  <c r="L31" i="3"/>
  <c r="Q15" i="3"/>
  <c r="S15" i="3" s="1"/>
  <c r="L15" i="3"/>
  <c r="P7" i="3" l="1"/>
  <c r="J18" i="2" l="1"/>
  <c r="J19" i="2"/>
  <c r="Q19" i="2" s="1"/>
  <c r="T19" i="2" s="1"/>
  <c r="J20" i="2"/>
  <c r="Q20" i="2"/>
  <c r="T20" i="2" s="1"/>
  <c r="Q18" i="2"/>
  <c r="Q30" i="3"/>
  <c r="S30" i="3" s="1"/>
  <c r="L30" i="3"/>
  <c r="Q29" i="3"/>
  <c r="S29" i="3" s="1"/>
  <c r="L29" i="3"/>
  <c r="Q28" i="3"/>
  <c r="S28" i="3" s="1"/>
  <c r="L28" i="3"/>
  <c r="Q27" i="3"/>
  <c r="S27" i="3" s="1"/>
  <c r="L27" i="3"/>
  <c r="Q26" i="3"/>
  <c r="S26" i="3" s="1"/>
  <c r="L26" i="3"/>
  <c r="Q25" i="3"/>
  <c r="S25" i="3" s="1"/>
  <c r="L25" i="3"/>
  <c r="Q24" i="3"/>
  <c r="S24" i="3" s="1"/>
  <c r="L24" i="3"/>
  <c r="Q23" i="3"/>
  <c r="S23" i="3" s="1"/>
  <c r="L23" i="3"/>
  <c r="Q22" i="3"/>
  <c r="S22" i="3" s="1"/>
  <c r="L22" i="3"/>
  <c r="T18" i="2" l="1"/>
  <c r="Q21" i="3"/>
  <c r="S21" i="3" s="1"/>
  <c r="L21" i="3"/>
  <c r="Q20" i="3"/>
  <c r="S20" i="3" s="1"/>
  <c r="L20" i="3"/>
  <c r="P2" i="3"/>
  <c r="AH15" i="9" l="1"/>
  <c r="Q19" i="3"/>
  <c r="S19" i="3" s="1"/>
  <c r="L19" i="3"/>
  <c r="J3" i="2" l="1"/>
  <c r="Q3" i="2" s="1"/>
  <c r="J4" i="2"/>
  <c r="Q4" i="2" s="1"/>
  <c r="J5" i="2"/>
  <c r="J2" i="2"/>
  <c r="Q2" i="2" s="1"/>
  <c r="Q18" i="3"/>
  <c r="S18" i="3" s="1"/>
  <c r="L18" i="3"/>
  <c r="Q17" i="3"/>
  <c r="S17" i="3" s="1"/>
  <c r="L17" i="3"/>
  <c r="Q16" i="3"/>
  <c r="S16" i="3" s="1"/>
  <c r="L16" i="3"/>
  <c r="Q14" i="3"/>
  <c r="S14" i="3" s="1"/>
  <c r="L14" i="3"/>
  <c r="Q12" i="3"/>
  <c r="S12" i="3" s="1"/>
  <c r="L12" i="3"/>
  <c r="Q11" i="3"/>
  <c r="S11" i="3" s="1"/>
  <c r="L11" i="3"/>
  <c r="Q5" i="3"/>
  <c r="S5" i="3" s="1"/>
  <c r="L5" i="3"/>
  <c r="Q10" i="3"/>
  <c r="S10" i="3" s="1"/>
  <c r="L10" i="3"/>
  <c r="Q9" i="3"/>
  <c r="S9" i="3" s="1"/>
  <c r="L9" i="3"/>
  <c r="Q8" i="3"/>
  <c r="S8" i="3" s="1"/>
  <c r="L8" i="3"/>
  <c r="Q7" i="3"/>
  <c r="S7" i="3" s="1"/>
  <c r="L7" i="3"/>
  <c r="J15" i="2"/>
  <c r="Q15" i="2" s="1"/>
  <c r="T15" i="2" s="1"/>
  <c r="J16" i="2"/>
  <c r="Q16" i="2" s="1"/>
  <c r="J17" i="2"/>
  <c r="Q17" i="2" s="1"/>
  <c r="T17" i="2" s="1"/>
  <c r="J12" i="2"/>
  <c r="Q12" i="2" s="1"/>
  <c r="T12" i="2" s="1"/>
  <c r="J13" i="2"/>
  <c r="Q13" i="2" s="1"/>
  <c r="T13" i="2" s="1"/>
  <c r="J14" i="2"/>
  <c r="Q14" i="2" s="1"/>
  <c r="T14" i="2" s="1"/>
  <c r="T3" i="2" l="1"/>
  <c r="T4" i="2"/>
  <c r="Q5" i="2"/>
  <c r="T5" i="2" s="1"/>
  <c r="T2" i="2"/>
  <c r="T16" i="2"/>
  <c r="B18" i="1"/>
  <c r="G34" i="1" l="1"/>
  <c r="C34" i="1"/>
  <c r="D33" i="1"/>
  <c r="E33" i="1"/>
  <c r="H33" i="1"/>
  <c r="I33" i="1"/>
  <c r="K33" i="1"/>
  <c r="M33" i="1" l="1"/>
  <c r="F33" i="1"/>
  <c r="L33" i="1"/>
  <c r="J33" i="1"/>
  <c r="N33" i="1" l="1"/>
  <c r="D32" i="1" l="1"/>
  <c r="E32" i="1"/>
  <c r="H32" i="1"/>
  <c r="I32" i="1"/>
  <c r="K32" i="1"/>
  <c r="L32" i="1" l="1"/>
  <c r="M32" i="1"/>
  <c r="J32" i="1"/>
  <c r="F32" i="1"/>
  <c r="N32" i="1" l="1"/>
  <c r="G39" i="9" l="1"/>
  <c r="G38" i="9"/>
  <c r="H31" i="1" l="1"/>
  <c r="I31" i="1"/>
  <c r="K31" i="1"/>
  <c r="D31" i="1"/>
  <c r="E31" i="1"/>
  <c r="AN36" i="9"/>
  <c r="AN37" i="9"/>
  <c r="AN38" i="9"/>
  <c r="AN39" i="9"/>
  <c r="D39" i="9"/>
  <c r="AN26" i="9"/>
  <c r="D38" i="9"/>
  <c r="D36" i="9"/>
  <c r="AN5" i="9"/>
  <c r="AL5" i="9"/>
  <c r="AL4" i="9"/>
  <c r="AN16" i="9"/>
  <c r="AN15" i="9"/>
  <c r="AN14" i="9" s="1"/>
  <c r="AL15" i="9"/>
  <c r="AL14" i="9" s="1"/>
  <c r="AN11" i="9"/>
  <c r="AN10" i="9"/>
  <c r="AN9" i="9" s="1"/>
  <c r="AL10" i="9"/>
  <c r="AL9" i="9" s="1"/>
  <c r="D20" i="9"/>
  <c r="G5" i="9" s="1"/>
  <c r="AK40" i="9"/>
  <c r="AK25" i="9" s="1"/>
  <c r="AK24" i="9" s="1"/>
  <c r="AH40" i="9"/>
  <c r="AH25" i="9" s="1"/>
  <c r="AH24" i="9" s="1"/>
  <c r="AG24" i="9" s="1"/>
  <c r="AE40" i="9"/>
  <c r="AE25" i="9" s="1"/>
  <c r="AE24" i="9" s="1"/>
  <c r="AB40" i="9"/>
  <c r="Y40" i="9"/>
  <c r="V40" i="9"/>
  <c r="S40" i="9"/>
  <c r="S25" i="9" s="1"/>
  <c r="S24" i="9" s="1"/>
  <c r="P40" i="9"/>
  <c r="P25" i="9" s="1"/>
  <c r="P24" i="9" s="1"/>
  <c r="M40" i="9"/>
  <c r="M25" i="9" s="1"/>
  <c r="M24" i="9" s="1"/>
  <c r="J40" i="9"/>
  <c r="J25" i="9" s="1"/>
  <c r="J24" i="9" s="1"/>
  <c r="G40" i="9"/>
  <c r="G25" i="9" s="1"/>
  <c r="G24" i="9" s="1"/>
  <c r="D40" i="9"/>
  <c r="D25" i="9" s="1"/>
  <c r="AL31" i="9"/>
  <c r="AI31" i="9"/>
  <c r="AE31" i="9"/>
  <c r="AD31" i="9" s="1"/>
  <c r="Z31" i="9"/>
  <c r="W31" i="9"/>
  <c r="S31" i="9"/>
  <c r="R31" i="9" s="1"/>
  <c r="N31" i="9"/>
  <c r="K31" i="9"/>
  <c r="G31" i="9"/>
  <c r="F31" i="9" s="1"/>
  <c r="D31" i="9"/>
  <c r="C31" i="9" s="1"/>
  <c r="B31" i="9"/>
  <c r="AI30" i="9"/>
  <c r="AF30" i="9"/>
  <c r="AC30" i="9"/>
  <c r="Z30" i="9"/>
  <c r="Z29" i="9" s="1"/>
  <c r="W30" i="9"/>
  <c r="W29" i="9" s="1"/>
  <c r="T30" i="9"/>
  <c r="Q30" i="9"/>
  <c r="N30" i="9"/>
  <c r="K30" i="9"/>
  <c r="H30" i="9"/>
  <c r="E30" i="9"/>
  <c r="B30" i="9"/>
  <c r="B29" i="9" s="1"/>
  <c r="AI29" i="9"/>
  <c r="N29" i="9"/>
  <c r="K29" i="9"/>
  <c r="AI26" i="9"/>
  <c r="AF26" i="9"/>
  <c r="AF31" i="9" s="1"/>
  <c r="AC26" i="9"/>
  <c r="AC31" i="9" s="1"/>
  <c r="Z26" i="9"/>
  <c r="W26" i="9"/>
  <c r="T26" i="9"/>
  <c r="T31" i="9" s="1"/>
  <c r="Q26" i="9"/>
  <c r="Q31" i="9" s="1"/>
  <c r="Q29" i="9" s="1"/>
  <c r="N26" i="9"/>
  <c r="K26" i="9"/>
  <c r="H26" i="9"/>
  <c r="H31" i="9" s="1"/>
  <c r="E26" i="9"/>
  <c r="E31" i="9" s="1"/>
  <c r="B26" i="9"/>
  <c r="AI25" i="9"/>
  <c r="AF25" i="9"/>
  <c r="AF24" i="9" s="1"/>
  <c r="AC25" i="9"/>
  <c r="AB25" i="9"/>
  <c r="AB24" i="9" s="1"/>
  <c r="Z25" i="9"/>
  <c r="Y25" i="9"/>
  <c r="W25" i="9"/>
  <c r="V25" i="9"/>
  <c r="V24" i="9" s="1"/>
  <c r="T25" i="9"/>
  <c r="T24" i="9" s="1"/>
  <c r="Q25" i="9"/>
  <c r="N25" i="9"/>
  <c r="K25" i="9"/>
  <c r="H25" i="9"/>
  <c r="H24" i="9" s="1"/>
  <c r="E25" i="9"/>
  <c r="B25" i="9"/>
  <c r="AI24" i="9"/>
  <c r="Z24" i="9"/>
  <c r="Y24" i="9"/>
  <c r="W24" i="9"/>
  <c r="N24" i="9"/>
  <c r="K24" i="9"/>
  <c r="B24" i="9"/>
  <c r="B20" i="9"/>
  <c r="B19" i="9" s="1"/>
  <c r="AK19" i="9"/>
  <c r="AH19" i="9"/>
  <c r="AE19" i="9"/>
  <c r="AB19" i="9"/>
  <c r="Y19" i="9"/>
  <c r="V19" i="9"/>
  <c r="S19" i="9"/>
  <c r="P19" i="9"/>
  <c r="M19" i="9"/>
  <c r="J19" i="9"/>
  <c r="G19" i="9"/>
  <c r="D19" i="9"/>
  <c r="A15" i="9"/>
  <c r="A25" i="9" s="1"/>
  <c r="A30" i="9" s="1"/>
  <c r="AK14" i="9"/>
  <c r="AJ14" i="9" s="1"/>
  <c r="AI14" i="9"/>
  <c r="AH14" i="9"/>
  <c r="AF14" i="9"/>
  <c r="AE14" i="9"/>
  <c r="AC14" i="9"/>
  <c r="AD14" i="9" s="1"/>
  <c r="AB14" i="9"/>
  <c r="Z14" i="9"/>
  <c r="AA14" i="9" s="1"/>
  <c r="Y14" i="9"/>
  <c r="W14" i="9"/>
  <c r="V14" i="9"/>
  <c r="T14" i="9"/>
  <c r="S14" i="9"/>
  <c r="Q14" i="9"/>
  <c r="R14" i="9" s="1"/>
  <c r="P14" i="9"/>
  <c r="O14" i="9" s="1"/>
  <c r="N14" i="9"/>
  <c r="M14" i="9"/>
  <c r="K14" i="9"/>
  <c r="J14" i="9"/>
  <c r="H14" i="9"/>
  <c r="G14" i="9"/>
  <c r="E14" i="9"/>
  <c r="F14" i="9" s="1"/>
  <c r="D14" i="9"/>
  <c r="B14" i="9"/>
  <c r="A10" i="9"/>
  <c r="AK9" i="9"/>
  <c r="AI9" i="9"/>
  <c r="AH9" i="9"/>
  <c r="AG9" i="9" s="1"/>
  <c r="AF9" i="9"/>
  <c r="AE9" i="9"/>
  <c r="AD9" i="9" s="1"/>
  <c r="AC9" i="9"/>
  <c r="AB9" i="9"/>
  <c r="AA9" i="9"/>
  <c r="Z9" i="9"/>
  <c r="Y9" i="9"/>
  <c r="W9" i="9"/>
  <c r="V9" i="9"/>
  <c r="T9" i="9"/>
  <c r="S9" i="9"/>
  <c r="R9" i="9" s="1"/>
  <c r="Q9" i="9"/>
  <c r="P9" i="9"/>
  <c r="O9" i="9" s="1"/>
  <c r="N9" i="9"/>
  <c r="M9" i="9"/>
  <c r="K9" i="9"/>
  <c r="J9" i="9"/>
  <c r="I9" i="9" s="1"/>
  <c r="H9" i="9"/>
  <c r="G9" i="9"/>
  <c r="E9" i="9"/>
  <c r="D9" i="9"/>
  <c r="B9" i="9"/>
  <c r="C9" i="9" s="1"/>
  <c r="AN6" i="9"/>
  <c r="AN31" i="9" s="1"/>
  <c r="AK6" i="9"/>
  <c r="AK31" i="9" s="1"/>
  <c r="AJ31" i="9" s="1"/>
  <c r="AH6" i="9"/>
  <c r="AE6" i="9"/>
  <c r="AB6" i="9"/>
  <c r="AB31" i="9" s="1"/>
  <c r="AA31" i="9" s="1"/>
  <c r="Y6" i="9"/>
  <c r="Y31" i="9" s="1"/>
  <c r="X31" i="9" s="1"/>
  <c r="V6" i="9"/>
  <c r="S6" i="9"/>
  <c r="P6" i="9"/>
  <c r="P31" i="9" s="1"/>
  <c r="O31" i="9" s="1"/>
  <c r="M6" i="9"/>
  <c r="M31" i="9" s="1"/>
  <c r="L31" i="9" s="1"/>
  <c r="J6" i="9"/>
  <c r="G6" i="9"/>
  <c r="AK5" i="9"/>
  <c r="AH5" i="9"/>
  <c r="AE5" i="9"/>
  <c r="AB5" i="9"/>
  <c r="Y5" i="9"/>
  <c r="Y30" i="9" s="1"/>
  <c r="V5" i="9"/>
  <c r="V30" i="9" s="1"/>
  <c r="S5" i="9"/>
  <c r="P5" i="9"/>
  <c r="M5" i="9"/>
  <c r="M4" i="9" s="1"/>
  <c r="J5" i="9"/>
  <c r="AN4" i="9"/>
  <c r="AE4" i="9"/>
  <c r="AB4" i="9"/>
  <c r="Y4" i="9"/>
  <c r="D4" i="9"/>
  <c r="B4" i="9"/>
  <c r="AK30" i="9" l="1"/>
  <c r="AJ24" i="9"/>
  <c r="AJ9" i="9"/>
  <c r="AH30" i="9"/>
  <c r="AG14" i="9"/>
  <c r="AF29" i="9"/>
  <c r="AC29" i="9"/>
  <c r="AB30" i="9"/>
  <c r="AA24" i="9"/>
  <c r="X14" i="9"/>
  <c r="X24" i="9"/>
  <c r="AL25" i="9"/>
  <c r="AL24" i="9" s="1"/>
  <c r="AL30" i="9"/>
  <c r="AL29" i="9" s="1"/>
  <c r="T29" i="9"/>
  <c r="U14" i="9"/>
  <c r="U9" i="9"/>
  <c r="P30" i="9"/>
  <c r="O30" i="9" s="1"/>
  <c r="O24" i="9"/>
  <c r="P4" i="9"/>
  <c r="L24" i="9"/>
  <c r="L14" i="9"/>
  <c r="M30" i="9"/>
  <c r="M29" i="9" s="1"/>
  <c r="L29" i="9" s="1"/>
  <c r="J30" i="9"/>
  <c r="I30" i="9" s="1"/>
  <c r="I14" i="9"/>
  <c r="H29" i="9"/>
  <c r="A20" i="9"/>
  <c r="AN25" i="9"/>
  <c r="AN24" i="9" s="1"/>
  <c r="AN40" i="9"/>
  <c r="E29" i="9"/>
  <c r="F9" i="9"/>
  <c r="L31" i="1"/>
  <c r="J31" i="1"/>
  <c r="M31" i="1"/>
  <c r="F31" i="1"/>
  <c r="AM31" i="9"/>
  <c r="D30" i="9"/>
  <c r="D29" i="9" s="1"/>
  <c r="C29" i="9" s="1"/>
  <c r="AM14" i="9"/>
  <c r="AM9" i="9"/>
  <c r="E5" i="9"/>
  <c r="E20" i="9" s="1"/>
  <c r="H5" i="9" s="1"/>
  <c r="E4" i="9"/>
  <c r="C19" i="9"/>
  <c r="H20" i="9"/>
  <c r="H4" i="9"/>
  <c r="AB29" i="9"/>
  <c r="AA29" i="9" s="1"/>
  <c r="AA30" i="9"/>
  <c r="G30" i="9"/>
  <c r="S30" i="9"/>
  <c r="AE30" i="9"/>
  <c r="L9" i="9"/>
  <c r="U24" i="9"/>
  <c r="S4" i="9"/>
  <c r="AK4" i="9"/>
  <c r="U30" i="9"/>
  <c r="AG30" i="9"/>
  <c r="J31" i="9"/>
  <c r="I31" i="9" s="1"/>
  <c r="J4" i="9"/>
  <c r="V31" i="9"/>
  <c r="U31" i="9" s="1"/>
  <c r="V4" i="9"/>
  <c r="AH31" i="9"/>
  <c r="AG31" i="9" s="1"/>
  <c r="AH4" i="9"/>
  <c r="X9" i="9"/>
  <c r="C14" i="9"/>
  <c r="I24" i="9"/>
  <c r="P29" i="9"/>
  <c r="O29" i="9" s="1"/>
  <c r="G4" i="9"/>
  <c r="Y29" i="9"/>
  <c r="X29" i="9" s="1"/>
  <c r="X30" i="9"/>
  <c r="AK29" i="9"/>
  <c r="AJ29" i="9" s="1"/>
  <c r="AJ30" i="9"/>
  <c r="A21" i="9"/>
  <c r="A26" i="9"/>
  <c r="A31" i="9" s="1"/>
  <c r="D24" i="9"/>
  <c r="C24" i="9" s="1"/>
  <c r="E24" i="9"/>
  <c r="F24" i="9" s="1"/>
  <c r="Q24" i="9"/>
  <c r="R24" i="9" s="1"/>
  <c r="AC24" i="9"/>
  <c r="AD24" i="9" s="1"/>
  <c r="AM24" i="9" l="1"/>
  <c r="L30" i="9"/>
  <c r="E19" i="9"/>
  <c r="F19" i="9" s="1"/>
  <c r="N31" i="1"/>
  <c r="C30" i="9"/>
  <c r="AH29" i="9"/>
  <c r="AG29" i="9" s="1"/>
  <c r="J29" i="9"/>
  <c r="I29" i="9" s="1"/>
  <c r="AD30" i="9"/>
  <c r="AE29" i="9"/>
  <c r="AD29" i="9" s="1"/>
  <c r="R30" i="9"/>
  <c r="S29" i="9"/>
  <c r="R29" i="9" s="1"/>
  <c r="V29" i="9"/>
  <c r="U29" i="9" s="1"/>
  <c r="F30" i="9"/>
  <c r="G29" i="9"/>
  <c r="F29" i="9" s="1"/>
  <c r="H19" i="9"/>
  <c r="I19" i="9" s="1"/>
  <c r="K5" i="9"/>
  <c r="K4" i="9" l="1"/>
  <c r="K20" i="9"/>
  <c r="K19" i="9" l="1"/>
  <c r="L19" i="9" s="1"/>
  <c r="N5" i="9"/>
  <c r="N20" i="9" l="1"/>
  <c r="N4" i="9"/>
  <c r="Q5" i="9" l="1"/>
  <c r="N19" i="9"/>
  <c r="O19" i="9" s="1"/>
  <c r="Q4" i="9" l="1"/>
  <c r="Q20" i="9"/>
  <c r="T5" i="9" l="1"/>
  <c r="Q19" i="9"/>
  <c r="R19" i="9" s="1"/>
  <c r="T20" i="9" l="1"/>
  <c r="T4" i="9"/>
  <c r="T19" i="9" l="1"/>
  <c r="U19" i="9" s="1"/>
  <c r="W5" i="9"/>
  <c r="W4" i="9" l="1"/>
  <c r="W20" i="9"/>
  <c r="W19" i="9" l="1"/>
  <c r="X19" i="9" s="1"/>
  <c r="Z5" i="9"/>
  <c r="Z20" i="9" l="1"/>
  <c r="Z4" i="9"/>
  <c r="AC5" i="9" l="1"/>
  <c r="Z19" i="9"/>
  <c r="AA19" i="9" s="1"/>
  <c r="AC4" i="9" l="1"/>
  <c r="AC20" i="9"/>
  <c r="AC19" i="9" l="1"/>
  <c r="AD19" i="9" s="1"/>
  <c r="AF5" i="9"/>
  <c r="AF20" i="9" l="1"/>
  <c r="AF4" i="9"/>
  <c r="AF19" i="9" l="1"/>
  <c r="AG19" i="9" s="1"/>
  <c r="AI5" i="9"/>
  <c r="AI4" i="9" l="1"/>
  <c r="AI20" i="9"/>
  <c r="AI19" i="9" l="1"/>
  <c r="AJ19" i="9" s="1"/>
  <c r="AL20" i="9" l="1"/>
  <c r="AL19" i="9" l="1"/>
  <c r="AN20" i="9"/>
  <c r="H21" i="2"/>
  <c r="AN19" i="9" l="1"/>
  <c r="AM19" i="9" s="1"/>
  <c r="AN30" i="9"/>
  <c r="J21" i="2"/>
  <c r="AM30" i="9" l="1"/>
  <c r="AN29" i="9"/>
  <c r="AM29" i="9" s="1"/>
  <c r="B2" i="16"/>
  <c r="B3" i="16"/>
  <c r="Q3" i="3" l="1"/>
  <c r="L3" i="3"/>
  <c r="S3" i="3" l="1"/>
  <c r="Q6" i="3"/>
  <c r="L6" i="3"/>
  <c r="S6" i="3" l="1"/>
  <c r="Q2" i="3" l="1"/>
  <c r="Q4" i="3"/>
  <c r="S2" i="3" l="1"/>
  <c r="I21" i="1"/>
  <c r="I30" i="1"/>
  <c r="I29" i="1"/>
  <c r="I28" i="1"/>
  <c r="I27" i="1"/>
  <c r="I26" i="1"/>
  <c r="I25" i="1"/>
  <c r="I24" i="1"/>
  <c r="I23" i="1"/>
  <c r="I22" i="1"/>
  <c r="H22" i="1"/>
  <c r="H23" i="1"/>
  <c r="H24" i="1"/>
  <c r="H25" i="1"/>
  <c r="H26" i="1"/>
  <c r="H27" i="1"/>
  <c r="H28" i="1"/>
  <c r="H29" i="1"/>
  <c r="H30" i="1"/>
  <c r="H21" i="1"/>
  <c r="D22" i="1"/>
  <c r="D23" i="1"/>
  <c r="D24" i="1"/>
  <c r="D25" i="1"/>
  <c r="D26" i="1"/>
  <c r="D27" i="1"/>
  <c r="D28" i="1"/>
  <c r="D29" i="1"/>
  <c r="D30" i="1"/>
  <c r="D21" i="1"/>
  <c r="L4" i="3"/>
  <c r="S4" i="3"/>
  <c r="L2" i="3"/>
  <c r="K22" i="1"/>
  <c r="K23" i="1"/>
  <c r="K24" i="1"/>
  <c r="K25" i="1"/>
  <c r="K26" i="1"/>
  <c r="K27" i="1"/>
  <c r="K28" i="1"/>
  <c r="K29" i="1"/>
  <c r="K30" i="1"/>
  <c r="K21" i="1"/>
  <c r="E22" i="1"/>
  <c r="E23" i="1"/>
  <c r="E24" i="1"/>
  <c r="E25" i="1"/>
  <c r="E26" i="1"/>
  <c r="E27" i="1"/>
  <c r="E28" i="1"/>
  <c r="E29" i="1"/>
  <c r="E30" i="1"/>
  <c r="E21" i="1"/>
  <c r="K34" i="1" l="1"/>
  <c r="E34" i="1"/>
  <c r="I34" i="1"/>
  <c r="H34" i="1"/>
  <c r="D34" i="1"/>
  <c r="F30" i="1"/>
  <c r="F29" i="1"/>
  <c r="F22" i="1"/>
  <c r="J23" i="1"/>
  <c r="F28" i="1"/>
  <c r="J24" i="1"/>
  <c r="J25" i="1"/>
  <c r="F27" i="1"/>
  <c r="F26" i="1"/>
  <c r="F25" i="1"/>
  <c r="F23" i="1"/>
  <c r="L24" i="1"/>
  <c r="J27" i="1"/>
  <c r="L23" i="1"/>
  <c r="F24" i="1"/>
  <c r="J29" i="1"/>
  <c r="F21" i="1"/>
  <c r="J26" i="1"/>
  <c r="J30" i="1"/>
  <c r="J28" i="1"/>
  <c r="L21" i="1"/>
  <c r="J22" i="1"/>
  <c r="J21" i="1"/>
  <c r="M23" i="1"/>
  <c r="M30" i="1"/>
  <c r="M22" i="1"/>
  <c r="L27" i="1"/>
  <c r="L30" i="1"/>
  <c r="L29" i="1"/>
  <c r="L22" i="1"/>
  <c r="M29" i="1"/>
  <c r="L28" i="1"/>
  <c r="M28" i="1"/>
  <c r="L26" i="1"/>
  <c r="M27" i="1"/>
  <c r="L25" i="1"/>
  <c r="M25" i="1"/>
  <c r="M26" i="1"/>
  <c r="M21" i="1"/>
  <c r="M24" i="1"/>
  <c r="M34" i="1" l="1"/>
  <c r="J34" i="1"/>
  <c r="F34" i="1"/>
  <c r="L34" i="1"/>
  <c r="N27" i="1"/>
  <c r="N21" i="1"/>
  <c r="B4" i="16" l="1"/>
  <c r="B5" i="16" s="1"/>
  <c r="B6" i="16" s="1"/>
  <c r="N29" i="1" l="1"/>
  <c r="N25" i="1"/>
  <c r="N24" i="1"/>
  <c r="N30" i="1"/>
  <c r="N26" i="1"/>
  <c r="N23" i="1"/>
  <c r="N28" i="1"/>
  <c r="T21" i="2" l="1"/>
  <c r="N22" i="1"/>
  <c r="N34" i="1" s="1"/>
</calcChain>
</file>

<file path=xl/sharedStrings.xml><?xml version="1.0" encoding="utf-8"?>
<sst xmlns="http://schemas.openxmlformats.org/spreadsheetml/2006/main" count="4055" uniqueCount="331">
  <si>
    <t>Godown</t>
  </si>
  <si>
    <t>Sales Amount</t>
  </si>
  <si>
    <t>Payment Amt</t>
  </si>
  <si>
    <t>Purchases</t>
  </si>
  <si>
    <t>Sales</t>
  </si>
  <si>
    <t>Closing</t>
  </si>
  <si>
    <t>Area</t>
  </si>
  <si>
    <t>Balance</t>
  </si>
  <si>
    <t>Total</t>
  </si>
  <si>
    <t>Grand Total</t>
  </si>
  <si>
    <t>PO NO</t>
  </si>
  <si>
    <t>PO Date</t>
  </si>
  <si>
    <t>Purcahse From</t>
  </si>
  <si>
    <t>Invoice No</t>
  </si>
  <si>
    <t>Invoice Date</t>
  </si>
  <si>
    <t>Month</t>
  </si>
  <si>
    <t>Item</t>
  </si>
  <si>
    <t>Qty</t>
  </si>
  <si>
    <t>Rate</t>
  </si>
  <si>
    <t>AMOUNT</t>
  </si>
  <si>
    <t>Delivered at</t>
  </si>
  <si>
    <t>Delivered Item</t>
  </si>
  <si>
    <t>Delivered Qty</t>
  </si>
  <si>
    <t>Dilvery Challan Number</t>
  </si>
  <si>
    <t>GRN document received</t>
  </si>
  <si>
    <t>Delivered date</t>
  </si>
  <si>
    <t>TCS</t>
  </si>
  <si>
    <t>Payment Amount</t>
  </si>
  <si>
    <t>Payment Date</t>
  </si>
  <si>
    <t>Gomukh Gold 50 Kgs</t>
  </si>
  <si>
    <t>Date</t>
  </si>
  <si>
    <t>MPG Name</t>
  </si>
  <si>
    <t>MPG Code</t>
  </si>
  <si>
    <t>Name of Product</t>
  </si>
  <si>
    <t>Qty Sold</t>
  </si>
  <si>
    <t>Sale Type</t>
  </si>
  <si>
    <t>Salesman Name</t>
  </si>
  <si>
    <t>Challan Number</t>
  </si>
  <si>
    <t>Mode</t>
  </si>
  <si>
    <t>Cycle</t>
  </si>
  <si>
    <t>Remarks</t>
  </si>
  <si>
    <t>Ageing</t>
  </si>
  <si>
    <t>Deduction from Milk Payment</t>
  </si>
  <si>
    <t>Date of Deposit</t>
  </si>
  <si>
    <t>Deposited Amt</t>
  </si>
  <si>
    <t>UTR No</t>
  </si>
  <si>
    <t>Payee Name</t>
  </si>
  <si>
    <t>Sales Mapping</t>
  </si>
  <si>
    <t>Payment Confirmation</t>
  </si>
  <si>
    <t>SUM of Delivered Qty</t>
  </si>
  <si>
    <t>SUM of Qty Sold</t>
  </si>
  <si>
    <t>Product</t>
  </si>
  <si>
    <t>Farmer code</t>
  </si>
  <si>
    <t>Farmer Name</t>
  </si>
  <si>
    <t>BMC Name</t>
  </si>
  <si>
    <t>Deliver Qty</t>
  </si>
  <si>
    <t>Deliver Value</t>
  </si>
  <si>
    <t>Challen No</t>
  </si>
  <si>
    <t>Remark</t>
  </si>
  <si>
    <t>Done</t>
  </si>
  <si>
    <t>(blank)</t>
  </si>
  <si>
    <t/>
  </si>
  <si>
    <t>Column Labels</t>
  </si>
  <si>
    <t>Sum of Dues</t>
  </si>
  <si>
    <t>Particulars</t>
  </si>
  <si>
    <t>Amount</t>
  </si>
  <si>
    <t>Opening Stock</t>
  </si>
  <si>
    <t>Purchase</t>
  </si>
  <si>
    <t>Closing Stock</t>
  </si>
  <si>
    <t>Outstanding Aging</t>
  </si>
  <si>
    <t>Value</t>
  </si>
  <si>
    <t>Catchment</t>
  </si>
  <si>
    <t>Sum of Qty Sold</t>
  </si>
  <si>
    <t>Delivery Pending against deduction</t>
  </si>
  <si>
    <t>CSP</t>
  </si>
  <si>
    <t>New Code</t>
  </si>
  <si>
    <t>Farmer</t>
  </si>
  <si>
    <t>Old</t>
  </si>
  <si>
    <t>Column1</t>
  </si>
  <si>
    <t>MB</t>
  </si>
  <si>
    <t>Net</t>
  </si>
  <si>
    <t>Dues</t>
  </si>
  <si>
    <t>Column2</t>
  </si>
  <si>
    <t>Item Name</t>
  </si>
  <si>
    <t>Rate/Bag</t>
  </si>
  <si>
    <t>Remarks on Ageing above &lt;30 Days</t>
  </si>
  <si>
    <t>Buff Spl 50 Kg</t>
  </si>
  <si>
    <t>ITKI</t>
  </si>
  <si>
    <t>Pali</t>
  </si>
  <si>
    <t>Hisri</t>
  </si>
  <si>
    <t>Choreya</t>
  </si>
  <si>
    <t>Ormanjhi</t>
  </si>
  <si>
    <t>Chuttu</t>
  </si>
  <si>
    <t>Dumardagga</t>
  </si>
  <si>
    <t>Gargaon</t>
  </si>
  <si>
    <t>Bero</t>
  </si>
  <si>
    <t>Palma</t>
  </si>
  <si>
    <t>Baski</t>
  </si>
  <si>
    <t>Itki</t>
  </si>
  <si>
    <t>Piragutu</t>
  </si>
  <si>
    <t>Godrej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</si>
  <si>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</si>
  <si>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</si>
  <si>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</si>
  <si>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</si>
  <si>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</si>
  <si>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</si>
  <si>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</si>
  <si>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</si>
  <si>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</si>
  <si>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</si>
  <si>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</si>
  <si>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</si>
  <si>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FY 25-26</t>
  </si>
  <si>
    <t>Distribution Cost</t>
  </si>
  <si>
    <t>Net Profit</t>
  </si>
  <si>
    <t>Incentive</t>
  </si>
  <si>
    <t>Sample Test</t>
  </si>
  <si>
    <t>Rent</t>
  </si>
  <si>
    <t>Transportation</t>
  </si>
  <si>
    <t>Cattle Feed Profit &amp; Loss</t>
  </si>
  <si>
    <t>Cattle Feed</t>
  </si>
  <si>
    <t>Yes</t>
  </si>
  <si>
    <t>Dues Statement as on Date</t>
  </si>
  <si>
    <t>Chanho</t>
  </si>
  <si>
    <t>JH/PO/023/25-26</t>
  </si>
  <si>
    <t>Tikotoli</t>
  </si>
  <si>
    <t>Feb-26</t>
  </si>
  <si>
    <t>JH/PO/025/25-26</t>
  </si>
  <si>
    <t>Nawatand</t>
  </si>
  <si>
    <t>Tutlo</t>
  </si>
  <si>
    <t>Barhe</t>
  </si>
  <si>
    <t>Deduction Date</t>
  </si>
  <si>
    <t>13-02-2026- 19-02-2026</t>
  </si>
  <si>
    <t>Gomukh Gold 50KG</t>
  </si>
  <si>
    <t>Feb</t>
  </si>
  <si>
    <t>0030</t>
  </si>
  <si>
    <t>0033</t>
  </si>
  <si>
    <t>0023</t>
  </si>
  <si>
    <t>0038</t>
  </si>
  <si>
    <t>0039</t>
  </si>
  <si>
    <t>Daya Society</t>
  </si>
  <si>
    <t>Bijuliya</t>
  </si>
  <si>
    <t>605820300186</t>
  </si>
  <si>
    <t>Y</t>
  </si>
  <si>
    <t>Bank</t>
  </si>
  <si>
    <t>0-14</t>
  </si>
  <si>
    <t>Adelhootu</t>
  </si>
  <si>
    <t>Boriya</t>
  </si>
  <si>
    <t>Erchoro</t>
  </si>
  <si>
    <t>Etachildri</t>
  </si>
  <si>
    <t>Masu</t>
  </si>
  <si>
    <t>Transfer</t>
  </si>
  <si>
    <t>Dec</t>
  </si>
  <si>
    <t>28-11-2025- 04-12-2025</t>
  </si>
  <si>
    <t>0002</t>
  </si>
  <si>
    <t>28 Nov - 04 Dec</t>
  </si>
  <si>
    <t>20-02-2026- 26-02-2026</t>
  </si>
  <si>
    <t>0003</t>
  </si>
  <si>
    <t>0004</t>
  </si>
  <si>
    <t>0058</t>
  </si>
  <si>
    <t>0036</t>
  </si>
  <si>
    <t>0052</t>
  </si>
  <si>
    <t>20 Feb - 26 Feb</t>
  </si>
  <si>
    <t>13 Feb - 19 Feb &amp; 20-26 Feb</t>
  </si>
  <si>
    <t>Dhantatoli</t>
  </si>
  <si>
    <t>Saram</t>
  </si>
  <si>
    <t>Mar-26</t>
  </si>
  <si>
    <t>Pakariyo2</t>
  </si>
  <si>
    <t>Naudi</t>
  </si>
  <si>
    <t>Narkopi</t>
  </si>
  <si>
    <t>Pakariyo</t>
  </si>
  <si>
    <t>15-29</t>
  </si>
  <si>
    <t>JH/PO/026/25-26</t>
  </si>
  <si>
    <t>27-02-2026- 05-03-2026</t>
  </si>
  <si>
    <t>0031</t>
  </si>
  <si>
    <t>0014</t>
  </si>
  <si>
    <t>0022</t>
  </si>
  <si>
    <t>0024</t>
  </si>
  <si>
    <t>0048</t>
  </si>
  <si>
    <t>0083</t>
  </si>
  <si>
    <t>0067</t>
  </si>
  <si>
    <t>0150</t>
  </si>
  <si>
    <t>0121</t>
  </si>
  <si>
    <t>0025</t>
  </si>
  <si>
    <t>0005</t>
  </si>
  <si>
    <t>0041</t>
  </si>
  <si>
    <t>0035</t>
  </si>
  <si>
    <t>Mar</t>
  </si>
  <si>
    <t>20 Feb - 26 Feb &amp; 27-05 Mar</t>
  </si>
  <si>
    <t>27 Feb - 05 Mar</t>
  </si>
  <si>
    <t>793594484107</t>
  </si>
  <si>
    <t>881916690092</t>
  </si>
  <si>
    <t>06-02-2026- 12-02-2026</t>
  </si>
  <si>
    <t>06 Feb - 12 Feb</t>
  </si>
  <si>
    <t>Ranikhatanga</t>
  </si>
  <si>
    <t>607823344943</t>
  </si>
  <si>
    <t>06-03-2026- 12-03-2026</t>
  </si>
  <si>
    <t>0013</t>
  </si>
  <si>
    <t>0012</t>
  </si>
  <si>
    <t>0020</t>
  </si>
  <si>
    <t>0037</t>
  </si>
  <si>
    <t>OS</t>
  </si>
  <si>
    <t>Karmba</t>
  </si>
  <si>
    <t>Shifted from old sheet</t>
  </si>
  <si>
    <t>20 Feb - 26 Feb &amp; 27-05 Mar 06-12 Mar</t>
  </si>
  <si>
    <t>06 Mar - 12 Mar</t>
  </si>
  <si>
    <t>27 Feb - 05 Mar &amp; 06-12 Mar</t>
  </si>
  <si>
    <t>644582859973</t>
  </si>
  <si>
    <t>As per discussed by satendra ji ormanjhi payment 6250 adjust chuttu</t>
  </si>
  <si>
    <t>Kullu</t>
  </si>
  <si>
    <t>13-03-2026- 19-03-2026</t>
  </si>
  <si>
    <t>0008</t>
  </si>
  <si>
    <t>0047</t>
  </si>
  <si>
    <t>0032</t>
  </si>
  <si>
    <t>0007</t>
  </si>
  <si>
    <t>0061</t>
  </si>
  <si>
    <t>0063</t>
  </si>
  <si>
    <t>0059</t>
  </si>
  <si>
    <t>0054</t>
  </si>
  <si>
    <t>0021</t>
  </si>
  <si>
    <t>13 Mar - 19 Mar</t>
  </si>
  <si>
    <t>06 Mar - 12 Mar &amp; 13-19 Mar</t>
  </si>
  <si>
    <t>27 Feb - 05 Mar &amp; 13-19 Mar</t>
  </si>
  <si>
    <t>27 Feb - 05 Mar &amp; 06-12 Mar 13-19 Mar</t>
  </si>
  <si>
    <t>Apr-26</t>
  </si>
  <si>
    <t>20-03-2026- 26-03-2026</t>
  </si>
  <si>
    <t>0006</t>
  </si>
  <si>
    <t>0065</t>
  </si>
  <si>
    <t>0017</t>
  </si>
  <si>
    <t>Pakaryo1</t>
  </si>
  <si>
    <t>0026</t>
  </si>
  <si>
    <t>0027</t>
  </si>
  <si>
    <t>0028</t>
  </si>
  <si>
    <t>20 Mar - 26 Mar</t>
  </si>
  <si>
    <t>13 Mar - 19 Mar &amp; 20-26 Mar</t>
  </si>
  <si>
    <t>06 Feb - 12 Feb &amp; 20-26 Mar</t>
  </si>
  <si>
    <t>As per discussed by satendra ji ormanjhi payment 2334 adjust chuttu</t>
  </si>
  <si>
    <t>Murpa</t>
  </si>
  <si>
    <t>27-03-2026- 31-03-2026</t>
  </si>
  <si>
    <t>0042</t>
  </si>
  <si>
    <t>Marpa</t>
  </si>
  <si>
    <t>121244713613</t>
  </si>
  <si>
    <t>Kokar</t>
  </si>
  <si>
    <t>0010</t>
  </si>
  <si>
    <t>0060</t>
  </si>
  <si>
    <t>0160</t>
  </si>
  <si>
    <t>0044</t>
  </si>
  <si>
    <t>0019</t>
  </si>
  <si>
    <t>03-04-2026 To 09-04-2026</t>
  </si>
  <si>
    <t>Apr</t>
  </si>
  <si>
    <t>06 Mar - 12 Mar &amp; 20-26 Mar/03-09 Apr</t>
  </si>
  <si>
    <t>06 Mar - 12 Mar &amp; 13-19 Mar 20-26 Mar/03-09 Apr</t>
  </si>
  <si>
    <t>Jirabar</t>
  </si>
  <si>
    <t>Bhogla Toli</t>
  </si>
  <si>
    <t>10-04-2026- 16-04-2026</t>
  </si>
  <si>
    <t>0018</t>
  </si>
  <si>
    <t>0015</t>
  </si>
  <si>
    <t>Kuralu</t>
  </si>
  <si>
    <t>Jari</t>
  </si>
  <si>
    <t>0055</t>
  </si>
  <si>
    <t>0043</t>
  </si>
  <si>
    <t>Agru</t>
  </si>
  <si>
    <t>Baski2</t>
  </si>
  <si>
    <t>0049</t>
  </si>
  <si>
    <t>Uchri</t>
  </si>
  <si>
    <t>Pakariyo1</t>
  </si>
  <si>
    <t>03 Apr - 09 Apr &amp; 10-16 Apr</t>
  </si>
  <si>
    <t>03-04-2026- 09-04-2026</t>
  </si>
  <si>
    <t>10 Apr - 16 Apr</t>
  </si>
  <si>
    <t>30-44</t>
  </si>
  <si>
    <t>332944129905</t>
  </si>
  <si>
    <t>722267955317</t>
  </si>
  <si>
    <t>Boreya</t>
  </si>
  <si>
    <t>Ganeshpur</t>
  </si>
  <si>
    <t>Umedanda</t>
  </si>
  <si>
    <t>&gt;60</t>
  </si>
  <si>
    <t>159525964797</t>
  </si>
  <si>
    <t>17-04-2026 to 23-04-2026</t>
  </si>
  <si>
    <t>Elcharo</t>
  </si>
  <si>
    <t>Pakariya2</t>
  </si>
  <si>
    <t>Pakariya1</t>
  </si>
  <si>
    <t>barahe</t>
  </si>
  <si>
    <t>Bagha Toli</t>
  </si>
  <si>
    <t>Chano</t>
  </si>
  <si>
    <t>Tutlu</t>
  </si>
  <si>
    <t>17 Apr - 23 Apr</t>
  </si>
  <si>
    <t>10 Apr - 16 Apr &amp; 17-23 Apr</t>
  </si>
  <si>
    <t>03 Apr - 09 Apr &amp; 10-16 Apr 17-23 Apr</t>
  </si>
  <si>
    <t>03 Apr - 09 Apr</t>
  </si>
  <si>
    <t>20 Mar - 26 Mar &amp; 10-16 Apr 17-23 Apr</t>
  </si>
  <si>
    <t>Kuchu</t>
  </si>
  <si>
    <t>Kukui</t>
  </si>
  <si>
    <t>Kurulo</t>
  </si>
  <si>
    <t>Karamba</t>
  </si>
  <si>
    <t>May-26</t>
  </si>
  <si>
    <t>24-04-2026- 30-04-2026</t>
  </si>
  <si>
    <t>0029</t>
  </si>
  <si>
    <t>0051</t>
  </si>
  <si>
    <t>24 Apr - 30 Apr</t>
  </si>
  <si>
    <t>17 Apr - 23 Apr &amp; 24-30 Apr</t>
  </si>
  <si>
    <t>10 Apr - 16 Apr &amp; 24-30 Apr</t>
  </si>
  <si>
    <t>03 Apr - 09 Apr &amp; 17-23 Apr 24-30 Apr</t>
  </si>
  <si>
    <t>10 Apr - 16 Apr &amp; 17-23 Apr 24-30 Apr</t>
  </si>
  <si>
    <t>45-60</t>
  </si>
  <si>
    <t>As per discussed by rahul sir No deduction reason technical error</t>
  </si>
  <si>
    <t>01-05-2026- 07-05-2026</t>
  </si>
  <si>
    <t>0117</t>
  </si>
  <si>
    <t>0141</t>
  </si>
  <si>
    <t>0081</t>
  </si>
  <si>
    <t>0134</t>
  </si>
  <si>
    <t>0135</t>
  </si>
  <si>
    <t>0103</t>
  </si>
  <si>
    <t>0114</t>
  </si>
  <si>
    <t>May</t>
  </si>
  <si>
    <t>10 Apr - 16 Apr/01-07 May</t>
  </si>
  <si>
    <t>01-07 May</t>
  </si>
  <si>
    <t>24 Apr - 30 Apr/ 01-07 May</t>
  </si>
  <si>
    <t>06 Mar - 12 Mar &amp; 20-26 Mar 10-16 Apr &amp; 01-07 May 2026</t>
  </si>
  <si>
    <t>20 Mar - 26 Mar/01-07 May</t>
  </si>
  <si>
    <t>03-09 Apr 17-23 Apr &amp; 01-07 May</t>
  </si>
  <si>
    <t>24 Apr - 30 Apr/01-07 May</t>
  </si>
  <si>
    <t>30-04-2026/07 May</t>
  </si>
  <si>
    <t>10 Apr - 16 Apr/01-07 May/27-31 Mar</t>
  </si>
  <si>
    <t>20 Mar - 26 Mar/27-31 Mar</t>
  </si>
  <si>
    <t>17 Apr - 23 Apr/27-31 Mar</t>
  </si>
  <si>
    <t>03 Apr - 09 Apr/01-07 May</t>
  </si>
  <si>
    <t>13 Mar - 19 Mar &amp; 20-26 Mar/01-07 May</t>
  </si>
  <si>
    <t>10 Apr - 16 Apr/27-31 Mar</t>
  </si>
  <si>
    <t>27 Feb - 05 Mar &amp; 06-12 Mar 13-19 Mar 20-26 Mar, 27-31 Mar</t>
  </si>
  <si>
    <t>27-31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</si>
</sst>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&quot;-&quot;mmm&quot;-&quot;yyyy"/>
    <numFmt numFmtId="165" formatCode="&quot;-&quot;mmm&quot;-&quot;yyyy"/>
    <numFmt numFmtId="166" formatCode="_(* #,##0.00_);_(* \(#,##0.00\);_(* &quot;-&quot;??_);_(@_)"/>
    <numFmt numFmtId="167" formatCode="_(* #,##0_);_(* \(#,##0\);_(* &quot;-&quot;??_);_(@_)"/>
    <numFmt numFmtId="168" formatCode="[$-F800]dddd\,\ mmmm\ dd\,\ yyyy"/>
  </numFmts>
  <fonts count="4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sz val="11"/>
      <color rgb="FF0070C0"/>
      <name val="Arial"/>
      <family val="2"/>
      <scheme val="minor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color rgb="FFFFFFFF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name val="Calibri"/>
      <family val="2"/>
    </font>
    <font>
      <sz val="10"/>
      <color rgb="FF000000"/>
      <name val="Arial"/>
      <family val="2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rgb="FF92D050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5999938962981048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9" fillId="0" borderId="9" applyNumberFormat="0" applyFill="0" applyAlignment="0" applyProtection="0"/>
    <xf numFmtId="166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1">
    <xf numFmtId="0" fontId="0" fillId="0" borderId="0" xfId="0"/>
    <xf numFmtId="0" fontId="3" fillId="0" borderId="3" xfId="0" applyFont="1" applyBorder="1"/>
    <xf numFmtId="0" fontId="0" fillId="0" borderId="0" xfId="0" pivotButton="1"/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0" borderId="7" xfId="0" applyBorder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0" borderId="9" xfId="1" applyAlignment="1">
      <alignment horizontal="center" vertical="center"/>
    </xf>
    <xf numFmtId="0" fontId="11" fillId="0" borderId="0" xfId="0" applyFont="1" applyAlignment="1">
      <alignment horizontal="center"/>
    </xf>
    <xf numFmtId="167" fontId="11" fillId="0" borderId="10" xfId="0" applyNumberFormat="1" applyFont="1" applyBorder="1"/>
    <xf numFmtId="0" fontId="12" fillId="0" borderId="9" xfId="1" applyFont="1" applyAlignment="1">
      <alignment horizontal="center" vertical="center"/>
    </xf>
    <xf numFmtId="0" fontId="12" fillId="0" borderId="9" xfId="1" applyFont="1" applyFill="1" applyAlignment="1">
      <alignment horizontal="center" vertical="center"/>
    </xf>
    <xf numFmtId="0" fontId="3" fillId="0" borderId="7" xfId="0" applyFont="1" applyBorder="1"/>
    <xf numFmtId="0" fontId="3" fillId="0" borderId="7" xfId="0" quotePrefix="1" applyFont="1" applyBorder="1"/>
    <xf numFmtId="0" fontId="6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7" xfId="0" applyFont="1" applyBorder="1"/>
    <xf numFmtId="0" fontId="3" fillId="0" borderId="2" xfId="0" applyFont="1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7" fillId="0" borderId="7" xfId="0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0" fillId="0" borderId="8" xfId="0" applyBorder="1"/>
    <xf numFmtId="164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16" fontId="3" fillId="0" borderId="3" xfId="0" applyNumberFormat="1" applyFont="1" applyBorder="1"/>
    <xf numFmtId="0" fontId="17" fillId="0" borderId="7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3" fillId="0" borderId="7" xfId="0" applyFont="1" applyBorder="1" applyAlignment="1">
      <alignment horizontal="right"/>
    </xf>
    <xf numFmtId="0" fontId="0" fillId="0" borderId="0" xfId="0" applyAlignment="1">
      <alignment horizontal="right"/>
    </xf>
    <xf numFmtId="0" fontId="7" fillId="0" borderId="7" xfId="0" quotePrefix="1" applyFont="1" applyBorder="1" applyAlignment="1">
      <alignment horizontal="center"/>
    </xf>
    <xf numFmtId="0" fontId="0" fillId="3" borderId="0" xfId="0" applyFill="1"/>
    <xf numFmtId="0" fontId="3" fillId="0" borderId="7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15" fontId="3" fillId="0" borderId="7" xfId="0" applyNumberFormat="1" applyFont="1" applyBorder="1" applyAlignment="1">
      <alignment horizontal="center"/>
    </xf>
    <xf numFmtId="15" fontId="0" fillId="0" borderId="0" xfId="0" applyNumberFormat="1"/>
    <xf numFmtId="0" fontId="4" fillId="0" borderId="1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left" vertical="top"/>
    </xf>
    <xf numFmtId="0" fontId="0" fillId="0" borderId="11" xfId="0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7" xfId="0" applyBorder="1" applyAlignment="1">
      <alignment horizontal="left" vertical="top"/>
    </xf>
    <xf numFmtId="0" fontId="0" fillId="0" borderId="23" xfId="0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0" fillId="0" borderId="8" xfId="0" applyBorder="1" applyAlignment="1">
      <alignment horizontal="left" vertical="top"/>
    </xf>
    <xf numFmtId="0" fontId="7" fillId="0" borderId="8" xfId="0" applyFont="1" applyBorder="1" applyAlignment="1">
      <alignment horizontal="center"/>
    </xf>
    <xf numFmtId="0" fontId="0" fillId="0" borderId="25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7" fillId="0" borderId="7" xfId="0" applyFont="1" applyBorder="1" applyAlignment="1">
      <alignment horizontal="left" vertical="top"/>
    </xf>
    <xf numFmtId="0" fontId="18" fillId="9" borderId="26" xfId="0" applyFont="1" applyFill="1" applyBorder="1" applyAlignment="1">
      <alignment horizontal="center"/>
    </xf>
    <xf numFmtId="0" fontId="17" fillId="0" borderId="7" xfId="0" quotePrefix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7" fillId="0" borderId="7" xfId="0" applyNumberFormat="1" applyFont="1" applyBorder="1" applyAlignment="1">
      <alignment horizontal="center"/>
    </xf>
    <xf numFmtId="0" fontId="20" fillId="0" borderId="7" xfId="0" applyFont="1" applyBorder="1"/>
    <xf numFmtId="0" fontId="20" fillId="0" borderId="8" xfId="0" applyFont="1" applyBorder="1"/>
    <xf numFmtId="0" fontId="20" fillId="0" borderId="0" xfId="0" applyFont="1"/>
    <xf numFmtId="0" fontId="17" fillId="0" borderId="21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7" xfId="0" applyFont="1" applyBorder="1"/>
    <xf numFmtId="0" fontId="21" fillId="0" borderId="7" xfId="0" applyFont="1" applyBorder="1" applyAlignment="1">
      <alignment horizontal="left" vertical="top"/>
    </xf>
    <xf numFmtId="0" fontId="21" fillId="0" borderId="7" xfId="0" applyFont="1" applyBorder="1" applyAlignment="1">
      <alignment vertical="center"/>
    </xf>
    <xf numFmtId="0" fontId="21" fillId="0" borderId="7" xfId="0" applyFont="1" applyBorder="1" applyAlignment="1">
      <alignment horizontal="right"/>
    </xf>
    <xf numFmtId="15" fontId="21" fillId="0" borderId="8" xfId="0" applyNumberFormat="1" applyFont="1" applyBorder="1" applyAlignment="1">
      <alignment horizontal="right"/>
    </xf>
    <xf numFmtId="0" fontId="21" fillId="0" borderId="8" xfId="0" applyFont="1" applyBorder="1" applyAlignment="1">
      <alignment horizontal="center"/>
    </xf>
    <xf numFmtId="0" fontId="21" fillId="0" borderId="8" xfId="0" applyFont="1" applyBorder="1"/>
    <xf numFmtId="0" fontId="21" fillId="0" borderId="8" xfId="0" applyFont="1" applyBorder="1" applyAlignment="1">
      <alignment horizontal="left" vertical="top"/>
    </xf>
    <xf numFmtId="0" fontId="21" fillId="0" borderId="8" xfId="0" applyFont="1" applyBorder="1" applyAlignment="1">
      <alignment vertical="center"/>
    </xf>
    <xf numFmtId="0" fontId="22" fillId="0" borderId="7" xfId="0" applyFont="1" applyBorder="1"/>
    <xf numFmtId="0" fontId="22" fillId="0" borderId="7" xfId="0" applyFont="1" applyBorder="1" applyAlignment="1">
      <alignment horizontal="right"/>
    </xf>
    <xf numFmtId="0" fontId="6" fillId="0" borderId="0" xfId="0" applyFont="1"/>
    <xf numFmtId="0" fontId="16" fillId="0" borderId="0" xfId="0" applyFont="1"/>
    <xf numFmtId="0" fontId="13" fillId="0" borderId="0" xfId="0" applyFont="1"/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11" borderId="0" xfId="0" applyFont="1" applyFill="1" applyAlignment="1">
      <alignment horizontal="center"/>
    </xf>
    <xf numFmtId="0" fontId="1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6" fillId="12" borderId="16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 vertical="top" wrapText="1"/>
    </xf>
    <xf numFmtId="0" fontId="14" fillId="6" borderId="27" xfId="0" applyFont="1" applyFill="1" applyBorder="1" applyAlignment="1">
      <alignment horizontal="center" vertical="top" wrapText="1"/>
    </xf>
    <xf numFmtId="0" fontId="14" fillId="6" borderId="17" xfId="0" applyFont="1" applyFill="1" applyBorder="1" applyAlignment="1">
      <alignment horizontal="center" vertical="top" wrapText="1"/>
    </xf>
    <xf numFmtId="0" fontId="14" fillId="0" borderId="18" xfId="0" applyFont="1" applyBorder="1"/>
    <xf numFmtId="0" fontId="14" fillId="0" borderId="28" xfId="0" applyFont="1" applyBorder="1"/>
    <xf numFmtId="0" fontId="13" fillId="0" borderId="28" xfId="0" applyFont="1" applyBorder="1"/>
    <xf numFmtId="0" fontId="13" fillId="0" borderId="18" xfId="0" applyFont="1" applyBorder="1"/>
    <xf numFmtId="0" fontId="15" fillId="0" borderId="18" xfId="0" applyFont="1" applyBorder="1"/>
    <xf numFmtId="0" fontId="15" fillId="0" borderId="28" xfId="0" applyFont="1" applyBorder="1"/>
    <xf numFmtId="0" fontId="14" fillId="7" borderId="18" xfId="0" applyFont="1" applyFill="1" applyBorder="1"/>
    <xf numFmtId="0" fontId="14" fillId="7" borderId="28" xfId="0" applyFont="1" applyFill="1" applyBorder="1"/>
    <xf numFmtId="0" fontId="6" fillId="0" borderId="16" xfId="0" applyFont="1" applyBorder="1"/>
    <xf numFmtId="0" fontId="6" fillId="0" borderId="27" xfId="0" applyFont="1" applyBorder="1"/>
    <xf numFmtId="15" fontId="24" fillId="0" borderId="7" xfId="0" applyNumberFormat="1" applyFont="1" applyBorder="1" applyAlignment="1">
      <alignment horizontal="right"/>
    </xf>
    <xf numFmtId="0" fontId="24" fillId="0" borderId="7" xfId="0" applyFont="1" applyBorder="1" applyAlignment="1">
      <alignment horizontal="center"/>
    </xf>
    <xf numFmtId="0" fontId="24" fillId="0" borderId="7" xfId="0" applyFont="1" applyBorder="1"/>
    <xf numFmtId="0" fontId="24" fillId="0" borderId="7" xfId="0" applyFont="1" applyBorder="1" applyAlignment="1">
      <alignment horizontal="left" vertical="top"/>
    </xf>
    <xf numFmtId="0" fontId="24" fillId="0" borderId="7" xfId="0" applyFont="1" applyBorder="1" applyAlignment="1">
      <alignment vertical="center"/>
    </xf>
    <xf numFmtId="0" fontId="24" fillId="0" borderId="7" xfId="0" applyFont="1" applyBorder="1" applyAlignment="1">
      <alignment horizontal="right"/>
    </xf>
    <xf numFmtId="0" fontId="24" fillId="0" borderId="8" xfId="0" applyFont="1" applyBorder="1" applyAlignment="1">
      <alignment horizontal="center"/>
    </xf>
    <xf numFmtId="0" fontId="24" fillId="0" borderId="8" xfId="0" applyFont="1" applyBorder="1"/>
    <xf numFmtId="0" fontId="24" fillId="0" borderId="8" xfId="0" applyFont="1" applyBorder="1" applyAlignment="1">
      <alignment horizontal="left" vertical="top"/>
    </xf>
    <xf numFmtId="0" fontId="24" fillId="0" borderId="8" xfId="0" applyFont="1" applyBorder="1" applyAlignment="1">
      <alignment vertical="center"/>
    </xf>
    <xf numFmtId="0" fontId="24" fillId="0" borderId="8" xfId="0" applyFont="1" applyBorder="1" applyAlignment="1">
      <alignment horizontal="right"/>
    </xf>
    <xf numFmtId="15" fontId="21" fillId="0" borderId="7" xfId="0" applyNumberFormat="1" applyFont="1" applyBorder="1" applyAlignment="1">
      <alignment horizontal="right"/>
    </xf>
    <xf numFmtId="15" fontId="3" fillId="13" borderId="8" xfId="0" applyNumberFormat="1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/>
    </xf>
    <xf numFmtId="0" fontId="3" fillId="13" borderId="8" xfId="0" quotePrefix="1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3" fillId="14" borderId="19" xfId="0" applyFont="1" applyFill="1" applyBorder="1" applyAlignment="1">
      <alignment horizontal="left"/>
    </xf>
    <xf numFmtId="0" fontId="3" fillId="14" borderId="19" xfId="0" applyFont="1" applyFill="1" applyBorder="1" applyAlignment="1">
      <alignment horizontal="left" wrapText="1"/>
    </xf>
    <xf numFmtId="0" fontId="3" fillId="14" borderId="20" xfId="0" applyFont="1" applyFill="1" applyBorder="1" applyAlignment="1">
      <alignment horizontal="left"/>
    </xf>
    <xf numFmtId="14" fontId="22" fillId="0" borderId="7" xfId="0" applyNumberFormat="1" applyFont="1" applyBorder="1" applyAlignment="1">
      <alignment horizontal="left"/>
    </xf>
    <xf numFmtId="0" fontId="16" fillId="5" borderId="0" xfId="0" applyFont="1" applyFill="1"/>
    <xf numFmtId="0" fontId="25" fillId="0" borderId="28" xfId="0" applyFont="1" applyBorder="1"/>
    <xf numFmtId="165" fontId="3" fillId="0" borderId="3" xfId="0" applyNumberFormat="1" applyFont="1" applyBorder="1" applyAlignment="1">
      <alignment horizontal="center" vertical="center"/>
    </xf>
    <xf numFmtId="0" fontId="3" fillId="0" borderId="30" xfId="0" applyFont="1" applyBorder="1"/>
    <xf numFmtId="164" fontId="3" fillId="0" borderId="31" xfId="0" applyNumberFormat="1" applyFont="1" applyBorder="1"/>
    <xf numFmtId="0" fontId="3" fillId="0" borderId="31" xfId="0" applyFont="1" applyBorder="1"/>
    <xf numFmtId="165" fontId="3" fillId="0" borderId="31" xfId="0" applyNumberFormat="1" applyFont="1" applyBorder="1"/>
    <xf numFmtId="0" fontId="3" fillId="0" borderId="31" xfId="0" applyFont="1" applyBorder="1" applyAlignment="1">
      <alignment horizontal="center"/>
    </xf>
    <xf numFmtId="16" fontId="3" fillId="0" borderId="31" xfId="0" applyNumberFormat="1" applyFont="1" applyBorder="1"/>
    <xf numFmtId="0" fontId="3" fillId="0" borderId="29" xfId="0" applyFont="1" applyBorder="1"/>
    <xf numFmtId="0" fontId="9" fillId="4" borderId="33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166" fontId="9" fillId="0" borderId="9" xfId="1" applyNumberFormat="1" applyAlignment="1">
      <alignment vertical="center"/>
    </xf>
    <xf numFmtId="167" fontId="9" fillId="0" borderId="35" xfId="1" applyNumberFormat="1" applyBorder="1" applyAlignment="1">
      <alignment vertical="center"/>
    </xf>
    <xf numFmtId="167" fontId="3" fillId="0" borderId="10" xfId="0" applyNumberFormat="1" applyFont="1" applyBorder="1"/>
    <xf numFmtId="167" fontId="3" fillId="0" borderId="0" xfId="0" applyNumberFormat="1" applyFont="1" applyAlignment="1">
      <alignment horizontal="center"/>
    </xf>
    <xf numFmtId="166" fontId="12" fillId="0" borderId="9" xfId="1" applyNumberFormat="1" applyFont="1" applyAlignment="1">
      <alignment vertical="center"/>
    </xf>
    <xf numFmtId="167" fontId="12" fillId="0" borderId="35" xfId="1" applyNumberFormat="1" applyFont="1" applyBorder="1" applyAlignment="1">
      <alignment vertical="center"/>
    </xf>
    <xf numFmtId="166" fontId="11" fillId="0" borderId="0" xfId="2" applyFont="1" applyBorder="1"/>
    <xf numFmtId="166" fontId="12" fillId="0" borderId="9" xfId="1" applyNumberFormat="1" applyFont="1" applyFill="1" applyAlignment="1">
      <alignment vertical="center"/>
    </xf>
    <xf numFmtId="167" fontId="12" fillId="0" borderId="35" xfId="1" applyNumberFormat="1" applyFont="1" applyFill="1" applyBorder="1" applyAlignment="1">
      <alignment vertical="center"/>
    </xf>
    <xf numFmtId="166" fontId="11" fillId="0" borderId="0" xfId="2" applyFont="1" applyFill="1" applyBorder="1"/>
    <xf numFmtId="166" fontId="3" fillId="0" borderId="0" xfId="2" applyFont="1" applyBorder="1"/>
    <xf numFmtId="0" fontId="3" fillId="0" borderId="32" xfId="0" applyFont="1" applyBorder="1" applyAlignment="1">
      <alignment horizontal="center"/>
    </xf>
    <xf numFmtId="166" fontId="3" fillId="0" borderId="32" xfId="2" applyFont="1" applyBorder="1"/>
    <xf numFmtId="0" fontId="3" fillId="0" borderId="12" xfId="0" applyFont="1" applyBorder="1"/>
    <xf numFmtId="0" fontId="17" fillId="0" borderId="0" xfId="0" applyFont="1"/>
    <xf numFmtId="0" fontId="7" fillId="0" borderId="0" xfId="0" applyFont="1"/>
    <xf numFmtId="167" fontId="9" fillId="0" borderId="9" xfId="1" applyNumberFormat="1" applyAlignment="1">
      <alignment vertical="center"/>
    </xf>
    <xf numFmtId="167" fontId="11" fillId="0" borderId="0" xfId="0" applyNumberFormat="1" applyFont="1"/>
    <xf numFmtId="167" fontId="12" fillId="0" borderId="9" xfId="1" applyNumberFormat="1" applyFont="1" applyAlignment="1">
      <alignment vertical="center"/>
    </xf>
    <xf numFmtId="167" fontId="12" fillId="0" borderId="9" xfId="1" applyNumberFormat="1" applyFont="1" applyFill="1" applyAlignment="1">
      <alignment vertical="center"/>
    </xf>
    <xf numFmtId="167" fontId="3" fillId="0" borderId="0" xfId="0" applyNumberFormat="1" applyFont="1"/>
    <xf numFmtId="0" fontId="3" fillId="0" borderId="32" xfId="0" applyFont="1" applyBorder="1"/>
    <xf numFmtId="0" fontId="9" fillId="4" borderId="39" xfId="0" applyFont="1" applyFill="1" applyBorder="1" applyAlignment="1">
      <alignment horizontal="center"/>
    </xf>
    <xf numFmtId="0" fontId="9" fillId="4" borderId="40" xfId="0" applyFont="1" applyFill="1" applyBorder="1" applyAlignment="1">
      <alignment horizontal="center"/>
    </xf>
    <xf numFmtId="0" fontId="9" fillId="0" borderId="41" xfId="1" applyBorder="1" applyAlignment="1">
      <alignment horizontal="center" vertical="center"/>
    </xf>
    <xf numFmtId="167" fontId="9" fillId="0" borderId="42" xfId="1" applyNumberFormat="1" applyBorder="1" applyAlignment="1">
      <alignment vertic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167" fontId="3" fillId="0" borderId="44" xfId="0" applyNumberFormat="1" applyFont="1" applyBorder="1" applyAlignment="1">
      <alignment horizontal="center"/>
    </xf>
    <xf numFmtId="167" fontId="11" fillId="0" borderId="44" xfId="0" applyNumberFormat="1" applyFont="1" applyBorder="1"/>
    <xf numFmtId="0" fontId="12" fillId="0" borderId="41" xfId="1" applyFont="1" applyBorder="1" applyAlignment="1">
      <alignment horizontal="center" vertical="center"/>
    </xf>
    <xf numFmtId="167" fontId="12" fillId="0" borderId="42" xfId="1" applyNumberFormat="1" applyFont="1" applyBorder="1" applyAlignment="1">
      <alignment vertical="center"/>
    </xf>
    <xf numFmtId="0" fontId="11" fillId="0" borderId="44" xfId="0" applyFont="1" applyBorder="1" applyAlignment="1">
      <alignment horizontal="center"/>
    </xf>
    <xf numFmtId="0" fontId="12" fillId="0" borderId="41" xfId="1" applyFont="1" applyFill="1" applyBorder="1" applyAlignment="1">
      <alignment horizontal="center" vertical="center"/>
    </xf>
    <xf numFmtId="167" fontId="12" fillId="0" borderId="42" xfId="1" applyNumberFormat="1" applyFont="1" applyFill="1" applyBorder="1" applyAlignment="1">
      <alignment vertical="center"/>
    </xf>
    <xf numFmtId="167" fontId="3" fillId="0" borderId="44" xfId="0" applyNumberFormat="1" applyFont="1" applyBorder="1"/>
    <xf numFmtId="0" fontId="3" fillId="0" borderId="45" xfId="0" applyFont="1" applyBorder="1" applyAlignment="1">
      <alignment horizontal="center"/>
    </xf>
    <xf numFmtId="166" fontId="3" fillId="0" borderId="46" xfId="2" applyFont="1" applyBorder="1"/>
    <xf numFmtId="0" fontId="3" fillId="0" borderId="47" xfId="0" applyFont="1" applyBorder="1"/>
    <xf numFmtId="0" fontId="10" fillId="0" borderId="18" xfId="0" applyFont="1" applyBorder="1"/>
    <xf numFmtId="0" fontId="9" fillId="4" borderId="48" xfId="0" applyFont="1" applyFill="1" applyBorder="1"/>
    <xf numFmtId="0" fontId="9" fillId="0" borderId="49" xfId="1" applyBorder="1" applyAlignment="1">
      <alignment vertical="center"/>
    </xf>
    <xf numFmtId="0" fontId="3" fillId="0" borderId="28" xfId="0" applyFont="1" applyBorder="1" applyAlignment="1">
      <alignment horizontal="left" indent="2"/>
    </xf>
    <xf numFmtId="0" fontId="11" fillId="0" borderId="28" xfId="0" applyFont="1" applyBorder="1" applyAlignment="1">
      <alignment horizontal="left" indent="2"/>
    </xf>
    <xf numFmtId="0" fontId="12" fillId="0" borderId="49" xfId="1" applyFont="1" applyBorder="1" applyAlignment="1">
      <alignment vertical="center"/>
    </xf>
    <xf numFmtId="0" fontId="12" fillId="0" borderId="49" xfId="1" applyFont="1" applyFill="1" applyBorder="1" applyAlignment="1">
      <alignment vertical="center"/>
    </xf>
    <xf numFmtId="0" fontId="3" fillId="0" borderId="50" xfId="0" applyFont="1" applyBorder="1" applyAlignment="1">
      <alignment horizontal="left" indent="2"/>
    </xf>
    <xf numFmtId="0" fontId="14" fillId="0" borderId="43" xfId="0" applyFont="1" applyBorder="1"/>
    <xf numFmtId="0" fontId="0" fillId="0" borderId="7" xfId="0" applyBorder="1" applyAlignment="1">
      <alignment horizontal="center" vertical="top"/>
    </xf>
    <xf numFmtId="0" fontId="6" fillId="0" borderId="8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1" xfId="0" applyFont="1" applyBorder="1"/>
    <xf numFmtId="16" fontId="3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4" fontId="26" fillId="0" borderId="8" xfId="0" applyNumberFormat="1" applyFont="1" applyBorder="1" applyAlignment="1">
      <alignment horizontal="left"/>
    </xf>
    <xf numFmtId="0" fontId="26" fillId="0" borderId="8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3" fillId="8" borderId="8" xfId="0" applyFont="1" applyFill="1" applyBorder="1"/>
    <xf numFmtId="0" fontId="26" fillId="0" borderId="8" xfId="0" applyFont="1" applyBorder="1" applyAlignment="1">
      <alignment horizontal="center"/>
    </xf>
    <xf numFmtId="0" fontId="26" fillId="0" borderId="8" xfId="0" applyFont="1" applyBorder="1"/>
    <xf numFmtId="0" fontId="3" fillId="0" borderId="8" xfId="0" applyFont="1" applyBorder="1"/>
    <xf numFmtId="0" fontId="26" fillId="0" borderId="8" xfId="0" applyFont="1" applyBorder="1" applyAlignment="1">
      <alignment horizontal="right"/>
    </xf>
    <xf numFmtId="0" fontId="27" fillId="0" borderId="7" xfId="0" applyFont="1" applyBorder="1" applyAlignment="1">
      <alignment horizontal="right"/>
    </xf>
    <xf numFmtId="16" fontId="0" fillId="0" borderId="8" xfId="0" applyNumberFormat="1" applyBorder="1"/>
    <xf numFmtId="14" fontId="28" fillId="0" borderId="8" xfId="0" applyNumberFormat="1" applyFont="1" applyBorder="1" applyAlignment="1">
      <alignment horizontal="left"/>
    </xf>
    <xf numFmtId="0" fontId="28" fillId="0" borderId="8" xfId="0" applyFont="1" applyBorder="1" applyAlignment="1">
      <alignment horizontal="left"/>
    </xf>
    <xf numFmtId="0" fontId="28" fillId="0" borderId="8" xfId="0" applyFont="1" applyBorder="1" applyAlignment="1">
      <alignment horizontal="center"/>
    </xf>
    <xf numFmtId="0" fontId="28" fillId="0" borderId="8" xfId="0" applyFont="1" applyBorder="1"/>
    <xf numFmtId="0" fontId="28" fillId="0" borderId="8" xfId="0" applyFont="1" applyBorder="1" applyAlignment="1">
      <alignment horizontal="right"/>
    </xf>
    <xf numFmtId="0" fontId="29" fillId="0" borderId="7" xfId="0" applyFont="1" applyBorder="1" applyAlignment="1">
      <alignment horizontal="center"/>
    </xf>
    <xf numFmtId="0" fontId="29" fillId="0" borderId="7" xfId="0" applyFont="1" applyBorder="1"/>
    <xf numFmtId="0" fontId="29" fillId="0" borderId="7" xfId="0" applyFont="1" applyBorder="1" applyAlignment="1">
      <alignment horizontal="left" vertical="top"/>
    </xf>
    <xf numFmtId="0" fontId="29" fillId="0" borderId="7" xfId="0" applyFont="1" applyBorder="1" applyAlignment="1">
      <alignment vertical="center"/>
    </xf>
    <xf numFmtId="0" fontId="29" fillId="0" borderId="7" xfId="0" applyFont="1" applyBorder="1" applyAlignment="1">
      <alignment horizontal="right"/>
    </xf>
    <xf numFmtId="14" fontId="30" fillId="0" borderId="8" xfId="0" applyNumberFormat="1" applyFont="1" applyBorder="1" applyAlignment="1">
      <alignment horizontal="left"/>
    </xf>
    <xf numFmtId="0" fontId="30" fillId="0" borderId="8" xfId="0" applyFont="1" applyBorder="1" applyAlignment="1">
      <alignment horizontal="left"/>
    </xf>
    <xf numFmtId="0" fontId="30" fillId="0" borderId="8" xfId="0" applyFont="1" applyBorder="1" applyAlignment="1">
      <alignment horizontal="center"/>
    </xf>
    <xf numFmtId="0" fontId="30" fillId="0" borderId="8" xfId="0" applyFont="1" applyBorder="1"/>
    <xf numFmtId="0" fontId="30" fillId="0" borderId="8" xfId="0" applyFont="1" applyBorder="1" applyAlignment="1">
      <alignment horizontal="right"/>
    </xf>
    <xf numFmtId="0" fontId="31" fillId="0" borderId="7" xfId="0" applyFont="1" applyBorder="1" applyAlignment="1">
      <alignment horizontal="center"/>
    </xf>
    <xf numFmtId="15" fontId="29" fillId="0" borderId="7" xfId="0" applyNumberFormat="1" applyFont="1" applyBorder="1" applyAlignment="1">
      <alignment horizontal="right"/>
    </xf>
    <xf numFmtId="14" fontId="32" fillId="0" borderId="8" xfId="0" applyNumberFormat="1" applyFont="1" applyBorder="1" applyAlignment="1">
      <alignment horizontal="left"/>
    </xf>
    <xf numFmtId="0" fontId="32" fillId="0" borderId="8" xfId="0" applyFont="1" applyBorder="1" applyAlignment="1">
      <alignment horizontal="center"/>
    </xf>
    <xf numFmtId="0" fontId="32" fillId="0" borderId="8" xfId="0" applyFont="1" applyBorder="1"/>
    <xf numFmtId="0" fontId="32" fillId="0" borderId="8" xfId="0" applyFont="1" applyBorder="1" applyAlignment="1">
      <alignment horizontal="right"/>
    </xf>
    <xf numFmtId="0" fontId="33" fillId="0" borderId="7" xfId="0" applyFont="1" applyBorder="1" applyAlignment="1">
      <alignment horizontal="center"/>
    </xf>
    <xf numFmtId="0" fontId="33" fillId="0" borderId="7" xfId="0" applyFont="1" applyBorder="1"/>
    <xf numFmtId="0" fontId="33" fillId="0" borderId="7" xfId="0" applyFont="1" applyBorder="1" applyAlignment="1">
      <alignment horizontal="left" vertical="top"/>
    </xf>
    <xf numFmtId="0" fontId="33" fillId="0" borderId="7" xfId="0" applyFont="1" applyBorder="1" applyAlignment="1">
      <alignment vertical="center"/>
    </xf>
    <xf numFmtId="0" fontId="33" fillId="0" borderId="7" xfId="0" applyFont="1" applyBorder="1" applyAlignment="1">
      <alignment horizontal="right"/>
    </xf>
    <xf numFmtId="0" fontId="21" fillId="0" borderId="8" xfId="0" applyFont="1" applyBorder="1" applyAlignment="1">
      <alignment horizontal="right"/>
    </xf>
    <xf numFmtId="0" fontId="32" fillId="0" borderId="8" xfId="0" applyFont="1" applyBorder="1" applyAlignment="1">
      <alignment horizontal="left"/>
    </xf>
    <xf numFmtId="0" fontId="22" fillId="0" borderId="7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15" fontId="33" fillId="0" borderId="7" xfId="0" applyNumberFormat="1" applyFont="1" applyBorder="1" applyAlignment="1">
      <alignment horizontal="right"/>
    </xf>
    <xf numFmtId="14" fontId="35" fillId="0" borderId="8" xfId="0" applyNumberFormat="1" applyFont="1" applyBorder="1" applyAlignment="1">
      <alignment horizontal="left"/>
    </xf>
    <xf numFmtId="0" fontId="35" fillId="0" borderId="8" xfId="0" applyFont="1" applyBorder="1" applyAlignment="1">
      <alignment horizontal="left"/>
    </xf>
    <xf numFmtId="0" fontId="35" fillId="0" borderId="8" xfId="0" applyFont="1" applyBorder="1" applyAlignment="1">
      <alignment horizontal="center"/>
    </xf>
    <xf numFmtId="0" fontId="35" fillId="0" borderId="8" xfId="0" applyFont="1" applyBorder="1"/>
    <xf numFmtId="0" fontId="35" fillId="0" borderId="8" xfId="0" applyFont="1" applyBorder="1" applyAlignment="1">
      <alignment horizontal="right"/>
    </xf>
    <xf numFmtId="0" fontId="36" fillId="0" borderId="7" xfId="0" applyFont="1" applyBorder="1" applyAlignment="1">
      <alignment horizontal="center"/>
    </xf>
    <xf numFmtId="15" fontId="37" fillId="0" borderId="7" xfId="0" applyNumberFormat="1" applyFont="1" applyBorder="1" applyAlignment="1">
      <alignment horizontal="right"/>
    </xf>
    <xf numFmtId="0" fontId="37" fillId="0" borderId="7" xfId="0" applyFont="1" applyBorder="1" applyAlignment="1">
      <alignment horizontal="center"/>
    </xf>
    <xf numFmtId="0" fontId="37" fillId="0" borderId="7" xfId="0" applyFont="1" applyBorder="1"/>
    <xf numFmtId="0" fontId="37" fillId="0" borderId="7" xfId="0" applyFont="1" applyBorder="1" applyAlignment="1">
      <alignment horizontal="left" vertical="top"/>
    </xf>
    <xf numFmtId="0" fontId="37" fillId="0" borderId="7" xfId="0" applyFont="1" applyBorder="1" applyAlignment="1">
      <alignment vertical="center"/>
    </xf>
    <xf numFmtId="0" fontId="37" fillId="0" borderId="7" xfId="0" applyFont="1" applyBorder="1" applyAlignment="1">
      <alignment horizontal="right"/>
    </xf>
    <xf numFmtId="0" fontId="7" fillId="0" borderId="8" xfId="0" applyFont="1" applyBorder="1"/>
    <xf numFmtId="14" fontId="3" fillId="0" borderId="8" xfId="0" applyNumberFormat="1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4" fontId="38" fillId="0" borderId="8" xfId="0" applyNumberFormat="1" applyFont="1" applyBorder="1" applyAlignment="1">
      <alignment horizontal="left"/>
    </xf>
    <xf numFmtId="0" fontId="38" fillId="0" borderId="8" xfId="0" applyFont="1" applyBorder="1" applyAlignment="1">
      <alignment horizontal="left"/>
    </xf>
    <xf numFmtId="0" fontId="38" fillId="0" borderId="8" xfId="0" applyFont="1" applyBorder="1" applyAlignment="1">
      <alignment horizontal="center"/>
    </xf>
    <xf numFmtId="0" fontId="38" fillId="0" borderId="8" xfId="0" applyFont="1" applyBorder="1"/>
    <xf numFmtId="0" fontId="38" fillId="0" borderId="8" xfId="0" applyFont="1" applyBorder="1" applyAlignment="1">
      <alignment horizontal="right"/>
    </xf>
    <xf numFmtId="0" fontId="39" fillId="0" borderId="7" xfId="0" applyFont="1" applyBorder="1" applyAlignment="1">
      <alignment horizontal="center"/>
    </xf>
    <xf numFmtId="15" fontId="40" fillId="0" borderId="7" xfId="0" applyNumberFormat="1" applyFont="1" applyBorder="1" applyAlignment="1">
      <alignment horizontal="right"/>
    </xf>
    <xf numFmtId="0" fontId="40" fillId="0" borderId="7" xfId="0" applyFont="1" applyBorder="1" applyAlignment="1">
      <alignment horizontal="center"/>
    </xf>
    <xf numFmtId="0" fontId="40" fillId="0" borderId="7" xfId="0" applyFont="1" applyBorder="1"/>
    <xf numFmtId="0" fontId="40" fillId="0" borderId="7" xfId="0" applyFont="1" applyBorder="1" applyAlignment="1">
      <alignment horizontal="left" vertical="top"/>
    </xf>
    <xf numFmtId="0" fontId="40" fillId="0" borderId="7" xfId="0" applyFont="1" applyBorder="1" applyAlignment="1">
      <alignment vertical="center"/>
    </xf>
    <xf numFmtId="0" fontId="40" fillId="0" borderId="7" xfId="0" applyFont="1" applyBorder="1" applyAlignment="1">
      <alignment horizontal="right"/>
    </xf>
    <xf numFmtId="14" fontId="41" fillId="0" borderId="8" xfId="0" applyNumberFormat="1" applyFont="1" applyBorder="1" applyAlignment="1">
      <alignment horizontal="left"/>
    </xf>
    <xf numFmtId="0" fontId="41" fillId="0" borderId="8" xfId="0" applyFont="1" applyBorder="1" applyAlignment="1">
      <alignment horizontal="left"/>
    </xf>
    <xf numFmtId="0" fontId="41" fillId="0" borderId="8" xfId="0" applyFont="1" applyBorder="1" applyAlignment="1">
      <alignment horizontal="center"/>
    </xf>
    <xf numFmtId="0" fontId="41" fillId="0" borderId="8" xfId="0" applyFont="1" applyBorder="1"/>
    <xf numFmtId="0" fontId="41" fillId="0" borderId="8" xfId="0" applyFont="1" applyBorder="1" applyAlignment="1">
      <alignment horizontal="right"/>
    </xf>
    <xf numFmtId="0" fontId="6" fillId="0" borderId="0" xfId="0" pivotButton="1" applyFont="1"/>
    <xf numFmtId="0" fontId="6" fillId="0" borderId="0" xfId="0" pivotButton="1" applyFont="1" applyAlignment="1">
      <alignment horizontal="center"/>
    </xf>
    <xf numFmtId="0" fontId="3" fillId="0" borderId="7" xfId="0" quotePrefix="1" applyFont="1" applyBorder="1" applyAlignment="1">
      <alignment horizontal="center"/>
    </xf>
    <xf numFmtId="16" fontId="7" fillId="0" borderId="8" xfId="0" applyNumberFormat="1" applyFont="1" applyBorder="1"/>
    <xf numFmtId="0" fontId="16" fillId="5" borderId="0" xfId="0" applyFont="1" applyFill="1" applyAlignment="1">
      <alignment horizontal="center"/>
    </xf>
    <xf numFmtId="0" fontId="15" fillId="11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wrapText="1"/>
    </xf>
    <xf numFmtId="0" fontId="23" fillId="12" borderId="27" xfId="0" applyFont="1" applyFill="1" applyBorder="1" applyAlignment="1">
      <alignment horizontal="center"/>
    </xf>
    <xf numFmtId="0" fontId="23" fillId="12" borderId="17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/>
    </xf>
    <xf numFmtId="0" fontId="16" fillId="5" borderId="14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0" fillId="0" borderId="0" xfId="0" applyNumberFormat="1"/>
    <xf numFmtId="0" fontId="6" fillId="0" borderId="0" xfId="0" applyFont="1" applyBorder="1"/>
    <xf numFmtId="0" fontId="6" fillId="0" borderId="0" xfId="0" pivotButton="1" applyFont="1" applyBorder="1"/>
    <xf numFmtId="0" fontId="6" fillId="0" borderId="0" xfId="0" applyNumberFormat="1" applyFont="1" applyBorder="1"/>
    <xf numFmtId="14" fontId="0" fillId="0" borderId="7" xfId="0" applyNumberFormat="1" applyBorder="1"/>
  </cellXfs>
  <cellStyles count="6">
    <cellStyle name="Comma 2" xfId="2" xr:uid="{21C25420-4CFF-466C-ABD1-7C9CF3629360}"/>
    <cellStyle name="Comma 3" xfId="4" xr:uid="{9CE61756-CA93-4A5A-8727-0108F2CE8EE7}"/>
    <cellStyle name="Currency 2" xfId="5" xr:uid="{BABD2100-ECB9-45D5-9AD3-424E66BDBB1F}"/>
    <cellStyle name="Normal" xfId="0" builtinId="0"/>
    <cellStyle name="Normal 2" xfId="3" xr:uid="{72E657BE-FC62-4316-956A-62186A93DB8B}"/>
    <cellStyle name="Total" xfId="1" builtinId="25"/>
  </cellStyles>
  <dxfs count="1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1" formatCode="dd/mmm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1" formatCode="dd/mmm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&quot;-&quot;mmm&quot;-&quot;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&quot;-&quot;mmm&quot;-&quot;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&quot;-&quot;mmm&quot;-&quot;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&quot;-&quot;mmm&quot;-&quot;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&quot;-&quot;mmm&quot;-&quot;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&quot;-&quot;mmm&quot;-&quot;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alignment horizontal="center"/>
    </dxf>
    <dxf>
      <alignment horizontal="center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alignment wrapText="1"/>
    </dxf>
    <dxf>
      <alignment wrapText="1"/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center"/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0" formatCode="dd/mmm/yy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top style="thin">
          <color rgb="FF000000"/>
        </top>
      </border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92D050"/>
          <bgColor rgb="FF92D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pam" refreshedDate="46155.560647453705" createdVersion="8" refreshedVersion="8" minRefreshableVersion="3" recordCount="331" xr:uid="{F66B74EA-6E43-4293-BA24-50F1A2550A98}">
  <cacheSource type="worksheet">
    <worksheetSource name="Table3"/>
  </cacheSource>
  <cacheFields count="17">
    <cacheField name="Month" numFmtId="0">
      <sharedItems/>
    </cacheField>
    <cacheField name="Date" numFmtId="15">
      <sharedItems containsSemiMixedTypes="0" containsNonDate="0" containsDate="1" containsString="0" minDate="2025-12-04T00:00:00" maxDate="2026-05-01T00:00:00"/>
    </cacheField>
    <cacheField name="Cycle" numFmtId="0">
      <sharedItems/>
    </cacheField>
    <cacheField name="Product" numFmtId="0">
      <sharedItems/>
    </cacheField>
    <cacheField name="MPG Code" numFmtId="0">
      <sharedItems containsSemiMixedTypes="0" containsString="0" containsNumber="1" containsInteger="1" minValue="20010001" maxValue="20090026"/>
    </cacheField>
    <cacheField name="MPG Name" numFmtId="0">
      <sharedItems containsBlank="1"/>
    </cacheField>
    <cacheField name="Farmer code" numFmtId="0">
      <sharedItems/>
    </cacheField>
    <cacheField name="Farmer Name" numFmtId="0">
      <sharedItems containsNonDate="0" containsString="0" containsBlank="1"/>
    </cacheField>
    <cacheField name="BMC Name" numFmtId="0">
      <sharedItems containsBlank="1" count="45">
        <s v="Pali"/>
        <s v="Bero"/>
        <s v="Ormanjhi"/>
        <s v="Chanho"/>
        <s v="Gargaon"/>
        <s v="Piragutu"/>
        <s v="Dumardagga"/>
        <s v="Chuttu"/>
        <s v="ITKI"/>
        <m/>
        <s v="Baski"/>
        <s v="Chano"/>
        <s v="Hisri"/>
        <s v="Choreya" u="1"/>
        <s v="Palma" u="1"/>
        <s v="Dumraon" u="1"/>
        <s v="Dalsinghsarai" u="1"/>
        <s v="Sahebpur Kamal" u="1"/>
        <s v="Musrigharari" u="1"/>
        <s v="Parbatta" u="1"/>
        <s v="Halsi" u="1"/>
        <s v="Majhaul" u="1"/>
        <s v="Lakhisarai" u="1"/>
        <s v="Sonvarsha" u="1"/>
        <s v="Teghra" u="1"/>
        <s v="Asarganj" u="1"/>
        <s v="Laldiyara" u="1"/>
        <s v="Kalyanpur" u="1"/>
        <s v="Sahibpur Kamal" u="1"/>
        <s v="Jhandapur" u="1"/>
        <s v="Araria" u="1"/>
        <s v="Arariya" u="1"/>
        <s v="Simri" u="1"/>
        <s v="Manjhaol" u="1"/>
        <s v="Dalsingsarai" u="1"/>
        <s v="Sonversha" u="1"/>
        <s v="S. Kamal" u="1"/>
        <s v="Asarganj " u="1"/>
        <s v="Jhandapur " u="1"/>
        <s v="Araria bmc" u="1"/>
        <s v="Araria bmc " u="1"/>
        <s v="Parbatta " u="1"/>
        <s v="Araiya" u="1"/>
        <s v="Araria " u="1"/>
        <s v="Arria bmc " u="1"/>
      </sharedItems>
    </cacheField>
    <cacheField name="CSP" numFmtId="0">
      <sharedItems/>
    </cacheField>
    <cacheField name="Deliver Qty" numFmtId="0">
      <sharedItems containsString="0" containsBlank="1" containsNumber="1" containsInteger="1" minValue="0" maxValue="80"/>
    </cacheField>
    <cacheField name="Rate" numFmtId="0">
      <sharedItems containsString="0" containsBlank="1" containsNumber="1" containsInteger="1" minValue="1250" maxValue="1250"/>
    </cacheField>
    <cacheField name="Deliver Value" numFmtId="0">
      <sharedItems containsSemiMixedTypes="0" containsString="0" containsNumber="1" containsInteger="1" minValue="15" maxValue="126000"/>
    </cacheField>
    <cacheField name="Challen No" numFmtId="0">
      <sharedItems containsString="0" containsBlank="1" containsNumber="1" containsInteger="1" minValue="0" maxValue="0"/>
    </cacheField>
    <cacheField name="Remark" numFmtId="0">
      <sharedItems containsBlank="1" count="10">
        <s v="Done"/>
        <m/>
        <s v="Return" u="1"/>
        <s v="Old" u="1"/>
        <s v="ND" u="1"/>
        <s v="Advance" u="1"/>
        <s v="New" u="1"/>
        <s v="NA" u="1"/>
        <s v="Old Stock" u="1"/>
        <s v="d" u="1"/>
      </sharedItems>
    </cacheField>
    <cacheField name="Column1" numFmtId="0">
      <sharedItems containsBlank="1"/>
    </cacheField>
    <cacheField name="Column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a Society" refreshedDate="46159.392407754633" createdVersion="8" refreshedVersion="8" minRefreshableVersion="3" recordCount="136" xr:uid="{39800F92-8C0E-404E-A1C4-046C68179F01}">
  <cacheSource type="worksheet">
    <worksheetSource name="Table1"/>
  </cacheSource>
  <cacheFields count="19">
    <cacheField name="Date" numFmtId="14">
      <sharedItems containsSemiMixedTypes="0" containsNonDate="0" containsDate="1" containsString="0" minDate="2026-02-19T00:00:00" maxDate="2026-05-09T00:00:00"/>
    </cacheField>
    <cacheField name="Godown" numFmtId="0">
      <sharedItems containsBlank="1" count="24">
        <s v="Pali"/>
        <s v="Chanho"/>
        <s v="Dumardagga"/>
        <s v="Ormanjhi"/>
        <s v="Bero"/>
        <s v="Piragutu"/>
        <s v="Chuttu"/>
        <s v="Hisri"/>
        <s v="ITKI"/>
        <m u="1"/>
        <s v="Gargaon" u="1"/>
        <s v="Palma" u="1"/>
        <s v="Choreya" u="1"/>
        <s v="Baski" u="1"/>
        <s v="Dumraon" u="1"/>
        <s v="Kalyanpur" u="1"/>
        <s v="Lakhisarai" u="1"/>
        <s v="Manjhaul" u="1"/>
        <s v="Simri" u="1"/>
        <s v="Parbatta" u="1"/>
        <s v="Sahebpur Kamal" u="1"/>
        <s v="Asarganj" u="1"/>
        <s v="Muslighrarai" u="1"/>
        <s v="Teghra" u="1"/>
      </sharedItems>
    </cacheField>
    <cacheField name="MPG Name" numFmtId="0">
      <sharedItems/>
    </cacheField>
    <cacheField name="New Code" numFmtId="0">
      <sharedItems containsSemiMixedTypes="0" containsString="0" containsNumber="1" containsInteger="1" minValue="20010001" maxValue="20090026"/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200"/>
    </cacheField>
    <cacheField name="Rate" numFmtId="0">
      <sharedItems containsSemiMixedTypes="0" containsString="0" containsNumber="1" containsInteger="1" minValue="0" maxValue="1250"/>
    </cacheField>
    <cacheField name="Sales Amount" numFmtId="0">
      <sharedItems containsSemiMixedTypes="0" containsString="0" containsNumber="1" containsInteger="1" minValue="1250" maxValue="240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String="0" containsBlank="1" containsNumber="1" containsInteger="1" minValue="4730" maxValue="4848"/>
    </cacheField>
    <cacheField name="Month" numFmtId="0">
      <sharedItems containsBlank="1" count="34">
        <s v="Feb-26"/>
        <s v="Mar-26"/>
        <s v="Apr-26"/>
        <s v="May-26"/>
        <s v="Jan-00" u="1"/>
        <s v="Apr-25" u="1"/>
        <s v="May-25" u="1"/>
        <s v="Jun-25" u="1"/>
        <s v="Jul-25" u="1"/>
        <s v="Aug-25" u="1"/>
        <s v="Sep-25" u="1"/>
        <s v="Oct-25" u="1"/>
        <s v="Nov-25" u="1"/>
        <s v="Dec-25" u="1"/>
        <s v="Jan-26" u="1"/>
        <s v="Apr-24" u="1"/>
        <s v="May-24" u="1"/>
        <s v="Jun-24" u="1"/>
        <s v="Jul-24" u="1"/>
        <s v="Aug-24" u="1"/>
        <s v="Sep-24" u="1"/>
        <s v="Oct-24" u="1"/>
        <s v="Nov-24" u="1"/>
        <s v="Dec-24" u="1"/>
        <s v="Jan-25" u="1"/>
        <s v="Feb-25" u="1"/>
        <s v="Mar-25" u="1"/>
        <e v="#VALUE!" u="1"/>
        <s v="Nov-23" u="1"/>
        <s v="Dec-23" u="1"/>
        <s v="Mar-24" u="1"/>
        <s v="Jan-24" u="1"/>
        <s v="Feb-24" u="1"/>
        <m u="1"/>
      </sharedItems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Date="1" containsBlank="1" containsMixedTypes="1" minDate="2025-12-04T00:00:00" maxDate="2026-05-08T00:00:00"/>
    </cacheField>
    <cacheField name="Payment Amt" numFmtId="0">
      <sharedItems containsString="0" containsBlank="1" containsNumber="1" containsInteger="1" minValue="1250" maxValue="240000"/>
    </cacheField>
    <cacheField name="Dues" numFmtId="0">
      <sharedItems containsSemiMixedTypes="0" containsString="0" containsNumber="1" containsInteger="1" minValue="0" maxValue="125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0" maxValue="72" count="11">
        <n v="0"/>
        <n v="72"/>
        <n v="61"/>
        <n v="52"/>
        <n v="45"/>
        <n v="44"/>
        <n v="22"/>
        <n v="17"/>
        <n v="20"/>
        <n v="12"/>
        <n v="9"/>
      </sharedItems>
      <fieldGroup base="18">
        <rangePr autoEnd="0" startNum="0" endNum="60" groupInterval="15"/>
        <groupItems count="6">
          <s v="&lt;0"/>
          <s v="0-14"/>
          <s v="15-29"/>
          <s v="30-44"/>
          <s v="45-60"/>
          <s v="&gt;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hul" refreshedDate="46161.422009722221" refreshedVersion="8" recordCount="136" xr:uid="{00000000-000A-0000-FFFF-FFFF03000000}">
  <cacheSource type="worksheet">
    <worksheetSource ref="A1:O137" sheet="Sales"/>
  </cacheSource>
  <cacheFields count="15">
    <cacheField name="Date" numFmtId="14">
      <sharedItems containsSemiMixedTypes="0" containsNonDate="0" containsDate="1" containsString="0" minDate="2026-02-19T00:00:00" maxDate="2026-05-09T00:00:00"/>
    </cacheField>
    <cacheField name="Godown" numFmtId="0">
      <sharedItems containsMixedTypes="1" containsNumber="1" containsInteger="1" minValue="0" maxValue="0" count="10">
        <s v="Pali"/>
        <s v="Chanho"/>
        <s v="Dumardagga"/>
        <s v="Ormanjhi"/>
        <s v="Bero"/>
        <s v="Piragutu"/>
        <s v="Chuttu"/>
        <s v="Hisri"/>
        <s v="ITKI"/>
        <n v="0" u="1"/>
      </sharedItems>
    </cacheField>
    <cacheField name="MPG Name" numFmtId="0">
      <sharedItems/>
    </cacheField>
    <cacheField name="New Code" numFmtId="0">
      <sharedItems containsSemiMixedTypes="0" containsString="0" containsNumber="1" containsInteger="1" minValue="20010001" maxValue="20090026"/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200"/>
    </cacheField>
    <cacheField name="Rate" numFmtId="0">
      <sharedItems containsSemiMixedTypes="0" containsString="0" containsNumber="1" containsInteger="1" minValue="0" maxValue="1250"/>
    </cacheField>
    <cacheField name="Sales Amount" numFmtId="0">
      <sharedItems containsSemiMixedTypes="0" containsString="0" containsNumber="1" containsInteger="1" minValue="1250" maxValue="240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String="0" containsBlank="1" containsNumber="1" containsInteger="1" minValue="4730" maxValue="4848"/>
    </cacheField>
    <cacheField name="Month" numFmtId="0">
      <sharedItems containsBlank="1" count="34">
        <s v="Feb-26"/>
        <s v="Mar-26"/>
        <s v="Apr-26"/>
        <s v="May-26"/>
        <s v="Jan-00" u="1"/>
        <s v="Apr-25" u="1"/>
        <s v="May-25" u="1"/>
        <s v="Jun-25" u="1"/>
        <s v="Jul-25" u="1"/>
        <s v="Aug-25" u="1"/>
        <s v="Sep-25" u="1"/>
        <s v="Oct-25" u="1"/>
        <s v="Nov-25" u="1"/>
        <s v="Dec-25" u="1"/>
        <s v="Jan-26" u="1"/>
        <s v="Apr-24" u="1"/>
        <s v="May-24" u="1"/>
        <s v="Jun-24" u="1"/>
        <s v="Jul-24" u="1"/>
        <s v="Aug-24" u="1"/>
        <s v="Sep-24" u="1"/>
        <s v="Oct-24" u="1"/>
        <s v="Nov-24" u="1"/>
        <s v="Dec-24" u="1"/>
        <s v="Jan-25" u="1"/>
        <s v="Feb-25" u="1"/>
        <s v="Mar-25" u="1"/>
        <e v="#VALUE!" u="1"/>
        <m u="1"/>
        <s v="Nov-23" u="1"/>
        <s v="Dec-23" u="1"/>
        <s v="Mar-24" u="1"/>
        <s v="Jan-24" u="1"/>
        <s v="Feb-24" u="1"/>
      </sharedItems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Date="1" containsBlank="1" containsMixedTypes="1" minDate="2025-12-04T00:00:00" maxDate="2026-05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hul" refreshedDate="46161.422010069444" refreshedVersion="8" recordCount="21" xr:uid="{00000000-000A-0000-FFFF-FFFF02000000}">
  <cacheSource type="worksheet">
    <worksheetSource ref="A1:P996" sheet="Purchases"/>
  </cacheSource>
  <cacheFields count="16">
    <cacheField name="PO NO" numFmtId="0">
      <sharedItems containsBlank="1"/>
    </cacheField>
    <cacheField name="PO Date" numFmtId="0">
      <sharedItems containsNonDate="0" containsDate="1" containsString="0" containsBlank="1" minDate="2026-02-05T00:00:00" maxDate="2026-03-03T00:00:00"/>
    </cacheField>
    <cacheField name="Purcahse From" numFmtId="0">
      <sharedItems containsBlank="1"/>
    </cacheField>
    <cacheField name="Invoice No" numFmtId="0">
      <sharedItems containsString="0" containsBlank="1" containsNumber="1" containsInteger="1" minValue="1282532245" maxValue="1282532430"/>
    </cacheField>
    <cacheField name="Invoice Date" numFmtId="0">
      <sharedItems containsNonDate="0" containsDate="1" containsString="0" containsBlank="1" minDate="2026-02-10T00:00:00" maxDate="2026-05-05T00:00:00"/>
    </cacheField>
    <cacheField name="Month" numFmtId="0">
      <sharedItems containsNonDate="0" containsDate="1" containsString="0" containsBlank="1" minDate="2023-11-23T00:00:00" maxDate="2026-04-02T00:00:00" count="28">
        <d v="2026-02-01T00:00:00"/>
        <d v="2026-03-01T00:00:00"/>
        <d v="2026-04-01T00:00:00"/>
        <m/>
        <d v="2025-07-01T00:00:00" u="1"/>
        <d v="2025-08-01T00:00:00" u="1"/>
        <d v="2025-10-01T00:00:00" u="1"/>
        <d v="2026-01-01T00:00:00" u="1"/>
        <d v="2025-05-01T00:00:00" u="1"/>
        <d v="2025-11-01T00:00:00" u="1"/>
        <d v="2024-04-01T00:00:00" u="1"/>
        <d v="2024-05-01T00:00:00" u="1"/>
        <d v="2024-06-01T00:00:00" u="1"/>
        <d v="2024-07-01T00:00:00" u="1"/>
        <d v="2024-08-01T00:00:00" u="1"/>
        <d v="2024-09-01T00:00:00" u="1"/>
        <d v="2024-10-01T00:00:00" u="1"/>
        <d v="2024-11-01T00:00:00" u="1"/>
        <d v="2024-12-01T00:00:00" u="1"/>
        <d v="2025-01-01T00:00:00" u="1"/>
        <d v="2025-02-01T00:00:00" u="1"/>
        <d v="2025-03-01T00:00:00" u="1"/>
        <d v="2025-04-01T00:00:00" u="1"/>
        <d v="2023-11-23T00:00:00" u="1"/>
        <d v="2023-12-01T00:00:00" u="1"/>
        <d v="2024-01-01T00:00:00" u="1"/>
        <d v="2024-02-01T00:00:00" u="1"/>
        <d v="2024-03-01T00:00:00" u="1"/>
      </sharedItems>
    </cacheField>
    <cacheField name="Item" numFmtId="0">
      <sharedItems containsBlank="1"/>
    </cacheField>
    <cacheField name="Qty" numFmtId="0">
      <sharedItems containsString="0" containsBlank="1" containsNumber="1" containsInteger="1" minValue="-50" maxValue="1496"/>
    </cacheField>
    <cacheField name="Rate" numFmtId="0">
      <sharedItems containsString="0" containsBlank="1" containsNumber="1" containsInteger="1" minValue="0" maxValue="1080"/>
    </cacheField>
    <cacheField name="AMOUNT" numFmtId="0">
      <sharedItems containsString="0" containsBlank="1" containsNumber="1" containsInteger="1" minValue="0" maxValue="1595760"/>
    </cacheField>
    <cacheField name="Delivered at" numFmtId="0">
      <sharedItems containsBlank="1" count="23">
        <s v="Piragutu"/>
        <s v="Pali"/>
        <s v="Hisri"/>
        <s v="Itki"/>
        <s v="Bero"/>
        <s v="Ormanjhi"/>
        <s v="Chanho"/>
        <s v="Chuttu"/>
        <s v="Dumardagga"/>
        <m/>
        <s v="Gargaon" u="1"/>
        <s v="Baski" u="1"/>
        <s v="Dumraon" u="1"/>
        <s v="Lakhisarai" u="1"/>
        <s v="Sahebpur Kamal" u="1"/>
        <s v="Teghra" u="1"/>
        <s v="Manjhaul" u="1"/>
        <s v="Parbatta" u="1"/>
        <s v="Simri" u="1"/>
        <s v="Muslighrarai" u="1"/>
        <s v="Asarganj" u="1"/>
        <s v="Kalyanpur" u="1"/>
        <s v="Bishanpur Beri" u="1"/>
      </sharedItems>
    </cacheField>
    <cacheField name="Delivered Item" numFmtId="0">
      <sharedItems containsBlank="1"/>
    </cacheField>
    <cacheField name="Delivered Qty" numFmtId="0">
      <sharedItems containsString="0" containsBlank="1" containsNumber="1" containsInteger="1" minValue="-50" maxValue="300"/>
    </cacheField>
    <cacheField name="Dilvery Challan Number" numFmtId="0">
      <sharedItems containsString="0" containsBlank="1" containsNumber="1" containsInteger="1" minValue="8003564894" maxValue="8003585814"/>
    </cacheField>
    <cacheField name="GRN document received" numFmtId="0">
      <sharedItems containsBlank="1"/>
    </cacheField>
    <cacheField name="Delivered date" numFmtId="0">
      <sharedItems containsNonDate="0" containsDate="1" containsString="0" containsBlank="1" minDate="2026-02-12T00:00:00" maxDate="2026-03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hul" refreshedDate="46161.422010185182" createdVersion="8" refreshedVersion="8" minRefreshableVersion="3" recordCount="136" xr:uid="{9F27C4E0-F3EF-4894-9942-FF88A9857757}">
  <cacheSource type="worksheet">
    <worksheetSource name="Table1[[Godown]:[Dues]]"/>
  </cacheSource>
  <cacheFields count="16">
    <cacheField name="Godown" numFmtId="0">
      <sharedItems containsMixedTypes="1" containsNumber="1" containsInteger="1" minValue="0" maxValue="0" count="10">
        <s v="Pali"/>
        <s v="Chanho"/>
        <s v="Dumardagga"/>
        <s v="Ormanjhi"/>
        <s v="Bero"/>
        <s v="Piragutu"/>
        <s v="Chuttu"/>
        <s v="Hisri"/>
        <s v="ITKI"/>
        <n v="0" u="1"/>
      </sharedItems>
    </cacheField>
    <cacheField name="MPG Name" numFmtId="0">
      <sharedItems/>
    </cacheField>
    <cacheField name="New Code" numFmtId="0">
      <sharedItems containsSemiMixedTypes="0" containsString="0" containsNumber="1" containsInteger="1" minValue="20010001" maxValue="20090026"/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200"/>
    </cacheField>
    <cacheField name="Rate" numFmtId="0">
      <sharedItems containsSemiMixedTypes="0" containsString="0" containsNumber="1" containsInteger="1" minValue="0" maxValue="1250"/>
    </cacheField>
    <cacheField name="Sales Amount" numFmtId="0">
      <sharedItems containsSemiMixedTypes="0" containsString="0" containsNumber="1" containsInteger="1" minValue="1250" maxValue="240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String="0" containsBlank="1" containsNumber="1" containsInteger="1" minValue="4730" maxValue="4848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Date="1" containsBlank="1" containsMixedTypes="1" minDate="2025-12-04T00:00:00" maxDate="2026-05-08T00:00:00"/>
    </cacheField>
    <cacheField name="Payment Amt" numFmtId="0">
      <sharedItems containsString="0" containsBlank="1" containsNumber="1" containsInteger="1" minValue="1250" maxValue="240000"/>
    </cacheField>
    <cacheField name="Dues" numFmtId="0">
      <sharedItems containsSemiMixedTypes="0" containsString="0" containsNumber="1" containsInteger="1" minValue="0" maxValue="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Feb"/>
    <d v="2026-02-19T00:00:00"/>
    <s v="13-02-2026- 19-02-2026"/>
    <s v="Gomukh Gold 50KG"/>
    <n v="20020020"/>
    <s v="Tikotoli"/>
    <s v="0030"/>
    <m/>
    <x v="0"/>
    <s v="Daya Society"/>
    <n v="1"/>
    <n v="1250"/>
    <n v="1194"/>
    <m/>
    <x v="0"/>
    <m/>
    <m/>
  </r>
  <r>
    <s v="Feb"/>
    <d v="2026-02-19T00:00:00"/>
    <s v="13-02-2026- 19-02-2026"/>
    <s v="Gomukh Gold 50KG"/>
    <n v="20020020"/>
    <s v="Tikotoli"/>
    <s v="0033"/>
    <m/>
    <x v="0"/>
    <s v="Daya Society"/>
    <n v="1"/>
    <n v="1250"/>
    <n v="682"/>
    <m/>
    <x v="0"/>
    <m/>
    <m/>
  </r>
  <r>
    <s v="Feb"/>
    <d v="2026-02-19T00:00:00"/>
    <s v="13-02-2026- 19-02-2026"/>
    <s v="Gomukh Gold 50KG"/>
    <n v="20020020"/>
    <s v="Tikotoli"/>
    <s v="0023"/>
    <m/>
    <x v="0"/>
    <s v="Daya Society"/>
    <n v="1"/>
    <n v="1250"/>
    <n v="1250"/>
    <m/>
    <x v="0"/>
    <m/>
    <m/>
  </r>
  <r>
    <s v="Feb"/>
    <d v="2026-02-19T00:00:00"/>
    <s v="13-02-2026- 19-02-2026"/>
    <s v="Gomukh Gold 50KG"/>
    <n v="20020020"/>
    <s v="Tikotoli"/>
    <s v="0038"/>
    <m/>
    <x v="0"/>
    <s v="Daya Society"/>
    <n v="1"/>
    <n v="1250"/>
    <n v="709"/>
    <m/>
    <x v="0"/>
    <m/>
    <m/>
  </r>
  <r>
    <s v="Feb"/>
    <d v="2026-02-19T00:00:00"/>
    <s v="13-02-2026- 19-02-2026"/>
    <s v="Gomukh Gold 50KG"/>
    <n v="20020020"/>
    <s v="Tikotoli"/>
    <s v="0039"/>
    <m/>
    <x v="0"/>
    <s v="Daya Society"/>
    <n v="1"/>
    <n v="1250"/>
    <n v="659"/>
    <m/>
    <x v="0"/>
    <m/>
    <m/>
  </r>
  <r>
    <s v="Dec"/>
    <d v="2025-12-04T00:00:00"/>
    <s v="28-11-2025- 04-12-2025"/>
    <s v="Gomukh Gold 50KG"/>
    <n v="20010016"/>
    <s v="Etachildri"/>
    <s v="0002"/>
    <m/>
    <x v="1"/>
    <s v="Daya Society"/>
    <n v="1"/>
    <n v="1250"/>
    <n v="1250"/>
    <m/>
    <x v="0"/>
    <m/>
    <m/>
  </r>
  <r>
    <s v="Feb"/>
    <d v="2026-02-12T00:00:00"/>
    <s v="06-02-2026- 12-02-2026"/>
    <s v="Gomukh Gold 50KG"/>
    <n v="20060001"/>
    <s v="Ormanjhi"/>
    <s v="0024"/>
    <m/>
    <x v="2"/>
    <s v="Daya Society"/>
    <n v="1"/>
    <n v="1250"/>
    <n v="1250"/>
    <m/>
    <x v="0"/>
    <m/>
    <m/>
  </r>
  <r>
    <s v="Feb"/>
    <d v="2026-02-26T00:00:00"/>
    <s v="20-02-2026- 26-02-2026"/>
    <s v="Gomukh Gold 50KG"/>
    <n v="20090017"/>
    <s v="Nawatand"/>
    <s v="0003"/>
    <m/>
    <x v="3"/>
    <s v="Daya Society"/>
    <n v="2"/>
    <n v="1250"/>
    <n v="2500"/>
    <m/>
    <x v="0"/>
    <m/>
    <m/>
  </r>
  <r>
    <s v="Feb"/>
    <d v="2026-02-26T00:00:00"/>
    <s v="20-02-2026- 26-02-2026"/>
    <s v="Gomukh Gold 50KG"/>
    <n v="20090011"/>
    <s v="Barhe"/>
    <s v="0003"/>
    <m/>
    <x v="3"/>
    <s v="Daya Society"/>
    <n v="2"/>
    <n v="1250"/>
    <n v="2500"/>
    <m/>
    <x v="0"/>
    <m/>
    <m/>
  </r>
  <r>
    <s v="Feb"/>
    <d v="2026-02-26T00:00:00"/>
    <s v="20-02-2026- 26-02-2026"/>
    <s v="Gomukh Gold 50KG"/>
    <n v="20090001"/>
    <s v="Chanho"/>
    <s v="0002"/>
    <m/>
    <x v="3"/>
    <s v="Daya Society"/>
    <n v="1"/>
    <n v="1250"/>
    <n v="1250"/>
    <m/>
    <x v="0"/>
    <m/>
    <m/>
  </r>
  <r>
    <s v="Feb"/>
    <d v="2026-02-26T00:00:00"/>
    <s v="20-02-2026- 26-02-2026"/>
    <s v="Gomukh Gold 50KG"/>
    <n v="20010053"/>
    <s v="Tutlo"/>
    <s v="0004"/>
    <m/>
    <x v="3"/>
    <s v="Daya Society"/>
    <n v="1"/>
    <n v="1250"/>
    <n v="825"/>
    <m/>
    <x v="0"/>
    <m/>
    <m/>
  </r>
  <r>
    <s v="Feb"/>
    <d v="2026-02-26T00:00:00"/>
    <s v="20-02-2026- 26-02-2026"/>
    <s v="Gomukh Gold 50KG"/>
    <n v="20010053"/>
    <s v="Tutlo"/>
    <s v="0058"/>
    <m/>
    <x v="3"/>
    <s v="Daya Society"/>
    <n v="1"/>
    <n v="1250"/>
    <n v="766"/>
    <m/>
    <x v="0"/>
    <m/>
    <m/>
  </r>
  <r>
    <s v="Feb"/>
    <d v="2026-02-26T00:00:00"/>
    <s v="20-02-2026- 26-02-2026"/>
    <s v="Gomukh Gold 50KG"/>
    <n v="20010053"/>
    <s v="Tutlo"/>
    <s v="0003"/>
    <m/>
    <x v="3"/>
    <s v="Daya Society"/>
    <n v="1"/>
    <n v="1250"/>
    <n v="1250"/>
    <m/>
    <x v="0"/>
    <m/>
    <m/>
  </r>
  <r>
    <s v="Feb"/>
    <d v="2026-02-26T00:00:00"/>
    <s v="20-02-2026- 26-02-2026"/>
    <s v="Gomukh Gold 50KG"/>
    <n v="20010053"/>
    <s v="Tutlo"/>
    <s v="0036"/>
    <m/>
    <x v="3"/>
    <s v="Daya Society"/>
    <n v="1"/>
    <n v="1250"/>
    <n v="1250"/>
    <m/>
    <x v="0"/>
    <m/>
    <m/>
  </r>
  <r>
    <s v="Feb"/>
    <d v="2026-02-26T00:00:00"/>
    <s v="20-02-2026- 26-02-2026"/>
    <s v="Gomukh Gold 50KG"/>
    <n v="20010053"/>
    <s v="Tutlo"/>
    <s v="0052"/>
    <m/>
    <x v="3"/>
    <s v="Daya Society"/>
    <n v="1"/>
    <n v="1250"/>
    <n v="1250"/>
    <m/>
    <x v="0"/>
    <m/>
    <m/>
  </r>
  <r>
    <s v="Feb"/>
    <d v="2026-02-26T00:00:00"/>
    <s v="20-02-2026- 26-02-2026"/>
    <s v="Gomukh Gold 50KG"/>
    <n v="20020020"/>
    <s v="Tikotoli"/>
    <s v="0030"/>
    <m/>
    <x v="0"/>
    <s v="Daya Society"/>
    <n v="0"/>
    <n v="1250"/>
    <n v="56"/>
    <m/>
    <x v="0"/>
    <m/>
    <m/>
  </r>
  <r>
    <s v="Feb"/>
    <d v="2026-02-26T00:00:00"/>
    <s v="20-02-2026- 26-02-2026"/>
    <s v="Gomukh Gold 50KG"/>
    <n v="20020020"/>
    <s v="Tikotoli"/>
    <s v="0033"/>
    <m/>
    <x v="0"/>
    <s v="Daya Society"/>
    <n v="0"/>
    <n v="1250"/>
    <n v="568"/>
    <m/>
    <x v="0"/>
    <m/>
    <m/>
  </r>
  <r>
    <s v="Feb"/>
    <d v="2026-02-26T00:00:00"/>
    <s v="20-02-2026- 26-02-2026"/>
    <s v="Gomukh Gold 50KG"/>
    <n v="20020020"/>
    <s v="Tikotoli"/>
    <s v="0038"/>
    <m/>
    <x v="0"/>
    <s v="Daya Society"/>
    <n v="0"/>
    <n v="1250"/>
    <n v="541"/>
    <m/>
    <x v="0"/>
    <m/>
    <m/>
  </r>
  <r>
    <s v="Feb"/>
    <d v="2026-02-26T00:00:00"/>
    <s v="20-02-2026- 26-02-2026"/>
    <s v="Gomukh Gold 50KG"/>
    <n v="20020020"/>
    <s v="Tikotoli"/>
    <s v="0039"/>
    <m/>
    <x v="0"/>
    <s v="Daya Society"/>
    <n v="0"/>
    <n v="1250"/>
    <n v="591"/>
    <m/>
    <x v="0"/>
    <m/>
    <m/>
  </r>
  <r>
    <s v="Feb"/>
    <d v="2026-02-26T00:00:00"/>
    <s v="20-02-2026- 26-02-2026"/>
    <s v="Gomukh Gold 50KG"/>
    <n v="20020003"/>
    <s v="Bijuliya"/>
    <s v="0002"/>
    <m/>
    <x v="0"/>
    <s v="Daya Society"/>
    <n v="5"/>
    <n v="1250"/>
    <n v="6250"/>
    <m/>
    <x v="0"/>
    <m/>
    <m/>
  </r>
  <r>
    <s v="Feb"/>
    <d v="2026-02-26T00:00:00"/>
    <s v="20-02-2026- 26-02-2026"/>
    <s v="Gomukh Gold 50KG"/>
    <n v="20010003"/>
    <s v="Bero"/>
    <s v="0003"/>
    <m/>
    <x v="1"/>
    <s v="Daya Society"/>
    <n v="4"/>
    <n v="1250"/>
    <n v="4418"/>
    <m/>
    <x v="0"/>
    <m/>
    <m/>
  </r>
  <r>
    <s v="Feb"/>
    <d v="2026-02-26T00:00:00"/>
    <s v="20-02-2026- 26-02-2026"/>
    <s v="Gomukh Gold 50KG"/>
    <n v="20010034"/>
    <s v="Gargaon"/>
    <s v="0002"/>
    <m/>
    <x v="4"/>
    <s v="Daya Society"/>
    <n v="25"/>
    <n v="1250"/>
    <n v="5522"/>
    <m/>
    <x v="1"/>
    <s v="Shifted from old sheet"/>
    <m/>
  </r>
  <r>
    <s v="Feb"/>
    <d v="2026-02-26T00:00:00"/>
    <s v="20-02-2026- 26-02-2026"/>
    <s v="Gomukh Gold 50KG"/>
    <n v="20010034"/>
    <s v="Gargaon"/>
    <s v="0024"/>
    <m/>
    <x v="4"/>
    <s v="Daya Society"/>
    <n v="10"/>
    <n v="1250"/>
    <n v="877"/>
    <m/>
    <x v="1"/>
    <s v="Shifted from old sheet"/>
    <m/>
  </r>
  <r>
    <s v="Feb"/>
    <d v="2026-02-12T00:00:00"/>
    <s v="06-02-2026- 12-02-2026"/>
    <s v="Gomukh Gold 50KG"/>
    <n v="20060001"/>
    <s v="Ormanjhi"/>
    <s v="0024"/>
    <m/>
    <x v="2"/>
    <s v="Daya Society"/>
    <n v="1"/>
    <n v="1250"/>
    <n v="1172"/>
    <m/>
    <x v="0"/>
    <m/>
    <m/>
  </r>
  <r>
    <s v="Feb"/>
    <d v="2026-02-26T00:00:00"/>
    <s v="20-02-2026- 26-02-2026"/>
    <s v="Gomukh Gold 50KG"/>
    <n v="20060001"/>
    <s v="Ormanjhi"/>
    <s v="0024"/>
    <m/>
    <x v="2"/>
    <s v="Daya Society"/>
    <n v="2"/>
    <n v="1250"/>
    <n v="2500"/>
    <m/>
    <x v="1"/>
    <s v="Shifted from old sheet"/>
    <m/>
  </r>
  <r>
    <s v="Feb"/>
    <d v="2026-02-26T00:00:00"/>
    <s v="20-02-2026- 26-02-2026"/>
    <s v="Gomukh Gold 50KG"/>
    <n v="20060001"/>
    <s v="Ormanjhi"/>
    <s v="0023"/>
    <m/>
    <x v="2"/>
    <s v="Daya Society"/>
    <n v="1"/>
    <n v="1250"/>
    <n v="1250"/>
    <m/>
    <x v="1"/>
    <s v="Shifted from old sheet"/>
    <m/>
  </r>
  <r>
    <s v="Feb"/>
    <d v="2026-02-26T00:00:00"/>
    <s v="20-02-2026- 26-02-2026"/>
    <s v="Gomukh Gold 50KG"/>
    <n v="20010008"/>
    <s v="Erchoro"/>
    <s v="0014"/>
    <m/>
    <x v="4"/>
    <s v="Daya Society"/>
    <n v="1"/>
    <n v="1250"/>
    <n v="1250"/>
    <m/>
    <x v="1"/>
    <s v="Shifted from old sheet"/>
    <m/>
  </r>
  <r>
    <s v="Feb"/>
    <d v="2026-02-26T00:00:00"/>
    <s v="20-02-2026- 26-02-2026"/>
    <s v="Gomukh Gold 50KG"/>
    <n v="20010008"/>
    <s v="Erchoro"/>
    <s v="0038"/>
    <m/>
    <x v="4"/>
    <s v="Daya Society"/>
    <n v="1"/>
    <n v="1250"/>
    <n v="1250"/>
    <m/>
    <x v="1"/>
    <s v="Shifted from old sheet"/>
    <m/>
  </r>
  <r>
    <s v="Feb"/>
    <d v="2026-02-26T00:00:00"/>
    <s v="20-02-2026- 26-02-2026"/>
    <s v="Gomukh Gold 50KG"/>
    <n v="20010008"/>
    <s v="Erchoro"/>
    <s v="0035"/>
    <m/>
    <x v="4"/>
    <s v="Daya Society"/>
    <n v="3"/>
    <n v="1250"/>
    <n v="3750"/>
    <m/>
    <x v="1"/>
    <s v="Shifted from old sheet"/>
    <m/>
  </r>
  <r>
    <s v="Feb"/>
    <d v="2026-02-26T00:00:00"/>
    <s v="20-02-2026- 26-02-2026"/>
    <s v="Gomukh Gold 50KG"/>
    <n v="20070009"/>
    <s v="Karmba"/>
    <s v="0002"/>
    <m/>
    <x v="5"/>
    <s v="Daya Society"/>
    <n v="3"/>
    <n v="1250"/>
    <n v="3750"/>
    <m/>
    <x v="1"/>
    <s v="Shifted from old sheet"/>
    <m/>
  </r>
  <r>
    <s v="Feb"/>
    <d v="2026-02-26T00:00:00"/>
    <s v="20-02-2026- 26-02-2026"/>
    <s v="Gomukh Gold 50KG"/>
    <n v="20070001"/>
    <s v="Piragutu"/>
    <s v="0020"/>
    <m/>
    <x v="5"/>
    <s v="Daya Society"/>
    <n v="1"/>
    <n v="1250"/>
    <n v="1250"/>
    <m/>
    <x v="1"/>
    <s v="Shifted from old sheet"/>
    <m/>
  </r>
  <r>
    <s v="Mar"/>
    <d v="2026-03-05T00:00:00"/>
    <s v="27-02-2026- 05-03-2026"/>
    <s v="Gomukh Gold 50KG"/>
    <n v="20090015"/>
    <s v="Pakariyo"/>
    <s v="0031"/>
    <m/>
    <x v="3"/>
    <s v="Daya Society"/>
    <n v="1"/>
    <n v="1250"/>
    <n v="300"/>
    <m/>
    <x v="0"/>
    <m/>
    <m/>
  </r>
  <r>
    <s v="Mar"/>
    <d v="2026-03-05T00:00:00"/>
    <s v="27-02-2026- 05-03-2026"/>
    <s v="Gomukh Gold 50KG"/>
    <n v="20090020"/>
    <s v="Pakariyo2"/>
    <s v="0002"/>
    <m/>
    <x v="3"/>
    <s v="Daya Society"/>
    <n v="2"/>
    <n v="1250"/>
    <n v="2500"/>
    <m/>
    <x v="0"/>
    <m/>
    <m/>
  </r>
  <r>
    <s v="Mar"/>
    <d v="2026-03-05T00:00:00"/>
    <s v="27-02-2026- 05-03-2026"/>
    <s v="Gomukh Gold 50KG"/>
    <n v="20090003"/>
    <s v="Naudi"/>
    <s v="0002"/>
    <m/>
    <x v="3"/>
    <s v="Daya Society"/>
    <n v="5"/>
    <n v="1250"/>
    <n v="4798"/>
    <m/>
    <x v="0"/>
    <m/>
    <m/>
  </r>
  <r>
    <s v="Mar"/>
    <d v="2026-03-05T00:00:00"/>
    <s v="27-02-2026- 05-03-2026"/>
    <s v="Gomukh Gold 50KG"/>
    <n v="20090017"/>
    <s v="Nawatand"/>
    <s v="0003"/>
    <m/>
    <x v="3"/>
    <s v="Daya Society"/>
    <n v="3"/>
    <n v="1250"/>
    <n v="3750"/>
    <m/>
    <x v="0"/>
    <m/>
    <m/>
  </r>
  <r>
    <s v="Mar"/>
    <d v="2026-03-05T00:00:00"/>
    <s v="27-02-2026- 05-03-2026"/>
    <s v="Gomukh Gold 50KG"/>
    <n v="20010053"/>
    <s v="Tutlo"/>
    <s v="0004"/>
    <m/>
    <x v="3"/>
    <s v="Daya Society"/>
    <n v="0"/>
    <n v="1250"/>
    <n v="425"/>
    <m/>
    <x v="0"/>
    <m/>
    <m/>
  </r>
  <r>
    <s v="Mar"/>
    <d v="2026-03-05T00:00:00"/>
    <s v="27-02-2026- 05-03-2026"/>
    <s v="Gomukh Gold 50KG"/>
    <n v="20010053"/>
    <s v="Tutlo"/>
    <s v="0058"/>
    <m/>
    <x v="3"/>
    <s v="Daya Society"/>
    <n v="0"/>
    <n v="1250"/>
    <n v="484"/>
    <m/>
    <x v="0"/>
    <m/>
    <m/>
  </r>
  <r>
    <s v="Mar"/>
    <d v="2026-03-05T00:00:00"/>
    <s v="27-02-2026- 05-03-2026"/>
    <s v="Gomukh Gold 50KG"/>
    <n v="20090015"/>
    <s v="Pakariyo"/>
    <s v="0014"/>
    <m/>
    <x v="3"/>
    <s v="Daya Society"/>
    <n v="0"/>
    <n v="1250"/>
    <n v="204"/>
    <m/>
    <x v="0"/>
    <m/>
    <m/>
  </r>
  <r>
    <s v="Mar"/>
    <d v="2026-03-05T00:00:00"/>
    <s v="27-02-2026- 05-03-2026"/>
    <s v="Gomukh Gold 50KG"/>
    <n v="20090015"/>
    <s v="Pakariyo"/>
    <s v="0022"/>
    <m/>
    <x v="3"/>
    <s v="Daya Society"/>
    <n v="0"/>
    <n v="1250"/>
    <n v="1788"/>
    <m/>
    <x v="0"/>
    <m/>
    <m/>
  </r>
  <r>
    <s v="Mar"/>
    <d v="2026-03-05T00:00:00"/>
    <s v="27-02-2026- 05-03-2026"/>
    <s v="Gomukh Gold 50KG"/>
    <n v="20090015"/>
    <s v="Pakariyo"/>
    <s v="0036"/>
    <m/>
    <x v="3"/>
    <s v="Daya Society"/>
    <n v="0"/>
    <n v="1250"/>
    <n v="208"/>
    <m/>
    <x v="0"/>
    <m/>
    <m/>
  </r>
  <r>
    <s v="Mar"/>
    <d v="2026-03-05T00:00:00"/>
    <s v="27-02-2026- 05-03-2026"/>
    <s v="Gomukh Gold 50KG"/>
    <n v="20070002"/>
    <s v="Saram"/>
    <s v="0002"/>
    <m/>
    <x v="0"/>
    <s v="Daya Society"/>
    <n v="4"/>
    <n v="1250"/>
    <n v="5000"/>
    <m/>
    <x v="0"/>
    <m/>
    <m/>
  </r>
  <r>
    <s v="Mar"/>
    <d v="2026-03-05T00:00:00"/>
    <s v="27-02-2026- 05-03-2026"/>
    <s v="Gomukh Gold 50KG"/>
    <n v="20020003"/>
    <s v="Bijuliya"/>
    <s v="0002"/>
    <m/>
    <x v="0"/>
    <s v="Daya Society"/>
    <n v="5"/>
    <n v="1250"/>
    <n v="6250"/>
    <m/>
    <x v="0"/>
    <m/>
    <m/>
  </r>
  <r>
    <s v="Mar"/>
    <d v="2026-03-05T00:00:00"/>
    <s v="27-02-2026- 05-03-2026"/>
    <s v="Gomukh Gold 50KG"/>
    <n v="20020011"/>
    <s v="Dhantatoli"/>
    <s v="0024"/>
    <m/>
    <x v="0"/>
    <s v="Daya Society"/>
    <n v="1"/>
    <n v="1250"/>
    <n v="1250"/>
    <m/>
    <x v="0"/>
    <m/>
    <m/>
  </r>
  <r>
    <s v="Mar"/>
    <d v="2026-03-05T00:00:00"/>
    <s v="27-02-2026- 05-03-2026"/>
    <s v="Gomukh Gold 50KG"/>
    <n v="20020011"/>
    <s v="Dhantatoli"/>
    <s v="0048"/>
    <m/>
    <x v="0"/>
    <s v="Daya Society"/>
    <n v="1"/>
    <n v="1250"/>
    <n v="1250"/>
    <m/>
    <x v="0"/>
    <m/>
    <m/>
  </r>
  <r>
    <s v="Mar"/>
    <d v="2026-03-05T00:00:00"/>
    <s v="27-02-2026- 05-03-2026"/>
    <s v="Gomukh Gold 50KG"/>
    <n v="20020001"/>
    <s v="Pali"/>
    <s v="0083"/>
    <m/>
    <x v="0"/>
    <s v="Daya Society"/>
    <n v="1"/>
    <n v="1250"/>
    <n v="1250"/>
    <m/>
    <x v="0"/>
    <m/>
    <m/>
  </r>
  <r>
    <s v="Mar"/>
    <d v="2026-03-05T00:00:00"/>
    <s v="27-02-2026- 05-03-2026"/>
    <s v="Gomukh Gold 50KG"/>
    <n v="20020001"/>
    <s v="Pali"/>
    <s v="0002"/>
    <m/>
    <x v="0"/>
    <s v="Daya Society"/>
    <n v="2"/>
    <n v="1250"/>
    <n v="2500"/>
    <m/>
    <x v="0"/>
    <m/>
    <m/>
  </r>
  <r>
    <s v="Mar"/>
    <d v="2026-03-05T00:00:00"/>
    <s v="27-02-2026- 05-03-2026"/>
    <s v="Gomukh Gold 50KG"/>
    <n v="20020001"/>
    <s v="Pali"/>
    <s v="0003"/>
    <m/>
    <x v="0"/>
    <s v="Daya Society"/>
    <n v="1"/>
    <n v="1250"/>
    <n v="1250"/>
    <m/>
    <x v="0"/>
    <m/>
    <m/>
  </r>
  <r>
    <s v="Mar"/>
    <d v="2026-03-05T00:00:00"/>
    <s v="27-02-2026- 05-03-2026"/>
    <s v="Gomukh Gold 50KG"/>
    <n v="20020001"/>
    <s v="Pali"/>
    <s v="0067"/>
    <m/>
    <x v="0"/>
    <s v="Daya Society"/>
    <n v="1"/>
    <n v="1250"/>
    <n v="1250"/>
    <m/>
    <x v="0"/>
    <m/>
    <m/>
  </r>
  <r>
    <s v="Mar"/>
    <d v="2026-03-05T00:00:00"/>
    <s v="27-02-2026- 05-03-2026"/>
    <s v="Gomukh Gold 50KG"/>
    <n v="20020001"/>
    <s v="Pali"/>
    <s v="0150"/>
    <m/>
    <x v="0"/>
    <s v="Daya Society"/>
    <n v="1"/>
    <n v="1250"/>
    <n v="1250"/>
    <m/>
    <x v="0"/>
    <m/>
    <m/>
  </r>
  <r>
    <s v="Mar"/>
    <d v="2026-03-05T00:00:00"/>
    <s v="27-02-2026- 05-03-2026"/>
    <s v="Gomukh Gold 50KG"/>
    <n v="20020001"/>
    <s v="Pali"/>
    <s v="0121"/>
    <m/>
    <x v="0"/>
    <s v="Daya Society"/>
    <n v="2"/>
    <n v="1250"/>
    <n v="2500"/>
    <m/>
    <x v="0"/>
    <m/>
    <m/>
  </r>
  <r>
    <s v="Mar"/>
    <d v="2026-03-05T00:00:00"/>
    <s v="27-02-2026- 05-03-2026"/>
    <s v="Gomukh Gold 50KG"/>
    <n v="20020001"/>
    <s v="Pali"/>
    <s v="0025"/>
    <m/>
    <x v="0"/>
    <s v="Daya Society"/>
    <n v="1"/>
    <n v="1250"/>
    <n v="1218"/>
    <m/>
    <x v="0"/>
    <m/>
    <m/>
  </r>
  <r>
    <s v="Mar"/>
    <d v="2026-03-05T00:00:00"/>
    <s v="27-02-2026- 05-03-2026"/>
    <s v="Gomukh Gold 50KG"/>
    <n v="20020001"/>
    <s v="Pali"/>
    <s v="0005"/>
    <m/>
    <x v="0"/>
    <s v="Daya Society"/>
    <n v="1"/>
    <n v="1250"/>
    <n v="1250"/>
    <m/>
    <x v="0"/>
    <m/>
    <m/>
  </r>
  <r>
    <s v="Mar"/>
    <d v="2026-03-05T00:00:00"/>
    <s v="27-02-2026- 05-03-2026"/>
    <s v="Gomukh Gold 50KG"/>
    <n v="20020020"/>
    <s v="Tikotoli"/>
    <s v="0041"/>
    <m/>
    <x v="0"/>
    <s v="Daya Society"/>
    <n v="1"/>
    <n v="1250"/>
    <n v="1250"/>
    <m/>
    <x v="0"/>
    <m/>
    <m/>
  </r>
  <r>
    <s v="Mar"/>
    <d v="2026-03-05T00:00:00"/>
    <s v="27-02-2026- 05-03-2026"/>
    <s v="Gomukh Gold 50KG"/>
    <n v="20020020"/>
    <s v="Tikotoli"/>
    <s v="0023"/>
    <m/>
    <x v="0"/>
    <s v="Daya Society"/>
    <n v="2"/>
    <n v="1250"/>
    <n v="2500"/>
    <m/>
    <x v="0"/>
    <m/>
    <m/>
  </r>
  <r>
    <s v="Mar"/>
    <d v="2026-03-05T00:00:00"/>
    <s v="27-02-2026- 05-03-2026"/>
    <s v="Gomukh Gold 50KG"/>
    <n v="20020020"/>
    <s v="Tikotoli"/>
    <s v="0039"/>
    <m/>
    <x v="0"/>
    <s v="Daya Society"/>
    <n v="1"/>
    <n v="1250"/>
    <n v="723"/>
    <m/>
    <x v="0"/>
    <m/>
    <m/>
  </r>
  <r>
    <s v="Mar"/>
    <d v="2026-03-05T00:00:00"/>
    <s v="27-02-2026- 05-03-2026"/>
    <s v="Gomukh Gold 50KG"/>
    <n v="20060003"/>
    <s v="Dumardagga"/>
    <s v="0002"/>
    <m/>
    <x v="6"/>
    <s v="Daya Society"/>
    <n v="20"/>
    <n v="1250"/>
    <n v="25000"/>
    <m/>
    <x v="0"/>
    <m/>
    <m/>
  </r>
  <r>
    <s v="Mar"/>
    <d v="2026-03-05T00:00:00"/>
    <s v="27-02-2026- 05-03-2026"/>
    <s v="Gomukh Gold 50KG"/>
    <n v="20010003"/>
    <s v="Bero"/>
    <s v="0003"/>
    <m/>
    <x v="1"/>
    <s v="Daya Society"/>
    <n v="6"/>
    <n v="1250"/>
    <n v="7500"/>
    <m/>
    <x v="0"/>
    <m/>
    <m/>
  </r>
  <r>
    <s v="Mar"/>
    <d v="2026-03-05T00:00:00"/>
    <s v="27-02-2026- 05-03-2026"/>
    <s v="Gomukh Gold 50KG"/>
    <n v="20060001"/>
    <s v="Ormanjhi"/>
    <s v="0024"/>
    <m/>
    <x v="2"/>
    <s v="Daya Society"/>
    <n v="2"/>
    <n v="1250"/>
    <n v="2500"/>
    <m/>
    <x v="0"/>
    <m/>
    <m/>
  </r>
  <r>
    <s v="Mar"/>
    <d v="2026-03-05T00:00:00"/>
    <s v="27-02-2026- 05-03-2026"/>
    <s v="Gomukh Gold 50KG"/>
    <n v="20060001"/>
    <s v="Ormanjhi"/>
    <s v="0023"/>
    <m/>
    <x v="2"/>
    <s v="Daya Society"/>
    <n v="1"/>
    <n v="1250"/>
    <n v="1250"/>
    <m/>
    <x v="0"/>
    <m/>
    <m/>
  </r>
  <r>
    <s v="Mar"/>
    <d v="2026-03-05T00:00:00"/>
    <s v="27-02-2026- 05-03-2026"/>
    <s v="Gomukh Gold 50KG"/>
    <n v="20010008"/>
    <s v="Erchoro"/>
    <s v="0014"/>
    <m/>
    <x v="4"/>
    <s v="Daya Society"/>
    <n v="1"/>
    <n v="1250"/>
    <n v="1250"/>
    <m/>
    <x v="0"/>
    <m/>
    <m/>
  </r>
  <r>
    <s v="Mar"/>
    <d v="2026-03-05T00:00:00"/>
    <s v="27-02-2026- 05-03-2026"/>
    <s v="Gomukh Gold 50KG"/>
    <n v="20010008"/>
    <s v="Erchoro"/>
    <s v="0035"/>
    <m/>
    <x v="4"/>
    <s v="Daya Society"/>
    <n v="3"/>
    <n v="1250"/>
    <n v="3750"/>
    <m/>
    <x v="0"/>
    <m/>
    <m/>
  </r>
  <r>
    <s v="Mar"/>
    <d v="2026-03-05T00:00:00"/>
    <s v="27-02-2026- 05-03-2026"/>
    <s v="Gomukh Gold 50KG"/>
    <n v="20010008"/>
    <s v="Erchoro"/>
    <s v="0038"/>
    <m/>
    <x v="4"/>
    <s v="Daya Society"/>
    <n v="1"/>
    <n v="1250"/>
    <n v="1250"/>
    <m/>
    <x v="0"/>
    <m/>
    <m/>
  </r>
  <r>
    <s v="Mar"/>
    <d v="2026-03-05T00:00:00"/>
    <s v="27-02-2026- 05-03-2026"/>
    <s v="Gomukh Gold 50KG"/>
    <n v="20010034"/>
    <s v="Gargaon"/>
    <s v="0002"/>
    <m/>
    <x v="4"/>
    <s v="Daya Society"/>
    <n v="0"/>
    <n v="1250"/>
    <n v="14749"/>
    <m/>
    <x v="1"/>
    <s v="Shifted from old sheet"/>
    <m/>
  </r>
  <r>
    <s v="Mar"/>
    <d v="2026-03-05T00:00:00"/>
    <s v="27-02-2026- 05-03-2026"/>
    <s v="Gomukh Gold 50KG"/>
    <n v="20010034"/>
    <s v="Gargaon"/>
    <s v="0024"/>
    <m/>
    <x v="4"/>
    <s v="Daya Society"/>
    <n v="10"/>
    <n v="1250"/>
    <n v="936"/>
    <m/>
    <x v="1"/>
    <s v="Shifted from old sheet"/>
    <m/>
  </r>
  <r>
    <s v="Mar"/>
    <d v="2026-03-05T00:00:00"/>
    <s v="27-02-2026- 05-03-2026"/>
    <s v="Gomukh Gold 50KG"/>
    <n v="20090015"/>
    <s v="Pakariyo"/>
    <s v="0031"/>
    <m/>
    <x v="3"/>
    <s v="Daya Society"/>
    <n v="1"/>
    <n v="1250"/>
    <n v="1150"/>
    <m/>
    <x v="1"/>
    <s v="Shifted from old sheet"/>
    <m/>
  </r>
  <r>
    <s v="Mar"/>
    <d v="2026-03-12T00:00:00"/>
    <s v="06-03-2026- 12-03-2026"/>
    <s v="Gomukh Gold 50KG"/>
    <n v="20090003"/>
    <s v="Naudi"/>
    <s v="0002"/>
    <m/>
    <x v="3"/>
    <s v="Daya Society"/>
    <n v="0"/>
    <n v="1250"/>
    <n v="1557"/>
    <m/>
    <x v="0"/>
    <m/>
    <m/>
  </r>
  <r>
    <s v="Mar"/>
    <d v="2026-03-12T00:00:00"/>
    <s v="06-03-2026- 12-03-2026"/>
    <s v="Gomukh Gold 50KG"/>
    <n v="20090003"/>
    <s v="Naudi"/>
    <s v="0005"/>
    <m/>
    <x v="3"/>
    <s v="Daya Society"/>
    <n v="0"/>
    <n v="1250"/>
    <n v="1041"/>
    <m/>
    <x v="0"/>
    <m/>
    <m/>
  </r>
  <r>
    <s v="Mar"/>
    <d v="2026-03-12T00:00:00"/>
    <s v="06-03-2026- 12-03-2026"/>
    <s v="Gomukh Gold 50KG"/>
    <n v="20090015"/>
    <s v="Pakariyo"/>
    <s v="0013"/>
    <m/>
    <x v="3"/>
    <s v="Daya Society"/>
    <n v="0"/>
    <n v="1250"/>
    <n v="830"/>
    <m/>
    <x v="0"/>
    <m/>
    <m/>
  </r>
  <r>
    <s v="Mar"/>
    <d v="2026-03-12T00:00:00"/>
    <s v="06-03-2026- 12-03-2026"/>
    <s v="Gomukh Gold 50KG"/>
    <n v="20090015"/>
    <s v="Pakariyo"/>
    <s v="0012"/>
    <m/>
    <x v="3"/>
    <s v="Daya Society"/>
    <n v="0"/>
    <n v="1250"/>
    <n v="120"/>
    <m/>
    <x v="0"/>
    <m/>
    <m/>
  </r>
  <r>
    <s v="Mar"/>
    <d v="2026-03-12T00:00:00"/>
    <s v="06-03-2026- 12-03-2026"/>
    <s v="Gomukh Gold 50KG"/>
    <n v="20090015"/>
    <s v="Pakariyo"/>
    <s v="0014"/>
    <m/>
    <x v="3"/>
    <s v="Daya Society"/>
    <n v="0"/>
    <n v="1250"/>
    <n v="100"/>
    <m/>
    <x v="0"/>
    <m/>
    <m/>
  </r>
  <r>
    <s v="Mar"/>
    <d v="2026-03-12T00:00:00"/>
    <s v="06-03-2026- 12-03-2026"/>
    <s v="Gomukh Gold 50KG"/>
    <n v="20090015"/>
    <s v="Pakariyo"/>
    <s v="0022"/>
    <m/>
    <x v="3"/>
    <s v="Daya Society"/>
    <n v="0"/>
    <n v="1250"/>
    <n v="100"/>
    <m/>
    <x v="0"/>
    <m/>
    <m/>
  </r>
  <r>
    <s v="Mar"/>
    <d v="2026-03-12T00:00:00"/>
    <s v="06-03-2026- 12-03-2026"/>
    <s v="Gomukh Gold 50KG"/>
    <n v="20090015"/>
    <s v="Pakariyo"/>
    <s v="0036"/>
    <m/>
    <x v="3"/>
    <s v="Daya Society"/>
    <n v="0"/>
    <n v="1250"/>
    <n v="100"/>
    <m/>
    <x v="0"/>
    <m/>
    <m/>
  </r>
  <r>
    <s v="Mar"/>
    <d v="2026-03-12T00:00:00"/>
    <s v="06-03-2026- 12-03-2026"/>
    <s v="Gomukh Gold 50KG"/>
    <n v="20090017"/>
    <s v="Nawatand"/>
    <s v="0003"/>
    <m/>
    <x v="3"/>
    <s v="Daya Society"/>
    <n v="2"/>
    <n v="1250"/>
    <n v="2500"/>
    <m/>
    <x v="0"/>
    <m/>
    <m/>
  </r>
  <r>
    <s v="Mar"/>
    <d v="2026-03-12T00:00:00"/>
    <s v="06-03-2026- 12-03-2026"/>
    <s v="Gomukh Gold 50KG"/>
    <n v="20010053"/>
    <s v="Tutlo"/>
    <s v="0020"/>
    <m/>
    <x v="3"/>
    <s v="Daya Society"/>
    <n v="1"/>
    <n v="1250"/>
    <n v="1206"/>
    <m/>
    <x v="0"/>
    <m/>
    <m/>
  </r>
  <r>
    <s v="Mar"/>
    <d v="2026-03-12T00:00:00"/>
    <s v="06-03-2026- 12-03-2026"/>
    <s v="Gomukh Gold 50KG"/>
    <n v="20010053"/>
    <s v="Tutlo"/>
    <s v="0004"/>
    <m/>
    <x v="3"/>
    <s v="Daya Society"/>
    <n v="1"/>
    <n v="1250"/>
    <n v="1003"/>
    <m/>
    <x v="0"/>
    <m/>
    <m/>
  </r>
  <r>
    <s v="Mar"/>
    <d v="2026-03-12T00:00:00"/>
    <s v="06-03-2026- 12-03-2026"/>
    <s v="Gomukh Gold 50KG"/>
    <n v="20060003"/>
    <s v="Dumardagga"/>
    <s v="0002"/>
    <m/>
    <x v="6"/>
    <s v="Daya Society"/>
    <n v="20"/>
    <n v="1250"/>
    <n v="25000"/>
    <m/>
    <x v="0"/>
    <m/>
    <m/>
  </r>
  <r>
    <s v="Mar"/>
    <d v="2026-03-12T00:00:00"/>
    <s v="06-03-2026- 12-03-2026"/>
    <s v="Gomukh Gold 50KG"/>
    <n v="20010003"/>
    <s v="Bero"/>
    <s v="0003"/>
    <m/>
    <x v="1"/>
    <s v="Daya Society"/>
    <n v="0"/>
    <m/>
    <n v="6832"/>
    <m/>
    <x v="0"/>
    <m/>
    <m/>
  </r>
  <r>
    <s v="Mar"/>
    <d v="2026-03-12T00:00:00"/>
    <s v="06-03-2026- 12-03-2026"/>
    <s v="Gomukh Gold 50KG"/>
    <n v="20010003"/>
    <s v="Bero"/>
    <s v="0003"/>
    <m/>
    <x v="1"/>
    <s v="Daya Society"/>
    <n v="6"/>
    <n v="1250"/>
    <n v="637"/>
    <m/>
    <x v="0"/>
    <m/>
    <m/>
  </r>
  <r>
    <s v="Mar"/>
    <d v="2026-03-12T00:00:00"/>
    <s v="06-03-2026- 12-03-2026"/>
    <s v="Gomukh Gold 50KG"/>
    <n v="20010034"/>
    <s v="Gargaon"/>
    <s v="0002"/>
    <m/>
    <x v="4"/>
    <s v="Daya Society"/>
    <n v="0"/>
    <n v="1250"/>
    <n v="8577"/>
    <m/>
    <x v="1"/>
    <s v="Shifted from old sheet"/>
    <m/>
  </r>
  <r>
    <s v="Mar"/>
    <d v="2026-03-12T00:00:00"/>
    <s v="06-03-2026- 12-03-2026"/>
    <s v="Gomukh Gold 50KG"/>
    <n v="20010034"/>
    <s v="Gargaon"/>
    <s v="0024"/>
    <m/>
    <x v="4"/>
    <s v="Daya Society"/>
    <n v="10"/>
    <n v="1250"/>
    <n v="1015"/>
    <m/>
    <x v="1"/>
    <s v="Shifted from old sheet"/>
    <m/>
  </r>
  <r>
    <s v="Mar"/>
    <d v="2026-03-12T00:00:00"/>
    <s v="06-03-2026- 12-03-2026"/>
    <s v="Gomukh Gold 50KG"/>
    <n v="20010008"/>
    <s v="Erchoro"/>
    <s v="0035"/>
    <m/>
    <x v="1"/>
    <s v="Daya Society"/>
    <n v="4"/>
    <n v="1250"/>
    <n v="5000"/>
    <m/>
    <x v="0"/>
    <m/>
    <m/>
  </r>
  <r>
    <s v="Mar"/>
    <d v="2026-03-12T00:00:00"/>
    <s v="06-03-2026- 12-03-2026"/>
    <s v="Gomukh Gold 50KG"/>
    <n v="20010008"/>
    <s v="Erchoro"/>
    <s v="0037"/>
    <m/>
    <x v="1"/>
    <s v="Daya Society"/>
    <n v="1"/>
    <n v="1250"/>
    <n v="1250"/>
    <m/>
    <x v="0"/>
    <m/>
    <m/>
  </r>
  <r>
    <s v="Mar"/>
    <d v="2026-03-12T00:00:00"/>
    <s v="06-03-2026- 12-03-2026"/>
    <s v="Gomukh Gold 50KG"/>
    <n v="20060001"/>
    <s v="Ormanjhi"/>
    <s v="0023"/>
    <m/>
    <x v="2"/>
    <s v="Daya Society"/>
    <n v="1"/>
    <n v="1250"/>
    <n v="1250"/>
    <m/>
    <x v="0"/>
    <m/>
    <m/>
  </r>
  <r>
    <s v="Mar"/>
    <d v="2026-03-12T00:00:00"/>
    <s v="06-03-2026- 12-03-2026"/>
    <s v="Gomukh Gold 50KG"/>
    <n v="20060008"/>
    <s v="Adelhootu"/>
    <s v="0002"/>
    <m/>
    <x v="2"/>
    <s v="Daya Society"/>
    <n v="10"/>
    <n v="1250"/>
    <n v="12500"/>
    <m/>
    <x v="0"/>
    <m/>
    <m/>
  </r>
  <r>
    <s v="Mar"/>
    <d v="2026-03-12T00:00:00"/>
    <s v="06-03-2026- 12-03-2026"/>
    <s v="Gomukh Gold 50KG"/>
    <n v="20010016"/>
    <s v="Etachildri"/>
    <s v="0002"/>
    <m/>
    <x v="1"/>
    <s v="Daya Society"/>
    <n v="1"/>
    <n v="1250"/>
    <n v="15"/>
    <m/>
    <x v="0"/>
    <m/>
    <m/>
  </r>
  <r>
    <s v="Mar"/>
    <d v="2026-03-12T00:00:00"/>
    <s v="06-03-2026- 12-03-2026"/>
    <s v="Gomukh Gold 50KG"/>
    <n v="20060001"/>
    <s v="Ormanjhi"/>
    <s v="0024"/>
    <m/>
    <x v="2"/>
    <s v="Daya Society"/>
    <n v="1"/>
    <n v="1250"/>
    <n v="1250"/>
    <m/>
    <x v="0"/>
    <m/>
    <m/>
  </r>
  <r>
    <s v="Mar"/>
    <d v="2026-03-12T00:00:00"/>
    <s v="06-03-2026- 12-03-2026"/>
    <s v="Gomukh Gold 50KG"/>
    <n v="20020001"/>
    <s v="Pali"/>
    <s v="OS"/>
    <m/>
    <x v="0"/>
    <s v="Daya Society"/>
    <n v="0"/>
    <n v="1250"/>
    <n v="32"/>
    <m/>
    <x v="0"/>
    <m/>
    <m/>
  </r>
  <r>
    <s v="Mar"/>
    <d v="2026-03-12T00:00:00"/>
    <s v="06-03-2026- 12-03-2026"/>
    <s v="Gomukh Gold 50KG"/>
    <n v="20070009"/>
    <s v="Karmba"/>
    <s v="OS"/>
    <m/>
    <x v="5"/>
    <s v="Daya Society"/>
    <n v="3"/>
    <n v="1250"/>
    <n v="3750"/>
    <m/>
    <x v="1"/>
    <s v="Shifted from old sheet"/>
    <m/>
  </r>
  <r>
    <s v="Mar"/>
    <d v="2026-03-19T00:00:00"/>
    <s v="13-03-2026- 19-03-2026"/>
    <s v="Gomukh Gold 50KG"/>
    <n v="20020020"/>
    <s v="Tikotoli"/>
    <s v="0030"/>
    <m/>
    <x v="0"/>
    <s v="Daya Society"/>
    <n v="0"/>
    <n v="1250"/>
    <n v="56"/>
    <m/>
    <x v="0"/>
    <m/>
    <m/>
  </r>
  <r>
    <s v="Mar"/>
    <d v="2026-03-19T00:00:00"/>
    <s v="13-03-2026- 19-03-2026"/>
    <s v="Gomukh Gold 50KG"/>
    <n v="20020020"/>
    <s v="Tikotoli"/>
    <s v="0033"/>
    <m/>
    <x v="0"/>
    <s v="Daya Society"/>
    <n v="0"/>
    <n v="1250"/>
    <n v="568"/>
    <m/>
    <x v="0"/>
    <m/>
    <m/>
  </r>
  <r>
    <s v="Mar"/>
    <d v="2026-03-19T00:00:00"/>
    <s v="13-03-2026- 19-03-2026"/>
    <s v="Gomukh Gold 50KG"/>
    <n v="20020020"/>
    <s v="Tikotoli"/>
    <s v="0038"/>
    <m/>
    <x v="0"/>
    <s v="Daya Society"/>
    <n v="0"/>
    <n v="1250"/>
    <n v="865"/>
    <m/>
    <x v="0"/>
    <m/>
    <m/>
  </r>
  <r>
    <s v="Mar"/>
    <d v="2026-03-19T00:00:00"/>
    <s v="13-03-2026- 19-03-2026"/>
    <s v="Gomukh Gold 50KG"/>
    <n v="20020020"/>
    <s v="Tikotoli"/>
    <s v="0039"/>
    <m/>
    <x v="0"/>
    <s v="Daya Society"/>
    <n v="0"/>
    <n v="1250"/>
    <n v="591"/>
    <m/>
    <x v="0"/>
    <m/>
    <m/>
  </r>
  <r>
    <s v="Mar"/>
    <d v="2026-03-19T00:00:00"/>
    <s v="13-03-2026- 19-03-2026"/>
    <s v="Gomukh Gold 50KG"/>
    <n v="20020003"/>
    <s v="Bijuliya"/>
    <s v="0002"/>
    <m/>
    <x v="0"/>
    <s v="Daya Society"/>
    <n v="10"/>
    <n v="1250"/>
    <n v="12500"/>
    <m/>
    <x v="0"/>
    <m/>
    <m/>
  </r>
  <r>
    <s v="Mar"/>
    <d v="2026-03-19T00:00:00"/>
    <s v="13-03-2026- 19-03-2026"/>
    <s v="Gomukh Gold 50KG"/>
    <n v="20020020"/>
    <s v="Tikotoli"/>
    <s v="0008"/>
    <m/>
    <x v="0"/>
    <s v="Daya Society"/>
    <n v="1"/>
    <n v="1250"/>
    <n v="1250"/>
    <m/>
    <x v="0"/>
    <m/>
    <m/>
  </r>
  <r>
    <s v="Mar"/>
    <d v="2026-03-19T00:00:00"/>
    <s v="13-03-2026- 19-03-2026"/>
    <s v="Gomukh Gold 50KG"/>
    <n v="20020020"/>
    <s v="Tikotoli"/>
    <s v="0023"/>
    <m/>
    <x v="0"/>
    <s v="Daya Society"/>
    <n v="2"/>
    <n v="1250"/>
    <n v="2500"/>
    <m/>
    <x v="0"/>
    <m/>
    <m/>
  </r>
  <r>
    <s v="Mar"/>
    <d v="2026-03-19T00:00:00"/>
    <s v="13-03-2026- 19-03-2026"/>
    <s v="Gomukh Gold 50KG"/>
    <n v="20020020"/>
    <s v="Tikotoli"/>
    <s v="0022"/>
    <m/>
    <x v="0"/>
    <s v="Daya Society"/>
    <n v="1"/>
    <n v="1250"/>
    <n v="1250"/>
    <m/>
    <x v="0"/>
    <m/>
    <m/>
  </r>
  <r>
    <s v="Mar"/>
    <d v="2026-03-19T00:00:00"/>
    <s v="13-03-2026- 19-03-2026"/>
    <s v="Gomukh Gold 50KG"/>
    <n v="20020006"/>
    <s v="Ranikhatanga"/>
    <s v="0002"/>
    <m/>
    <x v="0"/>
    <s v="Daya Society"/>
    <n v="5"/>
    <n v="1250"/>
    <n v="3677"/>
    <m/>
    <x v="0"/>
    <m/>
    <m/>
  </r>
  <r>
    <s v="Mar"/>
    <d v="2026-03-19T00:00:00"/>
    <s v="13-03-2026- 19-03-2026"/>
    <s v="Gomukh Gold 50KG"/>
    <n v="20020011"/>
    <s v="Dhantatoli"/>
    <s v="0047"/>
    <m/>
    <x v="0"/>
    <s v="Daya Society"/>
    <n v="1"/>
    <n v="1250"/>
    <n v="1250"/>
    <m/>
    <x v="0"/>
    <m/>
    <m/>
  </r>
  <r>
    <s v="Mar"/>
    <d v="2026-03-19T00:00:00"/>
    <s v="13-03-2026- 19-03-2026"/>
    <s v="Gomukh Gold 50KG"/>
    <n v="20070001"/>
    <s v="Piragutu"/>
    <s v="0002"/>
    <m/>
    <x v="5"/>
    <s v="Daya Society"/>
    <n v="3"/>
    <n v="1250"/>
    <n v="3750"/>
    <m/>
    <x v="0"/>
    <m/>
    <m/>
  </r>
  <r>
    <s v="Mar"/>
    <d v="2026-03-19T00:00:00"/>
    <s v="13-03-2026- 19-03-2026"/>
    <s v="Gomukh Gold 50KG"/>
    <n v="20070002"/>
    <s v="Saram"/>
    <s v="0002"/>
    <m/>
    <x v="5"/>
    <s v="Daya Society"/>
    <n v="2"/>
    <n v="1250"/>
    <n v="2500"/>
    <m/>
    <x v="0"/>
    <m/>
    <m/>
  </r>
  <r>
    <s v="Mar"/>
    <d v="2026-03-19T00:00:00"/>
    <s v="13-03-2026- 19-03-2026"/>
    <s v="Gomukh Gold 50KG"/>
    <n v="20020001"/>
    <s v="Pali"/>
    <s v="0002"/>
    <m/>
    <x v="0"/>
    <s v="Daya Society"/>
    <n v="1"/>
    <n v="1250"/>
    <n v="1250"/>
    <m/>
    <x v="0"/>
    <m/>
    <m/>
  </r>
  <r>
    <s v="Mar"/>
    <d v="2026-03-19T00:00:00"/>
    <s v="13-03-2026- 19-03-2026"/>
    <s v="Gomukh Gold 50KG"/>
    <n v="20020001"/>
    <s v="Pali"/>
    <s v="0003"/>
    <m/>
    <x v="0"/>
    <s v="Daya Society"/>
    <n v="1"/>
    <n v="1250"/>
    <n v="1250"/>
    <m/>
    <x v="0"/>
    <m/>
    <m/>
  </r>
  <r>
    <s v="Mar"/>
    <d v="2026-03-19T00:00:00"/>
    <s v="13-03-2026- 19-03-2026"/>
    <s v="Gomukh Gold 50KG"/>
    <n v="20020001"/>
    <s v="Pali"/>
    <s v="0005"/>
    <m/>
    <x v="0"/>
    <s v="Daya Society"/>
    <n v="1"/>
    <n v="1250"/>
    <n v="1250"/>
    <m/>
    <x v="0"/>
    <m/>
    <m/>
  </r>
  <r>
    <s v="Mar"/>
    <d v="2026-03-19T00:00:00"/>
    <s v="13-03-2026- 19-03-2026"/>
    <s v="Gomukh Gold 50KG"/>
    <n v="20020001"/>
    <s v="Pali"/>
    <s v="0121"/>
    <m/>
    <x v="0"/>
    <s v="Daya Society"/>
    <n v="1"/>
    <n v="1250"/>
    <n v="1250"/>
    <m/>
    <x v="0"/>
    <m/>
    <m/>
  </r>
  <r>
    <s v="Mar"/>
    <d v="2026-03-19T00:00:00"/>
    <s v="13-03-2026- 19-03-2026"/>
    <s v="Gomukh Gold 50KG"/>
    <n v="20020001"/>
    <s v="Pali"/>
    <s v="0067"/>
    <m/>
    <x v="0"/>
    <s v="Daya Society"/>
    <n v="1"/>
    <n v="1250"/>
    <n v="1250"/>
    <m/>
    <x v="0"/>
    <m/>
    <m/>
  </r>
  <r>
    <s v="Mar"/>
    <d v="2026-03-19T00:00:00"/>
    <s v="13-03-2026- 19-03-2026"/>
    <s v="Gomukh Gold 50KG"/>
    <n v="20090015"/>
    <s v="Pakariyo"/>
    <s v="0031"/>
    <m/>
    <x v="3"/>
    <s v="Daya Society"/>
    <n v="1"/>
    <n v="1250"/>
    <n v="1250"/>
    <m/>
    <x v="0"/>
    <m/>
    <m/>
  </r>
  <r>
    <s v="Mar"/>
    <d v="2026-03-19T00:00:00"/>
    <s v="13-03-2026- 19-03-2026"/>
    <s v="Gomukh Gold 50KG"/>
    <n v="20090015"/>
    <s v="Pakariyo"/>
    <s v="0012"/>
    <m/>
    <x v="3"/>
    <s v="Daya Society"/>
    <n v="0"/>
    <n v="1250"/>
    <n v="110"/>
    <m/>
    <x v="0"/>
    <m/>
    <m/>
  </r>
  <r>
    <s v="Mar"/>
    <d v="2026-03-19T00:00:00"/>
    <s v="13-03-2026- 19-03-2026"/>
    <s v="Gomukh Gold 50KG"/>
    <n v="20090015"/>
    <s v="Pakariyo"/>
    <s v="0014"/>
    <m/>
    <x v="3"/>
    <s v="Daya Society"/>
    <n v="0"/>
    <n v="1250"/>
    <n v="208"/>
    <m/>
    <x v="0"/>
    <m/>
    <m/>
  </r>
  <r>
    <s v="Mar"/>
    <d v="2026-03-19T00:00:00"/>
    <s v="13-03-2026- 19-03-2026"/>
    <s v="Gomukh Gold 50KG"/>
    <n v="20090015"/>
    <s v="Pakariyo"/>
    <s v="0022"/>
    <m/>
    <x v="3"/>
    <s v="Daya Society"/>
    <n v="0"/>
    <n v="1250"/>
    <n v="198"/>
    <m/>
    <x v="0"/>
    <m/>
    <m/>
  </r>
  <r>
    <s v="Mar"/>
    <d v="2026-03-19T00:00:00"/>
    <s v="13-03-2026- 19-03-2026"/>
    <s v="Gomukh Gold 50KG"/>
    <n v="20090015"/>
    <s v="Pakariyo"/>
    <s v="0032"/>
    <m/>
    <x v="3"/>
    <s v="Daya Society"/>
    <n v="0"/>
    <n v="1250"/>
    <n v="119"/>
    <m/>
    <x v="0"/>
    <m/>
    <m/>
  </r>
  <r>
    <s v="Mar"/>
    <d v="2026-03-19T00:00:00"/>
    <s v="13-03-2026- 19-03-2026"/>
    <s v="Gomukh Gold 50KG"/>
    <n v="20090011"/>
    <s v="Barhe"/>
    <s v="0003"/>
    <m/>
    <x v="3"/>
    <s v="Daya Society"/>
    <n v="2"/>
    <n v="1250"/>
    <n v="2500"/>
    <m/>
    <x v="0"/>
    <m/>
    <m/>
  </r>
  <r>
    <s v="Mar"/>
    <d v="2026-03-19T00:00:00"/>
    <s v="13-03-2026- 19-03-2026"/>
    <s v="Gomukh Gold 50KG"/>
    <n v="20090011"/>
    <s v="Barhe"/>
    <s v="0007"/>
    <m/>
    <x v="3"/>
    <s v="Daya Society"/>
    <n v="1"/>
    <n v="1250"/>
    <n v="1250"/>
    <m/>
    <x v="0"/>
    <m/>
    <m/>
  </r>
  <r>
    <s v="Mar"/>
    <d v="2026-03-19T00:00:00"/>
    <s v="13-03-2026- 19-03-2026"/>
    <s v="Gomukh Gold 50KG"/>
    <n v="20090001"/>
    <s v="Chanho"/>
    <s v="0005"/>
    <m/>
    <x v="3"/>
    <s v="Daya Society"/>
    <n v="1"/>
    <n v="1250"/>
    <n v="586"/>
    <m/>
    <x v="0"/>
    <m/>
    <m/>
  </r>
  <r>
    <s v="Mar"/>
    <d v="2026-03-19T00:00:00"/>
    <s v="13-03-2026- 19-03-2026"/>
    <s v="Gomukh Gold 50KG"/>
    <n v="20010053"/>
    <s v="Tutlo"/>
    <s v="0003"/>
    <m/>
    <x v="3"/>
    <s v="Daya Society"/>
    <n v="1"/>
    <n v="1250"/>
    <n v="1250"/>
    <m/>
    <x v="0"/>
    <m/>
    <m/>
  </r>
  <r>
    <s v="Mar"/>
    <d v="2026-03-19T00:00:00"/>
    <s v="13-03-2026- 19-03-2026"/>
    <s v="Gomukh Gold 50KG"/>
    <n v="20010053"/>
    <s v="Tutlo"/>
    <s v="0014"/>
    <m/>
    <x v="3"/>
    <s v="Daya Society"/>
    <n v="0"/>
    <n v="1250"/>
    <n v="215"/>
    <m/>
    <x v="0"/>
    <m/>
    <m/>
  </r>
  <r>
    <s v="Mar"/>
    <d v="2026-03-19T00:00:00"/>
    <s v="13-03-2026- 19-03-2026"/>
    <s v="Gomukh Gold 50KG"/>
    <n v="20010053"/>
    <s v="Tutlo"/>
    <s v="0022"/>
    <m/>
    <x v="3"/>
    <s v="Daya Society"/>
    <n v="0"/>
    <n v="1250"/>
    <n v="168"/>
    <m/>
    <x v="0"/>
    <m/>
    <m/>
  </r>
  <r>
    <s v="Mar"/>
    <d v="2026-03-19T00:00:00"/>
    <s v="13-03-2026- 19-03-2026"/>
    <s v="Gomukh Gold 50KG"/>
    <n v="20010053"/>
    <s v="Tutlo"/>
    <s v="0036"/>
    <m/>
    <x v="3"/>
    <s v="Daya Society"/>
    <n v="0"/>
    <n v="1250"/>
    <n v="148"/>
    <m/>
    <x v="0"/>
    <m/>
    <m/>
  </r>
  <r>
    <s v="Mar"/>
    <d v="2026-03-19T00:00:00"/>
    <s v="13-03-2026- 19-03-2026"/>
    <s v="Gomukh Gold 50KG"/>
    <n v="20010053"/>
    <s v="Tutlo"/>
    <s v="0061"/>
    <m/>
    <x v="3"/>
    <s v="Daya Society"/>
    <n v="0"/>
    <n v="1250"/>
    <n v="213"/>
    <m/>
    <x v="0"/>
    <m/>
    <m/>
  </r>
  <r>
    <s v="Mar"/>
    <d v="2026-03-19T00:00:00"/>
    <s v="13-03-2026- 19-03-2026"/>
    <s v="Gomukh Gold 50KG"/>
    <n v="20090025"/>
    <s v="Kullu"/>
    <s v="0002"/>
    <m/>
    <x v="3"/>
    <s v="Daya Society"/>
    <n v="3"/>
    <n v="1250"/>
    <n v="3750"/>
    <m/>
    <x v="0"/>
    <m/>
    <m/>
  </r>
  <r>
    <s v="Mar"/>
    <d v="2026-03-19T00:00:00"/>
    <s v="13-03-2026- 19-03-2026"/>
    <s v="Gomukh Gold 50KG"/>
    <n v="20060001"/>
    <s v="Ormanjhi"/>
    <s v="0024"/>
    <m/>
    <x v="2"/>
    <s v="Daya Society"/>
    <n v="3"/>
    <n v="1250"/>
    <n v="3750"/>
    <m/>
    <x v="0"/>
    <m/>
    <m/>
  </r>
  <r>
    <s v="Mar"/>
    <d v="2026-03-19T00:00:00"/>
    <s v="13-03-2026- 19-03-2026"/>
    <s v="Gomukh Gold 50KG"/>
    <n v="20060001"/>
    <s v="Ormanjhi"/>
    <s v="0023"/>
    <m/>
    <x v="2"/>
    <s v="Daya Society"/>
    <n v="2"/>
    <n v="1250"/>
    <n v="2500"/>
    <m/>
    <x v="0"/>
    <m/>
    <m/>
  </r>
  <r>
    <s v="Mar"/>
    <d v="2026-03-19T00:00:00"/>
    <s v="13-03-2026- 19-03-2026"/>
    <s v="Gomukh Gold 50KG"/>
    <n v="20060003"/>
    <s v="Dumardagga"/>
    <s v="0002"/>
    <m/>
    <x v="6"/>
    <s v="Daya Society"/>
    <n v="20"/>
    <n v="1250"/>
    <n v="25000"/>
    <m/>
    <x v="0"/>
    <m/>
    <m/>
  </r>
  <r>
    <s v="Mar"/>
    <d v="2026-03-19T00:00:00"/>
    <s v="13-03-2026- 19-03-2026"/>
    <s v="Gomukh Gold 50KG"/>
    <n v="20060008"/>
    <s v="Adelhootu"/>
    <s v="0002"/>
    <m/>
    <x v="2"/>
    <s v="Daya Society"/>
    <n v="10"/>
    <n v="1250"/>
    <n v="12500"/>
    <m/>
    <x v="0"/>
    <m/>
    <m/>
  </r>
  <r>
    <s v="Mar"/>
    <d v="2026-03-19T00:00:00"/>
    <s v="13-03-2026- 19-03-2026"/>
    <s v="Gomukh Gold 50KG"/>
    <n v="20010003"/>
    <s v="Bero"/>
    <s v="0003"/>
    <m/>
    <x v="1"/>
    <s v="Daya Society"/>
    <n v="6"/>
    <n v="1250"/>
    <n v="7500"/>
    <m/>
    <x v="0"/>
    <m/>
    <m/>
  </r>
  <r>
    <s v="Mar"/>
    <d v="2026-03-19T00:00:00"/>
    <s v="13-03-2026- 19-03-2026"/>
    <s v="Gomukh Gold 50KG"/>
    <n v="20010008"/>
    <s v="Erchoro"/>
    <s v="0035"/>
    <m/>
    <x v="1"/>
    <s v="Daya Society"/>
    <n v="5"/>
    <n v="1250"/>
    <n v="6250"/>
    <m/>
    <x v="0"/>
    <m/>
    <m/>
  </r>
  <r>
    <s v="Mar"/>
    <d v="2026-03-19T00:00:00"/>
    <s v="13-03-2026- 19-03-2026"/>
    <s v="Gomukh Gold 50KG"/>
    <n v="20090003"/>
    <s v="Naudi"/>
    <s v="0002"/>
    <m/>
    <x v="3"/>
    <s v="Daya Society"/>
    <n v="0"/>
    <n v="1250"/>
    <n v="1910"/>
    <m/>
    <x v="0"/>
    <m/>
    <m/>
  </r>
  <r>
    <s v="Mar"/>
    <d v="2026-03-19T00:00:00"/>
    <s v="13-03-2026- 19-03-2026"/>
    <s v="Gomukh Gold 50KG"/>
    <n v="20010053"/>
    <s v="Tutlo"/>
    <s v="0063"/>
    <m/>
    <x v="3"/>
    <s v="Daya Society"/>
    <n v="0"/>
    <n v="1250"/>
    <n v="100"/>
    <m/>
    <x v="0"/>
    <m/>
    <m/>
  </r>
  <r>
    <s v="Mar"/>
    <d v="2026-03-19T00:00:00"/>
    <s v="13-03-2026- 19-03-2026"/>
    <s v="Gomukh Gold 50KG"/>
    <n v="20010053"/>
    <s v="Tutlo"/>
    <s v="0059"/>
    <m/>
    <x v="3"/>
    <s v="Daya Society"/>
    <n v="0"/>
    <n v="1250"/>
    <n v="100"/>
    <m/>
    <x v="0"/>
    <m/>
    <m/>
  </r>
  <r>
    <s v="Mar"/>
    <d v="2026-03-19T00:00:00"/>
    <s v="13-03-2026- 19-03-2026"/>
    <s v="Gomukh Gold 50KG"/>
    <n v="20010053"/>
    <s v="Tutlo"/>
    <s v="0054"/>
    <m/>
    <x v="3"/>
    <s v="Daya Society"/>
    <n v="0"/>
    <n v="1250"/>
    <n v="91"/>
    <m/>
    <x v="0"/>
    <m/>
    <m/>
  </r>
  <r>
    <s v="Mar"/>
    <d v="2026-03-19T00:00:00"/>
    <s v="13-03-2026- 19-03-2026"/>
    <s v="Gomukh Gold 50KG"/>
    <n v="20010054"/>
    <s v="Narkopi"/>
    <s v="OS"/>
    <m/>
    <x v="3"/>
    <s v="Daya Society"/>
    <n v="1"/>
    <n v="1250"/>
    <n v="1250"/>
    <m/>
    <x v="0"/>
    <m/>
    <m/>
  </r>
  <r>
    <s v="Mar"/>
    <d v="2026-03-19T00:00:00"/>
    <s v="13-03-2026- 19-03-2026"/>
    <s v="Gomukh Gold 50KG"/>
    <n v="20060004"/>
    <s v="Chuttu"/>
    <s v="OS"/>
    <m/>
    <x v="7"/>
    <s v="Daya Society"/>
    <n v="0"/>
    <n v="1250"/>
    <n v="6250"/>
    <m/>
    <x v="0"/>
    <m/>
    <m/>
  </r>
  <r>
    <s v="Mar"/>
    <d v="2026-03-19T00:00:00"/>
    <s v="13-03-2026- 19-03-2026"/>
    <s v="Gomukh Gold 50KG"/>
    <n v="20010054"/>
    <s v="Narkopi"/>
    <s v="0021"/>
    <m/>
    <x v="3"/>
    <s v="Daya Society"/>
    <n v="1"/>
    <n v="1250"/>
    <n v="1250"/>
    <m/>
    <x v="0"/>
    <m/>
    <m/>
  </r>
  <r>
    <s v="Mar"/>
    <d v="2026-03-26T00:00:00"/>
    <s v="20-03-2026- 26-03-2026"/>
    <s v="Gomukh Gold 50KG"/>
    <n v="20010054"/>
    <s v="Narkopi"/>
    <s v="0012"/>
    <m/>
    <x v="3"/>
    <s v="Daya Society"/>
    <n v="3"/>
    <n v="1250"/>
    <n v="3750"/>
    <m/>
    <x v="0"/>
    <m/>
    <m/>
  </r>
  <r>
    <s v="Mar"/>
    <d v="2026-03-26T00:00:00"/>
    <s v="20-03-2026- 26-03-2026"/>
    <s v="Gomukh Gold 50KG"/>
    <n v="20090001"/>
    <s v="Chanho"/>
    <s v="0002"/>
    <m/>
    <x v="3"/>
    <s v="Daya Society"/>
    <n v="1"/>
    <n v="1250"/>
    <n v="1250"/>
    <m/>
    <x v="0"/>
    <m/>
    <m/>
  </r>
  <r>
    <s v="Mar"/>
    <d v="2026-03-26T00:00:00"/>
    <s v="20-03-2026- 26-03-2026"/>
    <s v="Gomukh Gold 50KG"/>
    <n v="20090001"/>
    <s v="Chanho"/>
    <s v="0005"/>
    <m/>
    <x v="3"/>
    <s v="Daya Society"/>
    <n v="0"/>
    <n v="1250"/>
    <n v="613"/>
    <m/>
    <x v="0"/>
    <m/>
    <m/>
  </r>
  <r>
    <s v="Mar"/>
    <d v="2026-03-26T00:00:00"/>
    <s v="20-03-2026- 26-03-2026"/>
    <s v="Gomukh Gold 50KG"/>
    <n v="20090001"/>
    <s v="Chanho"/>
    <s v="0006"/>
    <m/>
    <x v="3"/>
    <s v="Daya Society"/>
    <n v="0"/>
    <n v="1250"/>
    <n v="51"/>
    <m/>
    <x v="0"/>
    <m/>
    <m/>
  </r>
  <r>
    <s v="Mar"/>
    <d v="2026-03-26T00:00:00"/>
    <s v="20-03-2026- 26-03-2026"/>
    <s v="Gomukh Gold 50KG"/>
    <n v="20010053"/>
    <s v="Tutlo"/>
    <s v="0065"/>
    <m/>
    <x v="3"/>
    <s v="Daya Society"/>
    <n v="1"/>
    <n v="1250"/>
    <n v="1235"/>
    <m/>
    <x v="0"/>
    <m/>
    <m/>
  </r>
  <r>
    <s v="Mar"/>
    <d v="2026-03-26T00:00:00"/>
    <s v="20-03-2026- 26-03-2026"/>
    <s v="Gomukh Gold 50KG"/>
    <n v="20010053"/>
    <s v="Tutlo"/>
    <s v="0003"/>
    <m/>
    <x v="3"/>
    <s v="Daya Society"/>
    <n v="0"/>
    <n v="1250"/>
    <n v="150"/>
    <m/>
    <x v="0"/>
    <m/>
    <m/>
  </r>
  <r>
    <s v="Mar"/>
    <d v="2026-03-26T00:00:00"/>
    <s v="20-03-2026- 26-03-2026"/>
    <s v="Gomukh Gold 50KG"/>
    <n v="20010053"/>
    <s v="Tutlo"/>
    <s v="0014"/>
    <m/>
    <x v="3"/>
    <s v="Daya Society"/>
    <n v="0"/>
    <n v="1250"/>
    <n v="106"/>
    <m/>
    <x v="0"/>
    <m/>
    <m/>
  </r>
  <r>
    <s v="Mar"/>
    <d v="2026-03-26T00:00:00"/>
    <s v="20-03-2026- 26-03-2026"/>
    <s v="Gomukh Gold 50KG"/>
    <n v="20010053"/>
    <s v="Tutlo"/>
    <s v="0017"/>
    <m/>
    <x v="3"/>
    <s v="Daya Society"/>
    <n v="0"/>
    <n v="1250"/>
    <n v="100"/>
    <m/>
    <x v="0"/>
    <m/>
    <m/>
  </r>
  <r>
    <s v="Mar"/>
    <d v="2026-03-26T00:00:00"/>
    <s v="20-03-2026- 26-03-2026"/>
    <s v="Gomukh Gold 50KG"/>
    <n v="20010053"/>
    <s v="Tutlo"/>
    <s v="0020"/>
    <m/>
    <x v="3"/>
    <s v="Daya Society"/>
    <n v="0"/>
    <n v="1250"/>
    <n v="97"/>
    <m/>
    <x v="0"/>
    <m/>
    <m/>
  </r>
  <r>
    <s v="Mar"/>
    <d v="2026-03-26T00:00:00"/>
    <s v="20-03-2026- 26-03-2026"/>
    <s v="Gomukh Gold 50KG"/>
    <n v="20010053"/>
    <s v="Tutlo"/>
    <s v="0012"/>
    <m/>
    <x v="3"/>
    <s v="Daya Society"/>
    <n v="0"/>
    <n v="1250"/>
    <n v="53"/>
    <m/>
    <x v="0"/>
    <m/>
    <m/>
  </r>
  <r>
    <s v="Mar"/>
    <d v="2026-03-26T00:00:00"/>
    <s v="20-03-2026- 26-03-2026"/>
    <s v="Gomukh Gold 50KG"/>
    <n v="20090020"/>
    <s v="Pakariyo2"/>
    <s v="0002"/>
    <m/>
    <x v="3"/>
    <s v="Daya Society"/>
    <n v="3"/>
    <n v="1250"/>
    <n v="3750"/>
    <m/>
    <x v="0"/>
    <m/>
    <m/>
  </r>
  <r>
    <s v="Mar"/>
    <d v="2026-03-26T00:00:00"/>
    <s v="20-03-2026- 26-03-2026"/>
    <s v="Gomukh Gold 50KG"/>
    <n v="20090003"/>
    <s v="Naudi"/>
    <s v="0002"/>
    <m/>
    <x v="3"/>
    <s v="Daya Society"/>
    <n v="0"/>
    <n v="1250"/>
    <n v="391"/>
    <m/>
    <x v="0"/>
    <m/>
    <m/>
  </r>
  <r>
    <s v="Mar"/>
    <d v="2026-03-26T00:00:00"/>
    <s v="20-03-2026- 26-03-2026"/>
    <s v="Gomukh Gold 50KG"/>
    <n v="20090011"/>
    <s v="Barhe"/>
    <s v="0003"/>
    <m/>
    <x v="3"/>
    <s v="Daya Society"/>
    <n v="2"/>
    <n v="1250"/>
    <n v="2500"/>
    <m/>
    <x v="0"/>
    <m/>
    <m/>
  </r>
  <r>
    <s v="Mar"/>
    <d v="2026-03-26T00:00:00"/>
    <s v="20-03-2026- 26-03-2026"/>
    <s v="Gomukh Gold 50KG"/>
    <n v="20090015"/>
    <s v="Pakaryo1"/>
    <s v="0022"/>
    <m/>
    <x v="3"/>
    <s v="Daya Society"/>
    <n v="1"/>
    <n v="1250"/>
    <n v="1350"/>
    <m/>
    <x v="0"/>
    <m/>
    <m/>
  </r>
  <r>
    <s v="Mar"/>
    <d v="2026-03-26T00:00:00"/>
    <s v="20-03-2026- 26-03-2026"/>
    <s v="Gomukh Gold 50KG"/>
    <n v="20090015"/>
    <s v="Pakaryo1"/>
    <s v="0026"/>
    <m/>
    <x v="3"/>
    <s v="Daya Society"/>
    <n v="1"/>
    <n v="1250"/>
    <n v="825"/>
    <m/>
    <x v="0"/>
    <m/>
    <m/>
  </r>
  <r>
    <s v="Mar"/>
    <d v="2026-03-26T00:00:00"/>
    <s v="20-03-2026- 26-03-2026"/>
    <s v="Gomukh Gold 50KG"/>
    <n v="20090015"/>
    <s v="Pakaryo1"/>
    <s v="0031"/>
    <m/>
    <x v="3"/>
    <s v="Daya Society"/>
    <n v="1"/>
    <n v="1250"/>
    <n v="1184"/>
    <m/>
    <x v="0"/>
    <m/>
    <m/>
  </r>
  <r>
    <s v="Mar"/>
    <d v="2026-03-26T00:00:00"/>
    <s v="20-03-2026- 26-03-2026"/>
    <s v="Gomukh Gold 50KG"/>
    <n v="20090015"/>
    <s v="Pakaryo1"/>
    <s v="0002"/>
    <m/>
    <x v="3"/>
    <s v="Daya Society"/>
    <n v="0"/>
    <n v="1250"/>
    <n v="115"/>
    <m/>
    <x v="0"/>
    <m/>
    <m/>
  </r>
  <r>
    <s v="Mar"/>
    <d v="2026-03-26T00:00:00"/>
    <s v="20-03-2026- 26-03-2026"/>
    <s v="Gomukh Gold 50KG"/>
    <n v="20090015"/>
    <s v="Pakaryo1"/>
    <s v="0012"/>
    <m/>
    <x v="3"/>
    <s v="Daya Society"/>
    <n v="0"/>
    <n v="1250"/>
    <n v="100"/>
    <m/>
    <x v="0"/>
    <m/>
    <m/>
  </r>
  <r>
    <s v="Mar"/>
    <d v="2026-03-26T00:00:00"/>
    <s v="20-03-2026- 26-03-2026"/>
    <s v="Gomukh Gold 50KG"/>
    <n v="20090015"/>
    <s v="Pakaryo1"/>
    <s v="0021"/>
    <m/>
    <x v="3"/>
    <s v="Daya Society"/>
    <n v="0"/>
    <n v="1250"/>
    <n v="100"/>
    <m/>
    <x v="0"/>
    <m/>
    <m/>
  </r>
  <r>
    <s v="Mar"/>
    <d v="2026-03-26T00:00:00"/>
    <s v="20-03-2026- 26-03-2026"/>
    <s v="Gomukh Gold 50KG"/>
    <n v="20090015"/>
    <s v="Pakaryo1"/>
    <s v="0035"/>
    <m/>
    <x v="3"/>
    <s v="Daya Society"/>
    <n v="0"/>
    <n v="1250"/>
    <n v="100"/>
    <m/>
    <x v="0"/>
    <m/>
    <m/>
  </r>
  <r>
    <s v="Mar"/>
    <d v="2026-03-26T00:00:00"/>
    <s v="20-03-2026- 26-03-2026"/>
    <s v="Gomukh Gold 50KG"/>
    <n v="20020003"/>
    <s v="Bijuliya"/>
    <s v="0002"/>
    <m/>
    <x v="0"/>
    <s v="Daya Society"/>
    <n v="5"/>
    <n v="1250"/>
    <n v="6250"/>
    <m/>
    <x v="0"/>
    <m/>
    <m/>
  </r>
  <r>
    <s v="Mar"/>
    <d v="2026-03-26T00:00:00"/>
    <s v="20-03-2026- 26-03-2026"/>
    <s v="Gomukh Gold 50KG"/>
    <n v="20020020"/>
    <s v="Tikotoli"/>
    <s v="0038"/>
    <m/>
    <x v="0"/>
    <s v="Daya Society"/>
    <n v="0"/>
    <n v="1250"/>
    <n v="925"/>
    <m/>
    <x v="0"/>
    <m/>
    <m/>
  </r>
  <r>
    <s v="Mar"/>
    <d v="2026-03-26T00:00:00"/>
    <s v="20-03-2026- 26-03-2026"/>
    <s v="Gomukh Gold 50KG"/>
    <n v="20070001"/>
    <s v="Piragutu"/>
    <s v="0002"/>
    <m/>
    <x v="5"/>
    <s v="Daya Society"/>
    <n v="2"/>
    <n v="1250"/>
    <n v="2500"/>
    <m/>
    <x v="0"/>
    <m/>
    <m/>
  </r>
  <r>
    <s v="Mar"/>
    <d v="2026-03-26T00:00:00"/>
    <s v="20-03-2026- 26-03-2026"/>
    <s v="Gomukh Gold 50KG"/>
    <n v="20060001"/>
    <s v="Ormanjhi"/>
    <s v="0023"/>
    <m/>
    <x v="2"/>
    <s v="Daya Society"/>
    <n v="1"/>
    <n v="1250"/>
    <n v="1250"/>
    <m/>
    <x v="0"/>
    <m/>
    <m/>
  </r>
  <r>
    <s v="Mar"/>
    <d v="2026-03-26T00:00:00"/>
    <s v="20-03-2026- 26-03-2026"/>
    <s v="Gomukh Gold 50KG"/>
    <n v="20010015"/>
    <s v="Boriya"/>
    <s v="0006"/>
    <m/>
    <x v="1"/>
    <s v="Daya Society"/>
    <n v="0"/>
    <n v="1250"/>
    <n v="7700"/>
    <m/>
    <x v="0"/>
    <m/>
    <m/>
  </r>
  <r>
    <s v="Mar"/>
    <d v="2026-03-26T00:00:00"/>
    <s v="20-03-2026- 26-03-2026"/>
    <s v="Gomukh Gold 50KG"/>
    <n v="20010015"/>
    <s v="Boriya"/>
    <s v="0027"/>
    <m/>
    <x v="1"/>
    <s v="Daya Society"/>
    <n v="0"/>
    <n v="1250"/>
    <n v="4800"/>
    <m/>
    <x v="0"/>
    <m/>
    <m/>
  </r>
  <r>
    <s v="Mar"/>
    <d v="2026-03-26T00:00:00"/>
    <s v="20-03-2026- 26-03-2026"/>
    <s v="Gomukh Gold 50KG"/>
    <n v="20010008"/>
    <s v="Erchoro"/>
    <s v="0014"/>
    <m/>
    <x v="1"/>
    <s v="Daya Society"/>
    <n v="1"/>
    <n v="1250"/>
    <n v="1250"/>
    <m/>
    <x v="0"/>
    <m/>
    <m/>
  </r>
  <r>
    <s v="Mar"/>
    <d v="2026-03-26T00:00:00"/>
    <s v="20-03-2026- 26-03-2026"/>
    <s v="Gomukh Gold 50KG"/>
    <n v="20010008"/>
    <s v="Erchoro"/>
    <s v="0035"/>
    <m/>
    <x v="1"/>
    <s v="Daya Society"/>
    <n v="3"/>
    <n v="1250"/>
    <n v="3750"/>
    <m/>
    <x v="0"/>
    <m/>
    <m/>
  </r>
  <r>
    <s v="Mar"/>
    <d v="2026-03-26T00:00:00"/>
    <s v="20-03-2026- 26-03-2026"/>
    <s v="Gomukh Gold 50KG"/>
    <n v="20010008"/>
    <s v="Erchoro"/>
    <s v="0059"/>
    <m/>
    <x v="1"/>
    <s v="Daya Society"/>
    <n v="1"/>
    <n v="1250"/>
    <n v="1250"/>
    <m/>
    <x v="0"/>
    <m/>
    <m/>
  </r>
  <r>
    <s v="Mar"/>
    <d v="2026-03-26T00:00:00"/>
    <s v="20-03-2026- 26-03-2026"/>
    <s v="Gomukh Gold 50KG"/>
    <n v="20060001"/>
    <s v="Ormanjhi"/>
    <s v="0028"/>
    <m/>
    <x v="2"/>
    <s v="Daya Society"/>
    <n v="0"/>
    <n v="1250"/>
    <n v="78"/>
    <m/>
    <x v="0"/>
    <m/>
    <m/>
  </r>
  <r>
    <s v="Mar"/>
    <d v="2026-03-26T00:00:00"/>
    <s v="20-03-2026- 26-03-2026"/>
    <s v="Gomukh Gold 50KG"/>
    <n v="20060001"/>
    <s v="Ormanjhi"/>
    <s v="0028"/>
    <m/>
    <x v="2"/>
    <s v="Daya Society"/>
    <n v="1"/>
    <n v="1250"/>
    <n v="1084"/>
    <m/>
    <x v="0"/>
    <m/>
    <m/>
  </r>
  <r>
    <s v="Mar"/>
    <d v="2026-03-26T00:00:00"/>
    <s v="20-03-2026- 26-03-2026"/>
    <s v="Gomukh Gold 50KG"/>
    <n v="20010003"/>
    <s v="Bero"/>
    <s v="0003"/>
    <m/>
    <x v="1"/>
    <s v="Daya Society"/>
    <n v="4"/>
    <n v="1250"/>
    <n v="5000"/>
    <m/>
    <x v="0"/>
    <m/>
    <m/>
  </r>
  <r>
    <s v="Mar"/>
    <d v="2026-03-26T00:00:00"/>
    <s v="20-03-2026- 26-03-2026"/>
    <s v="Gomukh Gold 50KG"/>
    <n v="20010016"/>
    <s v="Etachildri"/>
    <s v="0002"/>
    <m/>
    <x v="1"/>
    <s v="Daya Society"/>
    <n v="1"/>
    <n v="1250"/>
    <n v="665"/>
    <m/>
    <x v="0"/>
    <m/>
    <m/>
  </r>
  <r>
    <s v="Mar"/>
    <d v="2026-03-26T00:00:00"/>
    <s v="20-03-2026- 26-03-2026"/>
    <s v="Gomukh Gold 50KG"/>
    <n v="20010001"/>
    <s v="ITKI"/>
    <s v="0002"/>
    <m/>
    <x v="8"/>
    <s v="Daya Society"/>
    <n v="80"/>
    <n v="1250"/>
    <n v="96000"/>
    <m/>
    <x v="0"/>
    <m/>
    <m/>
  </r>
  <r>
    <s v="Mar"/>
    <d v="2026-03-31T00:00:00"/>
    <s v="27-03-2026- 31-03-2026"/>
    <s v="Gomukh Gold 50KG"/>
    <n v="20010016"/>
    <s v="Etachildri"/>
    <s v="0025"/>
    <m/>
    <x v="1"/>
    <s v="Daya Society"/>
    <n v="1"/>
    <n v="1250"/>
    <n v="390"/>
    <m/>
    <x v="1"/>
    <s v="As per discussed by rahul sir No deduction reason technical error"/>
    <m/>
  </r>
  <r>
    <s v="Mar"/>
    <d v="2026-03-31T00:00:00"/>
    <s v="27-03-2026- 31-03-2026"/>
    <s v="Gomukh Gold 50KG"/>
    <n v="20010016"/>
    <s v="Etachildri"/>
    <s v="0005"/>
    <m/>
    <x v="1"/>
    <s v="Daya Society"/>
    <n v="1"/>
    <n v="1250"/>
    <n v="445"/>
    <m/>
    <x v="1"/>
    <s v="As per discussed by rahul sir No deduction reason technical error"/>
    <m/>
  </r>
  <r>
    <s v="Mar"/>
    <d v="2026-03-31T00:00:00"/>
    <s v="27-03-2026- 31-03-2026"/>
    <s v="Gomukh Gold 50KG"/>
    <n v="20010001"/>
    <s v="ITKI"/>
    <s v="0002"/>
    <m/>
    <x v="8"/>
    <s v="Daya Society"/>
    <n v="80"/>
    <n v="1250"/>
    <n v="96000"/>
    <m/>
    <x v="1"/>
    <s v="As per discussed by rahul sir No deduction reason technical error"/>
    <m/>
  </r>
  <r>
    <s v="Mar"/>
    <d v="2026-03-31T00:00:00"/>
    <s v="27-03-2026- 31-03-2026"/>
    <s v="Gomukh Gold 50KG"/>
    <n v="20060003"/>
    <s v="Dumardagga"/>
    <s v="0002"/>
    <m/>
    <x v="6"/>
    <s v="Daya Society"/>
    <n v="30"/>
    <n v="1250"/>
    <n v="37500"/>
    <m/>
    <x v="1"/>
    <s v="As per discussed by rahul sir No deduction reason technical error"/>
    <m/>
  </r>
  <r>
    <s v="Mar"/>
    <d v="2026-03-31T00:00:00"/>
    <s v="27-03-2026- 31-03-2026"/>
    <s v="Gomukh Gold 50KG"/>
    <n v="20020006"/>
    <s v="Ranikhatanga"/>
    <s v="0007"/>
    <m/>
    <x v="0"/>
    <s v="Daya Society"/>
    <n v="0"/>
    <n v="1250"/>
    <n v="8823"/>
    <m/>
    <x v="1"/>
    <s v="As per discussed by rahul sir No deduction reason technical error"/>
    <m/>
  </r>
  <r>
    <s v="Mar"/>
    <d v="2026-03-31T00:00:00"/>
    <s v="27-03-2026- 31-03-2026"/>
    <s v="Gomukh Gold 50KG"/>
    <n v="20020003"/>
    <s v="Bijuliya"/>
    <s v="0002"/>
    <m/>
    <x v="0"/>
    <s v="Daya Society"/>
    <n v="10"/>
    <n v="1250"/>
    <n v="12500"/>
    <m/>
    <x v="1"/>
    <s v="As per discussed by rahul sir No deduction reason technical error"/>
    <m/>
  </r>
  <r>
    <s v="Mar"/>
    <d v="2026-03-31T00:00:00"/>
    <s v="27-03-2026- 31-03-2026"/>
    <s v="Gomukh Gold 50KG"/>
    <n v="20020020"/>
    <s v="Tikotoli"/>
    <s v="0033"/>
    <m/>
    <x v="0"/>
    <s v="Daya Society"/>
    <n v="1"/>
    <n v="1250"/>
    <n v="562"/>
    <m/>
    <x v="1"/>
    <s v="As per discussed by rahul sir No deduction reason technical error"/>
    <m/>
  </r>
  <r>
    <s v="Mar"/>
    <d v="2026-03-31T00:00:00"/>
    <s v="27-03-2026- 31-03-2026"/>
    <s v="Gomukh Gold 50KG"/>
    <n v="20020020"/>
    <s v="Tikotoli"/>
    <s v="0042"/>
    <m/>
    <x v="0"/>
    <s v="Daya Society"/>
    <n v="1"/>
    <n v="1250"/>
    <n v="585"/>
    <m/>
    <x v="1"/>
    <s v="As per discussed by rahul sir No deduction reason technical error"/>
    <m/>
  </r>
  <r>
    <s v="Mar"/>
    <d v="2026-03-31T00:00:00"/>
    <s v="27-03-2026- 31-03-2026"/>
    <s v="Gomukh Gold 50KG"/>
    <n v="20020020"/>
    <s v="Tikotoli"/>
    <s v="0039"/>
    <m/>
    <x v="0"/>
    <s v="Daya Society"/>
    <n v="1"/>
    <n v="1250"/>
    <n v="1250"/>
    <m/>
    <x v="1"/>
    <s v="As per discussed by rahul sir No deduction reason technical error"/>
    <m/>
  </r>
  <r>
    <s v="Mar"/>
    <d v="2026-03-31T00:00:00"/>
    <s v="27-03-2026- 31-03-2026"/>
    <s v="Gomukh Gold 50KG"/>
    <n v="20020020"/>
    <s v="Tikotoli"/>
    <s v="0030"/>
    <m/>
    <x v="0"/>
    <s v="Daya Society"/>
    <n v="1"/>
    <n v="1250"/>
    <n v="1250"/>
    <m/>
    <x v="1"/>
    <s v="As per discussed by rahul sir No deduction reason technical error"/>
    <m/>
  </r>
  <r>
    <s v="Mar"/>
    <d v="2026-03-31T00:00:00"/>
    <s v="27-03-2026- 31-03-2026"/>
    <s v="Gomukh Gold 50KG"/>
    <n v="20020020"/>
    <s v="Tikotoli"/>
    <s v="0023"/>
    <m/>
    <x v="0"/>
    <s v="Daya Society"/>
    <n v="1"/>
    <n v="1250"/>
    <n v="1250"/>
    <m/>
    <x v="1"/>
    <s v="As per discussed by rahul sir No deduction reason technical error"/>
    <m/>
  </r>
  <r>
    <s v="Mar"/>
    <d v="2026-03-31T00:00:00"/>
    <s v="27-03-2026- 31-03-2026"/>
    <s v="Gomukh Gold 50KG"/>
    <n v="20020020"/>
    <s v="Tikotoli"/>
    <s v="0038"/>
    <m/>
    <x v="0"/>
    <s v="Daya Society"/>
    <n v="1"/>
    <n v="1250"/>
    <n v="640"/>
    <m/>
    <x v="1"/>
    <s v="As per discussed by rahul sir No deduction reason technical error"/>
    <m/>
  </r>
  <r>
    <s v="Mar"/>
    <d v="2026-03-31T00:00:00"/>
    <s v="27-03-2026- 31-03-2026"/>
    <s v="Gomukh Gold 50KG"/>
    <n v="20020020"/>
    <s v="Tikotoli"/>
    <s v="0008"/>
    <m/>
    <x v="0"/>
    <s v="Daya Society"/>
    <n v="1"/>
    <n v="1250"/>
    <n v="1250"/>
    <m/>
    <x v="1"/>
    <s v="As per discussed by rahul sir No deduction reason technical error"/>
    <m/>
  </r>
  <r>
    <s v="Mar"/>
    <d v="2026-03-31T00:00:00"/>
    <s v="27-03-2026- 31-03-2026"/>
    <s v="Gomukh Gold 50KG"/>
    <n v="20020020"/>
    <s v="Tikotoli"/>
    <s v="0041"/>
    <m/>
    <x v="0"/>
    <s v="Daya Society"/>
    <n v="1"/>
    <n v="1250"/>
    <n v="1250"/>
    <m/>
    <x v="1"/>
    <s v="As per discussed by rahul sir No deduction reason technical error"/>
    <m/>
  </r>
  <r>
    <s v="Mar"/>
    <d v="2026-03-31T00:00:00"/>
    <s v="27-03-2026- 31-03-2026"/>
    <s v="Gomukh Gold 50KG"/>
    <n v="20070002"/>
    <s v="Saram"/>
    <s v="0002"/>
    <m/>
    <x v="5"/>
    <s v="Daya Society"/>
    <n v="3"/>
    <n v="1250"/>
    <n v="3588"/>
    <m/>
    <x v="1"/>
    <s v="As per discussed by rahul sir No deduction reason technical error"/>
    <m/>
  </r>
  <r>
    <s v="Mar"/>
    <d v="2026-03-31T00:00:00"/>
    <s v="27-03-2026- 31-03-2026"/>
    <s v="Gomukh Gold 50KG"/>
    <n v="20070024"/>
    <s v="Marpa"/>
    <s v="0002"/>
    <m/>
    <x v="5"/>
    <s v="Daya Society"/>
    <n v="5"/>
    <n v="1250"/>
    <n v="3656"/>
    <m/>
    <x v="1"/>
    <s v="As per discussed by rahul sir No deduction reason technical error"/>
    <m/>
  </r>
  <r>
    <s v="Mar"/>
    <d v="2026-03-31T00:00:00"/>
    <s v="27-03-2026- 31-03-2026"/>
    <s v="Gomukh Gold 50KG"/>
    <n v="20090003"/>
    <s v="Naudi"/>
    <s v="0002"/>
    <m/>
    <x v="3"/>
    <s v="Daya Society"/>
    <n v="0"/>
    <n v="1250"/>
    <n v="259"/>
    <m/>
    <x v="1"/>
    <s v="As per discussed by rahul sir No deduction reason technical error"/>
    <m/>
  </r>
  <r>
    <s v="Mar"/>
    <d v="2026-03-31T00:00:00"/>
    <s v="27-03-2026- 31-03-2026"/>
    <s v="Gomukh Gold 50KG"/>
    <n v="20090025"/>
    <s v="Kullu"/>
    <s v="0002"/>
    <m/>
    <x v="3"/>
    <s v="Daya Society"/>
    <n v="2"/>
    <n v="1250"/>
    <n v="2500"/>
    <m/>
    <x v="1"/>
    <s v="As per discussed by rahul sir No deduction reason technical error"/>
    <m/>
  </r>
  <r>
    <s v="Mar"/>
    <d v="2026-03-31T00:00:00"/>
    <s v="27-03-2026- 31-03-2026"/>
    <s v="Gomukh Gold 50KG"/>
    <n v="20010053"/>
    <s v="Tutlo"/>
    <s v="0003"/>
    <m/>
    <x v="3"/>
    <s v="Daya Society"/>
    <n v="0"/>
    <n v="1250"/>
    <n v="15"/>
    <m/>
    <x v="1"/>
    <s v="As per discussed by rahul sir No deduction reason technical error"/>
    <m/>
  </r>
  <r>
    <s v="Mar"/>
    <d v="2026-03-31T00:00:00"/>
    <s v="27-03-2026- 31-03-2026"/>
    <s v="Gomukh Gold 50KG"/>
    <n v="20010053"/>
    <s v="Tutlo"/>
    <s v="0003"/>
    <m/>
    <x v="3"/>
    <s v="Daya Society"/>
    <n v="15"/>
    <n v="1250"/>
    <n v="2057"/>
    <m/>
    <x v="1"/>
    <s v="As per discussed by rahul sir No deduction reason technical error"/>
    <m/>
  </r>
  <r>
    <s v="Mar"/>
    <d v="2026-03-31T00:00:00"/>
    <s v="27-03-2026- 31-03-2026"/>
    <s v="Gomukh Gold 50KG"/>
    <n v="20090015"/>
    <s v="Pakariyo"/>
    <s v="0026"/>
    <m/>
    <x v="3"/>
    <s v="Daya Society"/>
    <n v="0"/>
    <n v="1250"/>
    <n v="425"/>
    <m/>
    <x v="1"/>
    <s v="As per discussed by rahul sir No deduction reason technical error"/>
    <m/>
  </r>
  <r>
    <s v="Mar"/>
    <d v="2026-03-31T00:00:00"/>
    <s v="27-03-2026- 31-03-2026"/>
    <s v="Gomukh Gold 50KG"/>
    <n v="20090015"/>
    <s v="Pakariyo"/>
    <s v="0031"/>
    <m/>
    <x v="3"/>
    <s v="Daya Society"/>
    <n v="0"/>
    <n v="1250"/>
    <n v="70"/>
    <m/>
    <x v="1"/>
    <s v="As per discussed by rahul sir No deduction reason technical error"/>
    <m/>
  </r>
  <r>
    <s v="Mar"/>
    <d v="2026-03-31T00:00:00"/>
    <s v="27-03-2026- 31-03-2026"/>
    <s v="Gomukh Gold 50KG"/>
    <n v="20090015"/>
    <s v="Pakariyo"/>
    <s v="0002"/>
    <m/>
    <x v="3"/>
    <s v="Daya Society"/>
    <n v="0"/>
    <n v="1250"/>
    <n v="96"/>
    <m/>
    <x v="1"/>
    <s v="As per discussed by rahul sir No deduction reason technical error"/>
    <m/>
  </r>
  <r>
    <s v="Mar"/>
    <d v="2026-03-31T00:00:00"/>
    <s v="27-03-2026- 31-03-2026"/>
    <s v="Gomukh Gold 50KG"/>
    <n v="20090020"/>
    <s v="Pakariyo2"/>
    <s v="0002"/>
    <m/>
    <x v="3"/>
    <s v="Daya Society"/>
    <n v="2"/>
    <n v="1250"/>
    <n v="2500"/>
    <m/>
    <x v="1"/>
    <s v="As per discussed by rahul sir No deduction reason technical error"/>
    <m/>
  </r>
  <r>
    <s v="Mar"/>
    <d v="2026-03-31T00:00:00"/>
    <s v="27-03-2026- 31-03-2026"/>
    <s v="Gomukh Gold 50KG"/>
    <n v="20090020"/>
    <s v="Pakariyo2"/>
    <s v="0005"/>
    <m/>
    <x v="3"/>
    <s v="Daya Society"/>
    <n v="1"/>
    <n v="1250"/>
    <n v="1250"/>
    <m/>
    <x v="1"/>
    <s v="As per discussed by rahul sir No deduction reason technical error"/>
    <m/>
  </r>
  <r>
    <s v="Mar"/>
    <d v="2026-03-31T00:00:00"/>
    <s v="27-03-2026- 31-03-2026"/>
    <s v="Gomukh Gold 50KG"/>
    <n v="20090011"/>
    <s v="Barhe"/>
    <s v="0003"/>
    <m/>
    <x v="3"/>
    <s v="Daya Society"/>
    <n v="3"/>
    <n v="1250"/>
    <n v="3750"/>
    <m/>
    <x v="1"/>
    <s v="As per discussed by rahul sir No deduction reason technical error"/>
    <m/>
  </r>
  <r>
    <s v="Mar"/>
    <d v="2026-03-31T00:00:00"/>
    <s v="27-03-2026- 31-03-2026"/>
    <s v="Gomukh Gold 50KG"/>
    <n v="20010053"/>
    <s v="Tutlo"/>
    <s v="0003"/>
    <m/>
    <x v="3"/>
    <s v="Daya Society"/>
    <n v="0"/>
    <m/>
    <n v="665"/>
    <m/>
    <x v="1"/>
    <s v="As per discussed by rahul sir No deduction reason technical error"/>
    <m/>
  </r>
  <r>
    <s v="Mar"/>
    <d v="2026-03-31T00:00:00"/>
    <s v="27-03-2026- 31-03-2026"/>
    <s v="Gomukh Gold 50KG"/>
    <n v="20090017"/>
    <s v="Nawatand"/>
    <s v="0003"/>
    <m/>
    <x v="3"/>
    <s v="Daya Society"/>
    <n v="1"/>
    <n v="1250"/>
    <n v="1250"/>
    <n v="0"/>
    <x v="1"/>
    <s v="As per discussed by rahul sir No deduction reason technical error"/>
    <m/>
  </r>
  <r>
    <s v="Apr"/>
    <d v="2026-04-09T00:00:00"/>
    <s v="03-04-2026 To 09-04-2026"/>
    <s v="Gomukh Gold 50KG"/>
    <n v="20010001"/>
    <m/>
    <s v="0002"/>
    <m/>
    <x v="9"/>
    <s v="Daya Society"/>
    <m/>
    <n v="1250"/>
    <n v="102000"/>
    <m/>
    <x v="0"/>
    <m/>
    <m/>
  </r>
  <r>
    <s v="Apr"/>
    <d v="2026-04-09T00:00:00"/>
    <s v="03-04-2026- 09-04-2026"/>
    <s v="Gomukh Gold 50KG"/>
    <n v="20010003"/>
    <s v="Bero"/>
    <s v="0003"/>
    <m/>
    <x v="1"/>
    <s v="Daya Society"/>
    <n v="8"/>
    <n v="1250"/>
    <n v="10000"/>
    <m/>
    <x v="0"/>
    <m/>
    <m/>
  </r>
  <r>
    <s v="Apr"/>
    <d v="2026-04-09T00:00:00"/>
    <s v="03-04-2026- 09-04-2026"/>
    <s v="Gomukh Gold 50KG"/>
    <n v="20010008"/>
    <s v="Erchoro"/>
    <s v="0010"/>
    <m/>
    <x v="9"/>
    <s v="Daya Society"/>
    <m/>
    <n v="1250"/>
    <n v="1250"/>
    <m/>
    <x v="0"/>
    <m/>
    <m/>
  </r>
  <r>
    <s v="Apr"/>
    <d v="2026-04-09T00:00:00"/>
    <s v="03-04-2026- 09-04-2026"/>
    <s v="Gomukh Gold 50KG"/>
    <n v="20010008"/>
    <s v="Erchoro"/>
    <s v="0014"/>
    <m/>
    <x v="9"/>
    <s v="Daya Society"/>
    <m/>
    <n v="1250"/>
    <n v="1250"/>
    <m/>
    <x v="0"/>
    <m/>
    <m/>
  </r>
  <r>
    <s v="Apr"/>
    <d v="2026-04-09T00:00:00"/>
    <s v="03-04-2026- 09-04-2026"/>
    <s v="Gomukh Gold 50KG"/>
    <n v="20010008"/>
    <s v="Erchoro"/>
    <s v="0037"/>
    <m/>
    <x v="9"/>
    <s v="Daya Society"/>
    <m/>
    <n v="1250"/>
    <n v="1250"/>
    <m/>
    <x v="0"/>
    <m/>
    <m/>
  </r>
  <r>
    <s v="Apr"/>
    <d v="2026-04-09T00:00:00"/>
    <s v="03-04-2026- 09-04-2026"/>
    <s v="Gomukh Gold 50KG"/>
    <n v="20010008"/>
    <s v="Erchoro"/>
    <s v="0059"/>
    <m/>
    <x v="9"/>
    <s v="Daya Society"/>
    <m/>
    <n v="1250"/>
    <n v="1250"/>
    <m/>
    <x v="0"/>
    <m/>
    <m/>
  </r>
  <r>
    <s v="Apr"/>
    <d v="2026-04-09T00:00:00"/>
    <s v="03-04-2026- 09-04-2026"/>
    <s v="Gomukh Gold 50KG"/>
    <n v="20010008"/>
    <s v="Erchoro"/>
    <s v="0060"/>
    <m/>
    <x v="9"/>
    <s v="Daya Society"/>
    <m/>
    <n v="1250"/>
    <n v="1250"/>
    <m/>
    <x v="0"/>
    <m/>
    <m/>
  </r>
  <r>
    <s v="Apr"/>
    <d v="2026-04-09T00:00:00"/>
    <s v="03-04-2026- 09-04-2026"/>
    <s v="Gomukh Gold 50KG"/>
    <n v="20020006"/>
    <s v="Ranikhatanga"/>
    <s v="0002"/>
    <m/>
    <x v="0"/>
    <s v="Daya Society"/>
    <n v="0"/>
    <n v="1250"/>
    <n v="6250"/>
    <m/>
    <x v="0"/>
    <m/>
    <m/>
  </r>
  <r>
    <s v="Apr"/>
    <d v="2026-04-09T00:00:00"/>
    <s v="03-04-2026- 09-04-2026"/>
    <s v="Gomukh Gold 50KG"/>
    <n v="20020001"/>
    <s v="Pali"/>
    <s v="0003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01"/>
    <s v="Pali"/>
    <s v="0005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01"/>
    <s v="Pali"/>
    <s v="0025"/>
    <m/>
    <x v="0"/>
    <s v="Daya Society"/>
    <m/>
    <n v="1250"/>
    <n v="1119"/>
    <m/>
    <x v="0"/>
    <m/>
    <m/>
  </r>
  <r>
    <s v="Apr"/>
    <d v="2026-04-09T00:00:00"/>
    <s v="03-04-2026- 09-04-2026"/>
    <s v="Gomukh Gold 50KG"/>
    <n v="20020001"/>
    <s v="Pali"/>
    <s v="0033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01"/>
    <s v="Pali"/>
    <s v="0041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01"/>
    <s v="Pali"/>
    <s v="0083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01"/>
    <s v="Pali"/>
    <s v="0121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01"/>
    <s v="Pali"/>
    <s v="0160"/>
    <m/>
    <x v="0"/>
    <s v="Daya Society"/>
    <m/>
    <n v="1250"/>
    <n v="724"/>
    <m/>
    <x v="0"/>
    <m/>
    <m/>
  </r>
  <r>
    <s v="Apr"/>
    <d v="2026-04-09T00:00:00"/>
    <s v="03-04-2026- 09-04-2026"/>
    <s v="Gomukh Gold 50KG"/>
    <n v="20020003"/>
    <s v="Bijuliya"/>
    <s v="0002"/>
    <m/>
    <x v="0"/>
    <s v="Daya Society"/>
    <n v="10"/>
    <n v="1250"/>
    <n v="12500"/>
    <m/>
    <x v="0"/>
    <m/>
    <m/>
  </r>
  <r>
    <s v="Apr"/>
    <d v="2026-04-09T00:00:00"/>
    <s v="03-04-2026- 09-04-2026"/>
    <s v="Gomukh Gold 50KG"/>
    <n v="20020020"/>
    <s v="Tikotoli"/>
    <s v="0012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20"/>
    <s v="Tikotoli"/>
    <s v="0023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20"/>
    <s v="Tikotoli"/>
    <s v="0025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20"/>
    <s v="Tikotoli"/>
    <s v="0033"/>
    <m/>
    <x v="0"/>
    <s v="Daya Society"/>
    <m/>
    <n v="1250"/>
    <n v="560"/>
    <m/>
    <x v="0"/>
    <m/>
    <m/>
  </r>
  <r>
    <s v="Apr"/>
    <d v="2026-04-09T00:00:00"/>
    <s v="03-04-2026- 09-04-2026"/>
    <s v="Gomukh Gold 50KG"/>
    <n v="20020020"/>
    <s v="Tikotoli"/>
    <s v="0038"/>
    <m/>
    <x v="0"/>
    <s v="Daya Society"/>
    <m/>
    <n v="1250"/>
    <n v="640"/>
    <m/>
    <x v="0"/>
    <m/>
    <m/>
  </r>
  <r>
    <s v="Apr"/>
    <d v="2026-04-09T00:00:00"/>
    <s v="03-04-2026- 09-04-2026"/>
    <s v="Gomukh Gold 50KG"/>
    <n v="20020020"/>
    <s v="Tikotoli"/>
    <s v="0042"/>
    <m/>
    <x v="0"/>
    <s v="Daya Society"/>
    <m/>
    <n v="1250"/>
    <n v="785"/>
    <m/>
    <x v="0"/>
    <m/>
    <m/>
  </r>
  <r>
    <s v="Apr"/>
    <d v="2026-04-09T00:00:00"/>
    <s v="03-04-2026- 09-04-2026"/>
    <s v="Gomukh Gold 50KG"/>
    <n v="20020020"/>
    <s v="Tikotoli"/>
    <s v="0044"/>
    <m/>
    <x v="0"/>
    <s v="Daya Society"/>
    <m/>
    <n v="1250"/>
    <n v="1250"/>
    <m/>
    <x v="0"/>
    <m/>
    <m/>
  </r>
  <r>
    <s v="Apr"/>
    <d v="2026-04-09T00:00:00"/>
    <s v="03-04-2026- 09-04-2026"/>
    <s v="Gomukh Gold 50KG"/>
    <n v="20020025"/>
    <s v="Agru"/>
    <s v="0002"/>
    <m/>
    <x v="9"/>
    <s v="Daya Society"/>
    <m/>
    <n v="1250"/>
    <n v="6250"/>
    <m/>
    <x v="0"/>
    <m/>
    <m/>
  </r>
  <r>
    <s v="Apr"/>
    <d v="2026-04-09T00:00:00"/>
    <s v="03-04-2026- 09-04-2026"/>
    <s v="Gomukh Gold 50KG"/>
    <n v="20060003"/>
    <s v="Dumardagga"/>
    <s v="0002"/>
    <m/>
    <x v="9"/>
    <s v="Daya Society"/>
    <m/>
    <n v="1250"/>
    <n v="25000"/>
    <m/>
    <x v="0"/>
    <m/>
    <m/>
  </r>
  <r>
    <s v="Apr"/>
    <d v="2026-04-09T00:00:00"/>
    <s v="03-04-2026- 09-04-2026"/>
    <s v="Gomukh Gold 50KG"/>
    <n v="20060009"/>
    <s v="Jirabar"/>
    <s v="0019"/>
    <m/>
    <x v="9"/>
    <s v="Daya Society"/>
    <m/>
    <n v="1250"/>
    <n v="3465"/>
    <m/>
    <x v="0"/>
    <m/>
    <m/>
  </r>
  <r>
    <s v="Apr"/>
    <d v="2026-04-09T00:00:00"/>
    <s v="03-04-2026- 09-04-2026"/>
    <s v="Gomukh Gold 50KG"/>
    <n v="20070002"/>
    <m/>
    <s v="0002"/>
    <m/>
    <x v="9"/>
    <s v="Daya Society"/>
    <m/>
    <n v="1250"/>
    <n v="162"/>
    <m/>
    <x v="0"/>
    <m/>
    <m/>
  </r>
  <r>
    <s v="Apr"/>
    <d v="2026-04-16T00:00:00"/>
    <s v="10-04-2026- 16-04-2026"/>
    <s v="Gomukh Gold 50KG"/>
    <n v="20010003"/>
    <s v="Bero"/>
    <s v="0003"/>
    <m/>
    <x v="1"/>
    <s v="Daya Society"/>
    <n v="0"/>
    <n v="1250"/>
    <n v="11863"/>
    <m/>
    <x v="0"/>
    <m/>
    <m/>
  </r>
  <r>
    <s v="Apr"/>
    <d v="2026-04-16T00:00:00"/>
    <s v="10-04-2026- 16-04-2026"/>
    <s v="Gomukh Gold 50KG"/>
    <n v="20060001"/>
    <s v="Ormanjhi"/>
    <s v="0023"/>
    <m/>
    <x v="2"/>
    <s v="Daya Society"/>
    <n v="3"/>
    <n v="1250"/>
    <n v="2955"/>
    <m/>
    <x v="0"/>
    <m/>
    <m/>
  </r>
  <r>
    <s v="Apr"/>
    <d v="2026-04-16T00:00:00"/>
    <s v="10-04-2026- 16-04-2026"/>
    <s v="Gomukh Gold 50KG"/>
    <n v="20060001"/>
    <s v="Ormanjhi"/>
    <s v="0018"/>
    <m/>
    <x v="2"/>
    <s v="Daya Society"/>
    <n v="1"/>
    <n v="1250"/>
    <n v="1250"/>
    <m/>
    <x v="0"/>
    <m/>
    <m/>
  </r>
  <r>
    <s v="Apr"/>
    <d v="2026-04-16T00:00:00"/>
    <s v="10-04-2026- 16-04-2026"/>
    <s v="Gomukh Gold 50KG"/>
    <n v="20060001"/>
    <s v="Ormanjhi"/>
    <s v="0015"/>
    <m/>
    <x v="2"/>
    <s v="Daya Society"/>
    <n v="1"/>
    <n v="1250"/>
    <n v="1250"/>
    <m/>
    <x v="0"/>
    <m/>
    <m/>
  </r>
  <r>
    <s v="Apr"/>
    <d v="2026-04-16T00:00:00"/>
    <s v="10-04-2026- 16-04-2026"/>
    <s v="Gomukh Gold 50KG"/>
    <n v="20060001"/>
    <s v="Ormanjhi"/>
    <s v="0024"/>
    <m/>
    <x v="2"/>
    <s v="Daya Society"/>
    <n v="2"/>
    <n v="1250"/>
    <n v="2500"/>
    <m/>
    <x v="0"/>
    <m/>
    <m/>
  </r>
  <r>
    <s v="Apr"/>
    <d v="2026-04-16T00:00:00"/>
    <s v="10-04-2026- 16-04-2026"/>
    <s v="Gomukh Gold 50KG"/>
    <n v="20010008"/>
    <s v="Erchoro"/>
    <s v="0024"/>
    <m/>
    <x v="1"/>
    <s v="Daya Society"/>
    <n v="1"/>
    <n v="1250"/>
    <n v="1250"/>
    <m/>
    <x v="0"/>
    <m/>
    <m/>
  </r>
  <r>
    <s v="Apr"/>
    <d v="2026-04-16T00:00:00"/>
    <s v="10-04-2026- 16-04-2026"/>
    <s v="Gomukh Gold 50KG"/>
    <n v="20010008"/>
    <s v="Erchoro"/>
    <s v="0035"/>
    <m/>
    <x v="1"/>
    <s v="Daya Society"/>
    <n v="9"/>
    <n v="1250"/>
    <n v="11250"/>
    <m/>
    <x v="0"/>
    <m/>
    <m/>
  </r>
  <r>
    <s v="Apr"/>
    <d v="2026-04-16T00:00:00"/>
    <s v="10-04-2026- 16-04-2026"/>
    <s v="Gomukh Gold 50KG"/>
    <n v="20060003"/>
    <s v="Dumardagga"/>
    <s v="0002"/>
    <m/>
    <x v="6"/>
    <s v="Daya Society"/>
    <n v="20"/>
    <n v="1250"/>
    <n v="25000"/>
    <m/>
    <x v="0"/>
    <m/>
    <m/>
  </r>
  <r>
    <s v="Apr"/>
    <d v="2026-04-16T00:00:00"/>
    <s v="10-04-2026- 16-04-2026"/>
    <s v="Gomukh Gold 50KG"/>
    <n v="20010016"/>
    <s v="Etachildri"/>
    <s v="0025"/>
    <m/>
    <x v="1"/>
    <s v="Daya Society"/>
    <n v="0"/>
    <n v="1250"/>
    <n v="791"/>
    <m/>
    <x v="0"/>
    <m/>
    <m/>
  </r>
  <r>
    <s v="Apr"/>
    <d v="2026-04-16T00:00:00"/>
    <s v="10-04-2026- 16-04-2026"/>
    <s v="Gomukh Gold 50KG"/>
    <n v="20010016"/>
    <s v="Etachildri"/>
    <s v="0005"/>
    <m/>
    <x v="1"/>
    <s v="Daya Society"/>
    <n v="0"/>
    <n v="1250"/>
    <n v="684"/>
    <m/>
    <x v="0"/>
    <m/>
    <m/>
  </r>
  <r>
    <s v="Apr"/>
    <d v="2026-04-16T00:00:00"/>
    <s v="10-04-2026- 16-04-2026"/>
    <s v="Gomukh Gold 50KG"/>
    <n v="20070010"/>
    <s v="Kuralu"/>
    <s v="0002"/>
    <m/>
    <x v="9"/>
    <s v="Daya Society"/>
    <n v="2"/>
    <n v="1250"/>
    <n v="2490"/>
    <m/>
    <x v="0"/>
    <m/>
    <m/>
  </r>
  <r>
    <s v="Apr"/>
    <d v="2026-04-16T00:00:00"/>
    <s v="10-04-2026- 16-04-2026"/>
    <s v="Gomukh Gold 50KG"/>
    <n v="20020001"/>
    <s v="Pali"/>
    <s v="0160"/>
    <m/>
    <x v="0"/>
    <s v="Daya Society"/>
    <n v="0"/>
    <n v="1250"/>
    <n v="526"/>
    <m/>
    <x v="0"/>
    <m/>
    <m/>
  </r>
  <r>
    <s v="Apr"/>
    <d v="2026-04-16T00:00:00"/>
    <s v="10-04-2026- 16-04-2026"/>
    <s v="Gomukh Gold 50KG"/>
    <n v="20020001"/>
    <s v="Pali"/>
    <s v="0025"/>
    <m/>
    <x v="0"/>
    <s v="Daya Society"/>
    <n v="0"/>
    <n v="1250"/>
    <n v="131"/>
    <m/>
    <x v="0"/>
    <m/>
    <m/>
  </r>
  <r>
    <s v="Apr"/>
    <d v="2026-04-16T00:00:00"/>
    <s v="10-04-2026- 16-04-2026"/>
    <s v="Gomukh Gold 50KG"/>
    <n v="20020001"/>
    <s v="Pali"/>
    <s v="0002"/>
    <m/>
    <x v="0"/>
    <s v="Daya Society"/>
    <n v="2"/>
    <n v="1250"/>
    <n v="2500"/>
    <m/>
    <x v="0"/>
    <m/>
    <m/>
  </r>
  <r>
    <s v="Apr"/>
    <d v="2026-04-16T00:00:00"/>
    <s v="10-04-2026- 16-04-2026"/>
    <s v="Gomukh Gold 50KG"/>
    <n v="20020001"/>
    <s v="Pali"/>
    <s v="0033"/>
    <m/>
    <x v="0"/>
    <s v="Daya Society"/>
    <n v="1"/>
    <n v="1250"/>
    <n v="1250"/>
    <m/>
    <x v="0"/>
    <m/>
    <m/>
  </r>
  <r>
    <s v="Apr"/>
    <d v="2026-04-16T00:00:00"/>
    <s v="10-04-2026- 16-04-2026"/>
    <s v="Gomukh Gold 50KG"/>
    <n v="20020001"/>
    <s v="Pali"/>
    <s v="0039"/>
    <m/>
    <x v="0"/>
    <s v="Daya Society"/>
    <n v="1"/>
    <n v="1250"/>
    <n v="1250"/>
    <m/>
    <x v="0"/>
    <m/>
    <m/>
  </r>
  <r>
    <s v="Apr"/>
    <d v="2026-04-16T00:00:00"/>
    <s v="10-04-2026- 16-04-2026"/>
    <s v="Gomukh Gold 50KG"/>
    <n v="20020001"/>
    <s v="Pali"/>
    <s v="0041"/>
    <m/>
    <x v="0"/>
    <s v="Daya Society"/>
    <n v="1"/>
    <n v="1250"/>
    <n v="1250"/>
    <m/>
    <x v="0"/>
    <m/>
    <m/>
  </r>
  <r>
    <s v="Apr"/>
    <d v="2026-04-16T00:00:00"/>
    <s v="10-04-2026- 16-04-2026"/>
    <s v="Gomukh Gold 50KG"/>
    <n v="20070024"/>
    <s v="Murpa"/>
    <s v="0002"/>
    <m/>
    <x v="5"/>
    <s v="Daya Society"/>
    <n v="0"/>
    <n v="1250"/>
    <n v="8844"/>
    <m/>
    <x v="0"/>
    <m/>
    <m/>
  </r>
  <r>
    <s v="Apr"/>
    <d v="2026-04-16T00:00:00"/>
    <s v="10-04-2026- 16-04-2026"/>
    <s v="Gomukh Gold 50KG"/>
    <n v="20020002"/>
    <s v="Jari"/>
    <s v="0003"/>
    <m/>
    <x v="0"/>
    <s v="Daya Society"/>
    <n v="1"/>
    <n v="1250"/>
    <n v="1250"/>
    <m/>
    <x v="0"/>
    <m/>
    <m/>
  </r>
  <r>
    <s v="Apr"/>
    <d v="2026-04-16T00:00:00"/>
    <s v="10-04-2026- 16-04-2026"/>
    <s v="Gomukh Gold 50KG"/>
    <n v="20020002"/>
    <s v="Jari"/>
    <s v="0055"/>
    <m/>
    <x v="0"/>
    <s v="Daya Society"/>
    <n v="1"/>
    <n v="1250"/>
    <n v="1250"/>
    <m/>
    <x v="0"/>
    <m/>
    <m/>
  </r>
  <r>
    <s v="Apr"/>
    <d v="2026-04-16T00:00:00"/>
    <s v="10-04-2026- 16-04-2026"/>
    <s v="Gomukh Gold 50KG"/>
    <n v="20020002"/>
    <s v="Jari"/>
    <s v="0013"/>
    <m/>
    <x v="0"/>
    <s v="Daya Society"/>
    <n v="1"/>
    <n v="1250"/>
    <n v="1250"/>
    <m/>
    <x v="0"/>
    <m/>
    <m/>
  </r>
  <r>
    <s v="Apr"/>
    <d v="2026-04-16T00:00:00"/>
    <s v="10-04-2026- 16-04-2026"/>
    <s v="Gomukh Gold 50KG"/>
    <n v="20020020"/>
    <s v="Tikotoli"/>
    <s v="0033"/>
    <m/>
    <x v="0"/>
    <s v="Daya Society"/>
    <n v="0"/>
    <n v="1250"/>
    <n v="690"/>
    <m/>
    <x v="0"/>
    <m/>
    <m/>
  </r>
  <r>
    <s v="Apr"/>
    <d v="2026-04-16T00:00:00"/>
    <s v="10-04-2026- 16-04-2026"/>
    <s v="Gomukh Gold 50KG"/>
    <n v="20020020"/>
    <s v="Tikotoli"/>
    <s v="0038"/>
    <m/>
    <x v="0"/>
    <s v="Daya Society"/>
    <n v="0"/>
    <n v="1250"/>
    <n v="922"/>
    <m/>
    <x v="0"/>
    <m/>
    <m/>
  </r>
  <r>
    <s v="Apr"/>
    <d v="2026-04-16T00:00:00"/>
    <s v="10-04-2026- 16-04-2026"/>
    <s v="Gomukh Gold 50KG"/>
    <n v="20020020"/>
    <s v="Tikotoli"/>
    <s v="0042"/>
    <m/>
    <x v="0"/>
    <s v="Daya Society"/>
    <n v="0"/>
    <n v="1250"/>
    <n v="1354"/>
    <m/>
    <x v="0"/>
    <m/>
    <m/>
  </r>
  <r>
    <s v="Apr"/>
    <d v="2026-04-16T00:00:00"/>
    <s v="10-04-2026- 16-04-2026"/>
    <s v="Gomukh Gold 50KG"/>
    <n v="20020020"/>
    <s v="Tikotoli"/>
    <s v="0023"/>
    <m/>
    <x v="0"/>
    <s v="Daya Society"/>
    <n v="1"/>
    <n v="1250"/>
    <n v="1250"/>
    <m/>
    <x v="0"/>
    <m/>
    <m/>
  </r>
  <r>
    <s v="Apr"/>
    <d v="2026-04-16T00:00:00"/>
    <s v="10-04-2026- 16-04-2026"/>
    <s v="Gomukh Gold 50KG"/>
    <n v="20020020"/>
    <s v="Tikotoli"/>
    <s v="0041"/>
    <m/>
    <x v="0"/>
    <s v="Daya Society"/>
    <n v="1"/>
    <n v="1250"/>
    <n v="1250"/>
    <m/>
    <x v="0"/>
    <m/>
    <m/>
  </r>
  <r>
    <s v="Apr"/>
    <d v="2026-04-16T00:00:00"/>
    <s v="10-04-2026- 16-04-2026"/>
    <s v="Gomukh Gold 50KG"/>
    <n v="20020020"/>
    <s v="Tikotoli"/>
    <s v="0043"/>
    <m/>
    <x v="0"/>
    <s v="Daya Society"/>
    <n v="1"/>
    <n v="1250"/>
    <n v="884"/>
    <m/>
    <x v="0"/>
    <m/>
    <m/>
  </r>
  <r>
    <s v="Apr"/>
    <d v="2026-04-16T00:00:00"/>
    <s v="10-04-2026- 16-04-2026"/>
    <s v="Gomukh Gold 50KG"/>
    <n v="20020025"/>
    <s v="Agru"/>
    <s v="0002"/>
    <m/>
    <x v="9"/>
    <s v="Daya Society"/>
    <n v="6"/>
    <n v="1250"/>
    <n v="5782"/>
    <m/>
    <x v="0"/>
    <m/>
    <m/>
  </r>
  <r>
    <s v="Apr"/>
    <d v="2026-04-16T00:00:00"/>
    <s v="10-04-2026- 16-04-2026"/>
    <s v="Gomukh Gold 50KG"/>
    <n v="20050001"/>
    <s v="Baski2"/>
    <s v="0049"/>
    <m/>
    <x v="10"/>
    <s v="Daya Society"/>
    <n v="2"/>
    <n v="1250"/>
    <n v="2500"/>
    <m/>
    <x v="0"/>
    <m/>
    <m/>
  </r>
  <r>
    <s v="Apr"/>
    <d v="2026-04-16T00:00:00"/>
    <s v="10-04-2026- 16-04-2026"/>
    <s v="Gomukh Gold 50KG"/>
    <n v="20050003"/>
    <s v="Uchri"/>
    <s v="0002"/>
    <m/>
    <x v="9"/>
    <s v="Daya Society"/>
    <n v="3"/>
    <n v="1250"/>
    <n v="3750"/>
    <m/>
    <x v="0"/>
    <m/>
    <m/>
  </r>
  <r>
    <s v="Apr"/>
    <d v="2026-04-16T00:00:00"/>
    <s v="10-04-2026- 16-04-2026"/>
    <s v="Gomukh Gold 50KG"/>
    <n v="20090015"/>
    <s v="Pakariyo1"/>
    <s v="0002"/>
    <m/>
    <x v="3"/>
    <s v="Daya Society"/>
    <n v="1"/>
    <n v="1250"/>
    <n v="616"/>
    <m/>
    <x v="0"/>
    <m/>
    <m/>
  </r>
  <r>
    <s v="Apr"/>
    <d v="2026-04-16T00:00:00"/>
    <s v="10-04-2026- 16-04-2026"/>
    <s v="Gomukh Gold 50KG"/>
    <n v="20090015"/>
    <s v="Pakariyo1"/>
    <s v="0026"/>
    <m/>
    <x v="3"/>
    <s v="Daya Society"/>
    <n v="1"/>
    <n v="1250"/>
    <n v="1121"/>
    <m/>
    <x v="0"/>
    <m/>
    <m/>
  </r>
  <r>
    <s v="Apr"/>
    <d v="2026-04-16T00:00:00"/>
    <s v="10-04-2026- 16-04-2026"/>
    <s v="Gomukh Gold 50KG"/>
    <n v="20090017"/>
    <s v="Nawatand"/>
    <s v="0003"/>
    <m/>
    <x v="3"/>
    <s v="Daya Society"/>
    <n v="2"/>
    <n v="1250"/>
    <n v="2500"/>
    <m/>
    <x v="0"/>
    <m/>
    <m/>
  </r>
  <r>
    <s v="Apr"/>
    <d v="2026-04-16T00:00:00"/>
    <s v="10-04-2026- 16-04-2026"/>
    <s v="Gomukh Gold 50KG"/>
    <n v="20090011"/>
    <s v="Barhe"/>
    <s v="0007"/>
    <m/>
    <x v="3"/>
    <s v="Daya Society"/>
    <n v="1"/>
    <n v="1250"/>
    <n v="1250"/>
    <m/>
    <x v="0"/>
    <m/>
    <m/>
  </r>
  <r>
    <s v="Apr"/>
    <d v="2026-04-16T00:00:00"/>
    <s v="10-04-2026- 16-04-2026"/>
    <s v="Gomukh Gold 50KG"/>
    <n v="20090011"/>
    <s v="Barhe"/>
    <s v="0003"/>
    <m/>
    <x v="3"/>
    <s v="Daya Society"/>
    <n v="2"/>
    <n v="1250"/>
    <n v="2500"/>
    <m/>
    <x v="0"/>
    <m/>
    <m/>
  </r>
  <r>
    <s v="Apr"/>
    <d v="2026-04-16T00:00:00"/>
    <s v="10-04-2026- 16-04-2026"/>
    <s v="Gomukh Gold 50KG"/>
    <n v="20090023"/>
    <s v="Kokar"/>
    <s v="0002"/>
    <m/>
    <x v="3"/>
    <s v="Daya Society"/>
    <n v="5"/>
    <n v="1250"/>
    <n v="35"/>
    <m/>
    <x v="0"/>
    <m/>
    <m/>
  </r>
  <r>
    <s v="Apr"/>
    <d v="2026-04-16T00:00:00"/>
    <s v="10-04-2026- 16-04-2026"/>
    <s v="Gomukh Gold 50KG"/>
    <n v="20010053"/>
    <s v="Tutlo"/>
    <s v="0014"/>
    <m/>
    <x v="3"/>
    <s v="Daya Society"/>
    <n v="0"/>
    <n v="1250"/>
    <n v="128"/>
    <m/>
    <x v="0"/>
    <m/>
    <m/>
  </r>
  <r>
    <s v="Apr"/>
    <d v="2026-04-16T00:00:00"/>
    <s v="10-04-2026- 16-04-2026"/>
    <s v="Gomukh Gold 50KG"/>
    <n v="20010053"/>
    <s v="Tutlo"/>
    <s v="0017"/>
    <m/>
    <x v="3"/>
    <s v="Daya Society"/>
    <n v="0"/>
    <n v="1250"/>
    <n v="98"/>
    <m/>
    <x v="0"/>
    <m/>
    <m/>
  </r>
  <r>
    <s v="Apr"/>
    <d v="2026-04-16T00:00:00"/>
    <s v="10-04-2026- 16-04-2026"/>
    <s v="Gomukh Gold 50KG"/>
    <n v="20010053"/>
    <s v="Tutlo"/>
    <s v="0020"/>
    <m/>
    <x v="3"/>
    <s v="Daya Society"/>
    <n v="0"/>
    <n v="1250"/>
    <n v="137"/>
    <m/>
    <x v="0"/>
    <m/>
    <m/>
  </r>
  <r>
    <s v="Apr"/>
    <d v="2026-04-16T00:00:00"/>
    <s v="10-04-2026- 16-04-2026"/>
    <s v="Gomukh Gold 50KG"/>
    <n v="20010053"/>
    <s v="Tutlo"/>
    <s v="0022"/>
    <m/>
    <x v="3"/>
    <s v="Daya Society"/>
    <n v="0"/>
    <n v="1250"/>
    <n v="109"/>
    <m/>
    <x v="0"/>
    <m/>
    <m/>
  </r>
  <r>
    <s v="Apr"/>
    <d v="2026-04-16T00:00:00"/>
    <s v="10-04-2026- 16-04-2026"/>
    <s v="Gomukh Gold 50KG"/>
    <n v="20010053"/>
    <s v="Tutlo"/>
    <s v="0036"/>
    <m/>
    <x v="3"/>
    <s v="Daya Society"/>
    <n v="0"/>
    <n v="1250"/>
    <n v="113"/>
    <m/>
    <x v="0"/>
    <m/>
    <m/>
  </r>
  <r>
    <s v="Apr"/>
    <d v="2026-04-16T00:00:00"/>
    <s v="10-04-2026- 16-04-2026"/>
    <s v="Gomukh Gold 50KG"/>
    <n v="20010053"/>
    <s v="Tutlo"/>
    <s v="0042"/>
    <m/>
    <x v="3"/>
    <s v="Daya Society"/>
    <n v="1"/>
    <n v="1250"/>
    <n v="1250"/>
    <m/>
    <x v="0"/>
    <m/>
    <m/>
  </r>
  <r>
    <s v="Apr"/>
    <d v="2026-04-16T00:00:00"/>
    <s v="10-04-2026- 16-04-2026"/>
    <s v="Gomukh Gold 50KG"/>
    <n v="20090020"/>
    <s v="Pakariyo2"/>
    <s v="0002"/>
    <m/>
    <x v="3"/>
    <s v="Daya Society"/>
    <n v="1"/>
    <n v="1250"/>
    <n v="1250"/>
    <m/>
    <x v="0"/>
    <m/>
    <m/>
  </r>
  <r>
    <s v="Apr"/>
    <d v="2026-04-16T00:00:00"/>
    <s v="10-04-2026- 16-04-2026"/>
    <s v="Gomukh Gold 50KG"/>
    <n v="20090020"/>
    <s v="Pakariyo2"/>
    <s v="0005"/>
    <m/>
    <x v="3"/>
    <s v="Daya Society"/>
    <n v="2"/>
    <n v="1250"/>
    <n v="2500"/>
    <m/>
    <x v="0"/>
    <m/>
    <m/>
  </r>
  <r>
    <s v="Apr"/>
    <d v="2026-04-16T00:00:00"/>
    <s v="10-04-2026- 16-04-2026"/>
    <s v="Gomukh Gold 50KG"/>
    <n v="20070009"/>
    <s v="Karamba"/>
    <s v="OS"/>
    <m/>
    <x v="5"/>
    <s v="Daya Society"/>
    <n v="2"/>
    <n v="1250"/>
    <n v="2500"/>
    <m/>
    <x v="0"/>
    <m/>
    <m/>
  </r>
  <r>
    <s v="Apr"/>
    <d v="2026-04-16T00:00:00"/>
    <s v="10-04-2026- 16-04-2026"/>
    <s v="Gomukh Gold 50KG"/>
    <n v="20010015"/>
    <s v="Boriya"/>
    <s v="OS"/>
    <m/>
    <x v="1"/>
    <s v="Daya Society"/>
    <n v="0"/>
    <m/>
    <n v="2000"/>
    <m/>
    <x v="0"/>
    <m/>
    <m/>
  </r>
  <r>
    <s v="Apr"/>
    <d v="2026-04-23T00:00:00"/>
    <s v="17-04-2026 to 23-04-2026"/>
    <s v="Gomukh Gold 50KG"/>
    <n v="20010008"/>
    <s v="Elcharo"/>
    <s v="0035"/>
    <m/>
    <x v="8"/>
    <s v="Daya Society"/>
    <n v="9"/>
    <n v="1250"/>
    <n v="11250"/>
    <m/>
    <x v="0"/>
    <m/>
    <m/>
  </r>
  <r>
    <s v="Apr"/>
    <d v="2026-04-23T00:00:00"/>
    <s v="17-04-2026 to 23-04-2026"/>
    <s v="Gomukh Gold 50KG"/>
    <n v="20010008"/>
    <s v="Elcharo"/>
    <s v="0059"/>
    <m/>
    <x v="8"/>
    <s v="Daya Society"/>
    <n v="1"/>
    <n v="1250"/>
    <n v="1250"/>
    <m/>
    <x v="0"/>
    <m/>
    <m/>
  </r>
  <r>
    <s v="Apr"/>
    <d v="2026-04-23T00:00:00"/>
    <s v="17-04-2026 to 23-04-2026"/>
    <s v="Gomukh Gold 50KG"/>
    <n v="20060009"/>
    <s v="Jirabar"/>
    <s v="0025"/>
    <m/>
    <x v="9"/>
    <s v="Daya Society"/>
    <n v="1"/>
    <n v="1250"/>
    <n v="445"/>
    <m/>
    <x v="0"/>
    <m/>
    <m/>
  </r>
  <r>
    <s v="Apr"/>
    <d v="2026-04-23T00:00:00"/>
    <s v="17-04-2026 to 23-04-2026"/>
    <s v="Gomukh Gold 50KG"/>
    <n v="20060003"/>
    <s v="Dumardagga"/>
    <s v="0002"/>
    <m/>
    <x v="6"/>
    <s v="Daya Society"/>
    <n v="20"/>
    <n v="1250"/>
    <n v="25000"/>
    <m/>
    <x v="0"/>
    <m/>
    <m/>
  </r>
  <r>
    <s v="Apr"/>
    <d v="2026-04-23T00:00:00"/>
    <s v="17-04-2026 to 23-04-2026"/>
    <s v="Gomukh Gold 50KG"/>
    <n v="20010001"/>
    <s v="Itki"/>
    <s v="0002"/>
    <m/>
    <x v="8"/>
    <s v="Daya Society"/>
    <n v="0"/>
    <n v="1250"/>
    <n v="126000"/>
    <m/>
    <x v="0"/>
    <m/>
    <m/>
  </r>
  <r>
    <s v="Apr"/>
    <d v="2026-04-23T00:00:00"/>
    <s v="17-04-2026 to 23-04-2026"/>
    <s v="Gomukh Gold 50KG"/>
    <n v="20010003"/>
    <s v="Bero"/>
    <s v="0003"/>
    <m/>
    <x v="1"/>
    <s v="Daya Society"/>
    <n v="10"/>
    <n v="1250"/>
    <n v="12500"/>
    <m/>
    <x v="0"/>
    <m/>
    <m/>
  </r>
  <r>
    <s v="Apr"/>
    <d v="2026-04-23T00:00:00"/>
    <s v="17-04-2026 to 23-04-2026"/>
    <s v="Gomukh Gold 50KG"/>
    <n v="20020003"/>
    <s v="Bijuliya"/>
    <s v="0002"/>
    <m/>
    <x v="0"/>
    <s v="Daya Society"/>
    <n v="5"/>
    <n v="1250"/>
    <n v="6250"/>
    <m/>
    <x v="0"/>
    <m/>
    <m/>
  </r>
  <r>
    <s v="Apr"/>
    <d v="2026-04-23T00:00:00"/>
    <s v="17-04-2026 to 23-04-2026"/>
    <s v="Gomukh Gold 50KG"/>
    <n v="20020025"/>
    <s v="Agru"/>
    <s v="0002"/>
    <m/>
    <x v="0"/>
    <s v="Daya Society"/>
    <n v="0"/>
    <m/>
    <n v="1718"/>
    <m/>
    <x v="0"/>
    <m/>
    <m/>
  </r>
  <r>
    <s v="Apr"/>
    <d v="2026-04-23T00:00:00"/>
    <s v="17-04-2026 to 23-04-2026"/>
    <s v="Gomukh Gold 50KG"/>
    <n v="20020025"/>
    <s v="Agru"/>
    <s v="0002"/>
    <m/>
    <x v="0"/>
    <s v="Daya Society"/>
    <n v="5"/>
    <n v="1250"/>
    <n v="3123"/>
    <m/>
    <x v="0"/>
    <m/>
    <m/>
  </r>
  <r>
    <s v="Apr"/>
    <d v="2026-04-23T00:00:00"/>
    <s v="17-04-2026 to 23-04-2026"/>
    <s v="Gomukh Gold 50KG"/>
    <n v="20070001"/>
    <s v="Piragutu"/>
    <s v="0002"/>
    <m/>
    <x v="0"/>
    <s v="Daya Society"/>
    <n v="7"/>
    <n v="1250"/>
    <n v="8750"/>
    <m/>
    <x v="0"/>
    <m/>
    <m/>
  </r>
  <r>
    <s v="Apr"/>
    <d v="2026-04-23T00:00:00"/>
    <s v="17-04-2026 to 23-04-2026"/>
    <s v="Gomukh Gold 50KG"/>
    <n v="20090020"/>
    <s v="Pakariya2"/>
    <s v="0002"/>
    <m/>
    <x v="11"/>
    <s v="Daya Society"/>
    <n v="1"/>
    <n v="1250"/>
    <n v="1250"/>
    <m/>
    <x v="0"/>
    <m/>
    <m/>
  </r>
  <r>
    <s v="Apr"/>
    <d v="2026-04-23T00:00:00"/>
    <s v="17-04-2026 to 23-04-2026"/>
    <s v="Gomukh Gold 50KG"/>
    <n v="20090020"/>
    <s v="Pakariya2"/>
    <s v="0005"/>
    <m/>
    <x v="11"/>
    <s v="Daya Society"/>
    <n v="0"/>
    <n v="1250"/>
    <n v="625"/>
    <m/>
    <x v="0"/>
    <m/>
    <m/>
  </r>
  <r>
    <s v="Apr"/>
    <d v="2026-04-23T00:00:00"/>
    <s v="17-04-2026 to 23-04-2026"/>
    <s v="Gomukh Gold 50KG"/>
    <n v="20090015"/>
    <s v="Pakariya1"/>
    <s v="0002"/>
    <m/>
    <x v="11"/>
    <s v="Daya Society"/>
    <n v="0"/>
    <n v="1250"/>
    <n v="463"/>
    <m/>
    <x v="0"/>
    <m/>
    <m/>
  </r>
  <r>
    <s v="Apr"/>
    <d v="2026-04-23T00:00:00"/>
    <s v="17-04-2026 to 23-04-2026"/>
    <s v="Gomukh Gold 50KG"/>
    <n v="20090015"/>
    <s v="Pakariya1"/>
    <s v="0014"/>
    <m/>
    <x v="11"/>
    <s v="Daya Society"/>
    <n v="0"/>
    <n v="1250"/>
    <n v="100"/>
    <m/>
    <x v="0"/>
    <m/>
    <m/>
  </r>
  <r>
    <s v="Apr"/>
    <d v="2026-04-23T00:00:00"/>
    <s v="17-04-2026 to 23-04-2026"/>
    <s v="Gomukh Gold 50KG"/>
    <n v="20090015"/>
    <s v="Pakariya1"/>
    <s v="0031"/>
    <m/>
    <x v="11"/>
    <s v="Daya Society"/>
    <n v="0"/>
    <n v="1250"/>
    <n v="100"/>
    <m/>
    <x v="0"/>
    <m/>
    <m/>
  </r>
  <r>
    <s v="Apr"/>
    <d v="2026-04-23T00:00:00"/>
    <s v="17-04-2026 to 23-04-2026"/>
    <s v="Gomukh Gold 50KG"/>
    <n v="20090015"/>
    <s v="Pakariya1"/>
    <s v="0032"/>
    <m/>
    <x v="11"/>
    <s v="Daya Society"/>
    <n v="0"/>
    <n v="1250"/>
    <n v="100"/>
    <m/>
    <x v="0"/>
    <m/>
    <m/>
  </r>
  <r>
    <s v="Apr"/>
    <d v="2026-04-23T00:00:00"/>
    <s v="17-04-2026 to 23-04-2026"/>
    <s v="Gomukh Gold 50KG"/>
    <n v="20090015"/>
    <s v="Pakariya1"/>
    <s v="0022"/>
    <m/>
    <x v="11"/>
    <s v="Daya Society"/>
    <n v="1"/>
    <n v="1250"/>
    <n v="1158"/>
    <m/>
    <x v="0"/>
    <m/>
    <m/>
  </r>
  <r>
    <s v="Apr"/>
    <d v="2026-04-23T00:00:00"/>
    <s v="17-04-2026 to 23-04-2026"/>
    <s v="Gomukh Gold 50KG"/>
    <n v="20090017"/>
    <s v="Nawatand"/>
    <s v="0003"/>
    <m/>
    <x v="11"/>
    <s v="Daya Society"/>
    <n v="1"/>
    <n v="1250"/>
    <n v="1250"/>
    <m/>
    <x v="0"/>
    <m/>
    <m/>
  </r>
  <r>
    <s v="Apr"/>
    <d v="2026-04-23T00:00:00"/>
    <s v="17-04-2026 to 23-04-2026"/>
    <s v="Gomukh Gold 50KG"/>
    <n v="20090011"/>
    <s v="barahe"/>
    <s v="0003"/>
    <m/>
    <x v="11"/>
    <s v="Daya Society"/>
    <n v="1"/>
    <n v="1250"/>
    <n v="1250"/>
    <m/>
    <x v="0"/>
    <m/>
    <m/>
  </r>
  <r>
    <s v="Apr"/>
    <d v="2026-04-23T00:00:00"/>
    <s v="17-04-2026 to 23-04-2026"/>
    <s v="Gomukh Gold 50KG"/>
    <n v="20090025"/>
    <s v="Kokar"/>
    <s v="0003"/>
    <m/>
    <x v="11"/>
    <s v="Daya Society"/>
    <n v="0"/>
    <n v="1250"/>
    <n v="6215"/>
    <m/>
    <x v="1"/>
    <m/>
    <m/>
  </r>
  <r>
    <s v="Apr"/>
    <d v="2026-04-23T00:00:00"/>
    <s v="17-04-2026 to 23-04-2026"/>
    <s v="Gomukh Gold 50KG"/>
    <n v="20090026"/>
    <s v="Bagha Toli"/>
    <s v="0002"/>
    <m/>
    <x v="11"/>
    <s v="Daya Society"/>
    <n v="1"/>
    <n v="1250"/>
    <n v="1250"/>
    <m/>
    <x v="0"/>
    <m/>
    <m/>
  </r>
  <r>
    <s v="Apr"/>
    <d v="2026-04-23T00:00:00"/>
    <s v="17-04-2026 to 23-04-2026"/>
    <s v="Gomukh Gold 50KG"/>
    <n v="20090001"/>
    <s v="Chano"/>
    <s v="0002"/>
    <m/>
    <x v="11"/>
    <s v="Daya Society"/>
    <n v="1"/>
    <n v="1250"/>
    <n v="1250"/>
    <m/>
    <x v="0"/>
    <m/>
    <m/>
  </r>
  <r>
    <s v="Apr"/>
    <d v="2026-04-23T00:00:00"/>
    <s v="17-04-2026 to 23-04-2026"/>
    <s v="Gomukh Gold 50KG"/>
    <n v="20010053"/>
    <s v="Tutlu"/>
    <s v="0014"/>
    <m/>
    <x v="11"/>
    <s v="Daya Society"/>
    <n v="0"/>
    <n v="1250"/>
    <n v="128"/>
    <m/>
    <x v="0"/>
    <m/>
    <m/>
  </r>
  <r>
    <s v="Apr"/>
    <d v="2026-04-23T00:00:00"/>
    <s v="17-04-2026 to 23-04-2026"/>
    <s v="Gomukh Gold 50KG"/>
    <n v="20010053"/>
    <s v="Tutlu"/>
    <s v="0017"/>
    <m/>
    <x v="11"/>
    <s v="Daya Society"/>
    <n v="0"/>
    <n v="1250"/>
    <n v="98"/>
    <m/>
    <x v="0"/>
    <m/>
    <m/>
  </r>
  <r>
    <s v="Apr"/>
    <d v="2026-04-23T00:00:00"/>
    <s v="17-04-2026 to 23-04-2026"/>
    <s v="Gomukh Gold 50KG"/>
    <n v="20010053"/>
    <s v="Tutlu"/>
    <s v="0020"/>
    <m/>
    <x v="11"/>
    <s v="Daya Society"/>
    <n v="0"/>
    <n v="1250"/>
    <n v="138"/>
    <m/>
    <x v="0"/>
    <m/>
    <m/>
  </r>
  <r>
    <s v="Apr"/>
    <d v="2026-04-23T00:00:00"/>
    <s v="17-04-2026 to 23-04-2026"/>
    <s v="Gomukh Gold 50KG"/>
    <n v="20010053"/>
    <s v="Tutlu"/>
    <s v="0022"/>
    <m/>
    <x v="11"/>
    <s v="Daya Society"/>
    <n v="0"/>
    <m/>
    <n v="79"/>
    <m/>
    <x v="0"/>
    <m/>
    <m/>
  </r>
  <r>
    <s v="Apr"/>
    <d v="2026-04-23T00:00:00"/>
    <s v="17-04-2026 to 23-04-2026"/>
    <s v="Gomukh Gold 50KG"/>
    <n v="20010053"/>
    <s v="Tutlu"/>
    <s v="0022"/>
    <m/>
    <x v="11"/>
    <s v="Daya Society"/>
    <n v="0"/>
    <n v="1250"/>
    <n v="24"/>
    <m/>
    <x v="1"/>
    <m/>
    <m/>
  </r>
  <r>
    <s v="Apr"/>
    <d v="2026-04-23T00:00:00"/>
    <s v="17-04-2026 to 23-04-2026"/>
    <s v="Gomukh Gold 50KG"/>
    <n v="20010053"/>
    <s v="Tutlu"/>
    <s v="0036"/>
    <m/>
    <x v="11"/>
    <s v="Daya Society"/>
    <n v="0"/>
    <n v="1250"/>
    <n v="117"/>
    <m/>
    <x v="1"/>
    <m/>
    <m/>
  </r>
  <r>
    <s v="Apr"/>
    <d v="2026-04-23T00:00:00"/>
    <s v="17-04-2026 to 23-04-2026"/>
    <s v="Gomukh Gold 50KG"/>
    <n v="20010053"/>
    <s v="Tutlu"/>
    <s v="0042"/>
    <m/>
    <x v="11"/>
    <s v="Daya Society"/>
    <n v="0"/>
    <n v="1250"/>
    <n v="81"/>
    <m/>
    <x v="1"/>
    <m/>
    <m/>
  </r>
  <r>
    <s v="Apr"/>
    <d v="2026-04-23T00:00:00"/>
    <s v="17-04-2026 to 23-04-2026"/>
    <s v="Gomukh Gold 50KG"/>
    <n v="20090023"/>
    <s v="Kokar"/>
    <s v="OS"/>
    <m/>
    <x v="11"/>
    <s v="Daya Society"/>
    <n v="0"/>
    <n v="1250"/>
    <n v="6215"/>
    <m/>
    <x v="0"/>
    <m/>
    <m/>
  </r>
  <r>
    <s v="Apr"/>
    <d v="2026-04-23T00:00:00"/>
    <s v="17-04-2026 to 23-04-2026"/>
    <s v="Gomukh Gold 50KG"/>
    <n v="20010015"/>
    <s v="Boriya"/>
    <s v="OS"/>
    <m/>
    <x v="1"/>
    <s v="Daya Society"/>
    <n v="0"/>
    <m/>
    <n v="2000"/>
    <m/>
    <x v="0"/>
    <m/>
    <m/>
  </r>
  <r>
    <s v="Apr"/>
    <d v="2026-04-30T00:00:00"/>
    <s v="24-04-2026- 30-04-2026"/>
    <s v="Gomukh Gold 50KG"/>
    <n v="20090020"/>
    <s v="Pakariyo2"/>
    <s v="0005"/>
    <m/>
    <x v="3"/>
    <s v="Daya Society"/>
    <n v="0"/>
    <n v="1250"/>
    <n v="625"/>
    <m/>
    <x v="0"/>
    <m/>
    <m/>
  </r>
  <r>
    <s v="Apr"/>
    <d v="2026-04-30T00:00:00"/>
    <s v="24-04-2026- 30-04-2026"/>
    <s v="Gomukh Gold 50KG"/>
    <n v="20090015"/>
    <s v="Pakariyo"/>
    <s v="0022"/>
    <m/>
    <x v="3"/>
    <s v="Daya Society"/>
    <n v="0"/>
    <n v="1250"/>
    <n v="92"/>
    <m/>
    <x v="0"/>
    <m/>
    <m/>
  </r>
  <r>
    <s v="Apr"/>
    <d v="2026-04-30T00:00:00"/>
    <s v="24-04-2026- 30-04-2026"/>
    <s v="Gomukh Gold 50KG"/>
    <n v="20090008"/>
    <s v="Ganeshpur"/>
    <s v="0005"/>
    <m/>
    <x v="3"/>
    <s v="Daya Society"/>
    <n v="0"/>
    <n v="1250"/>
    <n v="625"/>
    <m/>
    <x v="0"/>
    <m/>
    <m/>
  </r>
  <r>
    <s v="Apr"/>
    <d v="2026-04-30T00:00:00"/>
    <s v="24-04-2026- 30-04-2026"/>
    <s v="Gomukh Gold 50KG"/>
    <n v="20020006"/>
    <s v="Ranikhatanga"/>
    <s v="0002"/>
    <m/>
    <x v="0"/>
    <s v="Daya Society"/>
    <n v="4"/>
    <n v="1250"/>
    <n v="5000"/>
    <m/>
    <x v="0"/>
    <m/>
    <m/>
  </r>
  <r>
    <s v="Apr"/>
    <d v="2026-04-30T00:00:00"/>
    <s v="24-04-2026- 30-04-2026"/>
    <s v="Gomukh Gold 50KG"/>
    <n v="20020003"/>
    <s v="Bijuliya"/>
    <s v="0002"/>
    <m/>
    <x v="0"/>
    <s v="Daya Society"/>
    <n v="10"/>
    <n v="1250"/>
    <n v="12500"/>
    <m/>
    <x v="0"/>
    <m/>
    <m/>
  </r>
  <r>
    <s v="Apr"/>
    <d v="2026-04-30T00:00:00"/>
    <s v="24-04-2026- 30-04-2026"/>
    <s v="Gomukh Gold 50KG"/>
    <n v="20020025"/>
    <s v="Agru"/>
    <s v="0004"/>
    <m/>
    <x v="0"/>
    <s v="Daya Society"/>
    <n v="3"/>
    <n v="1250"/>
    <n v="3750"/>
    <m/>
    <x v="0"/>
    <m/>
    <m/>
  </r>
  <r>
    <s v="Apr"/>
    <d v="2026-04-30T00:00:00"/>
    <s v="24-04-2026- 30-04-2026"/>
    <s v="Gomukh Gold 50KG"/>
    <n v="20030001"/>
    <s v="Hisri"/>
    <s v="0036"/>
    <m/>
    <x v="12"/>
    <s v="Daya Society"/>
    <n v="1"/>
    <n v="1250"/>
    <n v="1250"/>
    <m/>
    <x v="0"/>
    <m/>
    <m/>
  </r>
  <r>
    <s v="Apr"/>
    <d v="2026-04-30T00:00:00"/>
    <s v="24-04-2026- 30-04-2026"/>
    <s v="Gomukh Gold 50KG"/>
    <n v="20030001"/>
    <s v="Hisri"/>
    <s v="0049"/>
    <m/>
    <x v="12"/>
    <s v="Daya Society"/>
    <n v="2"/>
    <n v="1250"/>
    <n v="2500"/>
    <m/>
    <x v="0"/>
    <m/>
    <m/>
  </r>
  <r>
    <s v="Apr"/>
    <d v="2026-04-30T00:00:00"/>
    <s v="24-04-2026- 30-04-2026"/>
    <s v="Gomukh Gold 50KG"/>
    <n v="20030001"/>
    <s v="Hisri"/>
    <s v="0041"/>
    <m/>
    <x v="12"/>
    <s v="Daya Society"/>
    <n v="1"/>
    <n v="1250"/>
    <n v="1250"/>
    <m/>
    <x v="0"/>
    <m/>
    <m/>
  </r>
  <r>
    <s v="Apr"/>
    <d v="2026-04-30T00:00:00"/>
    <s v="24-04-2026- 30-04-2026"/>
    <s v="Gomukh Gold 50KG"/>
    <n v="20050001"/>
    <s v="Baski2"/>
    <s v="0049"/>
    <m/>
    <x v="0"/>
    <s v="Daya Society"/>
    <n v="1"/>
    <n v="1250"/>
    <n v="1250"/>
    <m/>
    <x v="0"/>
    <m/>
    <m/>
  </r>
  <r>
    <s v="Apr"/>
    <d v="2026-04-30T00:00:00"/>
    <s v="24-04-2026- 30-04-2026"/>
    <s v="Gomukh Gold 50KG"/>
    <n v="20050001"/>
    <s v="Baski2"/>
    <s v="0029"/>
    <m/>
    <x v="0"/>
    <s v="Daya Society"/>
    <n v="1"/>
    <n v="1250"/>
    <n v="1250"/>
    <m/>
    <x v="0"/>
    <m/>
    <m/>
  </r>
  <r>
    <s v="Apr"/>
    <d v="2026-04-30T00:00:00"/>
    <s v="24-04-2026- 30-04-2026"/>
    <s v="Gomukh Gold 50KG"/>
    <n v="20050001"/>
    <s v="Baski2"/>
    <s v="0039"/>
    <m/>
    <x v="0"/>
    <s v="Daya Society"/>
    <n v="1"/>
    <n v="1250"/>
    <n v="1097"/>
    <m/>
    <x v="0"/>
    <m/>
    <m/>
  </r>
  <r>
    <s v="Apr"/>
    <d v="2026-04-30T00:00:00"/>
    <s v="24-04-2026- 30-04-2026"/>
    <s v="Gomukh Gold 50KG"/>
    <n v="20050001"/>
    <s v="Baski2"/>
    <s v="0051"/>
    <m/>
    <x v="0"/>
    <s v="Daya Society"/>
    <n v="1"/>
    <n v="1250"/>
    <n v="1250"/>
    <m/>
    <x v="0"/>
    <m/>
    <m/>
  </r>
  <r>
    <s v="Apr"/>
    <d v="2026-04-30T00:00:00"/>
    <s v="24-04-2026- 30-04-2026"/>
    <s v="Gomukh Gold 50KG"/>
    <n v="20050001"/>
    <s v="Baski2"/>
    <s v="0052"/>
    <m/>
    <x v="0"/>
    <s v="Daya Society"/>
    <n v="1"/>
    <n v="1250"/>
    <n v="1143"/>
    <m/>
    <x v="0"/>
    <m/>
    <m/>
  </r>
  <r>
    <s v="Apr"/>
    <d v="2026-04-30T00:00:00"/>
    <s v="24-04-2026- 30-04-2026"/>
    <s v="Gomukh Gold 50KG"/>
    <n v="20020020"/>
    <s v="Tikotoli"/>
    <s v="0023"/>
    <m/>
    <x v="0"/>
    <s v="Daya Society"/>
    <n v="1"/>
    <n v="1250"/>
    <n v="1250"/>
    <m/>
    <x v="0"/>
    <m/>
    <m/>
  </r>
  <r>
    <s v="Apr"/>
    <d v="2026-04-30T00:00:00"/>
    <s v="24-04-2026- 30-04-2026"/>
    <s v="Gomukh Gold 50KG"/>
    <n v="20020020"/>
    <s v="Tikotoli"/>
    <s v="0022"/>
    <m/>
    <x v="0"/>
    <s v="Daya Society"/>
    <n v="1"/>
    <n v="1250"/>
    <n v="1250"/>
    <m/>
    <x v="0"/>
    <m/>
    <m/>
  </r>
  <r>
    <s v="Apr"/>
    <d v="2026-04-30T00:00:00"/>
    <s v="24-04-2026- 30-04-2026"/>
    <s v="Gomukh Gold 50KG"/>
    <n v="20020020"/>
    <s v="Tikotoli"/>
    <s v="0039"/>
    <m/>
    <x v="0"/>
    <s v="Daya Society"/>
    <n v="1"/>
    <n v="1250"/>
    <n v="1250"/>
    <m/>
    <x v="0"/>
    <m/>
    <m/>
  </r>
  <r>
    <s v="Apr"/>
    <d v="2026-04-30T00:00:00"/>
    <s v="24-04-2026- 30-04-2026"/>
    <s v="Gomukh Gold 50KG"/>
    <n v="20020020"/>
    <s v="Tikotoli"/>
    <s v="0038"/>
    <m/>
    <x v="0"/>
    <s v="Daya Society"/>
    <n v="1"/>
    <n v="1250"/>
    <n v="695"/>
    <m/>
    <x v="0"/>
    <m/>
    <m/>
  </r>
  <r>
    <s v="Apr"/>
    <d v="2026-04-30T00:00:00"/>
    <s v="24-04-2026- 30-04-2026"/>
    <s v="Gomukh Gold 50KG"/>
    <n v="20020020"/>
    <s v="Tikotoli"/>
    <s v="0030"/>
    <m/>
    <x v="0"/>
    <s v="Daya Society"/>
    <n v="1"/>
    <n v="1250"/>
    <n v="1250"/>
    <m/>
    <x v="0"/>
    <m/>
    <m/>
  </r>
  <r>
    <s v="Apr"/>
    <d v="2026-04-30T00:00:00"/>
    <s v="24-04-2026- 30-04-2026"/>
    <s v="Gomukh Gold 50KG"/>
    <n v="20020020"/>
    <s v="Tikotoli"/>
    <s v="0042"/>
    <m/>
    <x v="0"/>
    <s v="Daya Society"/>
    <n v="1"/>
    <n v="1250"/>
    <n v="1003"/>
    <m/>
    <x v="0"/>
    <m/>
    <m/>
  </r>
  <r>
    <s v="Apr"/>
    <d v="2026-04-30T00:00:00"/>
    <s v="24-04-2026- 30-04-2026"/>
    <s v="Gomukh Gold 50KG"/>
    <n v="20060009"/>
    <s v="Jirabar"/>
    <s v="0019"/>
    <m/>
    <x v="2"/>
    <s v="Daya Society"/>
    <n v="2"/>
    <n v="1250"/>
    <n v="2340"/>
    <m/>
    <x v="0"/>
    <m/>
    <m/>
  </r>
  <r>
    <s v="Apr"/>
    <d v="2026-04-30T00:00:00"/>
    <s v="24-04-2026- 30-04-2026"/>
    <s v="Gomukh Gold 50KG"/>
    <n v="20060003"/>
    <s v="Dumardagga"/>
    <s v="0002"/>
    <m/>
    <x v="6"/>
    <s v="Daya Society"/>
    <n v="20"/>
    <n v="1250"/>
    <n v="25000"/>
    <m/>
    <x v="0"/>
    <m/>
    <m/>
  </r>
  <r>
    <s v="Apr"/>
    <d v="2026-04-30T00:00:00"/>
    <s v="24-04-2026- 30-04-2026"/>
    <s v="Gomukh Gold 50KG"/>
    <n v="20060017"/>
    <s v="Kukui"/>
    <s v="0010"/>
    <m/>
    <x v="9"/>
    <s v="Daya Society"/>
    <n v="1"/>
    <n v="1250"/>
    <n v="1250"/>
    <m/>
    <x v="0"/>
    <m/>
    <m/>
  </r>
  <r>
    <s v="Apr"/>
    <d v="2026-04-30T00:00:00"/>
    <s v="24-04-2026- 30-04-2026"/>
    <s v="Gomukh Gold 50KG"/>
    <n v="20060017"/>
    <s v="Kukui"/>
    <s v="0006"/>
    <m/>
    <x v="9"/>
    <s v="Daya Society"/>
    <n v="1"/>
    <n v="1250"/>
    <n v="1250"/>
    <m/>
    <x v="0"/>
    <m/>
    <m/>
  </r>
  <r>
    <s v="Apr"/>
    <d v="2026-04-30T00:00:00"/>
    <s v="24-04-2026- 30-04-2026"/>
    <s v="Gomukh Gold 50KG"/>
    <n v="20060017"/>
    <s v="Kukui"/>
    <s v="0003"/>
    <m/>
    <x v="9"/>
    <s v="Daya Society"/>
    <n v="1"/>
    <n v="1250"/>
    <n v="673"/>
    <m/>
    <x v="0"/>
    <m/>
    <m/>
  </r>
  <r>
    <s v="Apr"/>
    <d v="2026-04-30T00:00:00"/>
    <s v="24-04-2026- 30-04-2026"/>
    <s v="Gomukh Gold 50KG"/>
    <n v="20060001"/>
    <s v="Ormanjhi"/>
    <s v="0024"/>
    <m/>
    <x v="2"/>
    <s v="Daya Society"/>
    <n v="1"/>
    <n v="1250"/>
    <n v="1250"/>
    <m/>
    <x v="0"/>
    <m/>
    <m/>
  </r>
  <r>
    <s v="Apr"/>
    <d v="2026-04-30T00:00:00"/>
    <s v="24-04-2026- 30-04-2026"/>
    <s v="Gomukh Gold 50KG"/>
    <n v="20060001"/>
    <s v="Ormanjhi"/>
    <s v="0023"/>
    <m/>
    <x v="2"/>
    <s v="Daya Society"/>
    <n v="1"/>
    <n v="1250"/>
    <n v="1250"/>
    <m/>
    <x v="0"/>
    <m/>
    <m/>
  </r>
  <r>
    <s v="Apr"/>
    <d v="2026-04-30T00:00:00"/>
    <s v="24-04-2026- 30-04-2026"/>
    <s v="Gomukh Gold 50KG"/>
    <n v="20060001"/>
    <s v="Ormanjhi"/>
    <s v="0002"/>
    <m/>
    <x v="2"/>
    <s v="Daya Society"/>
    <n v="1"/>
    <n v="1250"/>
    <n v="1250"/>
    <m/>
    <x v="0"/>
    <m/>
    <m/>
  </r>
  <r>
    <s v="Apr"/>
    <d v="2026-04-30T00:00:00"/>
    <s v="24-04-2026- 30-04-2026"/>
    <s v="Gomukh Gold 50KG"/>
    <n v="20010003"/>
    <s v="Bero"/>
    <s v="OS"/>
    <m/>
    <x v="1"/>
    <s v="Daya Society"/>
    <n v="0"/>
    <n v="1250"/>
    <n v="10000"/>
    <m/>
    <x v="0"/>
    <m/>
    <m/>
  </r>
  <r>
    <s v="Apr"/>
    <d v="2026-04-30T00:00:00"/>
    <s v="24-04-2026- 30-04-2026"/>
    <s v="Gomukh Gold 50KG"/>
    <n v="20020006"/>
    <s v="Ranikhatanga"/>
    <s v="OS"/>
    <m/>
    <x v="0"/>
    <s v="Daya Society"/>
    <n v="0"/>
    <n v="1250"/>
    <n v="1250"/>
    <m/>
    <x v="0"/>
    <m/>
    <m/>
  </r>
  <r>
    <s v="Apr"/>
    <d v="2026-04-30T00:00:00"/>
    <s v="24-04-2026- 30-04-2026"/>
    <s v="Gomukh Gold 50KG"/>
    <n v="20060004"/>
    <s v="Chuttu"/>
    <s v="OS"/>
    <m/>
    <x v="7"/>
    <s v="Daya Society"/>
    <n v="0"/>
    <n v="1250"/>
    <n v="12500"/>
    <m/>
    <x v="0"/>
    <m/>
    <m/>
  </r>
  <r>
    <s v="Apr"/>
    <d v="2026-04-30T00:00:00"/>
    <s v="24-04-2026- 30-04-2026"/>
    <s v="Gomukh Gold 50KG"/>
    <n v="20090011"/>
    <s v="Barhe"/>
    <s v="OS"/>
    <m/>
    <x v="3"/>
    <s v="Daya Society"/>
    <n v="0"/>
    <n v="1250"/>
    <n v="1250"/>
    <m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d v="2026-02-19T00:00:00"/>
    <x v="0"/>
    <s v="Tikotoli"/>
    <n v="20020020"/>
    <s v="Gomukh Gold 50 Kgs"/>
    <n v="5"/>
    <n v="1250"/>
    <n v="6250"/>
    <s v="Deduction from Milk Payment"/>
    <m/>
    <m/>
    <x v="0"/>
    <s v="Farmer"/>
    <s v="13 Feb - 19 Feb &amp; 20-26 Feb"/>
    <d v="2026-02-19T00:00:00"/>
    <n v="6250"/>
    <n v="0"/>
    <m/>
    <x v="0"/>
  </r>
  <r>
    <d v="2026-02-22T00:00:00"/>
    <x v="1"/>
    <s v="Nawatand"/>
    <n v="20090017"/>
    <s v="Gomukh Gold 50 Kgs"/>
    <n v="2"/>
    <n v="1250"/>
    <n v="2500"/>
    <s v="Deduction from Milk Payment"/>
    <m/>
    <n v="4844"/>
    <x v="0"/>
    <s v="Farmer"/>
    <s v="20 Feb - 26 Feb"/>
    <d v="2026-02-26T00:00:00"/>
    <n v="2500"/>
    <n v="0"/>
    <m/>
    <x v="0"/>
  </r>
  <r>
    <d v="2026-02-22T00:00:00"/>
    <x v="1"/>
    <s v="Tutlo"/>
    <n v="20010053"/>
    <s v="Gomukh Gold 50 Kgs"/>
    <n v="1"/>
    <n v="1250"/>
    <n v="1250"/>
    <s v="Deduction from Milk Payment"/>
    <m/>
    <n v="4845"/>
    <x v="0"/>
    <s v="Bank"/>
    <m/>
    <d v="2026-02-27T00:00:00"/>
    <n v="1250"/>
    <n v="0"/>
    <m/>
    <x v="0"/>
  </r>
  <r>
    <d v="2026-02-22T00:00:00"/>
    <x v="1"/>
    <s v="Tutlo"/>
    <n v="20010053"/>
    <s v="Gomukh Gold 50 Kgs"/>
    <n v="3"/>
    <n v="1250"/>
    <n v="3750"/>
    <s v="Deduction from Milk Payment"/>
    <m/>
    <n v="4845"/>
    <x v="0"/>
    <s v="Farmer"/>
    <s v="20 Feb - 26 Feb"/>
    <d v="2026-02-26T00:00:00"/>
    <n v="3750"/>
    <n v="0"/>
    <m/>
    <x v="0"/>
  </r>
  <r>
    <d v="2026-02-22T00:00:00"/>
    <x v="1"/>
    <s v="Barhe"/>
    <n v="20090011"/>
    <s v="Gomukh Gold 50 Kgs"/>
    <n v="2"/>
    <n v="1250"/>
    <n v="2500"/>
    <s v="Deduction from Milk Payment"/>
    <m/>
    <n v="4846"/>
    <x v="0"/>
    <s v="Farmer"/>
    <s v="20 Feb - 26 Feb"/>
    <d v="2026-02-26T00:00:00"/>
    <n v="2500"/>
    <n v="0"/>
    <m/>
    <x v="0"/>
  </r>
  <r>
    <d v="2026-02-22T00:00:00"/>
    <x v="1"/>
    <s v="Tutlo"/>
    <n v="20010053"/>
    <s v="Gomukh Gold 50 Kgs"/>
    <n v="2"/>
    <n v="1250"/>
    <n v="2500"/>
    <s v="Deduction from Milk Payment"/>
    <m/>
    <m/>
    <x v="0"/>
    <s v="Farmer"/>
    <s v="20 Feb - 26 Feb &amp; 27-05 Mar"/>
    <d v="2026-02-26T00:00:00"/>
    <n v="2500"/>
    <n v="0"/>
    <m/>
    <x v="0"/>
  </r>
  <r>
    <d v="2026-02-22T00:00:00"/>
    <x v="1"/>
    <s v="Chanho"/>
    <n v="20090001"/>
    <s v="Gomukh Gold 50 Kgs"/>
    <n v="1"/>
    <n v="1250"/>
    <n v="1250"/>
    <s v="Deduction from Milk Payment"/>
    <m/>
    <n v="4848"/>
    <x v="0"/>
    <s v="Farmer"/>
    <s v="20 Feb - 26 Feb"/>
    <d v="2026-02-26T00:00:00"/>
    <n v="1250"/>
    <n v="0"/>
    <m/>
    <x v="0"/>
  </r>
  <r>
    <d v="2026-02-26T00:00:00"/>
    <x v="0"/>
    <s v="Bijuliya"/>
    <n v="20020003"/>
    <s v="Gomukh Gold 50 Kgs"/>
    <n v="5"/>
    <n v="1250"/>
    <n v="6250"/>
    <s v="Deduction from Milk Payment"/>
    <m/>
    <m/>
    <x v="0"/>
    <s v="Farmer"/>
    <s v="20 Feb - 26 Feb"/>
    <d v="2026-02-26T00:00:00"/>
    <n v="6250"/>
    <n v="0"/>
    <m/>
    <x v="0"/>
  </r>
  <r>
    <d v="2026-02-26T00:00:00"/>
    <x v="0"/>
    <s v="Pali"/>
    <n v="20020001"/>
    <s v="Gomukh Gold 50 Kgs"/>
    <n v="10"/>
    <n v="1250"/>
    <n v="12500"/>
    <s v="Deduction from Milk Payment"/>
    <m/>
    <m/>
    <x v="0"/>
    <s v="Farmer"/>
    <s v="27 Feb - 05 Mar &amp; 06-12 Mar"/>
    <d v="2026-03-05T00:00:00"/>
    <n v="12500"/>
    <n v="0"/>
    <m/>
    <x v="0"/>
  </r>
  <r>
    <d v="2026-02-28T00:00:00"/>
    <x v="2"/>
    <s v="Dumardagga"/>
    <n v="20060003"/>
    <s v="Gomukh Gold 50 Kgs"/>
    <n v="20"/>
    <n v="1250"/>
    <n v="25000"/>
    <s v="Deduction from Milk Payment"/>
    <m/>
    <n v="4736"/>
    <x v="0"/>
    <s v="Farmer"/>
    <s v="27 Feb - 05 Mar"/>
    <d v="2026-03-05T00:00:00"/>
    <n v="25000"/>
    <n v="0"/>
    <m/>
    <x v="0"/>
  </r>
  <r>
    <d v="2026-02-27T00:00:00"/>
    <x v="3"/>
    <s v="Adelhootu"/>
    <n v="20060008"/>
    <s v="Gomukh Gold 50 Kgs"/>
    <n v="20"/>
    <n v="1250"/>
    <n v="25000"/>
    <s v="Deduction from Milk Payment"/>
    <m/>
    <n v="4730"/>
    <x v="0"/>
    <s v="Farmer"/>
    <s v="06 Mar - 12 Mar &amp; 13-19 Mar"/>
    <d v="2026-03-12T00:00:00"/>
    <n v="25000"/>
    <n v="0"/>
    <m/>
    <x v="0"/>
  </r>
  <r>
    <d v="2026-02-28T00:00:00"/>
    <x v="4"/>
    <s v="Boriya"/>
    <n v="20010015"/>
    <s v="Gomukh Gold 50 Kgs"/>
    <n v="0"/>
    <n v="0"/>
    <n v="11000"/>
    <s v="Deduction from Milk Payment"/>
    <m/>
    <m/>
    <x v="0"/>
    <s v="Bank"/>
    <m/>
    <d v="2026-04-27T00:00:00"/>
    <n v="11000"/>
    <n v="0"/>
    <m/>
    <x v="0"/>
  </r>
  <r>
    <d v="2026-02-28T00:00:00"/>
    <x v="4"/>
    <s v="Boriya"/>
    <n v="20010015"/>
    <s v="Gomukh Gold 50 Kgs"/>
    <n v="22"/>
    <n v="1250"/>
    <n v="16500"/>
    <s v="Deduction from Milk Payment"/>
    <m/>
    <n v="4731"/>
    <x v="0"/>
    <s v="Farmer"/>
    <s v="20 Mar - 26 Mar &amp; 10-16 Apr 17-23 Apr"/>
    <d v="2026-03-26T00:00:00"/>
    <n v="16500"/>
    <n v="0"/>
    <m/>
    <x v="0"/>
  </r>
  <r>
    <d v="2026-02-28T00:00:00"/>
    <x v="4"/>
    <s v="Erchoro"/>
    <n v="20010008"/>
    <s v="Gomukh Gold 50 Kgs"/>
    <n v="5"/>
    <n v="1250"/>
    <n v="6250"/>
    <s v="Deduction from Milk Payment"/>
    <m/>
    <n v="4732"/>
    <x v="0"/>
    <s v="Farmer"/>
    <s v="27 Feb - 05 Mar"/>
    <d v="2026-03-05T00:00:00"/>
    <n v="6250"/>
    <n v="0"/>
    <m/>
    <x v="0"/>
  </r>
  <r>
    <d v="2026-02-28T00:00:00"/>
    <x v="4"/>
    <s v="Erchoro"/>
    <n v="20010008"/>
    <s v="Gomukh Gold 50 Kgs"/>
    <n v="20"/>
    <n v="1250"/>
    <n v="25000"/>
    <s v="Deduction from Milk Payment"/>
    <m/>
    <n v="4732"/>
    <x v="0"/>
    <s v="Farmer"/>
    <s v="06 Mar - 12 Mar &amp; 13-19 Mar 20-26 Mar/03-09 Apr"/>
    <d v="2026-03-12T00:00:00"/>
    <n v="25000"/>
    <n v="0"/>
    <m/>
    <x v="0"/>
  </r>
  <r>
    <d v="2026-02-28T00:00:00"/>
    <x v="4"/>
    <s v="Etachildri"/>
    <n v="20010016"/>
    <s v="Gomukh Gold 50 Kgs"/>
    <n v="1"/>
    <n v="1250"/>
    <n v="1250"/>
    <s v="Deduction from Milk Payment"/>
    <m/>
    <n v="4733"/>
    <x v="0"/>
    <s v="Farmer"/>
    <s v="28 Nov - 04 Dec"/>
    <d v="2025-12-04T00:00:00"/>
    <n v="1250"/>
    <n v="0"/>
    <m/>
    <x v="0"/>
  </r>
  <r>
    <d v="2026-02-28T00:00:00"/>
    <x v="4"/>
    <s v="Masu"/>
    <n v="20010055"/>
    <s v="Gomukh Gold 50 Kgs"/>
    <n v="1"/>
    <n v="1250"/>
    <n v="1250"/>
    <s v="Deduction from Milk Payment"/>
    <m/>
    <n v="4734"/>
    <x v="0"/>
    <s v="Bank"/>
    <m/>
    <d v="2026-03-14T00:00:00"/>
    <n v="1250"/>
    <n v="0"/>
    <m/>
    <x v="0"/>
  </r>
  <r>
    <d v="2026-02-28T00:00:00"/>
    <x v="0"/>
    <s v="Tikotoli"/>
    <n v="20020020"/>
    <s v="Gomukh Gold 50 Kgs"/>
    <n v="5"/>
    <n v="1250"/>
    <n v="6250"/>
    <s v="Deduction from Milk Payment"/>
    <m/>
    <m/>
    <x v="0"/>
    <s v="Farmer"/>
    <s v="27 Feb - 05 Mar &amp; 13-19 Mar"/>
    <d v="2026-03-05T00:00:00"/>
    <n v="6250"/>
    <n v="0"/>
    <m/>
    <x v="0"/>
  </r>
  <r>
    <d v="2026-03-05T00:00:00"/>
    <x v="0"/>
    <s v="Bijuliya"/>
    <n v="20020003"/>
    <s v="Gomukh Gold 50 Kgs"/>
    <n v="5"/>
    <n v="1250"/>
    <n v="6250"/>
    <s v="Deduction from Milk Payment"/>
    <m/>
    <m/>
    <x v="1"/>
    <s v="Farmer"/>
    <s v="27 Feb - 05 Mar"/>
    <d v="2026-03-05T00:00:00"/>
    <n v="6250"/>
    <n v="0"/>
    <m/>
    <x v="0"/>
  </r>
  <r>
    <d v="2026-03-05T00:00:00"/>
    <x v="0"/>
    <s v="Dhantatoli"/>
    <n v="20020011"/>
    <s v="Gomukh Gold 50 Kgs"/>
    <n v="3"/>
    <n v="1250"/>
    <n v="3750"/>
    <s v="Deduction from Milk Payment"/>
    <m/>
    <m/>
    <x v="1"/>
    <s v="Farmer"/>
    <s v="27 Feb - 05 Mar &amp; 13-19 Mar"/>
    <d v="2026-03-05T00:00:00"/>
    <n v="3750"/>
    <n v="0"/>
    <m/>
    <x v="0"/>
  </r>
  <r>
    <d v="2026-03-05T00:00:00"/>
    <x v="5"/>
    <s v="Saram"/>
    <n v="20070002"/>
    <s v="Gomukh Gold 50 Kgs"/>
    <n v="4"/>
    <n v="1250"/>
    <n v="5000"/>
    <s v="Deduction from Milk Payment"/>
    <m/>
    <m/>
    <x v="1"/>
    <s v="Farmer"/>
    <s v="27 Feb - 05 Mar"/>
    <d v="2026-03-05T00:00:00"/>
    <n v="5000"/>
    <n v="0"/>
    <m/>
    <x v="0"/>
  </r>
  <r>
    <d v="2026-03-06T00:00:00"/>
    <x v="1"/>
    <s v="Pakariyo2"/>
    <n v="20090020"/>
    <s v="Gomukh Gold 50 Kgs"/>
    <n v="2"/>
    <n v="1250"/>
    <n v="2500"/>
    <s v="Deduction from Milk Payment"/>
    <m/>
    <m/>
    <x v="1"/>
    <s v="Farmer"/>
    <s v="27 Feb - 05 Mar"/>
    <d v="2026-03-05T00:00:00"/>
    <n v="2500"/>
    <n v="0"/>
    <m/>
    <x v="0"/>
  </r>
  <r>
    <d v="2026-03-06T00:00:00"/>
    <x v="1"/>
    <s v="Naudi"/>
    <n v="20090003"/>
    <s v="Gomukh Gold 50 Kgs"/>
    <n v="10"/>
    <n v="1250"/>
    <n v="12500"/>
    <s v="Deduction from Milk Payment"/>
    <m/>
    <m/>
    <x v="1"/>
    <s v="Farmer"/>
    <s v="27 Feb - 05 Mar &amp; 06-12 Mar 13-19 Mar 20-26 Mar, 27-31 Mar"/>
    <d v="2026-03-05T00:00:00"/>
    <n v="9956"/>
    <n v="2544"/>
    <m/>
    <x v="1"/>
  </r>
  <r>
    <d v="2026-03-06T00:00:00"/>
    <x v="1"/>
    <s v="Narkopi"/>
    <n v="20010054"/>
    <s v="Gomukh Gold 50 Kgs"/>
    <n v="2"/>
    <n v="1250"/>
    <n v="2500"/>
    <s v="Deduction from Milk Payment"/>
    <m/>
    <m/>
    <x v="1"/>
    <s v="Farmer"/>
    <s v="13 Mar - 19 Mar"/>
    <d v="2026-03-19T00:00:00"/>
    <n v="2500"/>
    <n v="0"/>
    <m/>
    <x v="0"/>
  </r>
  <r>
    <d v="2026-03-06T00:00:00"/>
    <x v="1"/>
    <s v="Pakariyo"/>
    <n v="20090015"/>
    <s v="Gomukh Gold 50 Kgs"/>
    <n v="3"/>
    <n v="1250"/>
    <n v="3750"/>
    <s v="Deduction from Milk Payment"/>
    <m/>
    <m/>
    <x v="1"/>
    <s v="Farmer"/>
    <s v="27 Feb - 05 Mar &amp; 06-12 Mar"/>
    <d v="2026-03-05T00:00:00"/>
    <n v="3750"/>
    <n v="0"/>
    <m/>
    <x v="0"/>
  </r>
  <r>
    <d v="2026-03-06T00:00:00"/>
    <x v="1"/>
    <s v="Nawatand"/>
    <n v="20090017"/>
    <s v="Gomukh Gold 50 Kgs"/>
    <n v="5"/>
    <n v="1250"/>
    <n v="6250"/>
    <s v="Deduction from Milk Payment"/>
    <m/>
    <m/>
    <x v="1"/>
    <s v="Farmer"/>
    <s v="27 Feb - 05 Mar &amp; 06-12 Mar"/>
    <d v="2026-03-05T00:00:00"/>
    <n v="6250"/>
    <n v="0"/>
    <m/>
    <x v="0"/>
  </r>
  <r>
    <d v="2026-03-07T00:00:00"/>
    <x v="6"/>
    <s v="Chuttu"/>
    <n v="20060004"/>
    <s v="Gomukh Gold 50 Kgs"/>
    <n v="10"/>
    <n v="1250"/>
    <n v="12500"/>
    <s v="Deduction from Milk Payment"/>
    <m/>
    <n v="4738"/>
    <x v="1"/>
    <s v="Farmer"/>
    <s v="27 Feb - 05 Mar &amp; 06-12 Mar 13-19 Mar"/>
    <d v="2026-03-05T00:00:00"/>
    <n v="12500"/>
    <n v="0"/>
    <s v="As per discussed by satendra ji ormanjhi payment 6250 adjust chuttu"/>
    <x v="0"/>
  </r>
  <r>
    <d v="2026-03-10T00:00:00"/>
    <x v="2"/>
    <s v="Dumardagga"/>
    <n v="20060003"/>
    <s v="Gomukh Gold 50 Kgs"/>
    <n v="20"/>
    <n v="1250"/>
    <n v="25000"/>
    <s v="Deduction from Milk Payment"/>
    <m/>
    <n v="4737"/>
    <x v="1"/>
    <s v="Farmer"/>
    <s v="06 Mar - 12 Mar"/>
    <d v="2026-03-12T00:00:00"/>
    <n v="25000"/>
    <n v="0"/>
    <m/>
    <x v="0"/>
  </r>
  <r>
    <d v="2026-03-07T00:00:00"/>
    <x v="4"/>
    <s v="Bero"/>
    <n v="20010003"/>
    <s v="Gomukh Gold 50 Kgs"/>
    <n v="15"/>
    <n v="1250"/>
    <n v="18750"/>
    <s v="Deduction from Milk Payment"/>
    <m/>
    <n v="4735"/>
    <x v="1"/>
    <s v="Farmer"/>
    <s v="20 Feb - 26 Feb &amp; 27-05 Mar 06-12 Mar"/>
    <d v="2026-02-26T00:00:00"/>
    <n v="18750"/>
    <n v="0"/>
    <m/>
    <x v="0"/>
  </r>
  <r>
    <d v="2026-03-14T00:00:00"/>
    <x v="1"/>
    <s v="Tutlo"/>
    <n v="20010053"/>
    <s v="Gomukh Gold 50 Kgs"/>
    <n v="2"/>
    <n v="1250"/>
    <n v="2500"/>
    <s v="Deduction from Milk Payment"/>
    <m/>
    <m/>
    <x v="1"/>
    <s v="Farmer"/>
    <s v="06 Mar - 12 Mar &amp; 13-19 Mar"/>
    <d v="2026-03-12T00:00:00"/>
    <n v="2500"/>
    <n v="0"/>
    <m/>
    <x v="0"/>
  </r>
  <r>
    <d v="2026-03-18T00:00:00"/>
    <x v="7"/>
    <s v="Hisri"/>
    <n v="20030001"/>
    <s v="Gomukh Gold 50 Kgs"/>
    <n v="5"/>
    <n v="1250"/>
    <n v="6250"/>
    <s v="Deduction from Milk Payment"/>
    <m/>
    <m/>
    <x v="1"/>
    <s v="Bank"/>
    <m/>
    <d v="2026-03-18T00:00:00"/>
    <n v="6250"/>
    <n v="0"/>
    <m/>
    <x v="0"/>
  </r>
  <r>
    <d v="2026-03-17T00:00:00"/>
    <x v="2"/>
    <s v="Dumardagga"/>
    <n v="20060003"/>
    <s v="Gomukh Gold 50 Kgs"/>
    <n v="20"/>
    <n v="1250"/>
    <n v="25000"/>
    <s v="Deduction from Milk Payment"/>
    <m/>
    <n v="4740"/>
    <x v="1"/>
    <s v="Farmer"/>
    <s v="13 Mar - 19 Mar"/>
    <d v="2026-03-19T00:00:00"/>
    <n v="25000"/>
    <n v="0"/>
    <m/>
    <x v="0"/>
  </r>
  <r>
    <d v="2026-03-17T00:00:00"/>
    <x v="3"/>
    <s v="Ormanjhi"/>
    <n v="20060001"/>
    <s v="Gomukh Gold 50 Kgs"/>
    <n v="1"/>
    <n v="1250"/>
    <n v="1250"/>
    <s v="Deduction from Milk Payment"/>
    <m/>
    <n v="4739"/>
    <x v="1"/>
    <s v="Farmer"/>
    <s v="06 Feb - 12 Feb"/>
    <d v="2026-02-12T00:00:00"/>
    <n v="1250"/>
    <n v="0"/>
    <m/>
    <x v="0"/>
  </r>
  <r>
    <d v="2026-03-15T00:00:00"/>
    <x v="0"/>
    <s v="Bijuliya"/>
    <n v="20020003"/>
    <s v="Gomukh Gold 50 Kgs"/>
    <n v="15"/>
    <n v="1250"/>
    <n v="18750"/>
    <s v="Deduction from Milk Payment"/>
    <m/>
    <m/>
    <x v="1"/>
    <s v="Farmer"/>
    <s v="13 Mar - 19 Mar &amp; 20-26 Mar"/>
    <d v="2026-03-19T00:00:00"/>
    <n v="18750"/>
    <n v="0"/>
    <m/>
    <x v="0"/>
  </r>
  <r>
    <d v="2026-03-17T00:00:00"/>
    <x v="0"/>
    <s v="Ranikhatanga"/>
    <n v="20020006"/>
    <s v="Gomukh Gold 50 Kgs"/>
    <n v="10"/>
    <n v="1250"/>
    <n v="12500"/>
    <s v="Deduction from Milk Payment"/>
    <m/>
    <m/>
    <x v="1"/>
    <s v="Farmer"/>
    <s v="13 Mar - 19 Mar"/>
    <d v="2026-03-19T00:00:00"/>
    <n v="3677"/>
    <n v="8823"/>
    <m/>
    <x v="2"/>
  </r>
  <r>
    <d v="2026-03-17T00:00:00"/>
    <x v="0"/>
    <s v="Tikotoli"/>
    <n v="20020020"/>
    <s v="Gomukh Gold 50 Kgs"/>
    <n v="5"/>
    <n v="1250"/>
    <n v="6250"/>
    <s v="Deduction from Milk Payment"/>
    <m/>
    <m/>
    <x v="1"/>
    <s v="Farmer"/>
    <s v="13 Mar - 19 Mar &amp; 20-26 Mar/01-07 May"/>
    <d v="2026-03-19T00:00:00"/>
    <n v="6250"/>
    <n v="0"/>
    <m/>
    <x v="0"/>
  </r>
  <r>
    <d v="2026-03-17T00:00:00"/>
    <x v="0"/>
    <s v="Pali"/>
    <n v="20020001"/>
    <s v="Gomukh Gold 50 Kgs"/>
    <n v="5"/>
    <n v="1250"/>
    <n v="6250"/>
    <s v="Deduction from Milk Payment"/>
    <m/>
    <m/>
    <x v="1"/>
    <s v="Farmer"/>
    <s v="13 Mar - 19 Mar"/>
    <d v="2026-03-19T00:00:00"/>
    <n v="6250"/>
    <n v="0"/>
    <m/>
    <x v="0"/>
  </r>
  <r>
    <d v="2026-03-17T00:00:00"/>
    <x v="5"/>
    <s v="Saram"/>
    <n v="20070002"/>
    <s v="Gomukh Gold 50 Kgs"/>
    <n v="2"/>
    <n v="1250"/>
    <n v="2500"/>
    <s v="Deduction from Milk Payment"/>
    <m/>
    <m/>
    <x v="1"/>
    <s v="Farmer"/>
    <s v="13 Mar - 19 Mar"/>
    <d v="2026-03-19T00:00:00"/>
    <n v="2500"/>
    <n v="0"/>
    <m/>
    <x v="0"/>
  </r>
  <r>
    <d v="2026-03-17T00:00:00"/>
    <x v="5"/>
    <s v="Piragutu"/>
    <n v="20070001"/>
    <s v="Gomukh Gold 50 Kgs"/>
    <n v="3"/>
    <n v="1250"/>
    <n v="3750"/>
    <s v="Deduction from Milk Payment"/>
    <m/>
    <m/>
    <x v="1"/>
    <s v="Farmer"/>
    <s v="13 Mar - 19 Mar"/>
    <d v="2026-03-19T00:00:00"/>
    <n v="3750"/>
    <n v="0"/>
    <m/>
    <x v="0"/>
  </r>
  <r>
    <d v="2026-03-17T00:00:00"/>
    <x v="5"/>
    <s v="Piragutu"/>
    <n v="20070001"/>
    <s v="Gomukh Gold 50 Kgs"/>
    <n v="2"/>
    <n v="1250"/>
    <n v="2500"/>
    <s v="Deduction from Milk Payment"/>
    <m/>
    <m/>
    <x v="1"/>
    <s v="Farmer"/>
    <s v="20 Mar - 26 Mar"/>
    <d v="2026-03-26T00:00:00"/>
    <n v="2500"/>
    <n v="0"/>
    <m/>
    <x v="0"/>
  </r>
  <r>
    <d v="2026-03-19T00:00:00"/>
    <x v="1"/>
    <s v="Chanho"/>
    <n v="20090001"/>
    <s v="Gomukh Gold 50 Kgs"/>
    <n v="4"/>
    <n v="1250"/>
    <n v="5000"/>
    <s v="Deduction from Milk Payment"/>
    <m/>
    <m/>
    <x v="1"/>
    <s v="Bank"/>
    <m/>
    <d v="2026-03-19T00:00:00"/>
    <n v="5000"/>
    <n v="0"/>
    <m/>
    <x v="0"/>
  </r>
  <r>
    <d v="2026-03-19T00:00:00"/>
    <x v="1"/>
    <s v="Pakariyo"/>
    <n v="20090015"/>
    <s v="Gomukh Gold 50 Kgs"/>
    <n v="2"/>
    <n v="1250"/>
    <n v="2500"/>
    <s v="Deduction from Milk Payment"/>
    <m/>
    <m/>
    <x v="1"/>
    <s v="Farmer"/>
    <s v="13 Mar - 19 Mar &amp; 20-26 Mar"/>
    <d v="2026-03-19T00:00:00"/>
    <n v="2500"/>
    <n v="0"/>
    <m/>
    <x v="0"/>
  </r>
  <r>
    <d v="2026-03-19T00:00:00"/>
    <x v="1"/>
    <s v="Barhe"/>
    <n v="20090011"/>
    <s v="Gomukh Gold 50 Kgs"/>
    <n v="3"/>
    <n v="1250"/>
    <n v="3750"/>
    <s v="Deduction from Milk Payment"/>
    <m/>
    <m/>
    <x v="1"/>
    <s v="Farmer"/>
    <s v="13 Mar - 19 Mar"/>
    <d v="2026-03-19T00:00:00"/>
    <n v="3750"/>
    <n v="0"/>
    <m/>
    <x v="0"/>
  </r>
  <r>
    <d v="2026-03-19T00:00:00"/>
    <x v="1"/>
    <s v="Barhe"/>
    <n v="20090011"/>
    <s v="Gomukh Gold 50 Kgs"/>
    <n v="2"/>
    <n v="1250"/>
    <n v="2500"/>
    <s v="Deduction from Milk Payment"/>
    <m/>
    <m/>
    <x v="1"/>
    <s v="Farmer"/>
    <s v="20 Mar - 26 Mar"/>
    <d v="2026-03-26T00:00:00"/>
    <n v="2500"/>
    <n v="0"/>
    <m/>
    <x v="0"/>
  </r>
  <r>
    <d v="2026-03-20T00:00:00"/>
    <x v="1"/>
    <s v="Chanho"/>
    <n v="20090001"/>
    <s v="Gomukh Gold 50 Kgs"/>
    <n v="1"/>
    <n v="1250"/>
    <n v="1250"/>
    <s v="Deduction from Milk Payment"/>
    <m/>
    <m/>
    <x v="1"/>
    <s v="Bank"/>
    <m/>
    <d v="2026-03-20T00:00:00"/>
    <n v="1250"/>
    <n v="0"/>
    <m/>
    <x v="0"/>
  </r>
  <r>
    <d v="2026-03-20T00:00:00"/>
    <x v="1"/>
    <s v="Chanho"/>
    <n v="20090001"/>
    <s v="Gomukh Gold 50 Kgs"/>
    <n v="1"/>
    <n v="1250"/>
    <n v="1250"/>
    <s v="Deduction from Milk Payment"/>
    <m/>
    <m/>
    <x v="1"/>
    <s v="Farmer"/>
    <s v="13 Mar - 19 Mar &amp; 20-26 Mar"/>
    <d v="2026-03-19T00:00:00"/>
    <n v="1250"/>
    <n v="0"/>
    <m/>
    <x v="0"/>
  </r>
  <r>
    <d v="2026-03-20T00:00:00"/>
    <x v="1"/>
    <s v="Tutlo"/>
    <n v="20010053"/>
    <s v="Gomukh Gold 50 Kgs"/>
    <n v="2"/>
    <n v="1250"/>
    <n v="2500"/>
    <s v="Deduction from Milk Payment"/>
    <m/>
    <m/>
    <x v="1"/>
    <s v="Farmer"/>
    <s v="13 Mar - 19 Mar &amp; 20-26 Mar"/>
    <d v="2026-03-19T00:00:00"/>
    <n v="2500"/>
    <n v="0"/>
    <m/>
    <x v="0"/>
  </r>
  <r>
    <d v="2026-03-20T00:00:00"/>
    <x v="1"/>
    <s v="Kullu"/>
    <n v="20090025"/>
    <s v="Gomukh Gold 50 Kgs"/>
    <n v="3"/>
    <n v="1250"/>
    <n v="3750"/>
    <s v="Deduction from Milk Payment"/>
    <m/>
    <m/>
    <x v="1"/>
    <s v="Farmer"/>
    <s v="13 Mar - 19 Mar"/>
    <d v="2026-03-19T00:00:00"/>
    <n v="3750"/>
    <n v="0"/>
    <m/>
    <x v="0"/>
  </r>
  <r>
    <d v="2026-03-26T00:00:00"/>
    <x v="6"/>
    <s v="Chuttu"/>
    <n v="20060004"/>
    <s v="Gomukh Gold 50 Kgs"/>
    <n v="2"/>
    <n v="1250"/>
    <n v="2334"/>
    <s v="Deduction from Milk Payment"/>
    <m/>
    <m/>
    <x v="1"/>
    <s v="Farmer"/>
    <s v="20 Mar - 26 Mar"/>
    <d v="2026-03-26T00:00:00"/>
    <n v="2334"/>
    <n v="0"/>
    <s v="As per discussed by satendra ji ormanjhi payment 2334 adjust chuttu"/>
    <x v="0"/>
  </r>
  <r>
    <d v="2026-03-20T00:00:00"/>
    <x v="2"/>
    <s v="Dumardagga"/>
    <n v="20060003"/>
    <s v="Gomukh Gold 50 Kgs"/>
    <n v="20"/>
    <n v="1250"/>
    <n v="25000"/>
    <s v="Deduction from Milk Payment"/>
    <m/>
    <m/>
    <x v="1"/>
    <s v="Farmer"/>
    <s v="01-07 May"/>
    <d v="2026-05-07T00:00:00"/>
    <n v="25000"/>
    <n v="0"/>
    <m/>
    <x v="0"/>
  </r>
  <r>
    <d v="2026-03-26T00:00:00"/>
    <x v="2"/>
    <s v="Dumardagga"/>
    <n v="20060003"/>
    <s v="Gomukh Gold 50 Kgs"/>
    <n v="20"/>
    <n v="1250"/>
    <n v="25000"/>
    <s v="Deduction from Milk Payment"/>
    <m/>
    <m/>
    <x v="1"/>
    <s v="Farmer"/>
    <s v="03 Apr - 09 Apr"/>
    <d v="2026-04-09T00:00:00"/>
    <n v="12500"/>
    <n v="12500"/>
    <m/>
    <x v="3"/>
  </r>
  <r>
    <d v="2026-03-20T00:00:00"/>
    <x v="3"/>
    <s v="Ormanjhi"/>
    <n v="20060001"/>
    <s v="Gomukh Gold 50 Kgs"/>
    <n v="5"/>
    <n v="1250"/>
    <n v="6250"/>
    <s v="Deduction from Milk Payment"/>
    <m/>
    <m/>
    <x v="1"/>
    <s v="Farmer"/>
    <s v="13 Mar - 19 Mar"/>
    <d v="2026-03-19T00:00:00"/>
    <n v="6250"/>
    <n v="0"/>
    <m/>
    <x v="0"/>
  </r>
  <r>
    <d v="2026-03-26T00:00:00"/>
    <x v="3"/>
    <s v="Kukui"/>
    <n v="20060017"/>
    <s v="Gomukh Gold 50 Kgs"/>
    <n v="5"/>
    <n v="1250"/>
    <n v="6250"/>
    <s v="Deduction from Milk Payment"/>
    <m/>
    <m/>
    <x v="1"/>
    <s v="Farmer"/>
    <s v="24 Apr - 30 Apr/ 01-07 May"/>
    <d v="2026-04-30T00:00:00"/>
    <n v="6250"/>
    <n v="0"/>
    <m/>
    <x v="0"/>
  </r>
  <r>
    <d v="2026-03-26T00:00:00"/>
    <x v="3"/>
    <s v="Kuchu"/>
    <n v="20060009"/>
    <s v="Gomukh Gold 50 Kgs"/>
    <n v="5"/>
    <n v="1250"/>
    <n v="6250"/>
    <s v="Deduction from Milk Payment"/>
    <m/>
    <m/>
    <x v="1"/>
    <s v="Farmer"/>
    <s v="03 Apr - 09 Apr &amp; 17-23 Apr 24-30 Apr"/>
    <d v="2026-04-09T00:00:00"/>
    <n v="6250"/>
    <n v="0"/>
    <m/>
    <x v="0"/>
  </r>
  <r>
    <d v="2026-03-17T00:00:00"/>
    <x v="4"/>
    <s v="Bero"/>
    <n v="20010003"/>
    <s v="Gomukh Gold 50 Kgs"/>
    <n v="6"/>
    <n v="1250"/>
    <n v="7500"/>
    <s v="Deduction from Milk Payment"/>
    <m/>
    <m/>
    <x v="1"/>
    <s v="Farmer"/>
    <s v="13 Mar - 19 Mar"/>
    <d v="2026-03-19T00:00:00"/>
    <n v="7500"/>
    <n v="0"/>
    <m/>
    <x v="0"/>
  </r>
  <r>
    <d v="2026-03-20T00:00:00"/>
    <x v="4"/>
    <s v="Bero"/>
    <n v="20010003"/>
    <s v="Gomukh Gold 50 Kgs"/>
    <n v="6"/>
    <n v="1250"/>
    <n v="7500"/>
    <s v="Deduction from Milk Payment"/>
    <m/>
    <m/>
    <x v="1"/>
    <s v="Farmer"/>
    <s v="06 Mar - 12 Mar &amp; 20-26 Mar/03-09 Apr"/>
    <d v="2026-03-12T00:00:00"/>
    <n v="7500"/>
    <n v="0"/>
    <m/>
    <x v="0"/>
  </r>
  <r>
    <d v="2026-03-26T00:00:00"/>
    <x v="4"/>
    <s v="Etachildri"/>
    <n v="20010016"/>
    <s v="Gomukh Gold 50 Kgs"/>
    <n v="2"/>
    <n v="1250"/>
    <n v="2500"/>
    <s v="Deduction from Milk Payment"/>
    <m/>
    <m/>
    <x v="1"/>
    <s v="Farmer"/>
    <s v="06 Mar - 12 Mar &amp; 20-26 Mar 10-16 Apr &amp; 01-07 May 2026"/>
    <d v="2026-03-12T00:00:00"/>
    <n v="2500"/>
    <n v="0"/>
    <m/>
    <x v="0"/>
  </r>
  <r>
    <d v="2026-03-26T00:00:00"/>
    <x v="4"/>
    <s v="Bero"/>
    <n v="20010003"/>
    <s v="Gomukh Gold 50 Kgs"/>
    <n v="12"/>
    <n v="1250"/>
    <n v="15000"/>
    <s v="Deduction from Milk Payment"/>
    <m/>
    <m/>
    <x v="1"/>
    <s v="Farmer"/>
    <s v="03 Apr - 09 Apr &amp; 10-16 Apr"/>
    <d v="2026-04-09T00:00:00"/>
    <n v="15000"/>
    <n v="0"/>
    <m/>
    <x v="0"/>
  </r>
  <r>
    <d v="2026-03-26T00:00:00"/>
    <x v="8"/>
    <s v="Itki"/>
    <n v="20010001"/>
    <s v="Gomukh Gold 50 Kgs"/>
    <n v="150"/>
    <n v="1200"/>
    <n v="180000"/>
    <s v="Deduction from Milk Payment"/>
    <m/>
    <m/>
    <x v="1"/>
    <s v="Farmer"/>
    <s v="20 Mar - 26 Mar/01-07 May"/>
    <d v="2026-03-26T00:00:00"/>
    <n v="180000"/>
    <n v="0"/>
    <m/>
    <x v="0"/>
  </r>
  <r>
    <d v="2026-03-26T00:00:00"/>
    <x v="1"/>
    <s v="Narkopi"/>
    <n v="20010054"/>
    <s v="Gomukh Gold 50 Kgs"/>
    <n v="3"/>
    <n v="1250"/>
    <n v="3750"/>
    <s v="Deduction from Milk Payment"/>
    <m/>
    <m/>
    <x v="1"/>
    <s v="Farmer"/>
    <s v="20 Mar - 26 Mar"/>
    <d v="2026-03-26T00:00:00"/>
    <n v="3750"/>
    <n v="0"/>
    <m/>
    <x v="0"/>
  </r>
  <r>
    <d v="2026-03-26T00:00:00"/>
    <x v="1"/>
    <s v="Kullu"/>
    <n v="20090025"/>
    <s v="Gomukh Gold 50 Kgs"/>
    <n v="2"/>
    <n v="1250"/>
    <n v="2500"/>
    <s v="Deduction from Milk Payment"/>
    <m/>
    <m/>
    <x v="1"/>
    <s v="Farmer"/>
    <s v="27-31 Mar"/>
    <m/>
    <n v="2500"/>
    <n v="0"/>
    <m/>
    <x v="0"/>
  </r>
  <r>
    <d v="2026-03-26T00:00:00"/>
    <x v="1"/>
    <s v="Tutlo"/>
    <n v="20010053"/>
    <s v="Gomukh Gold 50 Kgs"/>
    <n v="1"/>
    <n v="1250"/>
    <n v="1250"/>
    <s v="Deduction from Milk Payment"/>
    <m/>
    <m/>
    <x v="1"/>
    <s v="Farmer"/>
    <s v="20 Mar - 26 Mar/27-31 Mar"/>
    <d v="2026-03-26T00:00:00"/>
    <n v="1250"/>
    <n v="0"/>
    <m/>
    <x v="0"/>
  </r>
  <r>
    <d v="2026-03-26T00:00:00"/>
    <x v="1"/>
    <s v="Chanho"/>
    <n v="20090001"/>
    <s v="Gomukh Gold 50 Kgs"/>
    <n v="1"/>
    <n v="1250"/>
    <n v="1250"/>
    <s v="Deduction from Milk Payment"/>
    <m/>
    <m/>
    <x v="1"/>
    <s v="Farmer"/>
    <s v="20 Mar - 26 Mar"/>
    <d v="2026-03-26T00:00:00"/>
    <n v="1250"/>
    <n v="0"/>
    <m/>
    <x v="0"/>
  </r>
  <r>
    <d v="2026-03-26T00:00:00"/>
    <x v="1"/>
    <s v="Pakariyo"/>
    <n v="20090015"/>
    <s v="Gomukh Gold 50 Kgs"/>
    <n v="3"/>
    <n v="1250"/>
    <n v="3750"/>
    <s v="Deduction from Milk Payment"/>
    <m/>
    <m/>
    <x v="1"/>
    <s v="Farmer"/>
    <s v="20 Mar - 26 Mar"/>
    <d v="2026-03-26T00:00:00"/>
    <n v="3159"/>
    <n v="591"/>
    <m/>
    <x v="3"/>
  </r>
  <r>
    <d v="2026-03-26T00:00:00"/>
    <x v="1"/>
    <s v="Pakariyo2"/>
    <n v="20090020"/>
    <s v="Gomukh Gold 50 Kgs"/>
    <n v="3"/>
    <n v="1250"/>
    <n v="3750"/>
    <s v="Deduction from Milk Payment"/>
    <m/>
    <m/>
    <x v="1"/>
    <s v="Farmer"/>
    <s v="20 Mar - 26 Mar"/>
    <d v="2026-03-26T00:00:00"/>
    <n v="3750"/>
    <n v="0"/>
    <m/>
    <x v="0"/>
  </r>
  <r>
    <d v="2026-03-26T00:00:00"/>
    <x v="1"/>
    <s v="Pakariyo2"/>
    <n v="20090020"/>
    <s v="Gomukh Gold 50 Kgs"/>
    <n v="3"/>
    <n v="1250"/>
    <n v="3750"/>
    <s v="Deduction from Milk Payment"/>
    <m/>
    <m/>
    <x v="1"/>
    <m/>
    <m/>
    <m/>
    <m/>
    <n v="3750"/>
    <m/>
    <x v="3"/>
  </r>
  <r>
    <d v="2026-03-26T00:00:00"/>
    <x v="1"/>
    <s v="Pakariyo2"/>
    <n v="20090020"/>
    <s v="Gomukh Gold 50 Kgs"/>
    <n v="4"/>
    <n v="1250"/>
    <n v="5000"/>
    <s v="Deduction from Milk Payment"/>
    <m/>
    <m/>
    <x v="1"/>
    <s v="Farmer"/>
    <s v="10 Apr - 16 Apr &amp; 17-23 Apr"/>
    <d v="2026-04-16T00:00:00"/>
    <n v="5000"/>
    <n v="0"/>
    <m/>
    <x v="0"/>
  </r>
  <r>
    <d v="2026-03-26T00:00:00"/>
    <x v="1"/>
    <s v="Barhe"/>
    <n v="20090011"/>
    <s v="Gomukh Gold 50 Kgs"/>
    <n v="3"/>
    <n v="1250"/>
    <n v="3750"/>
    <s v="Deduction from Milk Payment"/>
    <m/>
    <m/>
    <x v="1"/>
    <m/>
    <m/>
    <m/>
    <m/>
    <n v="3750"/>
    <m/>
    <x v="3"/>
  </r>
  <r>
    <d v="2026-03-29T00:00:00"/>
    <x v="4"/>
    <s v="Bero"/>
    <n v="20010003"/>
    <s v="Gomukh Gold 50 Kgs"/>
    <n v="4"/>
    <n v="1250"/>
    <n v="5000"/>
    <s v="Deduction from Milk Payment"/>
    <m/>
    <m/>
    <x v="1"/>
    <s v="Farmer"/>
    <s v="10 Apr - 16 Apr"/>
    <d v="2026-04-16T00:00:00"/>
    <n v="5000"/>
    <n v="0"/>
    <m/>
    <x v="0"/>
  </r>
  <r>
    <d v="2026-03-29T00:00:00"/>
    <x v="3"/>
    <s v="Ormanjhi"/>
    <n v="20060001"/>
    <s v="Gomukh Gold 50 Kgs"/>
    <n v="1"/>
    <n v="1250"/>
    <n v="1250"/>
    <s v="Deduction from Milk Payment"/>
    <m/>
    <m/>
    <x v="1"/>
    <s v="Farmer"/>
    <s v="06 Feb - 12 Feb &amp; 20-26 Mar"/>
    <d v="2026-02-12T00:00:00"/>
    <n v="1250"/>
    <n v="0"/>
    <m/>
    <x v="0"/>
  </r>
  <r>
    <d v="2026-04-01T00:00:00"/>
    <x v="8"/>
    <s v="Itki"/>
    <n v="20010001"/>
    <s v="Gomukh Gold 50 Kgs"/>
    <n v="200"/>
    <n v="1200"/>
    <n v="240000"/>
    <s v="Deduction from Milk Payment"/>
    <m/>
    <m/>
    <x v="2"/>
    <s v="Farmer"/>
    <s v="03-09 Apr 17-23 Apr &amp; 01-07 May"/>
    <d v="2026-04-09T00:00:00"/>
    <n v="240000"/>
    <n v="0"/>
    <m/>
    <x v="0"/>
  </r>
  <r>
    <d v="2026-04-01T00:00:00"/>
    <x v="2"/>
    <s v="Dumardagga"/>
    <n v="20060003"/>
    <s v="Gomukh Gold 50 Kgs"/>
    <n v="20"/>
    <n v="1250"/>
    <n v="25000"/>
    <s v="Deduction from Milk Payment"/>
    <m/>
    <m/>
    <x v="2"/>
    <s v="Farmer"/>
    <s v="03 Apr - 09 Apr &amp; 10-16 Apr"/>
    <d v="2026-04-09T00:00:00"/>
    <n v="25000"/>
    <n v="0"/>
    <m/>
    <x v="0"/>
  </r>
  <r>
    <d v="2026-04-02T00:00:00"/>
    <x v="0"/>
    <s v="Tikotoli"/>
    <n v="20020020"/>
    <s v="Gomukh Gold 50 Kgs"/>
    <n v="5"/>
    <n v="1250"/>
    <n v="6250"/>
    <s v="Deduction from Milk Payment"/>
    <m/>
    <m/>
    <x v="2"/>
    <m/>
    <m/>
    <m/>
    <m/>
    <n v="6250"/>
    <m/>
    <x v="4"/>
  </r>
  <r>
    <d v="2026-04-02T00:00:00"/>
    <x v="0"/>
    <s v="Tikotoli"/>
    <n v="20020020"/>
    <s v="Gomukh Gold 50 Kgs"/>
    <n v="3"/>
    <n v="1250"/>
    <n v="3750"/>
    <s v="Deduction from Milk Payment"/>
    <m/>
    <m/>
    <x v="2"/>
    <s v="Farmer"/>
    <s v="03 Apr - 09 Apr/01-07 May"/>
    <d v="2026-04-09T00:00:00"/>
    <n v="3750"/>
    <n v="0"/>
    <m/>
    <x v="0"/>
  </r>
  <r>
    <d v="2026-04-02T00:00:00"/>
    <x v="0"/>
    <s v="Bijuliya"/>
    <n v="20020003"/>
    <s v="Gomukh Gold 50 Kgs"/>
    <n v="10"/>
    <n v="1250"/>
    <n v="12500"/>
    <s v="Deduction from Milk Payment"/>
    <m/>
    <m/>
    <x v="2"/>
    <s v="Farmer"/>
    <s v="01-07 May"/>
    <d v="2026-05-07T00:00:00"/>
    <n v="6250"/>
    <n v="6250"/>
    <m/>
    <x v="4"/>
  </r>
  <r>
    <d v="2026-04-02T00:00:00"/>
    <x v="0"/>
    <s v="Ranikhatanga"/>
    <n v="20020006"/>
    <s v="Gomukh Gold 50 Kgs"/>
    <n v="5"/>
    <n v="1250"/>
    <n v="6250"/>
    <s v="Deduction from Milk Payment"/>
    <m/>
    <m/>
    <x v="2"/>
    <s v="Farmer"/>
    <s v="03 Apr - 09 Apr"/>
    <d v="2026-04-09T00:00:00"/>
    <n v="6250"/>
    <n v="0"/>
    <m/>
    <x v="0"/>
  </r>
  <r>
    <d v="2026-04-02T00:00:00"/>
    <x v="5"/>
    <s v="Murpa"/>
    <n v="20070024"/>
    <s v="Gomukh Gold 50 Kgs"/>
    <n v="10"/>
    <n v="1250"/>
    <n v="12500"/>
    <s v="Deduction from Milk Payment"/>
    <m/>
    <m/>
    <x v="2"/>
    <s v="Farmer"/>
    <s v="10 Apr - 16 Apr/27-31 Mar"/>
    <d v="2026-04-16T00:00:00"/>
    <n v="12500"/>
    <n v="0"/>
    <m/>
    <x v="0"/>
  </r>
  <r>
    <d v="2026-04-02T00:00:00"/>
    <x v="5"/>
    <s v="Saram"/>
    <n v="20070002"/>
    <s v="Gomukh Gold 50 Kgs"/>
    <n v="3"/>
    <n v="1250"/>
    <n v="3750"/>
    <s v="Deduction from Milk Payment"/>
    <m/>
    <m/>
    <x v="2"/>
    <s v="Farmer"/>
    <s v="03 Apr - 09 Apr/01-07 May"/>
    <d v="2026-04-09T00:00:00"/>
    <n v="3750"/>
    <n v="0"/>
    <m/>
    <x v="0"/>
  </r>
  <r>
    <d v="2026-04-06T00:00:00"/>
    <x v="1"/>
    <s v="Tutlo"/>
    <n v="20010053"/>
    <s v="Gomukh Gold 50 Kgs"/>
    <n v="1"/>
    <n v="1250"/>
    <n v="1250"/>
    <s v="Deduction from Milk Payment"/>
    <m/>
    <m/>
    <x v="2"/>
    <s v="Farmer"/>
    <s v="10 Apr - 16 Apr"/>
    <d v="2026-04-16T00:00:00"/>
    <n v="1250"/>
    <n v="0"/>
    <m/>
    <x v="0"/>
  </r>
  <r>
    <d v="2026-04-06T00:00:00"/>
    <x v="1"/>
    <s v="Pakariyo"/>
    <n v="20090015"/>
    <s v="Gomukh Gold 50 Kgs"/>
    <n v="2"/>
    <n v="1250"/>
    <n v="2500"/>
    <s v="Deduction from Milk Payment"/>
    <m/>
    <m/>
    <x v="2"/>
    <s v="Farmer"/>
    <s v="10 Apr - 16 Apr &amp; 17-23 Apr"/>
    <d v="2026-04-16T00:00:00"/>
    <n v="2500"/>
    <n v="0"/>
    <m/>
    <x v="0"/>
  </r>
  <r>
    <d v="2026-04-06T00:00:00"/>
    <x v="1"/>
    <s v="Chanho"/>
    <n v="20090001"/>
    <s v="Gomukh Gold 50 Kgs"/>
    <n v="2"/>
    <n v="1250"/>
    <n v="2500"/>
    <s v="Deduction from Milk Payment"/>
    <m/>
    <m/>
    <x v="2"/>
    <s v="Bank"/>
    <m/>
    <d v="2026-04-07T00:00:00"/>
    <n v="2500"/>
    <n v="0"/>
    <m/>
    <x v="0"/>
  </r>
  <r>
    <d v="2026-04-06T00:00:00"/>
    <x v="1"/>
    <s v="Nawatand"/>
    <n v="20090017"/>
    <s v="Gomukh Gold 50 Kgs"/>
    <n v="3"/>
    <n v="1250"/>
    <n v="3750"/>
    <s v="Deduction from Milk Payment"/>
    <m/>
    <m/>
    <x v="2"/>
    <s v="Farmer"/>
    <s v="10 Apr - 16 Apr"/>
    <d v="2026-04-16T00:00:00"/>
    <n v="3750"/>
    <n v="0"/>
    <m/>
    <x v="0"/>
  </r>
  <r>
    <d v="2026-04-06T00:00:00"/>
    <x v="1"/>
    <s v="Barhe"/>
    <n v="20090011"/>
    <s v="Gomukh Gold 50 Kgs"/>
    <n v="5"/>
    <n v="1250"/>
    <n v="6250"/>
    <s v="Deduction from Milk Payment"/>
    <m/>
    <m/>
    <x v="2"/>
    <s v="Farmer"/>
    <s v="10 Apr - 16 Apr &amp; 17-23 Apr 24-30 Apr"/>
    <d v="2026-04-16T00:00:00"/>
    <n v="6250"/>
    <n v="0"/>
    <m/>
    <x v="0"/>
  </r>
  <r>
    <d v="2026-04-06T00:00:00"/>
    <x v="1"/>
    <s v="Kokar"/>
    <n v="20090023"/>
    <s v="Gomukh Gold 50 Kgs"/>
    <n v="5"/>
    <n v="1250"/>
    <n v="6250"/>
    <s v="Deduction from Milk Payment"/>
    <m/>
    <m/>
    <x v="2"/>
    <s v="Farmer"/>
    <s v="10 Apr - 16 Apr &amp; 17-23 Apr"/>
    <d v="2026-04-16T00:00:00"/>
    <n v="6250"/>
    <n v="0"/>
    <m/>
    <x v="0"/>
  </r>
  <r>
    <d v="2026-04-09T00:00:00"/>
    <x v="0"/>
    <s v="Agru"/>
    <n v="20020025"/>
    <s v="Gomukh Gold 50 Kgs"/>
    <n v="11"/>
    <n v="1250"/>
    <n v="13750"/>
    <s v="Deduction from Milk Payment"/>
    <m/>
    <m/>
    <x v="2"/>
    <s v="Farmer"/>
    <s v="03 Apr - 09 Apr &amp; 10-16 Apr 17-23 Apr"/>
    <d v="2026-04-09T00:00:00"/>
    <n v="13750"/>
    <n v="0"/>
    <m/>
    <x v="0"/>
  </r>
  <r>
    <d v="2026-04-09T00:00:00"/>
    <x v="0"/>
    <s v="Tikotoli"/>
    <n v="20020020"/>
    <s v="Gomukh Gold 50 Kgs"/>
    <n v="5"/>
    <n v="1250"/>
    <n v="6250"/>
    <s v="Deduction from Milk Payment"/>
    <m/>
    <m/>
    <x v="2"/>
    <s v="Farmer"/>
    <s v="03 Apr - 09 Apr &amp; 10-16 Apr"/>
    <d v="2026-04-09T00:00:00"/>
    <n v="6250"/>
    <n v="0"/>
    <m/>
    <x v="0"/>
  </r>
  <r>
    <d v="2026-04-09T00:00:00"/>
    <x v="0"/>
    <s v="Bijuliya"/>
    <n v="20020003"/>
    <s v="Gomukh Gold 50 Kgs"/>
    <n v="10"/>
    <n v="1250"/>
    <n v="12500"/>
    <s v="Deduction from Milk Payment"/>
    <m/>
    <m/>
    <x v="2"/>
    <s v="Farmer"/>
    <s v="03 Apr - 09 Apr"/>
    <d v="2026-04-09T00:00:00"/>
    <n v="12500"/>
    <n v="0"/>
    <m/>
    <x v="0"/>
  </r>
  <r>
    <d v="2026-04-09T00:00:00"/>
    <x v="0"/>
    <s v="Pali"/>
    <n v="20020001"/>
    <s v="Gomukh Gold 50 Kgs"/>
    <n v="8"/>
    <n v="1250"/>
    <n v="10000"/>
    <s v="Deduction from Milk Payment"/>
    <m/>
    <m/>
    <x v="2"/>
    <s v="Farmer"/>
    <s v="03 Apr - 09 Apr &amp; 10-16 Apr"/>
    <d v="2026-04-09T00:00:00"/>
    <n v="10000"/>
    <n v="0"/>
    <m/>
    <x v="0"/>
  </r>
  <r>
    <d v="2026-03-26T00:00:00"/>
    <x v="6"/>
    <s v="Chuttu"/>
    <n v="20060004"/>
    <s v="Gomukh Gold 50 Kgs"/>
    <n v="18"/>
    <n v="1250"/>
    <n v="22666"/>
    <s v="Deduction from Milk Payment"/>
    <m/>
    <m/>
    <x v="1"/>
    <s v="Bank"/>
    <m/>
    <d v="2026-04-10T00:00:00"/>
    <n v="22666"/>
    <n v="0"/>
    <m/>
    <x v="0"/>
  </r>
  <r>
    <d v="2026-04-18T00:00:00"/>
    <x v="6"/>
    <s v="Chuttu"/>
    <n v="20060004"/>
    <s v="Gomukh Gold 50 Kgs"/>
    <n v="10"/>
    <n v="1250"/>
    <n v="12500"/>
    <s v="Deduction from Milk Payment"/>
    <m/>
    <m/>
    <x v="2"/>
    <s v="Farmer"/>
    <s v="24 Apr - 30 Apr"/>
    <d v="2026-04-30T00:00:00"/>
    <n v="12500"/>
    <n v="0"/>
    <m/>
    <x v="0"/>
  </r>
  <r>
    <d v="2026-04-11T00:00:00"/>
    <x v="2"/>
    <s v="Dumardagga"/>
    <n v="20060003"/>
    <s v="Gomukh Gold 50 Kgs"/>
    <n v="20"/>
    <n v="1250"/>
    <n v="25000"/>
    <s v="Deduction from Milk Payment"/>
    <m/>
    <m/>
    <x v="2"/>
    <s v="Farmer"/>
    <s v="10 Apr - 16 Apr &amp; 17-23 Apr"/>
    <d v="2026-04-16T00:00:00"/>
    <n v="25000"/>
    <n v="0"/>
    <m/>
    <x v="0"/>
  </r>
  <r>
    <d v="2026-04-18T00:00:00"/>
    <x v="2"/>
    <s v="Dumardagga"/>
    <n v="20060003"/>
    <s v="Gomukh Gold 50 Kgs"/>
    <n v="20"/>
    <n v="1250"/>
    <n v="25000"/>
    <s v="Deduction from Milk Payment"/>
    <m/>
    <m/>
    <x v="2"/>
    <s v="Farmer"/>
    <s v="17 Apr - 23 Apr &amp; 24-30 Apr"/>
    <d v="2026-04-23T00:00:00"/>
    <n v="25000"/>
    <n v="0"/>
    <m/>
    <x v="0"/>
  </r>
  <r>
    <d v="2026-04-18T00:00:00"/>
    <x v="3"/>
    <s v="Jirabar"/>
    <n v="20060005"/>
    <s v="Gomukh Gold 50 Kgs"/>
    <n v="2"/>
    <n v="1250"/>
    <n v="2500"/>
    <s v="Deduction from Milk Payment"/>
    <m/>
    <m/>
    <x v="2"/>
    <s v="Farmer"/>
    <s v="01-07 May"/>
    <d v="2026-05-07T00:00:00"/>
    <n v="2500"/>
    <n v="0"/>
    <m/>
    <x v="0"/>
  </r>
  <r>
    <d v="2026-04-18T00:00:00"/>
    <x v="3"/>
    <s v="Ormanjhi"/>
    <n v="20060001"/>
    <s v="Gomukh Gold 50 Kgs"/>
    <n v="7"/>
    <n v="1250"/>
    <n v="8750"/>
    <s v="Deduction from Milk Payment"/>
    <m/>
    <m/>
    <x v="2"/>
    <s v="Farmer"/>
    <s v="10 Apr - 16 Apr &amp; 24-30 Apr"/>
    <d v="2026-04-16T00:00:00"/>
    <n v="8750"/>
    <n v="0"/>
    <m/>
    <x v="0"/>
  </r>
  <r>
    <d v="2026-04-03T00:00:00"/>
    <x v="4"/>
    <s v="Etachildri"/>
    <n v="20010016"/>
    <s v="Gomukh Gold 50 Kgs"/>
    <n v="2"/>
    <n v="1250"/>
    <n v="2500"/>
    <s v="Deduction from Milk Payment"/>
    <m/>
    <m/>
    <x v="2"/>
    <s v="Farmer"/>
    <s v="10 Apr - 16 Apr/01-07 May/27-31 Mar"/>
    <d v="2026-04-16T00:00:00"/>
    <n v="2433"/>
    <n v="67"/>
    <m/>
    <x v="5"/>
  </r>
  <r>
    <d v="2026-04-11T00:00:00"/>
    <x v="4"/>
    <s v="Bero"/>
    <n v="20010003"/>
    <s v="Gomukh Gold 50 Kgs"/>
    <n v="8"/>
    <n v="1250"/>
    <n v="10000"/>
    <s v="Deduction from Milk Payment"/>
    <m/>
    <m/>
    <x v="2"/>
    <s v="Farmer"/>
    <s v="17 Apr - 23 Apr"/>
    <d v="2026-04-23T00:00:00"/>
    <n v="10000"/>
    <n v="0"/>
    <m/>
    <x v="0"/>
  </r>
  <r>
    <d v="2026-04-18T00:00:00"/>
    <x v="4"/>
    <s v="Erchoro"/>
    <n v="20010008"/>
    <s v="Gomukh Gold 50 Kgs"/>
    <n v="20"/>
    <n v="1250"/>
    <n v="25000"/>
    <s v="Deduction from Milk Payment"/>
    <m/>
    <m/>
    <x v="2"/>
    <s v="Farmer"/>
    <s v="10 Apr - 16 Apr &amp; 17-23 Apr"/>
    <d v="2026-04-16T00:00:00"/>
    <n v="25000"/>
    <n v="0"/>
    <m/>
    <x v="0"/>
  </r>
  <r>
    <d v="2026-04-18T00:00:00"/>
    <x v="4"/>
    <s v="Bero"/>
    <n v="20010003"/>
    <s v="Gomukh Gold 50 Kgs"/>
    <n v="2"/>
    <n v="1250"/>
    <n v="2500"/>
    <s v="Deduction from Milk Payment"/>
    <m/>
    <m/>
    <x v="2"/>
    <s v="Farmer"/>
    <s v="17 Apr - 23 Apr"/>
    <d v="2026-04-23T00:00:00"/>
    <n v="2500"/>
    <n v="0"/>
    <m/>
    <x v="0"/>
  </r>
  <r>
    <d v="2026-04-18T00:00:00"/>
    <x v="4"/>
    <s v="Bero"/>
    <n v="20010003"/>
    <s v="Gomukh Gold 50 Kgs"/>
    <n v="8"/>
    <n v="1250"/>
    <n v="10000"/>
    <s v="Deduction from Milk Payment"/>
    <m/>
    <m/>
    <x v="2"/>
    <s v="Farmer"/>
    <s v="24 Apr - 30 Apr"/>
    <d v="2026-04-30T00:00:00"/>
    <n v="10000"/>
    <n v="0"/>
    <m/>
    <x v="0"/>
  </r>
  <r>
    <d v="2026-04-22T00:00:00"/>
    <x v="1"/>
    <s v="Pakariyo"/>
    <n v="20090015"/>
    <s v="Gomukh Gold 50 Kgs"/>
    <n v="1"/>
    <n v="1250"/>
    <n v="1250"/>
    <s v="Deduction from Milk Payment"/>
    <m/>
    <m/>
    <x v="2"/>
    <s v="Farmer"/>
    <s v="17 Apr - 23 Apr &amp; 24-30 Apr"/>
    <d v="2026-04-23T00:00:00"/>
    <n v="1250"/>
    <n v="0"/>
    <m/>
    <x v="0"/>
  </r>
  <r>
    <d v="2026-04-22T00:00:00"/>
    <x v="1"/>
    <s v="Bhogla Toli"/>
    <n v="20090026"/>
    <s v="Gomukh Gold 50 Kgs"/>
    <n v="1"/>
    <n v="1250"/>
    <n v="1250"/>
    <s v="Deduction from Milk Payment"/>
    <m/>
    <m/>
    <x v="2"/>
    <s v="Farmer"/>
    <s v="17 Apr - 23 Apr"/>
    <d v="2026-04-23T00:00:00"/>
    <n v="1250"/>
    <n v="0"/>
    <m/>
    <x v="0"/>
  </r>
  <r>
    <d v="2026-04-22T00:00:00"/>
    <x v="1"/>
    <s v="Chanho"/>
    <n v="20090001"/>
    <s v="Gomukh Gold 50 Kgs"/>
    <n v="1"/>
    <n v="1250"/>
    <n v="1250"/>
    <s v="Deduction from Milk Payment"/>
    <m/>
    <m/>
    <x v="2"/>
    <s v="Farmer"/>
    <s v="17 Apr - 23 Apr"/>
    <d v="2026-04-23T00:00:00"/>
    <n v="1250"/>
    <n v="0"/>
    <m/>
    <x v="0"/>
  </r>
  <r>
    <d v="2026-04-22T00:00:00"/>
    <x v="1"/>
    <s v="Tutlo"/>
    <n v="20010053"/>
    <s v="Gomukh Gold 50 Kgs"/>
    <n v="1"/>
    <n v="1250"/>
    <n v="1250"/>
    <s v="Deduction from Milk Payment"/>
    <m/>
    <m/>
    <x v="2"/>
    <s v="Farmer"/>
    <s v="10 Apr - 16 Apr/01-07 May/27-31 Mar"/>
    <d v="2026-04-16T00:00:00"/>
    <n v="1250"/>
    <n v="0"/>
    <m/>
    <x v="0"/>
  </r>
  <r>
    <d v="2026-04-29T00:00:00"/>
    <x v="1"/>
    <s v="Pakariyo2"/>
    <n v="20090020"/>
    <s v="Gomukh Gold 50 Kgs"/>
    <n v="1"/>
    <n v="1250"/>
    <n v="1250"/>
    <s v="Deduction from Milk Payment"/>
    <m/>
    <m/>
    <x v="2"/>
    <s v="Farmer"/>
    <s v="17 Apr - 23 Apr &amp; 24-30 Apr"/>
    <d v="2026-04-23T00:00:00"/>
    <n v="1250"/>
    <n v="0"/>
    <m/>
    <x v="0"/>
  </r>
  <r>
    <d v="2026-04-29T00:00:00"/>
    <x v="1"/>
    <s v="Ganeshpur"/>
    <n v="20090008"/>
    <s v="Gomukh Gold 50 Kgs"/>
    <n v="1"/>
    <n v="1250"/>
    <n v="1250"/>
    <s v="Deduction from Milk Payment"/>
    <m/>
    <m/>
    <x v="2"/>
    <s v="Farmer"/>
    <s v="24 Apr - 30 Apr/01-07 May"/>
    <s v="30-04-2026/07 May"/>
    <n v="1250"/>
    <n v="0"/>
    <m/>
    <x v="0"/>
  </r>
  <r>
    <d v="2026-04-16T00:00:00"/>
    <x v="0"/>
    <s v="Bijuliya"/>
    <n v="20020003"/>
    <s v="Gomukh Gold 50 Kgs"/>
    <n v="10"/>
    <n v="1250"/>
    <n v="12500"/>
    <s v="Deduction from Milk Payment"/>
    <m/>
    <m/>
    <x v="2"/>
    <s v="Farmer"/>
    <s v="17 Apr - 23 Apr &amp; 24-30 Apr"/>
    <d v="2026-04-23T00:00:00"/>
    <n v="12500"/>
    <n v="0"/>
    <m/>
    <x v="0"/>
  </r>
  <r>
    <d v="2026-04-16T00:00:00"/>
    <x v="0"/>
    <s v="Ranikhatanga"/>
    <n v="20020006"/>
    <s v="Gomukh Gold 50 Kgs"/>
    <n v="5"/>
    <n v="1250"/>
    <n v="6250"/>
    <s v="Deduction from Milk Payment"/>
    <m/>
    <m/>
    <x v="2"/>
    <s v="Farmer"/>
    <s v="24 Apr - 30 Apr"/>
    <d v="2026-04-30T00:00:00"/>
    <n v="6250"/>
    <n v="0"/>
    <m/>
    <x v="0"/>
  </r>
  <r>
    <d v="2026-04-16T00:00:00"/>
    <x v="0"/>
    <s v="Pali"/>
    <n v="20020001"/>
    <s v="Gomukh Gold 50 Kgs"/>
    <n v="5"/>
    <n v="1250"/>
    <n v="6250"/>
    <s v="Deduction from Milk Payment"/>
    <m/>
    <m/>
    <x v="2"/>
    <s v="Farmer"/>
    <s v="10 Apr - 16 Apr"/>
    <d v="2026-04-16T00:00:00"/>
    <n v="6250"/>
    <n v="0"/>
    <m/>
    <x v="0"/>
  </r>
  <r>
    <d v="2026-04-16T00:00:00"/>
    <x v="0"/>
    <s v="Tikotoli"/>
    <n v="20020020"/>
    <s v="Gomukh Gold 50 Kgs"/>
    <n v="5"/>
    <n v="1250"/>
    <n v="6250"/>
    <s v="Deduction from Milk Payment"/>
    <m/>
    <m/>
    <x v="2"/>
    <s v="Farmer"/>
    <s v="10 Apr - 16 Apr &amp; 24-30 Apr"/>
    <d v="2026-04-16T00:00:00"/>
    <n v="6250"/>
    <n v="0"/>
    <m/>
    <x v="0"/>
  </r>
  <r>
    <d v="2026-04-16T00:00:00"/>
    <x v="0"/>
    <s v="Baski2"/>
    <n v="20050001"/>
    <s v="Gomukh Gold 50 Kgs"/>
    <n v="2"/>
    <n v="1250"/>
    <n v="2500"/>
    <s v="Deduction from Milk Payment"/>
    <m/>
    <m/>
    <x v="2"/>
    <s v="Farmer"/>
    <s v="10 Apr - 16 Apr"/>
    <d v="2026-04-16T00:00:00"/>
    <n v="2500"/>
    <n v="0"/>
    <m/>
    <x v="0"/>
  </r>
  <r>
    <d v="2026-04-16T00:00:00"/>
    <x v="0"/>
    <s v="Uchri"/>
    <n v="20050003"/>
    <s v="Gomukh Gold 50 Kgs"/>
    <n v="3"/>
    <n v="1250"/>
    <n v="3750"/>
    <s v="Deduction from Milk Payment"/>
    <m/>
    <m/>
    <x v="2"/>
    <s v="Farmer"/>
    <s v="10 Apr - 16 Apr"/>
    <d v="2026-04-16T00:00:00"/>
    <n v="3750"/>
    <n v="0"/>
    <m/>
    <x v="0"/>
  </r>
  <r>
    <d v="2026-04-16T00:00:00"/>
    <x v="0"/>
    <s v="Jari"/>
    <n v="20020002"/>
    <s v="Gomukh Gold 50 Kgs"/>
    <n v="3"/>
    <n v="1250"/>
    <n v="3750"/>
    <s v="Deduction from Milk Payment"/>
    <m/>
    <m/>
    <x v="2"/>
    <s v="Farmer"/>
    <s v="10 Apr - 16 Apr"/>
    <d v="2026-04-16T00:00:00"/>
    <n v="3750"/>
    <n v="0"/>
    <m/>
    <x v="0"/>
  </r>
  <r>
    <d v="2026-04-25T00:00:00"/>
    <x v="0"/>
    <s v="Bijuliya"/>
    <n v="20020003"/>
    <s v="Gomukh Gold 50 Kgs"/>
    <n v="10"/>
    <n v="1250"/>
    <n v="12500"/>
    <s v="Deduction from Milk Payment"/>
    <m/>
    <m/>
    <x v="2"/>
    <s v="Farmer"/>
    <s v="24 Apr - 30 Apr"/>
    <d v="2026-04-30T00:00:00"/>
    <n v="6250"/>
    <n v="6250"/>
    <m/>
    <x v="6"/>
  </r>
  <r>
    <d v="2026-04-25T00:00:00"/>
    <x v="0"/>
    <s v="Agru"/>
    <n v="20020025"/>
    <s v="Gomukh Gold 50 Kgs"/>
    <n v="8"/>
    <n v="1250"/>
    <n v="10000"/>
    <s v="Deduction from Milk Payment"/>
    <m/>
    <m/>
    <x v="2"/>
    <s v="Bank"/>
    <m/>
    <d v="2026-05-04T00:00:00"/>
    <n v="10000"/>
    <n v="0"/>
    <m/>
    <x v="0"/>
  </r>
  <r>
    <d v="2026-04-30T00:00:00"/>
    <x v="0"/>
    <s v="Bijuliya"/>
    <n v="20020003"/>
    <s v="Gomukh Gold 50 Kgs"/>
    <n v="5"/>
    <n v="1250"/>
    <n v="6250"/>
    <s v="Deduction from Milk Payment"/>
    <m/>
    <m/>
    <x v="2"/>
    <m/>
    <m/>
    <m/>
    <m/>
    <n v="6250"/>
    <m/>
    <x v="7"/>
  </r>
  <r>
    <d v="2026-04-25T00:00:00"/>
    <x v="0"/>
    <s v="Agru"/>
    <n v="20020025"/>
    <s v="Gomukh Gold 50 Kgs"/>
    <n v="2"/>
    <n v="1250"/>
    <n v="2500"/>
    <s v="Deduction from Milk Payment"/>
    <m/>
    <m/>
    <x v="2"/>
    <s v="Farmer"/>
    <s v="17 Apr - 23 Apr"/>
    <d v="2026-04-23T00:00:00"/>
    <n v="2500"/>
    <n v="0"/>
    <m/>
    <x v="0"/>
  </r>
  <r>
    <d v="2026-04-30T00:00:00"/>
    <x v="0"/>
    <s v="Agru"/>
    <n v="20020025"/>
    <s v="Gomukh Gold 50 Kgs"/>
    <n v="13"/>
    <n v="1250"/>
    <n v="16250"/>
    <s v="Deduction from Milk Payment"/>
    <m/>
    <m/>
    <x v="2"/>
    <s v="Farmer"/>
    <s v="17 Apr - 23 Apr &amp; 24-30 Apr"/>
    <d v="2026-04-23T00:00:00"/>
    <n v="4373"/>
    <n v="11877"/>
    <m/>
    <x v="7"/>
  </r>
  <r>
    <d v="2026-04-30T00:00:00"/>
    <x v="0"/>
    <s v="Baski2"/>
    <n v="20050001"/>
    <s v="Gomukh Gold 50 Kgs"/>
    <n v="5"/>
    <n v="1250"/>
    <n v="6250"/>
    <s v="Deduction from Milk Payment"/>
    <m/>
    <m/>
    <x v="2"/>
    <s v="Farmer"/>
    <s v="24 Apr - 30 Apr"/>
    <d v="2026-04-30T00:00:00"/>
    <n v="5990"/>
    <n v="260"/>
    <m/>
    <x v="7"/>
  </r>
  <r>
    <d v="2026-04-30T00:00:00"/>
    <x v="0"/>
    <s v="Tikotoli"/>
    <n v="20020020"/>
    <s v="Gomukh Gold 50 Kgs"/>
    <n v="6"/>
    <n v="1250"/>
    <n v="7500"/>
    <s v="Deduction from Milk Payment"/>
    <m/>
    <m/>
    <x v="2"/>
    <s v="Farmer"/>
    <s v="24 Apr - 30 Apr"/>
    <d v="2026-04-30T00:00:00"/>
    <n v="5548"/>
    <n v="1952"/>
    <m/>
    <x v="7"/>
  </r>
  <r>
    <d v="2026-04-30T00:00:00"/>
    <x v="0"/>
    <s v="Ranikhatanga"/>
    <n v="20020006"/>
    <s v="Gomukh Gold 50 Kgs"/>
    <n v="4"/>
    <n v="1250"/>
    <n v="5000"/>
    <s v="Deduction from Milk Payment"/>
    <m/>
    <m/>
    <x v="2"/>
    <m/>
    <m/>
    <m/>
    <m/>
    <n v="5000"/>
    <m/>
    <x v="7"/>
  </r>
  <r>
    <d v="2026-04-27T00:00:00"/>
    <x v="3"/>
    <s v="Ormanjhi"/>
    <n v="20060001"/>
    <s v="Gomukh Gold 50 Kgs"/>
    <n v="3"/>
    <n v="1250"/>
    <n v="3750"/>
    <s v="Deduction from Milk Payment"/>
    <m/>
    <m/>
    <x v="2"/>
    <s v="Farmer"/>
    <s v="24 Apr - 30 Apr"/>
    <d v="2026-04-30T00:00:00"/>
    <n v="2955"/>
    <n v="795"/>
    <m/>
    <x v="8"/>
  </r>
  <r>
    <d v="2026-04-27T00:00:00"/>
    <x v="3"/>
    <s v="Jirabar"/>
    <n v="20060005"/>
    <s v="Gomukh Gold 50 Kgs"/>
    <n v="2"/>
    <n v="1250"/>
    <n v="2500"/>
    <s v="Deduction from Milk Payment"/>
    <m/>
    <m/>
    <x v="2"/>
    <m/>
    <m/>
    <m/>
    <m/>
    <n v="2500"/>
    <m/>
    <x v="8"/>
  </r>
  <r>
    <d v="2026-04-22T00:00:00"/>
    <x v="7"/>
    <s v="Umedanda"/>
    <n v="20030002"/>
    <s v="Gomukh Gold 50 Kgs"/>
    <n v="2"/>
    <n v="1250"/>
    <n v="2500"/>
    <s v="Deduction from Milk Payment"/>
    <m/>
    <m/>
    <x v="2"/>
    <s v="Bank"/>
    <m/>
    <d v="2026-04-22T00:00:00"/>
    <n v="2500"/>
    <n v="0"/>
    <m/>
    <x v="0"/>
  </r>
  <r>
    <d v="2026-04-30T00:00:00"/>
    <x v="7"/>
    <s v="Hisri"/>
    <n v="20030001"/>
    <s v="Gomukh Gold 50 Kgs"/>
    <n v="4"/>
    <n v="1250"/>
    <n v="5000"/>
    <s v="Deduction from Milk Payment"/>
    <m/>
    <m/>
    <x v="2"/>
    <s v="Farmer"/>
    <s v="24 Apr - 30 Apr"/>
    <d v="2026-04-30T00:00:00"/>
    <n v="5000"/>
    <n v="0"/>
    <m/>
    <x v="0"/>
  </r>
  <r>
    <d v="2026-04-27T00:00:00"/>
    <x v="2"/>
    <s v="Dumardagga"/>
    <n v="20060003"/>
    <s v="Gomukh Gold 50 Kgs"/>
    <n v="20"/>
    <n v="1250"/>
    <n v="25000"/>
    <s v="Deduction from Milk Payment"/>
    <m/>
    <m/>
    <x v="2"/>
    <s v="Farmer"/>
    <s v="24 Apr - 30 Apr"/>
    <d v="2026-04-30T00:00:00"/>
    <n v="12500"/>
    <n v="12500"/>
    <m/>
    <x v="8"/>
  </r>
  <r>
    <d v="2026-04-27T00:00:00"/>
    <x v="4"/>
    <s v="Bero"/>
    <n v="20010003"/>
    <s v="Gomukh Gold 50 Kgs"/>
    <n v="10"/>
    <n v="1250"/>
    <n v="12500"/>
    <s v="Deduction from Milk Payment"/>
    <m/>
    <m/>
    <x v="2"/>
    <s v="Farmer"/>
    <s v="01-07 May"/>
    <d v="2026-05-07T00:00:00"/>
    <n v="10000"/>
    <n v="2500"/>
    <m/>
    <x v="8"/>
  </r>
  <r>
    <d v="2026-04-16T00:00:00"/>
    <x v="5"/>
    <s v="Kurulo"/>
    <n v="20070010"/>
    <s v="Gomukh Gold 50 Kgs"/>
    <n v="2"/>
    <n v="1250"/>
    <n v="2500"/>
    <s v="Deduction from Milk Payment"/>
    <m/>
    <m/>
    <x v="2"/>
    <s v="Farmer"/>
    <s v="10 Apr - 16 Apr/01-07 May"/>
    <d v="2026-04-16T00:00:00"/>
    <n v="2500"/>
    <n v="0"/>
    <m/>
    <x v="0"/>
  </r>
  <r>
    <d v="2026-04-16T00:00:00"/>
    <x v="5"/>
    <s v="Karamba"/>
    <n v="20070009"/>
    <s v="Gomukh Gold 50 Kgs"/>
    <n v="2"/>
    <n v="1250"/>
    <n v="2500"/>
    <s v="Deduction from Milk Payment"/>
    <m/>
    <m/>
    <x v="2"/>
    <s v="Farmer"/>
    <s v="10 Apr - 16 Apr"/>
    <d v="2026-04-16T00:00:00"/>
    <n v="2500"/>
    <n v="0"/>
    <m/>
    <x v="0"/>
  </r>
  <r>
    <d v="2026-04-25T00:00:00"/>
    <x v="5"/>
    <s v="Piragutu"/>
    <n v="20070001"/>
    <s v="Gomukh Gold 50 Kgs"/>
    <n v="7"/>
    <n v="1250"/>
    <n v="8750"/>
    <s v="Deduction from Milk Payment"/>
    <m/>
    <m/>
    <x v="2"/>
    <s v="Farmer"/>
    <s v="17 Apr - 23 Apr"/>
    <d v="2026-04-23T00:00:00"/>
    <n v="8750"/>
    <n v="0"/>
    <m/>
    <x v="0"/>
  </r>
  <r>
    <d v="2026-04-25T00:00:00"/>
    <x v="5"/>
    <s v="Piragutu"/>
    <n v="20070001"/>
    <s v="Gomukh Gold 50 Kgs"/>
    <n v="5"/>
    <n v="1250"/>
    <n v="6250"/>
    <s v="Deduction from Milk Payment"/>
    <m/>
    <m/>
    <x v="2"/>
    <s v="Farmer"/>
    <s v="01-07 May"/>
    <d v="2026-05-07T00:00:00"/>
    <n v="6250"/>
    <n v="0"/>
    <m/>
    <x v="0"/>
  </r>
  <r>
    <d v="2026-05-05T00:00:00"/>
    <x v="1"/>
    <s v="Nawatand"/>
    <n v="20090017"/>
    <s v="Gomukh Gold 50 Kgs"/>
    <n v="1"/>
    <n v="1250"/>
    <n v="1250"/>
    <s v="Deduction from Milk Payment"/>
    <m/>
    <m/>
    <x v="3"/>
    <s v="Farmer"/>
    <s v="17 Apr - 23 Apr"/>
    <d v="2026-04-23T00:00:00"/>
    <n v="1250"/>
    <n v="0"/>
    <m/>
    <x v="0"/>
  </r>
  <r>
    <d v="2026-05-05T00:00:00"/>
    <x v="1"/>
    <s v="Nawatand"/>
    <n v="20090017"/>
    <s v="Gomukh Gold 50 Kgs"/>
    <n v="7"/>
    <n v="1250"/>
    <n v="8750"/>
    <s v="Deduction from Milk Payment"/>
    <m/>
    <m/>
    <x v="3"/>
    <s v="Farmer"/>
    <s v="01-07 May"/>
    <d v="2026-05-07T00:00:00"/>
    <n v="2500"/>
    <n v="6250"/>
    <m/>
    <x v="9"/>
  </r>
  <r>
    <d v="2026-05-05T00:00:00"/>
    <x v="1"/>
    <s v="Tutlo"/>
    <n v="20010053"/>
    <s v="Gomukh Gold 50 Kgs"/>
    <n v="2"/>
    <n v="1250"/>
    <n v="2500"/>
    <s v="Deduction from Milk Payment"/>
    <m/>
    <m/>
    <x v="3"/>
    <s v="Farmer"/>
    <s v="17 Apr - 23 Apr/27-31 Mar"/>
    <d v="2026-04-23T00:00:00"/>
    <n v="2500"/>
    <n v="0"/>
    <m/>
    <x v="0"/>
  </r>
  <r>
    <d v="2026-05-05T00:00:00"/>
    <x v="1"/>
    <s v="Pakariyo"/>
    <n v="20090015"/>
    <s v="Gomukh Gold 50 Kgs"/>
    <n v="5"/>
    <n v="1250"/>
    <n v="6250"/>
    <s v="Deduction from Milk Payment"/>
    <m/>
    <m/>
    <x v="3"/>
    <s v="Farmer"/>
    <s v="01-07 May"/>
    <d v="2026-05-07T00:00:00"/>
    <n v="3476"/>
    <n v="2774"/>
    <m/>
    <x v="9"/>
  </r>
  <r>
    <d v="2026-05-08T00:00:00"/>
    <x v="0"/>
    <s v="Pali"/>
    <n v="20020001"/>
    <s v="Gomukh Gold 50 Kgs"/>
    <n v="16"/>
    <n v="1250"/>
    <n v="20000"/>
    <s v="Deduction from Milk Payment"/>
    <m/>
    <m/>
    <x v="3"/>
    <s v="Farmer"/>
    <s v="01-07 May"/>
    <d v="2026-05-07T00:00:00"/>
    <n v="17961"/>
    <n v="2039"/>
    <m/>
    <x v="10"/>
  </r>
  <r>
    <d v="2026-05-08T00:00:00"/>
    <x v="0"/>
    <s v="Jari"/>
    <n v="20020002"/>
    <s v="Gomukh Gold 50 Kgs"/>
    <n v="2"/>
    <n v="1250"/>
    <n v="2500"/>
    <s v="Deduction from Milk Payment"/>
    <m/>
    <m/>
    <x v="3"/>
    <s v="Farmer"/>
    <s v="01-07 May"/>
    <d v="2026-05-07T00:00:00"/>
    <n v="2500"/>
    <n v="0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d v="2026-02-19T00:00:00"/>
    <x v="0"/>
    <s v="Tikotoli"/>
    <n v="20020020"/>
    <s v="Gomukh Gold 50 Kgs"/>
    <n v="5"/>
    <n v="1250"/>
    <n v="6250"/>
    <s v="Deduction from Milk Payment"/>
    <m/>
    <m/>
    <x v="0"/>
    <s v="Farmer"/>
    <s v="13 Feb - 19 Feb &amp; 20-26 Feb"/>
    <d v="2026-02-19T00:00:00"/>
  </r>
  <r>
    <d v="2026-02-22T00:00:00"/>
    <x v="1"/>
    <s v="Nawatand"/>
    <n v="20090017"/>
    <s v="Gomukh Gold 50 Kgs"/>
    <n v="2"/>
    <n v="1250"/>
    <n v="2500"/>
    <s v="Deduction from Milk Payment"/>
    <m/>
    <n v="4844"/>
    <x v="0"/>
    <s v="Farmer"/>
    <s v="20 Feb - 26 Feb"/>
    <d v="2026-02-26T00:00:00"/>
  </r>
  <r>
    <d v="2026-02-22T00:00:00"/>
    <x v="1"/>
    <s v="Tutlo"/>
    <n v="20010053"/>
    <s v="Gomukh Gold 50 Kgs"/>
    <n v="1"/>
    <n v="1250"/>
    <n v="1250"/>
    <s v="Deduction from Milk Payment"/>
    <m/>
    <n v="4845"/>
    <x v="0"/>
    <s v="Bank"/>
    <m/>
    <d v="2026-02-27T00:00:00"/>
  </r>
  <r>
    <d v="2026-02-22T00:00:00"/>
    <x v="1"/>
    <s v="Tutlo"/>
    <n v="20010053"/>
    <s v="Gomukh Gold 50 Kgs"/>
    <n v="3"/>
    <n v="1250"/>
    <n v="3750"/>
    <s v="Deduction from Milk Payment"/>
    <m/>
    <n v="4845"/>
    <x v="0"/>
    <s v="Farmer"/>
    <s v="20 Feb - 26 Feb"/>
    <d v="2026-02-26T00:00:00"/>
  </r>
  <r>
    <d v="2026-02-22T00:00:00"/>
    <x v="1"/>
    <s v="Barhe"/>
    <n v="20090011"/>
    <s v="Gomukh Gold 50 Kgs"/>
    <n v="2"/>
    <n v="1250"/>
    <n v="2500"/>
    <s v="Deduction from Milk Payment"/>
    <m/>
    <n v="4846"/>
    <x v="0"/>
    <s v="Farmer"/>
    <s v="20 Feb - 26 Feb"/>
    <d v="2026-02-26T00:00:00"/>
  </r>
  <r>
    <d v="2026-02-22T00:00:00"/>
    <x v="1"/>
    <s v="Tutlo"/>
    <n v="20010053"/>
    <s v="Gomukh Gold 50 Kgs"/>
    <n v="2"/>
    <n v="1250"/>
    <n v="2500"/>
    <s v="Deduction from Milk Payment"/>
    <m/>
    <m/>
    <x v="0"/>
    <s v="Farmer"/>
    <s v="20 Feb - 26 Feb &amp; 27-05 Mar"/>
    <d v="2026-02-26T00:00:00"/>
  </r>
  <r>
    <d v="2026-02-22T00:00:00"/>
    <x v="1"/>
    <s v="Chanho"/>
    <n v="20090001"/>
    <s v="Gomukh Gold 50 Kgs"/>
    <n v="1"/>
    <n v="1250"/>
    <n v="1250"/>
    <s v="Deduction from Milk Payment"/>
    <m/>
    <n v="4848"/>
    <x v="0"/>
    <s v="Farmer"/>
    <s v="20 Feb - 26 Feb"/>
    <d v="2026-02-26T00:00:00"/>
  </r>
  <r>
    <d v="2026-02-26T00:00:00"/>
    <x v="0"/>
    <s v="Bijuliya"/>
    <n v="20020003"/>
    <s v="Gomukh Gold 50 Kgs"/>
    <n v="5"/>
    <n v="1250"/>
    <n v="6250"/>
    <s v="Deduction from Milk Payment"/>
    <m/>
    <m/>
    <x v="0"/>
    <s v="Farmer"/>
    <s v="20 Feb - 26 Feb"/>
    <d v="2026-02-26T00:00:00"/>
  </r>
  <r>
    <d v="2026-02-26T00:00:00"/>
    <x v="0"/>
    <s v="Pali"/>
    <n v="20020001"/>
    <s v="Gomukh Gold 50 Kgs"/>
    <n v="10"/>
    <n v="1250"/>
    <n v="12500"/>
    <s v="Deduction from Milk Payment"/>
    <m/>
    <m/>
    <x v="0"/>
    <s v="Farmer"/>
    <s v="27 Feb - 05 Mar &amp; 06-12 Mar"/>
    <d v="2026-03-05T00:00:00"/>
  </r>
  <r>
    <d v="2026-02-28T00:00:00"/>
    <x v="2"/>
    <s v="Dumardagga"/>
    <n v="20060003"/>
    <s v="Gomukh Gold 50 Kgs"/>
    <n v="20"/>
    <n v="1250"/>
    <n v="25000"/>
    <s v="Deduction from Milk Payment"/>
    <m/>
    <n v="4736"/>
    <x v="0"/>
    <s v="Farmer"/>
    <s v="27 Feb - 05 Mar"/>
    <d v="2026-03-05T00:00:00"/>
  </r>
  <r>
    <d v="2026-02-27T00:00:00"/>
    <x v="3"/>
    <s v="Adelhootu"/>
    <n v="20060008"/>
    <s v="Gomukh Gold 50 Kgs"/>
    <n v="20"/>
    <n v="1250"/>
    <n v="25000"/>
    <s v="Deduction from Milk Payment"/>
    <m/>
    <n v="4730"/>
    <x v="0"/>
    <s v="Farmer"/>
    <s v="06 Mar - 12 Mar &amp; 13-19 Mar"/>
    <d v="2026-03-12T00:00:00"/>
  </r>
  <r>
    <d v="2026-02-28T00:00:00"/>
    <x v="4"/>
    <s v="Boriya"/>
    <n v="20010015"/>
    <s v="Gomukh Gold 50 Kgs"/>
    <n v="0"/>
    <n v="0"/>
    <n v="11000"/>
    <s v="Deduction from Milk Payment"/>
    <m/>
    <m/>
    <x v="0"/>
    <s v="Bank"/>
    <m/>
    <d v="2026-04-27T00:00:00"/>
  </r>
  <r>
    <d v="2026-02-28T00:00:00"/>
    <x v="4"/>
    <s v="Boriya"/>
    <n v="20010015"/>
    <s v="Gomukh Gold 50 Kgs"/>
    <n v="22"/>
    <n v="1250"/>
    <n v="16500"/>
    <s v="Deduction from Milk Payment"/>
    <m/>
    <n v="4731"/>
    <x v="0"/>
    <s v="Farmer"/>
    <s v="20 Mar - 26 Mar &amp; 10-16 Apr 17-23 Apr"/>
    <d v="2026-03-26T00:00:00"/>
  </r>
  <r>
    <d v="2026-02-28T00:00:00"/>
    <x v="4"/>
    <s v="Erchoro"/>
    <n v="20010008"/>
    <s v="Gomukh Gold 50 Kgs"/>
    <n v="5"/>
    <n v="1250"/>
    <n v="6250"/>
    <s v="Deduction from Milk Payment"/>
    <m/>
    <n v="4732"/>
    <x v="0"/>
    <s v="Farmer"/>
    <s v="27 Feb - 05 Mar"/>
    <d v="2026-03-05T00:00:00"/>
  </r>
  <r>
    <d v="2026-02-28T00:00:00"/>
    <x v="4"/>
    <s v="Erchoro"/>
    <n v="20010008"/>
    <s v="Gomukh Gold 50 Kgs"/>
    <n v="20"/>
    <n v="1250"/>
    <n v="25000"/>
    <s v="Deduction from Milk Payment"/>
    <m/>
    <n v="4732"/>
    <x v="0"/>
    <s v="Farmer"/>
    <s v="06 Mar - 12 Mar &amp; 13-19 Mar 20-26 Mar/03-09 Apr"/>
    <d v="2026-03-12T00:00:00"/>
  </r>
  <r>
    <d v="2026-02-28T00:00:00"/>
    <x v="4"/>
    <s v="Etachildri"/>
    <n v="20010016"/>
    <s v="Gomukh Gold 50 Kgs"/>
    <n v="1"/>
    <n v="1250"/>
    <n v="1250"/>
    <s v="Deduction from Milk Payment"/>
    <m/>
    <n v="4733"/>
    <x v="0"/>
    <s v="Farmer"/>
    <s v="28 Nov - 04 Dec"/>
    <d v="2025-12-04T00:00:00"/>
  </r>
  <r>
    <d v="2026-02-28T00:00:00"/>
    <x v="4"/>
    <s v="Masu"/>
    <n v="20010055"/>
    <s v="Gomukh Gold 50 Kgs"/>
    <n v="1"/>
    <n v="1250"/>
    <n v="1250"/>
    <s v="Deduction from Milk Payment"/>
    <m/>
    <n v="4734"/>
    <x v="0"/>
    <s v="Bank"/>
    <m/>
    <d v="2026-03-14T00:00:00"/>
  </r>
  <r>
    <d v="2026-02-28T00:00:00"/>
    <x v="0"/>
    <s v="Tikotoli"/>
    <n v="20020020"/>
    <s v="Gomukh Gold 50 Kgs"/>
    <n v="5"/>
    <n v="1250"/>
    <n v="6250"/>
    <s v="Deduction from Milk Payment"/>
    <m/>
    <m/>
    <x v="0"/>
    <s v="Farmer"/>
    <s v="27 Feb - 05 Mar &amp; 13-19 Mar"/>
    <d v="2026-03-05T00:00:00"/>
  </r>
  <r>
    <d v="2026-03-05T00:00:00"/>
    <x v="0"/>
    <s v="Bijuliya"/>
    <n v="20020003"/>
    <s v="Gomukh Gold 50 Kgs"/>
    <n v="5"/>
    <n v="1250"/>
    <n v="6250"/>
    <s v="Deduction from Milk Payment"/>
    <m/>
    <m/>
    <x v="1"/>
    <s v="Farmer"/>
    <s v="27 Feb - 05 Mar"/>
    <d v="2026-03-05T00:00:00"/>
  </r>
  <r>
    <d v="2026-03-05T00:00:00"/>
    <x v="0"/>
    <s v="Dhantatoli"/>
    <n v="20020011"/>
    <s v="Gomukh Gold 50 Kgs"/>
    <n v="3"/>
    <n v="1250"/>
    <n v="3750"/>
    <s v="Deduction from Milk Payment"/>
    <m/>
    <m/>
    <x v="1"/>
    <s v="Farmer"/>
    <s v="27 Feb - 05 Mar &amp; 13-19 Mar"/>
    <d v="2026-03-05T00:00:00"/>
  </r>
  <r>
    <d v="2026-03-05T00:00:00"/>
    <x v="5"/>
    <s v="Saram"/>
    <n v="20070002"/>
    <s v="Gomukh Gold 50 Kgs"/>
    <n v="4"/>
    <n v="1250"/>
    <n v="5000"/>
    <s v="Deduction from Milk Payment"/>
    <m/>
    <m/>
    <x v="1"/>
    <s v="Farmer"/>
    <s v="27 Feb - 05 Mar"/>
    <d v="2026-03-05T00:00:00"/>
  </r>
  <r>
    <d v="2026-03-06T00:00:00"/>
    <x v="1"/>
    <s v="Pakariyo2"/>
    <n v="20090020"/>
    <s v="Gomukh Gold 50 Kgs"/>
    <n v="2"/>
    <n v="1250"/>
    <n v="2500"/>
    <s v="Deduction from Milk Payment"/>
    <m/>
    <m/>
    <x v="1"/>
    <s v="Farmer"/>
    <s v="27 Feb - 05 Mar"/>
    <d v="2026-03-05T00:00:00"/>
  </r>
  <r>
    <d v="2026-03-06T00:00:00"/>
    <x v="1"/>
    <s v="Naudi"/>
    <n v="20090003"/>
    <s v="Gomukh Gold 50 Kgs"/>
    <n v="10"/>
    <n v="1250"/>
    <n v="12500"/>
    <s v="Deduction from Milk Payment"/>
    <m/>
    <m/>
    <x v="1"/>
    <s v="Farmer"/>
    <s v="27 Feb - 05 Mar &amp; 06-12 Mar 13-19 Mar 20-26 Mar, 27-31 Mar"/>
    <d v="2026-03-05T00:00:00"/>
  </r>
  <r>
    <d v="2026-03-06T00:00:00"/>
    <x v="1"/>
    <s v="Narkopi"/>
    <n v="20010054"/>
    <s v="Gomukh Gold 50 Kgs"/>
    <n v="2"/>
    <n v="1250"/>
    <n v="2500"/>
    <s v="Deduction from Milk Payment"/>
    <m/>
    <m/>
    <x v="1"/>
    <s v="Farmer"/>
    <s v="13 Mar - 19 Mar"/>
    <d v="2026-03-19T00:00:00"/>
  </r>
  <r>
    <d v="2026-03-06T00:00:00"/>
    <x v="1"/>
    <s v="Pakariyo"/>
    <n v="20090015"/>
    <s v="Gomukh Gold 50 Kgs"/>
    <n v="3"/>
    <n v="1250"/>
    <n v="3750"/>
    <s v="Deduction from Milk Payment"/>
    <m/>
    <m/>
    <x v="1"/>
    <s v="Farmer"/>
    <s v="27 Feb - 05 Mar &amp; 06-12 Mar"/>
    <d v="2026-03-05T00:00:00"/>
  </r>
  <r>
    <d v="2026-03-06T00:00:00"/>
    <x v="1"/>
    <s v="Nawatand"/>
    <n v="20090017"/>
    <s v="Gomukh Gold 50 Kgs"/>
    <n v="5"/>
    <n v="1250"/>
    <n v="6250"/>
    <s v="Deduction from Milk Payment"/>
    <m/>
    <m/>
    <x v="1"/>
    <s v="Farmer"/>
    <s v="27 Feb - 05 Mar &amp; 06-12 Mar"/>
    <d v="2026-03-05T00:00:00"/>
  </r>
  <r>
    <d v="2026-03-07T00:00:00"/>
    <x v="6"/>
    <s v="Chuttu"/>
    <n v="20060004"/>
    <s v="Gomukh Gold 50 Kgs"/>
    <n v="10"/>
    <n v="1250"/>
    <n v="12500"/>
    <s v="Deduction from Milk Payment"/>
    <m/>
    <n v="4738"/>
    <x v="1"/>
    <s v="Farmer"/>
    <s v="27 Feb - 05 Mar &amp; 06-12 Mar 13-19 Mar"/>
    <d v="2026-03-05T00:00:00"/>
  </r>
  <r>
    <d v="2026-03-10T00:00:00"/>
    <x v="2"/>
    <s v="Dumardagga"/>
    <n v="20060003"/>
    <s v="Gomukh Gold 50 Kgs"/>
    <n v="20"/>
    <n v="1250"/>
    <n v="25000"/>
    <s v="Deduction from Milk Payment"/>
    <m/>
    <n v="4737"/>
    <x v="1"/>
    <s v="Farmer"/>
    <s v="06 Mar - 12 Mar"/>
    <d v="2026-03-12T00:00:00"/>
  </r>
  <r>
    <d v="2026-03-07T00:00:00"/>
    <x v="4"/>
    <s v="Bero"/>
    <n v="20010003"/>
    <s v="Gomukh Gold 50 Kgs"/>
    <n v="15"/>
    <n v="1250"/>
    <n v="18750"/>
    <s v="Deduction from Milk Payment"/>
    <m/>
    <n v="4735"/>
    <x v="1"/>
    <s v="Farmer"/>
    <s v="20 Feb - 26 Feb &amp; 27-05 Mar 06-12 Mar"/>
    <d v="2026-02-26T00:00:00"/>
  </r>
  <r>
    <d v="2026-03-14T00:00:00"/>
    <x v="1"/>
    <s v="Tutlo"/>
    <n v="20010053"/>
    <s v="Gomukh Gold 50 Kgs"/>
    <n v="2"/>
    <n v="1250"/>
    <n v="2500"/>
    <s v="Deduction from Milk Payment"/>
    <m/>
    <m/>
    <x v="1"/>
    <s v="Farmer"/>
    <s v="06 Mar - 12 Mar &amp; 13-19 Mar"/>
    <d v="2026-03-12T00:00:00"/>
  </r>
  <r>
    <d v="2026-03-18T00:00:00"/>
    <x v="7"/>
    <s v="Hisri"/>
    <n v="20030001"/>
    <s v="Gomukh Gold 50 Kgs"/>
    <n v="5"/>
    <n v="1250"/>
    <n v="6250"/>
    <s v="Deduction from Milk Payment"/>
    <m/>
    <m/>
    <x v="1"/>
    <s v="Bank"/>
    <m/>
    <d v="2026-03-18T00:00:00"/>
  </r>
  <r>
    <d v="2026-03-17T00:00:00"/>
    <x v="2"/>
    <s v="Dumardagga"/>
    <n v="20060003"/>
    <s v="Gomukh Gold 50 Kgs"/>
    <n v="20"/>
    <n v="1250"/>
    <n v="25000"/>
    <s v="Deduction from Milk Payment"/>
    <m/>
    <n v="4740"/>
    <x v="1"/>
    <s v="Farmer"/>
    <s v="13 Mar - 19 Mar"/>
    <d v="2026-03-19T00:00:00"/>
  </r>
  <r>
    <d v="2026-03-17T00:00:00"/>
    <x v="3"/>
    <s v="Ormanjhi"/>
    <n v="20060001"/>
    <s v="Gomukh Gold 50 Kgs"/>
    <n v="1"/>
    <n v="1250"/>
    <n v="1250"/>
    <s v="Deduction from Milk Payment"/>
    <m/>
    <n v="4739"/>
    <x v="1"/>
    <s v="Farmer"/>
    <s v="06 Feb - 12 Feb"/>
    <d v="2026-02-12T00:00:00"/>
  </r>
  <r>
    <d v="2026-03-15T00:00:00"/>
    <x v="0"/>
    <s v="Bijuliya"/>
    <n v="20020003"/>
    <s v="Gomukh Gold 50 Kgs"/>
    <n v="15"/>
    <n v="1250"/>
    <n v="18750"/>
    <s v="Deduction from Milk Payment"/>
    <m/>
    <m/>
    <x v="1"/>
    <s v="Farmer"/>
    <s v="13 Mar - 19 Mar &amp; 20-26 Mar"/>
    <d v="2026-03-19T00:00:00"/>
  </r>
  <r>
    <d v="2026-03-17T00:00:00"/>
    <x v="0"/>
    <s v="Ranikhatanga"/>
    <n v="20020006"/>
    <s v="Gomukh Gold 50 Kgs"/>
    <n v="10"/>
    <n v="1250"/>
    <n v="12500"/>
    <s v="Deduction from Milk Payment"/>
    <m/>
    <m/>
    <x v="1"/>
    <s v="Farmer"/>
    <s v="13 Mar - 19 Mar"/>
    <d v="2026-03-19T00:00:00"/>
  </r>
  <r>
    <d v="2026-03-17T00:00:00"/>
    <x v="0"/>
    <s v="Tikotoli"/>
    <n v="20020020"/>
    <s v="Gomukh Gold 50 Kgs"/>
    <n v="5"/>
    <n v="1250"/>
    <n v="6250"/>
    <s v="Deduction from Milk Payment"/>
    <m/>
    <m/>
    <x v="1"/>
    <s v="Farmer"/>
    <s v="13 Mar - 19 Mar &amp; 20-26 Mar/01-07 May"/>
    <d v="2026-03-19T00:00:00"/>
  </r>
  <r>
    <d v="2026-03-17T00:00:00"/>
    <x v="0"/>
    <s v="Pali"/>
    <n v="20020001"/>
    <s v="Gomukh Gold 50 Kgs"/>
    <n v="5"/>
    <n v="1250"/>
    <n v="6250"/>
    <s v="Deduction from Milk Payment"/>
    <m/>
    <m/>
    <x v="1"/>
    <s v="Farmer"/>
    <s v="13 Mar - 19 Mar"/>
    <d v="2026-03-19T00:00:00"/>
  </r>
  <r>
    <d v="2026-03-17T00:00:00"/>
    <x v="5"/>
    <s v="Saram"/>
    <n v="20070002"/>
    <s v="Gomukh Gold 50 Kgs"/>
    <n v="2"/>
    <n v="1250"/>
    <n v="2500"/>
    <s v="Deduction from Milk Payment"/>
    <m/>
    <m/>
    <x v="1"/>
    <s v="Farmer"/>
    <s v="13 Mar - 19 Mar"/>
    <d v="2026-03-19T00:00:00"/>
  </r>
  <r>
    <d v="2026-03-17T00:00:00"/>
    <x v="5"/>
    <s v="Piragutu"/>
    <n v="20070001"/>
    <s v="Gomukh Gold 50 Kgs"/>
    <n v="3"/>
    <n v="1250"/>
    <n v="3750"/>
    <s v="Deduction from Milk Payment"/>
    <m/>
    <m/>
    <x v="1"/>
    <s v="Farmer"/>
    <s v="13 Mar - 19 Mar"/>
    <d v="2026-03-19T00:00:00"/>
  </r>
  <r>
    <d v="2026-03-17T00:00:00"/>
    <x v="5"/>
    <s v="Piragutu"/>
    <n v="20070001"/>
    <s v="Gomukh Gold 50 Kgs"/>
    <n v="2"/>
    <n v="1250"/>
    <n v="2500"/>
    <s v="Deduction from Milk Payment"/>
    <m/>
    <m/>
    <x v="1"/>
    <s v="Farmer"/>
    <s v="20 Mar - 26 Mar"/>
    <d v="2026-03-26T00:00:00"/>
  </r>
  <r>
    <d v="2026-03-19T00:00:00"/>
    <x v="1"/>
    <s v="Chanho"/>
    <n v="20090001"/>
    <s v="Gomukh Gold 50 Kgs"/>
    <n v="4"/>
    <n v="1250"/>
    <n v="5000"/>
    <s v="Deduction from Milk Payment"/>
    <m/>
    <m/>
    <x v="1"/>
    <s v="Bank"/>
    <m/>
    <d v="2026-03-19T00:00:00"/>
  </r>
  <r>
    <d v="2026-03-19T00:00:00"/>
    <x v="1"/>
    <s v="Pakariyo"/>
    <n v="20090015"/>
    <s v="Gomukh Gold 50 Kgs"/>
    <n v="2"/>
    <n v="1250"/>
    <n v="2500"/>
    <s v="Deduction from Milk Payment"/>
    <m/>
    <m/>
    <x v="1"/>
    <s v="Farmer"/>
    <s v="13 Mar - 19 Mar &amp; 20-26 Mar"/>
    <d v="2026-03-19T00:00:00"/>
  </r>
  <r>
    <d v="2026-03-19T00:00:00"/>
    <x v="1"/>
    <s v="Barhe"/>
    <n v="20090011"/>
    <s v="Gomukh Gold 50 Kgs"/>
    <n v="3"/>
    <n v="1250"/>
    <n v="3750"/>
    <s v="Deduction from Milk Payment"/>
    <m/>
    <m/>
    <x v="1"/>
    <s v="Farmer"/>
    <s v="13 Mar - 19 Mar"/>
    <d v="2026-03-19T00:00:00"/>
  </r>
  <r>
    <d v="2026-03-19T00:00:00"/>
    <x v="1"/>
    <s v="Barhe"/>
    <n v="20090011"/>
    <s v="Gomukh Gold 50 Kgs"/>
    <n v="2"/>
    <n v="1250"/>
    <n v="2500"/>
    <s v="Deduction from Milk Payment"/>
    <m/>
    <m/>
    <x v="1"/>
    <s v="Farmer"/>
    <s v="20 Mar - 26 Mar"/>
    <d v="2026-03-26T00:00:00"/>
  </r>
  <r>
    <d v="2026-03-20T00:00:00"/>
    <x v="1"/>
    <s v="Chanho"/>
    <n v="20090001"/>
    <s v="Gomukh Gold 50 Kgs"/>
    <n v="1"/>
    <n v="1250"/>
    <n v="1250"/>
    <s v="Deduction from Milk Payment"/>
    <m/>
    <m/>
    <x v="1"/>
    <s v="Bank"/>
    <m/>
    <d v="2026-03-20T00:00:00"/>
  </r>
  <r>
    <d v="2026-03-20T00:00:00"/>
    <x v="1"/>
    <s v="Chanho"/>
    <n v="20090001"/>
    <s v="Gomukh Gold 50 Kgs"/>
    <n v="1"/>
    <n v="1250"/>
    <n v="1250"/>
    <s v="Deduction from Milk Payment"/>
    <m/>
    <m/>
    <x v="1"/>
    <s v="Farmer"/>
    <s v="13 Mar - 19 Mar &amp; 20-26 Mar"/>
    <d v="2026-03-19T00:00:00"/>
  </r>
  <r>
    <d v="2026-03-20T00:00:00"/>
    <x v="1"/>
    <s v="Tutlo"/>
    <n v="20010053"/>
    <s v="Gomukh Gold 50 Kgs"/>
    <n v="2"/>
    <n v="1250"/>
    <n v="2500"/>
    <s v="Deduction from Milk Payment"/>
    <m/>
    <m/>
    <x v="1"/>
    <s v="Farmer"/>
    <s v="13 Mar - 19 Mar &amp; 20-26 Mar"/>
    <d v="2026-03-19T00:00:00"/>
  </r>
  <r>
    <d v="2026-03-20T00:00:00"/>
    <x v="1"/>
    <s v="Kullu"/>
    <n v="20090025"/>
    <s v="Gomukh Gold 50 Kgs"/>
    <n v="3"/>
    <n v="1250"/>
    <n v="3750"/>
    <s v="Deduction from Milk Payment"/>
    <m/>
    <m/>
    <x v="1"/>
    <s v="Farmer"/>
    <s v="13 Mar - 19 Mar"/>
    <d v="2026-03-19T00:00:00"/>
  </r>
  <r>
    <d v="2026-03-26T00:00:00"/>
    <x v="6"/>
    <s v="Chuttu"/>
    <n v="20060004"/>
    <s v="Gomukh Gold 50 Kgs"/>
    <n v="2"/>
    <n v="1250"/>
    <n v="2334"/>
    <s v="Deduction from Milk Payment"/>
    <m/>
    <m/>
    <x v="1"/>
    <s v="Farmer"/>
    <s v="20 Mar - 26 Mar"/>
    <d v="2026-03-26T00:00:00"/>
  </r>
  <r>
    <d v="2026-03-20T00:00:00"/>
    <x v="2"/>
    <s v="Dumardagga"/>
    <n v="20060003"/>
    <s v="Gomukh Gold 50 Kgs"/>
    <n v="20"/>
    <n v="1250"/>
    <n v="25000"/>
    <s v="Deduction from Milk Payment"/>
    <m/>
    <m/>
    <x v="1"/>
    <s v="Farmer"/>
    <s v="01-07 May"/>
    <d v="2026-05-07T00:00:00"/>
  </r>
  <r>
    <d v="2026-03-26T00:00:00"/>
    <x v="2"/>
    <s v="Dumardagga"/>
    <n v="20060003"/>
    <s v="Gomukh Gold 50 Kgs"/>
    <n v="20"/>
    <n v="1250"/>
    <n v="25000"/>
    <s v="Deduction from Milk Payment"/>
    <m/>
    <m/>
    <x v="1"/>
    <s v="Farmer"/>
    <s v="03 Apr - 09 Apr"/>
    <d v="2026-04-09T00:00:00"/>
  </r>
  <r>
    <d v="2026-03-20T00:00:00"/>
    <x v="3"/>
    <s v="Ormanjhi"/>
    <n v="20060001"/>
    <s v="Gomukh Gold 50 Kgs"/>
    <n v="5"/>
    <n v="1250"/>
    <n v="6250"/>
    <s v="Deduction from Milk Payment"/>
    <m/>
    <m/>
    <x v="1"/>
    <s v="Farmer"/>
    <s v="13 Mar - 19 Mar"/>
    <d v="2026-03-19T00:00:00"/>
  </r>
  <r>
    <d v="2026-03-26T00:00:00"/>
    <x v="3"/>
    <s v="Kukui"/>
    <n v="20060017"/>
    <s v="Gomukh Gold 50 Kgs"/>
    <n v="5"/>
    <n v="1250"/>
    <n v="6250"/>
    <s v="Deduction from Milk Payment"/>
    <m/>
    <m/>
    <x v="1"/>
    <s v="Farmer"/>
    <s v="24 Apr - 30 Apr/ 01-07 May"/>
    <d v="2026-04-30T00:00:00"/>
  </r>
  <r>
    <d v="2026-03-26T00:00:00"/>
    <x v="3"/>
    <s v="Kuchu"/>
    <n v="20060009"/>
    <s v="Gomukh Gold 50 Kgs"/>
    <n v="5"/>
    <n v="1250"/>
    <n v="6250"/>
    <s v="Deduction from Milk Payment"/>
    <m/>
    <m/>
    <x v="1"/>
    <s v="Farmer"/>
    <s v="03 Apr - 09 Apr &amp; 17-23 Apr 24-30 Apr"/>
    <d v="2026-04-09T00:00:00"/>
  </r>
  <r>
    <d v="2026-03-17T00:00:00"/>
    <x v="4"/>
    <s v="Bero"/>
    <n v="20010003"/>
    <s v="Gomukh Gold 50 Kgs"/>
    <n v="6"/>
    <n v="1250"/>
    <n v="7500"/>
    <s v="Deduction from Milk Payment"/>
    <m/>
    <m/>
    <x v="1"/>
    <s v="Farmer"/>
    <s v="13 Mar - 19 Mar"/>
    <d v="2026-03-19T00:00:00"/>
  </r>
  <r>
    <d v="2026-03-20T00:00:00"/>
    <x v="4"/>
    <s v="Bero"/>
    <n v="20010003"/>
    <s v="Gomukh Gold 50 Kgs"/>
    <n v="6"/>
    <n v="1250"/>
    <n v="7500"/>
    <s v="Deduction from Milk Payment"/>
    <m/>
    <m/>
    <x v="1"/>
    <s v="Farmer"/>
    <s v="06 Mar - 12 Mar &amp; 20-26 Mar/03-09 Apr"/>
    <d v="2026-03-12T00:00:00"/>
  </r>
  <r>
    <d v="2026-03-26T00:00:00"/>
    <x v="4"/>
    <s v="Etachildri"/>
    <n v="20010016"/>
    <s v="Gomukh Gold 50 Kgs"/>
    <n v="2"/>
    <n v="1250"/>
    <n v="2500"/>
    <s v="Deduction from Milk Payment"/>
    <m/>
    <m/>
    <x v="1"/>
    <s v="Farmer"/>
    <s v="06 Mar - 12 Mar &amp; 20-26 Mar 10-16 Apr &amp; 01-07 May 2026"/>
    <d v="2026-03-12T00:00:00"/>
  </r>
  <r>
    <d v="2026-03-26T00:00:00"/>
    <x v="4"/>
    <s v="Bero"/>
    <n v="20010003"/>
    <s v="Gomukh Gold 50 Kgs"/>
    <n v="12"/>
    <n v="1250"/>
    <n v="15000"/>
    <s v="Deduction from Milk Payment"/>
    <m/>
    <m/>
    <x v="1"/>
    <s v="Farmer"/>
    <s v="03 Apr - 09 Apr &amp; 10-16 Apr"/>
    <d v="2026-04-09T00:00:00"/>
  </r>
  <r>
    <d v="2026-03-26T00:00:00"/>
    <x v="8"/>
    <s v="Itki"/>
    <n v="20010001"/>
    <s v="Gomukh Gold 50 Kgs"/>
    <n v="150"/>
    <n v="1200"/>
    <n v="180000"/>
    <s v="Deduction from Milk Payment"/>
    <m/>
    <m/>
    <x v="1"/>
    <s v="Farmer"/>
    <s v="20 Mar - 26 Mar/01-07 May"/>
    <d v="2026-03-26T00:00:00"/>
  </r>
  <r>
    <d v="2026-03-26T00:00:00"/>
    <x v="1"/>
    <s v="Narkopi"/>
    <n v="20010054"/>
    <s v="Gomukh Gold 50 Kgs"/>
    <n v="3"/>
    <n v="1250"/>
    <n v="3750"/>
    <s v="Deduction from Milk Payment"/>
    <m/>
    <m/>
    <x v="1"/>
    <s v="Farmer"/>
    <s v="20 Mar - 26 Mar"/>
    <d v="2026-03-26T00:00:00"/>
  </r>
  <r>
    <d v="2026-03-26T00:00:00"/>
    <x v="1"/>
    <s v="Kullu"/>
    <n v="20090025"/>
    <s v="Gomukh Gold 50 Kgs"/>
    <n v="2"/>
    <n v="1250"/>
    <n v="2500"/>
    <s v="Deduction from Milk Payment"/>
    <m/>
    <m/>
    <x v="1"/>
    <s v="Farmer"/>
    <s v="27-31 Mar"/>
    <m/>
  </r>
  <r>
    <d v="2026-03-26T00:00:00"/>
    <x v="1"/>
    <s v="Tutlo"/>
    <n v="20010053"/>
    <s v="Gomukh Gold 50 Kgs"/>
    <n v="1"/>
    <n v="1250"/>
    <n v="1250"/>
    <s v="Deduction from Milk Payment"/>
    <m/>
    <m/>
    <x v="1"/>
    <s v="Farmer"/>
    <s v="20 Mar - 26 Mar/27-31 Mar"/>
    <d v="2026-03-26T00:00:00"/>
  </r>
  <r>
    <d v="2026-03-26T00:00:00"/>
    <x v="1"/>
    <s v="Chanho"/>
    <n v="20090001"/>
    <s v="Gomukh Gold 50 Kgs"/>
    <n v="1"/>
    <n v="1250"/>
    <n v="1250"/>
    <s v="Deduction from Milk Payment"/>
    <m/>
    <m/>
    <x v="1"/>
    <s v="Farmer"/>
    <s v="20 Mar - 26 Mar"/>
    <d v="2026-03-26T00:00:00"/>
  </r>
  <r>
    <d v="2026-03-26T00:00:00"/>
    <x v="1"/>
    <s v="Pakariyo"/>
    <n v="20090015"/>
    <s v="Gomukh Gold 50 Kgs"/>
    <n v="3"/>
    <n v="1250"/>
    <n v="3750"/>
    <s v="Deduction from Milk Payment"/>
    <m/>
    <m/>
    <x v="1"/>
    <s v="Farmer"/>
    <s v="20 Mar - 26 Mar"/>
    <d v="2026-03-26T00:00:00"/>
  </r>
  <r>
    <d v="2026-03-26T00:00:00"/>
    <x v="1"/>
    <s v="Pakariyo2"/>
    <n v="20090020"/>
    <s v="Gomukh Gold 50 Kgs"/>
    <n v="3"/>
    <n v="1250"/>
    <n v="3750"/>
    <s v="Deduction from Milk Payment"/>
    <m/>
    <m/>
    <x v="1"/>
    <s v="Farmer"/>
    <s v="20 Mar - 26 Mar"/>
    <d v="2026-03-26T00:00:00"/>
  </r>
  <r>
    <d v="2026-03-26T00:00:00"/>
    <x v="1"/>
    <s v="Pakariyo2"/>
    <n v="20090020"/>
    <s v="Gomukh Gold 50 Kgs"/>
    <n v="3"/>
    <n v="1250"/>
    <n v="3750"/>
    <s v="Deduction from Milk Payment"/>
    <m/>
    <m/>
    <x v="1"/>
    <m/>
    <m/>
    <m/>
  </r>
  <r>
    <d v="2026-03-26T00:00:00"/>
    <x v="1"/>
    <s v="Pakariyo2"/>
    <n v="20090020"/>
    <s v="Gomukh Gold 50 Kgs"/>
    <n v="4"/>
    <n v="1250"/>
    <n v="5000"/>
    <s v="Deduction from Milk Payment"/>
    <m/>
    <m/>
    <x v="1"/>
    <s v="Farmer"/>
    <s v="10 Apr - 16 Apr &amp; 17-23 Apr"/>
    <d v="2026-04-16T00:00:00"/>
  </r>
  <r>
    <d v="2026-03-26T00:00:00"/>
    <x v="1"/>
    <s v="Barhe"/>
    <n v="20090011"/>
    <s v="Gomukh Gold 50 Kgs"/>
    <n v="3"/>
    <n v="1250"/>
    <n v="3750"/>
    <s v="Deduction from Milk Payment"/>
    <m/>
    <m/>
    <x v="1"/>
    <m/>
    <m/>
    <m/>
  </r>
  <r>
    <d v="2026-03-29T00:00:00"/>
    <x v="4"/>
    <s v="Bero"/>
    <n v="20010003"/>
    <s v="Gomukh Gold 50 Kgs"/>
    <n v="4"/>
    <n v="1250"/>
    <n v="5000"/>
    <s v="Deduction from Milk Payment"/>
    <m/>
    <m/>
    <x v="1"/>
    <s v="Farmer"/>
    <s v="10 Apr - 16 Apr"/>
    <d v="2026-04-16T00:00:00"/>
  </r>
  <r>
    <d v="2026-03-29T00:00:00"/>
    <x v="3"/>
    <s v="Ormanjhi"/>
    <n v="20060001"/>
    <s v="Gomukh Gold 50 Kgs"/>
    <n v="1"/>
    <n v="1250"/>
    <n v="1250"/>
    <s v="Deduction from Milk Payment"/>
    <m/>
    <m/>
    <x v="1"/>
    <s v="Farmer"/>
    <s v="06 Feb - 12 Feb &amp; 20-26 Mar"/>
    <d v="2026-02-12T00:00:00"/>
  </r>
  <r>
    <d v="2026-04-01T00:00:00"/>
    <x v="8"/>
    <s v="Itki"/>
    <n v="20010001"/>
    <s v="Gomukh Gold 50 Kgs"/>
    <n v="200"/>
    <n v="1200"/>
    <n v="240000"/>
    <s v="Deduction from Milk Payment"/>
    <m/>
    <m/>
    <x v="2"/>
    <s v="Farmer"/>
    <s v="03-09 Apr 17-23 Apr &amp; 01-07 May"/>
    <d v="2026-04-09T00:00:00"/>
  </r>
  <r>
    <d v="2026-04-01T00:00:00"/>
    <x v="2"/>
    <s v="Dumardagga"/>
    <n v="20060003"/>
    <s v="Gomukh Gold 50 Kgs"/>
    <n v="20"/>
    <n v="1250"/>
    <n v="25000"/>
    <s v="Deduction from Milk Payment"/>
    <m/>
    <m/>
    <x v="2"/>
    <s v="Farmer"/>
    <s v="03 Apr - 09 Apr &amp; 10-16 Apr"/>
    <d v="2026-04-09T00:00:00"/>
  </r>
  <r>
    <d v="2026-04-02T00:00:00"/>
    <x v="0"/>
    <s v="Tikotoli"/>
    <n v="20020020"/>
    <s v="Gomukh Gold 50 Kgs"/>
    <n v="5"/>
    <n v="1250"/>
    <n v="6250"/>
    <s v="Deduction from Milk Payment"/>
    <m/>
    <m/>
    <x v="2"/>
    <m/>
    <m/>
    <m/>
  </r>
  <r>
    <d v="2026-04-02T00:00:00"/>
    <x v="0"/>
    <s v="Tikotoli"/>
    <n v="20020020"/>
    <s v="Gomukh Gold 50 Kgs"/>
    <n v="3"/>
    <n v="1250"/>
    <n v="3750"/>
    <s v="Deduction from Milk Payment"/>
    <m/>
    <m/>
    <x v="2"/>
    <s v="Farmer"/>
    <s v="03 Apr - 09 Apr/01-07 May"/>
    <d v="2026-04-09T00:00:00"/>
  </r>
  <r>
    <d v="2026-04-02T00:00:00"/>
    <x v="0"/>
    <s v="Bijuliya"/>
    <n v="20020003"/>
    <s v="Gomukh Gold 50 Kgs"/>
    <n v="10"/>
    <n v="1250"/>
    <n v="12500"/>
    <s v="Deduction from Milk Payment"/>
    <m/>
    <m/>
    <x v="2"/>
    <s v="Farmer"/>
    <s v="01-07 May"/>
    <d v="2026-05-07T00:00:00"/>
  </r>
  <r>
    <d v="2026-04-02T00:00:00"/>
    <x v="0"/>
    <s v="Ranikhatanga"/>
    <n v="20020006"/>
    <s v="Gomukh Gold 50 Kgs"/>
    <n v="5"/>
    <n v="1250"/>
    <n v="6250"/>
    <s v="Deduction from Milk Payment"/>
    <m/>
    <m/>
    <x v="2"/>
    <s v="Farmer"/>
    <s v="03 Apr - 09 Apr"/>
    <d v="2026-04-09T00:00:00"/>
  </r>
  <r>
    <d v="2026-04-02T00:00:00"/>
    <x v="5"/>
    <s v="Murpa"/>
    <n v="20070024"/>
    <s v="Gomukh Gold 50 Kgs"/>
    <n v="10"/>
    <n v="1250"/>
    <n v="12500"/>
    <s v="Deduction from Milk Payment"/>
    <m/>
    <m/>
    <x v="2"/>
    <s v="Farmer"/>
    <s v="10 Apr - 16 Apr/27-31 Mar"/>
    <d v="2026-04-16T00:00:00"/>
  </r>
  <r>
    <d v="2026-04-02T00:00:00"/>
    <x v="5"/>
    <s v="Saram"/>
    <n v="20070002"/>
    <s v="Gomukh Gold 50 Kgs"/>
    <n v="3"/>
    <n v="1250"/>
    <n v="3750"/>
    <s v="Deduction from Milk Payment"/>
    <m/>
    <m/>
    <x v="2"/>
    <s v="Farmer"/>
    <s v="03 Apr - 09 Apr/01-07 May"/>
    <d v="2026-04-09T00:00:00"/>
  </r>
  <r>
    <d v="2026-04-06T00:00:00"/>
    <x v="1"/>
    <s v="Tutlo"/>
    <n v="20010053"/>
    <s v="Gomukh Gold 50 Kgs"/>
    <n v="1"/>
    <n v="1250"/>
    <n v="1250"/>
    <s v="Deduction from Milk Payment"/>
    <m/>
    <m/>
    <x v="2"/>
    <s v="Farmer"/>
    <s v="10 Apr - 16 Apr"/>
    <d v="2026-04-16T00:00:00"/>
  </r>
  <r>
    <d v="2026-04-06T00:00:00"/>
    <x v="1"/>
    <s v="Pakariyo"/>
    <n v="20090015"/>
    <s v="Gomukh Gold 50 Kgs"/>
    <n v="2"/>
    <n v="1250"/>
    <n v="2500"/>
    <s v="Deduction from Milk Payment"/>
    <m/>
    <m/>
    <x v="2"/>
    <s v="Farmer"/>
    <s v="10 Apr - 16 Apr &amp; 17-23 Apr"/>
    <d v="2026-04-16T00:00:00"/>
  </r>
  <r>
    <d v="2026-04-06T00:00:00"/>
    <x v="1"/>
    <s v="Chanho"/>
    <n v="20090001"/>
    <s v="Gomukh Gold 50 Kgs"/>
    <n v="2"/>
    <n v="1250"/>
    <n v="2500"/>
    <s v="Deduction from Milk Payment"/>
    <m/>
    <m/>
    <x v="2"/>
    <s v="Bank"/>
    <m/>
    <d v="2026-04-07T00:00:00"/>
  </r>
  <r>
    <d v="2026-04-06T00:00:00"/>
    <x v="1"/>
    <s v="Nawatand"/>
    <n v="20090017"/>
    <s v="Gomukh Gold 50 Kgs"/>
    <n v="3"/>
    <n v="1250"/>
    <n v="3750"/>
    <s v="Deduction from Milk Payment"/>
    <m/>
    <m/>
    <x v="2"/>
    <s v="Farmer"/>
    <s v="10 Apr - 16 Apr"/>
    <d v="2026-04-16T00:00:00"/>
  </r>
  <r>
    <d v="2026-04-06T00:00:00"/>
    <x v="1"/>
    <s v="Barhe"/>
    <n v="20090011"/>
    <s v="Gomukh Gold 50 Kgs"/>
    <n v="5"/>
    <n v="1250"/>
    <n v="6250"/>
    <s v="Deduction from Milk Payment"/>
    <m/>
    <m/>
    <x v="2"/>
    <s v="Farmer"/>
    <s v="10 Apr - 16 Apr &amp; 17-23 Apr 24-30 Apr"/>
    <d v="2026-04-16T00:00:00"/>
  </r>
  <r>
    <d v="2026-04-06T00:00:00"/>
    <x v="1"/>
    <s v="Kokar"/>
    <n v="20090023"/>
    <s v="Gomukh Gold 50 Kgs"/>
    <n v="5"/>
    <n v="1250"/>
    <n v="6250"/>
    <s v="Deduction from Milk Payment"/>
    <m/>
    <m/>
    <x v="2"/>
    <s v="Farmer"/>
    <s v="10 Apr - 16 Apr &amp; 17-23 Apr"/>
    <d v="2026-04-16T00:00:00"/>
  </r>
  <r>
    <d v="2026-04-09T00:00:00"/>
    <x v="0"/>
    <s v="Agru"/>
    <n v="20020025"/>
    <s v="Gomukh Gold 50 Kgs"/>
    <n v="11"/>
    <n v="1250"/>
    <n v="13750"/>
    <s v="Deduction from Milk Payment"/>
    <m/>
    <m/>
    <x v="2"/>
    <s v="Farmer"/>
    <s v="03 Apr - 09 Apr &amp; 10-16 Apr 17-23 Apr"/>
    <d v="2026-04-09T00:00:00"/>
  </r>
  <r>
    <d v="2026-04-09T00:00:00"/>
    <x v="0"/>
    <s v="Tikotoli"/>
    <n v="20020020"/>
    <s v="Gomukh Gold 50 Kgs"/>
    <n v="5"/>
    <n v="1250"/>
    <n v="6250"/>
    <s v="Deduction from Milk Payment"/>
    <m/>
    <m/>
    <x v="2"/>
    <s v="Farmer"/>
    <s v="03 Apr - 09 Apr &amp; 10-16 Apr"/>
    <d v="2026-04-09T00:00:00"/>
  </r>
  <r>
    <d v="2026-04-09T00:00:00"/>
    <x v="0"/>
    <s v="Bijuliya"/>
    <n v="20020003"/>
    <s v="Gomukh Gold 50 Kgs"/>
    <n v="10"/>
    <n v="1250"/>
    <n v="12500"/>
    <s v="Deduction from Milk Payment"/>
    <m/>
    <m/>
    <x v="2"/>
    <s v="Farmer"/>
    <s v="03 Apr - 09 Apr"/>
    <d v="2026-04-09T00:00:00"/>
  </r>
  <r>
    <d v="2026-04-09T00:00:00"/>
    <x v="0"/>
    <s v="Pali"/>
    <n v="20020001"/>
    <s v="Gomukh Gold 50 Kgs"/>
    <n v="8"/>
    <n v="1250"/>
    <n v="10000"/>
    <s v="Deduction from Milk Payment"/>
    <m/>
    <m/>
    <x v="2"/>
    <s v="Farmer"/>
    <s v="03 Apr - 09 Apr &amp; 10-16 Apr"/>
    <d v="2026-04-09T00:00:00"/>
  </r>
  <r>
    <d v="2026-03-26T00:00:00"/>
    <x v="6"/>
    <s v="Chuttu"/>
    <n v="20060004"/>
    <s v="Gomukh Gold 50 Kgs"/>
    <n v="18"/>
    <n v="1250"/>
    <n v="22666"/>
    <s v="Deduction from Milk Payment"/>
    <m/>
    <m/>
    <x v="1"/>
    <s v="Bank"/>
    <m/>
    <d v="2026-04-10T00:00:00"/>
  </r>
  <r>
    <d v="2026-04-18T00:00:00"/>
    <x v="6"/>
    <s v="Chuttu"/>
    <n v="20060004"/>
    <s v="Gomukh Gold 50 Kgs"/>
    <n v="10"/>
    <n v="1250"/>
    <n v="12500"/>
    <s v="Deduction from Milk Payment"/>
    <m/>
    <m/>
    <x v="2"/>
    <s v="Farmer"/>
    <s v="24 Apr - 30 Apr"/>
    <d v="2026-04-30T00:00:00"/>
  </r>
  <r>
    <d v="2026-04-11T00:00:00"/>
    <x v="2"/>
    <s v="Dumardagga"/>
    <n v="20060003"/>
    <s v="Gomukh Gold 50 Kgs"/>
    <n v="20"/>
    <n v="1250"/>
    <n v="25000"/>
    <s v="Deduction from Milk Payment"/>
    <m/>
    <m/>
    <x v="2"/>
    <s v="Farmer"/>
    <s v="10 Apr - 16 Apr &amp; 17-23 Apr"/>
    <d v="2026-04-16T00:00:00"/>
  </r>
  <r>
    <d v="2026-04-18T00:00:00"/>
    <x v="2"/>
    <s v="Dumardagga"/>
    <n v="20060003"/>
    <s v="Gomukh Gold 50 Kgs"/>
    <n v="20"/>
    <n v="1250"/>
    <n v="25000"/>
    <s v="Deduction from Milk Payment"/>
    <m/>
    <m/>
    <x v="2"/>
    <s v="Farmer"/>
    <s v="17 Apr - 23 Apr &amp; 24-30 Apr"/>
    <d v="2026-04-23T00:00:00"/>
  </r>
  <r>
    <d v="2026-04-18T00:00:00"/>
    <x v="3"/>
    <s v="Jirabar"/>
    <n v="20060005"/>
    <s v="Gomukh Gold 50 Kgs"/>
    <n v="2"/>
    <n v="1250"/>
    <n v="2500"/>
    <s v="Deduction from Milk Payment"/>
    <m/>
    <m/>
    <x v="2"/>
    <s v="Farmer"/>
    <s v="01-07 May"/>
    <d v="2026-05-07T00:00:00"/>
  </r>
  <r>
    <d v="2026-04-18T00:00:00"/>
    <x v="3"/>
    <s v="Ormanjhi"/>
    <n v="20060001"/>
    <s v="Gomukh Gold 50 Kgs"/>
    <n v="7"/>
    <n v="1250"/>
    <n v="8750"/>
    <s v="Deduction from Milk Payment"/>
    <m/>
    <m/>
    <x v="2"/>
    <s v="Farmer"/>
    <s v="10 Apr - 16 Apr &amp; 24-30 Apr"/>
    <d v="2026-04-16T00:00:00"/>
  </r>
  <r>
    <d v="2026-04-03T00:00:00"/>
    <x v="4"/>
    <s v="Etachildri"/>
    <n v="20010016"/>
    <s v="Gomukh Gold 50 Kgs"/>
    <n v="2"/>
    <n v="1250"/>
    <n v="2500"/>
    <s v="Deduction from Milk Payment"/>
    <m/>
    <m/>
    <x v="2"/>
    <s v="Farmer"/>
    <s v="10 Apr - 16 Apr/01-07 May/27-31 Mar"/>
    <d v="2026-04-16T00:00:00"/>
  </r>
  <r>
    <d v="2026-04-11T00:00:00"/>
    <x v="4"/>
    <s v="Bero"/>
    <n v="20010003"/>
    <s v="Gomukh Gold 50 Kgs"/>
    <n v="8"/>
    <n v="1250"/>
    <n v="10000"/>
    <s v="Deduction from Milk Payment"/>
    <m/>
    <m/>
    <x v="2"/>
    <s v="Farmer"/>
    <s v="17 Apr - 23 Apr"/>
    <d v="2026-04-23T00:00:00"/>
  </r>
  <r>
    <d v="2026-04-18T00:00:00"/>
    <x v="4"/>
    <s v="Erchoro"/>
    <n v="20010008"/>
    <s v="Gomukh Gold 50 Kgs"/>
    <n v="20"/>
    <n v="1250"/>
    <n v="25000"/>
    <s v="Deduction from Milk Payment"/>
    <m/>
    <m/>
    <x v="2"/>
    <s v="Farmer"/>
    <s v="10 Apr - 16 Apr &amp; 17-23 Apr"/>
    <d v="2026-04-16T00:00:00"/>
  </r>
  <r>
    <d v="2026-04-18T00:00:00"/>
    <x v="4"/>
    <s v="Bero"/>
    <n v="20010003"/>
    <s v="Gomukh Gold 50 Kgs"/>
    <n v="2"/>
    <n v="1250"/>
    <n v="2500"/>
    <s v="Deduction from Milk Payment"/>
    <m/>
    <m/>
    <x v="2"/>
    <s v="Farmer"/>
    <s v="17 Apr - 23 Apr"/>
    <d v="2026-04-23T00:00:00"/>
  </r>
  <r>
    <d v="2026-04-18T00:00:00"/>
    <x v="4"/>
    <s v="Bero"/>
    <n v="20010003"/>
    <s v="Gomukh Gold 50 Kgs"/>
    <n v="8"/>
    <n v="1250"/>
    <n v="10000"/>
    <s v="Deduction from Milk Payment"/>
    <m/>
    <m/>
    <x v="2"/>
    <s v="Farmer"/>
    <s v="24 Apr - 30 Apr"/>
    <d v="2026-04-30T00:00:00"/>
  </r>
  <r>
    <d v="2026-04-22T00:00:00"/>
    <x v="1"/>
    <s v="Pakariyo"/>
    <n v="20090015"/>
    <s v="Gomukh Gold 50 Kgs"/>
    <n v="1"/>
    <n v="1250"/>
    <n v="1250"/>
    <s v="Deduction from Milk Payment"/>
    <m/>
    <m/>
    <x v="2"/>
    <s v="Farmer"/>
    <s v="17 Apr - 23 Apr &amp; 24-30 Apr"/>
    <d v="2026-04-23T00:00:00"/>
  </r>
  <r>
    <d v="2026-04-22T00:00:00"/>
    <x v="1"/>
    <s v="Bhogla Toli"/>
    <n v="20090026"/>
    <s v="Gomukh Gold 50 Kgs"/>
    <n v="1"/>
    <n v="1250"/>
    <n v="1250"/>
    <s v="Deduction from Milk Payment"/>
    <m/>
    <m/>
    <x v="2"/>
    <s v="Farmer"/>
    <s v="17 Apr - 23 Apr"/>
    <d v="2026-04-23T00:00:00"/>
  </r>
  <r>
    <d v="2026-04-22T00:00:00"/>
    <x v="1"/>
    <s v="Chanho"/>
    <n v="20090001"/>
    <s v="Gomukh Gold 50 Kgs"/>
    <n v="1"/>
    <n v="1250"/>
    <n v="1250"/>
    <s v="Deduction from Milk Payment"/>
    <m/>
    <m/>
    <x v="2"/>
    <s v="Farmer"/>
    <s v="17 Apr - 23 Apr"/>
    <d v="2026-04-23T00:00:00"/>
  </r>
  <r>
    <d v="2026-04-22T00:00:00"/>
    <x v="1"/>
    <s v="Tutlo"/>
    <n v="20010053"/>
    <s v="Gomukh Gold 50 Kgs"/>
    <n v="1"/>
    <n v="1250"/>
    <n v="1250"/>
    <s v="Deduction from Milk Payment"/>
    <m/>
    <m/>
    <x v="2"/>
    <s v="Farmer"/>
    <s v="10 Apr - 16 Apr/01-07 May/27-31 Mar"/>
    <d v="2026-04-16T00:00:00"/>
  </r>
  <r>
    <d v="2026-04-29T00:00:00"/>
    <x v="1"/>
    <s v="Pakariyo2"/>
    <n v="20090020"/>
    <s v="Gomukh Gold 50 Kgs"/>
    <n v="1"/>
    <n v="1250"/>
    <n v="1250"/>
    <s v="Deduction from Milk Payment"/>
    <m/>
    <m/>
    <x v="2"/>
    <s v="Farmer"/>
    <s v="17 Apr - 23 Apr &amp; 24-30 Apr"/>
    <d v="2026-04-23T00:00:00"/>
  </r>
  <r>
    <d v="2026-04-29T00:00:00"/>
    <x v="1"/>
    <s v="Ganeshpur"/>
    <n v="20090008"/>
    <s v="Gomukh Gold 50 Kgs"/>
    <n v="1"/>
    <n v="1250"/>
    <n v="1250"/>
    <s v="Deduction from Milk Payment"/>
    <m/>
    <m/>
    <x v="2"/>
    <s v="Farmer"/>
    <s v="24 Apr - 30 Apr/01-07 May"/>
    <s v="30-04-2026/07 May"/>
  </r>
  <r>
    <d v="2026-04-16T00:00:00"/>
    <x v="0"/>
    <s v="Bijuliya"/>
    <n v="20020003"/>
    <s v="Gomukh Gold 50 Kgs"/>
    <n v="10"/>
    <n v="1250"/>
    <n v="12500"/>
    <s v="Deduction from Milk Payment"/>
    <m/>
    <m/>
    <x v="2"/>
    <s v="Farmer"/>
    <s v="17 Apr - 23 Apr &amp; 24-30 Apr"/>
    <d v="2026-04-23T00:00:00"/>
  </r>
  <r>
    <d v="2026-04-16T00:00:00"/>
    <x v="0"/>
    <s v="Ranikhatanga"/>
    <n v="20020006"/>
    <s v="Gomukh Gold 50 Kgs"/>
    <n v="5"/>
    <n v="1250"/>
    <n v="6250"/>
    <s v="Deduction from Milk Payment"/>
    <m/>
    <m/>
    <x v="2"/>
    <s v="Farmer"/>
    <s v="24 Apr - 30 Apr"/>
    <d v="2026-04-30T00:00:00"/>
  </r>
  <r>
    <d v="2026-04-16T00:00:00"/>
    <x v="0"/>
    <s v="Pali"/>
    <n v="20020001"/>
    <s v="Gomukh Gold 50 Kgs"/>
    <n v="5"/>
    <n v="1250"/>
    <n v="6250"/>
    <s v="Deduction from Milk Payment"/>
    <m/>
    <m/>
    <x v="2"/>
    <s v="Farmer"/>
    <s v="10 Apr - 16 Apr"/>
    <d v="2026-04-16T00:00:00"/>
  </r>
  <r>
    <d v="2026-04-16T00:00:00"/>
    <x v="0"/>
    <s v="Tikotoli"/>
    <n v="20020020"/>
    <s v="Gomukh Gold 50 Kgs"/>
    <n v="5"/>
    <n v="1250"/>
    <n v="6250"/>
    <s v="Deduction from Milk Payment"/>
    <m/>
    <m/>
    <x v="2"/>
    <s v="Farmer"/>
    <s v="10 Apr - 16 Apr &amp; 24-30 Apr"/>
    <d v="2026-04-16T00:00:00"/>
  </r>
  <r>
    <d v="2026-04-16T00:00:00"/>
    <x v="0"/>
    <s v="Baski2"/>
    <n v="20050001"/>
    <s v="Gomukh Gold 50 Kgs"/>
    <n v="2"/>
    <n v="1250"/>
    <n v="2500"/>
    <s v="Deduction from Milk Payment"/>
    <m/>
    <m/>
    <x v="2"/>
    <s v="Farmer"/>
    <s v="10 Apr - 16 Apr"/>
    <d v="2026-04-16T00:00:00"/>
  </r>
  <r>
    <d v="2026-04-16T00:00:00"/>
    <x v="0"/>
    <s v="Uchri"/>
    <n v="20050003"/>
    <s v="Gomukh Gold 50 Kgs"/>
    <n v="3"/>
    <n v="1250"/>
    <n v="3750"/>
    <s v="Deduction from Milk Payment"/>
    <m/>
    <m/>
    <x v="2"/>
    <s v="Farmer"/>
    <s v="10 Apr - 16 Apr"/>
    <d v="2026-04-16T00:00:00"/>
  </r>
  <r>
    <d v="2026-04-16T00:00:00"/>
    <x v="0"/>
    <s v="Jari"/>
    <n v="20020002"/>
    <s v="Gomukh Gold 50 Kgs"/>
    <n v="3"/>
    <n v="1250"/>
    <n v="3750"/>
    <s v="Deduction from Milk Payment"/>
    <m/>
    <m/>
    <x v="2"/>
    <s v="Farmer"/>
    <s v="10 Apr - 16 Apr"/>
    <d v="2026-04-16T00:00:00"/>
  </r>
  <r>
    <d v="2026-04-25T00:00:00"/>
    <x v="0"/>
    <s v="Bijuliya"/>
    <n v="20020003"/>
    <s v="Gomukh Gold 50 Kgs"/>
    <n v="10"/>
    <n v="1250"/>
    <n v="12500"/>
    <s v="Deduction from Milk Payment"/>
    <m/>
    <m/>
    <x v="2"/>
    <s v="Farmer"/>
    <s v="24 Apr - 30 Apr"/>
    <d v="2026-04-30T00:00:00"/>
  </r>
  <r>
    <d v="2026-04-25T00:00:00"/>
    <x v="0"/>
    <s v="Agru"/>
    <n v="20020025"/>
    <s v="Gomukh Gold 50 Kgs"/>
    <n v="8"/>
    <n v="1250"/>
    <n v="10000"/>
    <s v="Deduction from Milk Payment"/>
    <m/>
    <m/>
    <x v="2"/>
    <s v="Bank"/>
    <m/>
    <d v="2026-05-04T00:00:00"/>
  </r>
  <r>
    <d v="2026-04-30T00:00:00"/>
    <x v="0"/>
    <s v="Bijuliya"/>
    <n v="20020003"/>
    <s v="Gomukh Gold 50 Kgs"/>
    <n v="5"/>
    <n v="1250"/>
    <n v="6250"/>
    <s v="Deduction from Milk Payment"/>
    <m/>
    <m/>
    <x v="2"/>
    <m/>
    <m/>
    <m/>
  </r>
  <r>
    <d v="2026-04-25T00:00:00"/>
    <x v="0"/>
    <s v="Agru"/>
    <n v="20020025"/>
    <s v="Gomukh Gold 50 Kgs"/>
    <n v="2"/>
    <n v="1250"/>
    <n v="2500"/>
    <s v="Deduction from Milk Payment"/>
    <m/>
    <m/>
    <x v="2"/>
    <s v="Farmer"/>
    <s v="17 Apr - 23 Apr"/>
    <d v="2026-04-23T00:00:00"/>
  </r>
  <r>
    <d v="2026-04-30T00:00:00"/>
    <x v="0"/>
    <s v="Agru"/>
    <n v="20020025"/>
    <s v="Gomukh Gold 50 Kgs"/>
    <n v="13"/>
    <n v="1250"/>
    <n v="16250"/>
    <s v="Deduction from Milk Payment"/>
    <m/>
    <m/>
    <x v="2"/>
    <s v="Farmer"/>
    <s v="17 Apr - 23 Apr &amp; 24-30 Apr"/>
    <d v="2026-04-23T00:00:00"/>
  </r>
  <r>
    <d v="2026-04-30T00:00:00"/>
    <x v="0"/>
    <s v="Baski2"/>
    <n v="20050001"/>
    <s v="Gomukh Gold 50 Kgs"/>
    <n v="5"/>
    <n v="1250"/>
    <n v="6250"/>
    <s v="Deduction from Milk Payment"/>
    <m/>
    <m/>
    <x v="2"/>
    <s v="Farmer"/>
    <s v="24 Apr - 30 Apr"/>
    <d v="2026-04-30T00:00:00"/>
  </r>
  <r>
    <d v="2026-04-30T00:00:00"/>
    <x v="0"/>
    <s v="Tikotoli"/>
    <n v="20020020"/>
    <s v="Gomukh Gold 50 Kgs"/>
    <n v="6"/>
    <n v="1250"/>
    <n v="7500"/>
    <s v="Deduction from Milk Payment"/>
    <m/>
    <m/>
    <x v="2"/>
    <s v="Farmer"/>
    <s v="24 Apr - 30 Apr"/>
    <d v="2026-04-30T00:00:00"/>
  </r>
  <r>
    <d v="2026-04-30T00:00:00"/>
    <x v="0"/>
    <s v="Ranikhatanga"/>
    <n v="20020006"/>
    <s v="Gomukh Gold 50 Kgs"/>
    <n v="4"/>
    <n v="1250"/>
    <n v="5000"/>
    <s v="Deduction from Milk Payment"/>
    <m/>
    <m/>
    <x v="2"/>
    <m/>
    <m/>
    <m/>
  </r>
  <r>
    <d v="2026-04-27T00:00:00"/>
    <x v="3"/>
    <s v="Ormanjhi"/>
    <n v="20060001"/>
    <s v="Gomukh Gold 50 Kgs"/>
    <n v="3"/>
    <n v="1250"/>
    <n v="3750"/>
    <s v="Deduction from Milk Payment"/>
    <m/>
    <m/>
    <x v="2"/>
    <s v="Farmer"/>
    <s v="24 Apr - 30 Apr"/>
    <d v="2026-04-30T00:00:00"/>
  </r>
  <r>
    <d v="2026-04-27T00:00:00"/>
    <x v="3"/>
    <s v="Jirabar"/>
    <n v="20060005"/>
    <s v="Gomukh Gold 50 Kgs"/>
    <n v="2"/>
    <n v="1250"/>
    <n v="2500"/>
    <s v="Deduction from Milk Payment"/>
    <m/>
    <m/>
    <x v="2"/>
    <m/>
    <m/>
    <m/>
  </r>
  <r>
    <d v="2026-04-22T00:00:00"/>
    <x v="7"/>
    <s v="Umedanda"/>
    <n v="20030002"/>
    <s v="Gomukh Gold 50 Kgs"/>
    <n v="2"/>
    <n v="1250"/>
    <n v="2500"/>
    <s v="Deduction from Milk Payment"/>
    <m/>
    <m/>
    <x v="2"/>
    <s v="Bank"/>
    <m/>
    <d v="2026-04-22T00:00:00"/>
  </r>
  <r>
    <d v="2026-04-30T00:00:00"/>
    <x v="7"/>
    <s v="Hisri"/>
    <n v="20030001"/>
    <s v="Gomukh Gold 50 Kgs"/>
    <n v="4"/>
    <n v="1250"/>
    <n v="5000"/>
    <s v="Deduction from Milk Payment"/>
    <m/>
    <m/>
    <x v="2"/>
    <s v="Farmer"/>
    <s v="24 Apr - 30 Apr"/>
    <d v="2026-04-30T00:00:00"/>
  </r>
  <r>
    <d v="2026-04-27T00:00:00"/>
    <x v="2"/>
    <s v="Dumardagga"/>
    <n v="20060003"/>
    <s v="Gomukh Gold 50 Kgs"/>
    <n v="20"/>
    <n v="1250"/>
    <n v="25000"/>
    <s v="Deduction from Milk Payment"/>
    <m/>
    <m/>
    <x v="2"/>
    <s v="Farmer"/>
    <s v="24 Apr - 30 Apr"/>
    <d v="2026-04-30T00:00:00"/>
  </r>
  <r>
    <d v="2026-04-27T00:00:00"/>
    <x v="4"/>
    <s v="Bero"/>
    <n v="20010003"/>
    <s v="Gomukh Gold 50 Kgs"/>
    <n v="10"/>
    <n v="1250"/>
    <n v="12500"/>
    <s v="Deduction from Milk Payment"/>
    <m/>
    <m/>
    <x v="2"/>
    <s v="Farmer"/>
    <s v="01-07 May"/>
    <d v="2026-05-07T00:00:00"/>
  </r>
  <r>
    <d v="2026-04-16T00:00:00"/>
    <x v="5"/>
    <s v="Kurulo"/>
    <n v="20070010"/>
    <s v="Gomukh Gold 50 Kgs"/>
    <n v="2"/>
    <n v="1250"/>
    <n v="2500"/>
    <s v="Deduction from Milk Payment"/>
    <m/>
    <m/>
    <x v="2"/>
    <s v="Farmer"/>
    <s v="10 Apr - 16 Apr/01-07 May"/>
    <d v="2026-04-16T00:00:00"/>
  </r>
  <r>
    <d v="2026-04-16T00:00:00"/>
    <x v="5"/>
    <s v="Karamba"/>
    <n v="20070009"/>
    <s v="Gomukh Gold 50 Kgs"/>
    <n v="2"/>
    <n v="1250"/>
    <n v="2500"/>
    <s v="Deduction from Milk Payment"/>
    <m/>
    <m/>
    <x v="2"/>
    <s v="Farmer"/>
    <s v="10 Apr - 16 Apr"/>
    <d v="2026-04-16T00:00:00"/>
  </r>
  <r>
    <d v="2026-04-25T00:00:00"/>
    <x v="5"/>
    <s v="Piragutu"/>
    <n v="20070001"/>
    <s v="Gomukh Gold 50 Kgs"/>
    <n v="7"/>
    <n v="1250"/>
    <n v="8750"/>
    <s v="Deduction from Milk Payment"/>
    <m/>
    <m/>
    <x v="2"/>
    <s v="Farmer"/>
    <s v="17 Apr - 23 Apr"/>
    <d v="2026-04-23T00:00:00"/>
  </r>
  <r>
    <d v="2026-04-25T00:00:00"/>
    <x v="5"/>
    <s v="Piragutu"/>
    <n v="20070001"/>
    <s v="Gomukh Gold 50 Kgs"/>
    <n v="5"/>
    <n v="1250"/>
    <n v="6250"/>
    <s v="Deduction from Milk Payment"/>
    <m/>
    <m/>
    <x v="2"/>
    <s v="Farmer"/>
    <s v="01-07 May"/>
    <d v="2026-05-07T00:00:00"/>
  </r>
  <r>
    <d v="2026-05-05T00:00:00"/>
    <x v="1"/>
    <s v="Nawatand"/>
    <n v="20090017"/>
    <s v="Gomukh Gold 50 Kgs"/>
    <n v="1"/>
    <n v="1250"/>
    <n v="1250"/>
    <s v="Deduction from Milk Payment"/>
    <m/>
    <m/>
    <x v="3"/>
    <s v="Farmer"/>
    <s v="17 Apr - 23 Apr"/>
    <d v="2026-04-23T00:00:00"/>
  </r>
  <r>
    <d v="2026-05-05T00:00:00"/>
    <x v="1"/>
    <s v="Nawatand"/>
    <n v="20090017"/>
    <s v="Gomukh Gold 50 Kgs"/>
    <n v="7"/>
    <n v="1250"/>
    <n v="8750"/>
    <s v="Deduction from Milk Payment"/>
    <m/>
    <m/>
    <x v="3"/>
    <s v="Farmer"/>
    <s v="01-07 May"/>
    <d v="2026-05-07T00:00:00"/>
  </r>
  <r>
    <d v="2026-05-05T00:00:00"/>
    <x v="1"/>
    <s v="Tutlo"/>
    <n v="20010053"/>
    <s v="Gomukh Gold 50 Kgs"/>
    <n v="2"/>
    <n v="1250"/>
    <n v="2500"/>
    <s v="Deduction from Milk Payment"/>
    <m/>
    <m/>
    <x v="3"/>
    <s v="Farmer"/>
    <s v="17 Apr - 23 Apr/27-31 Mar"/>
    <d v="2026-04-23T00:00:00"/>
  </r>
  <r>
    <d v="2026-05-05T00:00:00"/>
    <x v="1"/>
    <s v="Pakariyo"/>
    <n v="20090015"/>
    <s v="Gomukh Gold 50 Kgs"/>
    <n v="5"/>
    <n v="1250"/>
    <n v="6250"/>
    <s v="Deduction from Milk Payment"/>
    <m/>
    <m/>
    <x v="3"/>
    <s v="Farmer"/>
    <s v="01-07 May"/>
    <d v="2026-05-07T00:00:00"/>
  </r>
  <r>
    <d v="2026-05-08T00:00:00"/>
    <x v="0"/>
    <s v="Pali"/>
    <n v="20020001"/>
    <s v="Gomukh Gold 50 Kgs"/>
    <n v="16"/>
    <n v="1250"/>
    <n v="20000"/>
    <s v="Deduction from Milk Payment"/>
    <m/>
    <m/>
    <x v="3"/>
    <s v="Farmer"/>
    <s v="01-07 May"/>
    <d v="2026-05-07T00:00:00"/>
  </r>
  <r>
    <d v="2026-05-08T00:00:00"/>
    <x v="0"/>
    <s v="Jari"/>
    <n v="20020002"/>
    <s v="Gomukh Gold 50 Kgs"/>
    <n v="2"/>
    <n v="1250"/>
    <n v="2500"/>
    <s v="Deduction from Milk Payment"/>
    <m/>
    <m/>
    <x v="3"/>
    <s v="Farmer"/>
    <s v="01-07 May"/>
    <d v="2026-05-07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m/>
    <m/>
    <s v="Transfer"/>
    <m/>
    <d v="2026-02-28T00:00:00"/>
    <x v="0"/>
    <s v="Gomukh Gold 50 Kgs"/>
    <n v="50"/>
    <n v="0"/>
    <n v="0"/>
    <x v="0"/>
    <s v="Gomukh Gold 50 Kgs"/>
    <n v="50"/>
    <m/>
    <m/>
    <m/>
  </r>
  <r>
    <m/>
    <m/>
    <s v="Transfer"/>
    <m/>
    <d v="2026-02-28T00:00:00"/>
    <x v="0"/>
    <s v="Gomukh Gold 50 Kgs"/>
    <n v="-50"/>
    <n v="0"/>
    <n v="0"/>
    <x v="1"/>
    <s v="Gomukh Gold 50 Kgs"/>
    <n v="-50"/>
    <m/>
    <m/>
    <m/>
  </r>
  <r>
    <m/>
    <m/>
    <s v="Transfer"/>
    <m/>
    <d v="2026-02-28T00:00:00"/>
    <x v="0"/>
    <s v="Gomukh Gold 50 Kgs"/>
    <n v="25"/>
    <n v="0"/>
    <n v="0"/>
    <x v="2"/>
    <s v="Gomukh Gold 50 Kgs"/>
    <n v="25"/>
    <m/>
    <m/>
    <m/>
  </r>
  <r>
    <m/>
    <m/>
    <s v="Transfer"/>
    <m/>
    <d v="2026-02-28T00:00:00"/>
    <x v="0"/>
    <s v="Gomukh Gold 50 Kgs"/>
    <n v="-25"/>
    <n v="0"/>
    <n v="0"/>
    <x v="1"/>
    <s v="Gomukh Gold 50 Kgs"/>
    <n v="-25"/>
    <m/>
    <m/>
    <m/>
  </r>
  <r>
    <m/>
    <m/>
    <s v="Transfer"/>
    <m/>
    <d v="2026-03-10T00:00:00"/>
    <x v="1"/>
    <s v="Gomukh Gold 50 Kgs"/>
    <n v="50"/>
    <n v="0"/>
    <n v="0"/>
    <x v="3"/>
    <s v="Gomukh Gold 50 Kgs"/>
    <n v="50"/>
    <m/>
    <m/>
    <m/>
  </r>
  <r>
    <m/>
    <m/>
    <s v="Transfer"/>
    <m/>
    <d v="2026-03-10T00:00:00"/>
    <x v="1"/>
    <s v="Gomukh Gold 50 Kgs"/>
    <n v="-50"/>
    <n v="0"/>
    <n v="0"/>
    <x v="4"/>
    <s v="Gomukh Gold 50 Kgs"/>
    <n v="-50"/>
    <m/>
    <m/>
    <m/>
  </r>
  <r>
    <m/>
    <m/>
    <s v="Transfer"/>
    <m/>
    <d v="2026-04-30T00:00:00"/>
    <x v="2"/>
    <s v="Gomukh Gold 50 Kgs"/>
    <n v="38"/>
    <n v="0"/>
    <n v="0"/>
    <x v="4"/>
    <s v="Gomukh Gold 50 Kgs"/>
    <n v="38"/>
    <m/>
    <m/>
    <m/>
  </r>
  <r>
    <m/>
    <m/>
    <s v="Transfer"/>
    <m/>
    <d v="2026-04-30T00:00:00"/>
    <x v="2"/>
    <s v="Gomukh Gold 50 Kgs"/>
    <n v="-38"/>
    <n v="0"/>
    <n v="0"/>
    <x v="5"/>
    <s v="Gomukh Gold 50 Kgs"/>
    <n v="-38"/>
    <m/>
    <m/>
    <m/>
  </r>
  <r>
    <m/>
    <m/>
    <s v="Transfer"/>
    <m/>
    <d v="2026-05-04T00:00:00"/>
    <x v="2"/>
    <s v="Gomukh Gold 50 Kgs"/>
    <n v="20"/>
    <n v="0"/>
    <n v="0"/>
    <x v="6"/>
    <s v="Gomukh Gold 50 Kgs"/>
    <n v="20"/>
    <m/>
    <m/>
    <m/>
  </r>
  <r>
    <m/>
    <m/>
    <s v="Transfer"/>
    <m/>
    <d v="2026-05-04T00:00:00"/>
    <x v="2"/>
    <s v="Gomukh Gold 50 Kgs"/>
    <n v="-20"/>
    <n v="0"/>
    <n v="0"/>
    <x v="1"/>
    <s v="Gomukh Gold 50 Kgs"/>
    <n v="-20"/>
    <m/>
    <m/>
    <m/>
  </r>
  <r>
    <s v="JH/PO/023/25-26"/>
    <d v="2026-02-05T00:00:00"/>
    <s v="Godrej"/>
    <n v="1282532245"/>
    <d v="2026-02-10T00:00:00"/>
    <x v="0"/>
    <s v="Gomukh Gold 50 Kgs"/>
    <n v="150"/>
    <n v="1060"/>
    <n v="159000"/>
    <x v="4"/>
    <s v="Gomukh Gold 50 Kgs"/>
    <n v="200"/>
    <n v="8003564894"/>
    <s v="Yes"/>
    <d v="2026-02-13T00:00:00"/>
  </r>
  <r>
    <s v="JH/PO/023/25-26"/>
    <d v="2026-02-05T00:00:00"/>
    <s v="Godrej"/>
    <n v="1282532246"/>
    <d v="2026-02-10T00:00:00"/>
    <x v="0"/>
    <s v="Gomukh Gold 50 Kgs"/>
    <n v="200"/>
    <n v="1060"/>
    <n v="212000"/>
    <x v="1"/>
    <s v="Gomukh Gold 50 Kgs"/>
    <n v="200"/>
    <n v="8003564898"/>
    <s v="Yes"/>
    <d v="2026-02-13T00:00:00"/>
  </r>
  <r>
    <s v="JH/PO/023/25-26"/>
    <d v="2026-02-05T00:00:00"/>
    <s v="Godrej"/>
    <n v="1282532247"/>
    <d v="2026-02-10T00:00:00"/>
    <x v="0"/>
    <s v="Gomukh Gold 50 Kgs"/>
    <n v="150"/>
    <n v="1060"/>
    <n v="159000"/>
    <x v="6"/>
    <s v="Gomukh Gold 50 Kgs"/>
    <n v="100"/>
    <n v="8003564900"/>
    <s v="Yes"/>
    <d v="2026-02-12T00:00:00"/>
  </r>
  <r>
    <s v="JH/PO/025/25-26"/>
    <d v="2026-02-17T00:00:00"/>
    <s v="Godrej"/>
    <n v="1282532303"/>
    <d v="2026-02-19T00:00:00"/>
    <x v="0"/>
    <s v="Gomukh Gold 50 Kgs"/>
    <n v="196"/>
    <n v="1060"/>
    <n v="207760"/>
    <x v="7"/>
    <s v="Gomukh Gold 50 Kgs"/>
    <n v="96"/>
    <n v="8003571870"/>
    <s v="Yes"/>
    <d v="2026-02-21T00:00:00"/>
  </r>
  <r>
    <s v="JH/PO/025/25-26"/>
    <d v="2026-02-17T00:00:00"/>
    <s v="Godrej"/>
    <n v="1282532304"/>
    <d v="2026-02-19T00:00:00"/>
    <x v="0"/>
    <s v="Gomukh Gold 50 Kgs"/>
    <n v="200"/>
    <n v="1060"/>
    <n v="212000"/>
    <x v="8"/>
    <s v="Gomukh Gold 50 Kgs"/>
    <n v="250"/>
    <n v="8003571876"/>
    <s v="Yes"/>
    <d v="2026-02-21T00:00:00"/>
  </r>
  <r>
    <s v="JH/PO/025/25-26"/>
    <d v="2026-02-17T00:00:00"/>
    <s v="Godrej"/>
    <n v="1282532305"/>
    <d v="2026-02-19T00:00:00"/>
    <x v="0"/>
    <s v="Gomukh Gold 50 Kgs"/>
    <n v="100"/>
    <n v="1060"/>
    <n v="106000"/>
    <x v="5"/>
    <s v="Gomukh Gold 50 Kgs"/>
    <n v="150"/>
    <n v="8003571882"/>
    <s v="Yes"/>
    <d v="2026-02-21T00:00:00"/>
  </r>
  <r>
    <s v="JH/PO/026/25-26"/>
    <d v="2026-03-02T00:00:00"/>
    <s v="Godrej"/>
    <n v="1282532428"/>
    <d v="2026-03-10T00:00:00"/>
    <x v="1"/>
    <s v="Gomukh Gold 50 Kgs"/>
    <n v="300"/>
    <n v="1080"/>
    <n v="324000"/>
    <x v="3"/>
    <s v="Gomukh Gold 50 Kgs"/>
    <n v="300"/>
    <n v="8003585791"/>
    <s v="Yes"/>
    <d v="2026-03-11T00:00:00"/>
  </r>
  <r>
    <s v="JH/PO/026/25-26"/>
    <d v="2026-03-02T00:00:00"/>
    <s v="Godrej"/>
    <n v="1282532429"/>
    <d v="2026-03-10T00:00:00"/>
    <x v="1"/>
    <s v="Gomukh Gold 50 Kgs"/>
    <n v="100"/>
    <n v="1080"/>
    <n v="108000"/>
    <x v="1"/>
    <s v="Gomukh Gold 50 Kgs"/>
    <n v="100"/>
    <n v="8003585799"/>
    <s v="Yes"/>
    <d v="2026-03-12T00:00:00"/>
  </r>
  <r>
    <s v="JH/PO/026/25-26"/>
    <d v="2026-03-02T00:00:00"/>
    <s v="Godrej"/>
    <n v="1282532430"/>
    <d v="2026-03-10T00:00:00"/>
    <x v="1"/>
    <s v="Gomukh Gold 50 Kgs"/>
    <n v="100"/>
    <n v="1080"/>
    <n v="108000"/>
    <x v="1"/>
    <s v="Gomukh Gold 50 Kgs"/>
    <n v="100"/>
    <n v="8003585814"/>
    <s v="Yes"/>
    <d v="2026-03-12T00:00:00"/>
  </r>
  <r>
    <m/>
    <m/>
    <m/>
    <m/>
    <m/>
    <x v="3"/>
    <m/>
    <n v="1496"/>
    <m/>
    <n v="1595760"/>
    <x v="9"/>
    <m/>
    <m/>
    <m/>
    <m/>
    <m/>
  </r>
  <r>
    <m/>
    <m/>
    <m/>
    <m/>
    <m/>
    <x v="3"/>
    <m/>
    <m/>
    <m/>
    <m/>
    <x v="9"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s v="Tikotoli"/>
    <n v="20020020"/>
    <s v="Gomukh Gold 50 Kgs"/>
    <n v="5"/>
    <n v="1250"/>
    <n v="6250"/>
    <s v="Deduction from Milk Payment"/>
    <m/>
    <m/>
    <s v="Feb-26"/>
    <s v="Farmer"/>
    <s v="13 Feb - 19 Feb &amp; 20-26 Feb"/>
    <d v="2026-02-19T00:00:00"/>
    <n v="6250"/>
    <n v="0"/>
  </r>
  <r>
    <x v="1"/>
    <s v="Nawatand"/>
    <n v="20090017"/>
    <s v="Gomukh Gold 50 Kgs"/>
    <n v="2"/>
    <n v="1250"/>
    <n v="2500"/>
    <s v="Deduction from Milk Payment"/>
    <m/>
    <n v="4844"/>
    <s v="Feb-26"/>
    <s v="Farmer"/>
    <s v="20 Feb - 26 Feb"/>
    <d v="2026-02-26T00:00:00"/>
    <n v="2500"/>
    <n v="0"/>
  </r>
  <r>
    <x v="1"/>
    <s v="Tutlo"/>
    <n v="20010053"/>
    <s v="Gomukh Gold 50 Kgs"/>
    <n v="1"/>
    <n v="1250"/>
    <n v="1250"/>
    <s v="Deduction from Milk Payment"/>
    <m/>
    <n v="4845"/>
    <s v="Feb-26"/>
    <s v="Bank"/>
    <m/>
    <d v="2026-02-27T00:00:00"/>
    <n v="1250"/>
    <n v="0"/>
  </r>
  <r>
    <x v="1"/>
    <s v="Tutlo"/>
    <n v="20010053"/>
    <s v="Gomukh Gold 50 Kgs"/>
    <n v="3"/>
    <n v="1250"/>
    <n v="3750"/>
    <s v="Deduction from Milk Payment"/>
    <m/>
    <n v="4845"/>
    <s v="Feb-26"/>
    <s v="Farmer"/>
    <s v="20 Feb - 26 Feb"/>
    <d v="2026-02-26T00:00:00"/>
    <n v="3750"/>
    <n v="0"/>
  </r>
  <r>
    <x v="1"/>
    <s v="Barhe"/>
    <n v="20090011"/>
    <s v="Gomukh Gold 50 Kgs"/>
    <n v="2"/>
    <n v="1250"/>
    <n v="2500"/>
    <s v="Deduction from Milk Payment"/>
    <m/>
    <n v="4846"/>
    <s v="Feb-26"/>
    <s v="Farmer"/>
    <s v="20 Feb - 26 Feb"/>
    <d v="2026-02-26T00:00:00"/>
    <n v="2500"/>
    <n v="0"/>
  </r>
  <r>
    <x v="1"/>
    <s v="Tutlo"/>
    <n v="20010053"/>
    <s v="Gomukh Gold 50 Kgs"/>
    <n v="2"/>
    <n v="1250"/>
    <n v="2500"/>
    <s v="Deduction from Milk Payment"/>
    <m/>
    <m/>
    <s v="Feb-26"/>
    <s v="Farmer"/>
    <s v="20 Feb - 26 Feb &amp; 27-05 Mar"/>
    <d v="2026-02-26T00:00:00"/>
    <n v="2500"/>
    <n v="0"/>
  </r>
  <r>
    <x v="1"/>
    <s v="Chanho"/>
    <n v="20090001"/>
    <s v="Gomukh Gold 50 Kgs"/>
    <n v="1"/>
    <n v="1250"/>
    <n v="1250"/>
    <s v="Deduction from Milk Payment"/>
    <m/>
    <n v="4848"/>
    <s v="Feb-26"/>
    <s v="Farmer"/>
    <s v="20 Feb - 26 Feb"/>
    <d v="2026-02-26T00:00:00"/>
    <n v="1250"/>
    <n v="0"/>
  </r>
  <r>
    <x v="0"/>
    <s v="Bijuliya"/>
    <n v="20020003"/>
    <s v="Gomukh Gold 50 Kgs"/>
    <n v="5"/>
    <n v="1250"/>
    <n v="6250"/>
    <s v="Deduction from Milk Payment"/>
    <m/>
    <m/>
    <s v="Feb-26"/>
    <s v="Farmer"/>
    <s v="20 Feb - 26 Feb"/>
    <d v="2026-02-26T00:00:00"/>
    <n v="6250"/>
    <n v="0"/>
  </r>
  <r>
    <x v="0"/>
    <s v="Pali"/>
    <n v="20020001"/>
    <s v="Gomukh Gold 50 Kgs"/>
    <n v="10"/>
    <n v="1250"/>
    <n v="12500"/>
    <s v="Deduction from Milk Payment"/>
    <m/>
    <m/>
    <s v="Feb-26"/>
    <s v="Farmer"/>
    <s v="27 Feb - 05 Mar &amp; 06-12 Mar"/>
    <d v="2026-03-05T00:00:00"/>
    <n v="12500"/>
    <n v="0"/>
  </r>
  <r>
    <x v="2"/>
    <s v="Dumardagga"/>
    <n v="20060003"/>
    <s v="Gomukh Gold 50 Kgs"/>
    <n v="20"/>
    <n v="1250"/>
    <n v="25000"/>
    <s v="Deduction from Milk Payment"/>
    <m/>
    <n v="4736"/>
    <s v="Feb-26"/>
    <s v="Farmer"/>
    <s v="27 Feb - 05 Mar"/>
    <d v="2026-03-05T00:00:00"/>
    <n v="25000"/>
    <n v="0"/>
  </r>
  <r>
    <x v="3"/>
    <s v="Adelhootu"/>
    <n v="20060008"/>
    <s v="Gomukh Gold 50 Kgs"/>
    <n v="20"/>
    <n v="1250"/>
    <n v="25000"/>
    <s v="Deduction from Milk Payment"/>
    <m/>
    <n v="4730"/>
    <s v="Feb-26"/>
    <s v="Farmer"/>
    <s v="06 Mar - 12 Mar &amp; 13-19 Mar"/>
    <d v="2026-03-12T00:00:00"/>
    <n v="25000"/>
    <n v="0"/>
  </r>
  <r>
    <x v="4"/>
    <s v="Boriya"/>
    <n v="20010015"/>
    <s v="Gomukh Gold 50 Kgs"/>
    <n v="0"/>
    <n v="0"/>
    <n v="11000"/>
    <s v="Deduction from Milk Payment"/>
    <m/>
    <m/>
    <s v="Feb-26"/>
    <s v="Bank"/>
    <m/>
    <d v="2026-04-27T00:00:00"/>
    <n v="11000"/>
    <n v="0"/>
  </r>
  <r>
    <x v="4"/>
    <s v="Boriya"/>
    <n v="20010015"/>
    <s v="Gomukh Gold 50 Kgs"/>
    <n v="22"/>
    <n v="1250"/>
    <n v="16500"/>
    <s v="Deduction from Milk Payment"/>
    <m/>
    <n v="4731"/>
    <s v="Feb-26"/>
    <s v="Farmer"/>
    <s v="20 Mar - 26 Mar &amp; 10-16 Apr 17-23 Apr"/>
    <d v="2026-03-26T00:00:00"/>
    <n v="16500"/>
    <n v="0"/>
  </r>
  <r>
    <x v="4"/>
    <s v="Erchoro"/>
    <n v="20010008"/>
    <s v="Gomukh Gold 50 Kgs"/>
    <n v="5"/>
    <n v="1250"/>
    <n v="6250"/>
    <s v="Deduction from Milk Payment"/>
    <m/>
    <n v="4732"/>
    <s v="Feb-26"/>
    <s v="Farmer"/>
    <s v="27 Feb - 05 Mar"/>
    <d v="2026-03-05T00:00:00"/>
    <n v="6250"/>
    <n v="0"/>
  </r>
  <r>
    <x v="4"/>
    <s v="Erchoro"/>
    <n v="20010008"/>
    <s v="Gomukh Gold 50 Kgs"/>
    <n v="20"/>
    <n v="1250"/>
    <n v="25000"/>
    <s v="Deduction from Milk Payment"/>
    <m/>
    <n v="4732"/>
    <s v="Feb-26"/>
    <s v="Farmer"/>
    <s v="06 Mar - 12 Mar &amp; 13-19 Mar 20-26 Mar/03-09 Apr"/>
    <d v="2026-03-12T00:00:00"/>
    <n v="25000"/>
    <n v="0"/>
  </r>
  <r>
    <x v="4"/>
    <s v="Etachildri"/>
    <n v="20010016"/>
    <s v="Gomukh Gold 50 Kgs"/>
    <n v="1"/>
    <n v="1250"/>
    <n v="1250"/>
    <s v="Deduction from Milk Payment"/>
    <m/>
    <n v="4733"/>
    <s v="Feb-26"/>
    <s v="Farmer"/>
    <s v="28 Nov - 04 Dec"/>
    <d v="2025-12-04T00:00:00"/>
    <n v="1250"/>
    <n v="0"/>
  </r>
  <r>
    <x v="4"/>
    <s v="Masu"/>
    <n v="20010055"/>
    <s v="Gomukh Gold 50 Kgs"/>
    <n v="1"/>
    <n v="1250"/>
    <n v="1250"/>
    <s v="Deduction from Milk Payment"/>
    <m/>
    <n v="4734"/>
    <s v="Feb-26"/>
    <s v="Bank"/>
    <m/>
    <d v="2026-03-14T00:00:00"/>
    <n v="1250"/>
    <n v="0"/>
  </r>
  <r>
    <x v="0"/>
    <s v="Tikotoli"/>
    <n v="20020020"/>
    <s v="Gomukh Gold 50 Kgs"/>
    <n v="5"/>
    <n v="1250"/>
    <n v="6250"/>
    <s v="Deduction from Milk Payment"/>
    <m/>
    <m/>
    <s v="Feb-26"/>
    <s v="Farmer"/>
    <s v="27 Feb - 05 Mar &amp; 13-19 Mar"/>
    <d v="2026-03-05T00:00:00"/>
    <n v="6250"/>
    <n v="0"/>
  </r>
  <r>
    <x v="0"/>
    <s v="Bijuliya"/>
    <n v="20020003"/>
    <s v="Gomukh Gold 50 Kgs"/>
    <n v="5"/>
    <n v="1250"/>
    <n v="6250"/>
    <s v="Deduction from Milk Payment"/>
    <m/>
    <m/>
    <s v="Mar-26"/>
    <s v="Farmer"/>
    <s v="27 Feb - 05 Mar"/>
    <d v="2026-03-05T00:00:00"/>
    <n v="6250"/>
    <n v="0"/>
  </r>
  <r>
    <x v="0"/>
    <s v="Dhantatoli"/>
    <n v="20020011"/>
    <s v="Gomukh Gold 50 Kgs"/>
    <n v="3"/>
    <n v="1250"/>
    <n v="3750"/>
    <s v="Deduction from Milk Payment"/>
    <m/>
    <m/>
    <s v="Mar-26"/>
    <s v="Farmer"/>
    <s v="27 Feb - 05 Mar &amp; 13-19 Mar"/>
    <d v="2026-03-05T00:00:00"/>
    <n v="3750"/>
    <n v="0"/>
  </r>
  <r>
    <x v="5"/>
    <s v="Saram"/>
    <n v="20070002"/>
    <s v="Gomukh Gold 50 Kgs"/>
    <n v="4"/>
    <n v="1250"/>
    <n v="5000"/>
    <s v="Deduction from Milk Payment"/>
    <m/>
    <m/>
    <s v="Mar-26"/>
    <s v="Farmer"/>
    <s v="27 Feb - 05 Mar"/>
    <d v="2026-03-05T00:00:00"/>
    <n v="5000"/>
    <n v="0"/>
  </r>
  <r>
    <x v="1"/>
    <s v="Pakariyo2"/>
    <n v="20090020"/>
    <s v="Gomukh Gold 50 Kgs"/>
    <n v="2"/>
    <n v="1250"/>
    <n v="2500"/>
    <s v="Deduction from Milk Payment"/>
    <m/>
    <m/>
    <s v="Mar-26"/>
    <s v="Farmer"/>
    <s v="27 Feb - 05 Mar"/>
    <d v="2026-03-05T00:00:00"/>
    <n v="2500"/>
    <n v="0"/>
  </r>
  <r>
    <x v="1"/>
    <s v="Naudi"/>
    <n v="20090003"/>
    <s v="Gomukh Gold 50 Kgs"/>
    <n v="10"/>
    <n v="1250"/>
    <n v="12500"/>
    <s v="Deduction from Milk Payment"/>
    <m/>
    <m/>
    <s v="Mar-26"/>
    <s v="Farmer"/>
    <s v="27 Feb - 05 Mar &amp; 06-12 Mar 13-19 Mar 20-26 Mar, 27-31 Mar"/>
    <d v="2026-03-05T00:00:00"/>
    <n v="9956"/>
    <n v="2544"/>
  </r>
  <r>
    <x v="1"/>
    <s v="Narkopi"/>
    <n v="20010054"/>
    <s v="Gomukh Gold 50 Kgs"/>
    <n v="2"/>
    <n v="1250"/>
    <n v="2500"/>
    <s v="Deduction from Milk Payment"/>
    <m/>
    <m/>
    <s v="Mar-26"/>
    <s v="Farmer"/>
    <s v="13 Mar - 19 Mar"/>
    <d v="2026-03-19T00:00:00"/>
    <n v="2500"/>
    <n v="0"/>
  </r>
  <r>
    <x v="1"/>
    <s v="Pakariyo"/>
    <n v="20090015"/>
    <s v="Gomukh Gold 50 Kgs"/>
    <n v="3"/>
    <n v="1250"/>
    <n v="3750"/>
    <s v="Deduction from Milk Payment"/>
    <m/>
    <m/>
    <s v="Mar-26"/>
    <s v="Farmer"/>
    <s v="27 Feb - 05 Mar &amp; 06-12 Mar"/>
    <d v="2026-03-05T00:00:00"/>
    <n v="3750"/>
    <n v="0"/>
  </r>
  <r>
    <x v="1"/>
    <s v="Nawatand"/>
    <n v="20090017"/>
    <s v="Gomukh Gold 50 Kgs"/>
    <n v="5"/>
    <n v="1250"/>
    <n v="6250"/>
    <s v="Deduction from Milk Payment"/>
    <m/>
    <m/>
    <s v="Mar-26"/>
    <s v="Farmer"/>
    <s v="27 Feb - 05 Mar &amp; 06-12 Mar"/>
    <d v="2026-03-05T00:00:00"/>
    <n v="6250"/>
    <n v="0"/>
  </r>
  <r>
    <x v="6"/>
    <s v="Chuttu"/>
    <n v="20060004"/>
    <s v="Gomukh Gold 50 Kgs"/>
    <n v="10"/>
    <n v="1250"/>
    <n v="12500"/>
    <s v="Deduction from Milk Payment"/>
    <m/>
    <n v="4738"/>
    <s v="Mar-26"/>
    <s v="Farmer"/>
    <s v="27 Feb - 05 Mar &amp; 06-12 Mar 13-19 Mar"/>
    <d v="2026-03-05T00:00:00"/>
    <n v="12500"/>
    <n v="0"/>
  </r>
  <r>
    <x v="2"/>
    <s v="Dumardagga"/>
    <n v="20060003"/>
    <s v="Gomukh Gold 50 Kgs"/>
    <n v="20"/>
    <n v="1250"/>
    <n v="25000"/>
    <s v="Deduction from Milk Payment"/>
    <m/>
    <n v="4737"/>
    <s v="Mar-26"/>
    <s v="Farmer"/>
    <s v="06 Mar - 12 Mar"/>
    <d v="2026-03-12T00:00:00"/>
    <n v="25000"/>
    <n v="0"/>
  </r>
  <r>
    <x v="4"/>
    <s v="Bero"/>
    <n v="20010003"/>
    <s v="Gomukh Gold 50 Kgs"/>
    <n v="15"/>
    <n v="1250"/>
    <n v="18750"/>
    <s v="Deduction from Milk Payment"/>
    <m/>
    <n v="4735"/>
    <s v="Mar-26"/>
    <s v="Farmer"/>
    <s v="20 Feb - 26 Feb &amp; 27-05 Mar 06-12 Mar"/>
    <d v="2026-02-26T00:00:00"/>
    <n v="18750"/>
    <n v="0"/>
  </r>
  <r>
    <x v="1"/>
    <s v="Tutlo"/>
    <n v="20010053"/>
    <s v="Gomukh Gold 50 Kgs"/>
    <n v="2"/>
    <n v="1250"/>
    <n v="2500"/>
    <s v="Deduction from Milk Payment"/>
    <m/>
    <m/>
    <s v="Mar-26"/>
    <s v="Farmer"/>
    <s v="06 Mar - 12 Mar &amp; 13-19 Mar"/>
    <d v="2026-03-12T00:00:00"/>
    <n v="2500"/>
    <n v="0"/>
  </r>
  <r>
    <x v="7"/>
    <s v="Hisri"/>
    <n v="20030001"/>
    <s v="Gomukh Gold 50 Kgs"/>
    <n v="5"/>
    <n v="1250"/>
    <n v="6250"/>
    <s v="Deduction from Milk Payment"/>
    <m/>
    <m/>
    <s v="Mar-26"/>
    <s v="Bank"/>
    <m/>
    <d v="2026-03-18T00:00:00"/>
    <n v="6250"/>
    <n v="0"/>
  </r>
  <r>
    <x v="2"/>
    <s v="Dumardagga"/>
    <n v="20060003"/>
    <s v="Gomukh Gold 50 Kgs"/>
    <n v="20"/>
    <n v="1250"/>
    <n v="25000"/>
    <s v="Deduction from Milk Payment"/>
    <m/>
    <n v="4740"/>
    <s v="Mar-26"/>
    <s v="Farmer"/>
    <s v="13 Mar - 19 Mar"/>
    <d v="2026-03-19T00:00:00"/>
    <n v="25000"/>
    <n v="0"/>
  </r>
  <r>
    <x v="3"/>
    <s v="Ormanjhi"/>
    <n v="20060001"/>
    <s v="Gomukh Gold 50 Kgs"/>
    <n v="1"/>
    <n v="1250"/>
    <n v="1250"/>
    <s v="Deduction from Milk Payment"/>
    <m/>
    <n v="4739"/>
    <s v="Mar-26"/>
    <s v="Farmer"/>
    <s v="06 Feb - 12 Feb"/>
    <d v="2026-02-12T00:00:00"/>
    <n v="1250"/>
    <n v="0"/>
  </r>
  <r>
    <x v="0"/>
    <s v="Bijuliya"/>
    <n v="20020003"/>
    <s v="Gomukh Gold 50 Kgs"/>
    <n v="15"/>
    <n v="1250"/>
    <n v="18750"/>
    <s v="Deduction from Milk Payment"/>
    <m/>
    <m/>
    <s v="Mar-26"/>
    <s v="Farmer"/>
    <s v="13 Mar - 19 Mar &amp; 20-26 Mar"/>
    <d v="2026-03-19T00:00:00"/>
    <n v="18750"/>
    <n v="0"/>
  </r>
  <r>
    <x v="0"/>
    <s v="Ranikhatanga"/>
    <n v="20020006"/>
    <s v="Gomukh Gold 50 Kgs"/>
    <n v="10"/>
    <n v="1250"/>
    <n v="12500"/>
    <s v="Deduction from Milk Payment"/>
    <m/>
    <m/>
    <s v="Mar-26"/>
    <s v="Farmer"/>
    <s v="13 Mar - 19 Mar"/>
    <d v="2026-03-19T00:00:00"/>
    <n v="3677"/>
    <n v="8823"/>
  </r>
  <r>
    <x v="0"/>
    <s v="Tikotoli"/>
    <n v="20020020"/>
    <s v="Gomukh Gold 50 Kgs"/>
    <n v="5"/>
    <n v="1250"/>
    <n v="6250"/>
    <s v="Deduction from Milk Payment"/>
    <m/>
    <m/>
    <s v="Mar-26"/>
    <s v="Farmer"/>
    <s v="13 Mar - 19 Mar &amp; 20-26 Mar/01-07 May"/>
    <d v="2026-03-19T00:00:00"/>
    <n v="6250"/>
    <n v="0"/>
  </r>
  <r>
    <x v="0"/>
    <s v="Pali"/>
    <n v="20020001"/>
    <s v="Gomukh Gold 50 Kgs"/>
    <n v="5"/>
    <n v="1250"/>
    <n v="6250"/>
    <s v="Deduction from Milk Payment"/>
    <m/>
    <m/>
    <s v="Mar-26"/>
    <s v="Farmer"/>
    <s v="13 Mar - 19 Mar"/>
    <d v="2026-03-19T00:00:00"/>
    <n v="6250"/>
    <n v="0"/>
  </r>
  <r>
    <x v="5"/>
    <s v="Saram"/>
    <n v="20070002"/>
    <s v="Gomukh Gold 50 Kgs"/>
    <n v="2"/>
    <n v="1250"/>
    <n v="2500"/>
    <s v="Deduction from Milk Payment"/>
    <m/>
    <m/>
    <s v="Mar-26"/>
    <s v="Farmer"/>
    <s v="13 Mar - 19 Mar"/>
    <d v="2026-03-19T00:00:00"/>
    <n v="2500"/>
    <n v="0"/>
  </r>
  <r>
    <x v="5"/>
    <s v="Piragutu"/>
    <n v="20070001"/>
    <s v="Gomukh Gold 50 Kgs"/>
    <n v="3"/>
    <n v="1250"/>
    <n v="3750"/>
    <s v="Deduction from Milk Payment"/>
    <m/>
    <m/>
    <s v="Mar-26"/>
    <s v="Farmer"/>
    <s v="13 Mar - 19 Mar"/>
    <d v="2026-03-19T00:00:00"/>
    <n v="3750"/>
    <n v="0"/>
  </r>
  <r>
    <x v="5"/>
    <s v="Piragutu"/>
    <n v="20070001"/>
    <s v="Gomukh Gold 50 Kgs"/>
    <n v="2"/>
    <n v="1250"/>
    <n v="2500"/>
    <s v="Deduction from Milk Payment"/>
    <m/>
    <m/>
    <s v="Mar-26"/>
    <s v="Farmer"/>
    <s v="20 Mar - 26 Mar"/>
    <d v="2026-03-26T00:00:00"/>
    <n v="2500"/>
    <n v="0"/>
  </r>
  <r>
    <x v="1"/>
    <s v="Chanho"/>
    <n v="20090001"/>
    <s v="Gomukh Gold 50 Kgs"/>
    <n v="4"/>
    <n v="1250"/>
    <n v="5000"/>
    <s v="Deduction from Milk Payment"/>
    <m/>
    <m/>
    <s v="Mar-26"/>
    <s v="Bank"/>
    <m/>
    <d v="2026-03-19T00:00:00"/>
    <n v="5000"/>
    <n v="0"/>
  </r>
  <r>
    <x v="1"/>
    <s v="Pakariyo"/>
    <n v="20090015"/>
    <s v="Gomukh Gold 50 Kgs"/>
    <n v="2"/>
    <n v="1250"/>
    <n v="2500"/>
    <s v="Deduction from Milk Payment"/>
    <m/>
    <m/>
    <s v="Mar-26"/>
    <s v="Farmer"/>
    <s v="13 Mar - 19 Mar &amp; 20-26 Mar"/>
    <d v="2026-03-19T00:00:00"/>
    <n v="2500"/>
    <n v="0"/>
  </r>
  <r>
    <x v="1"/>
    <s v="Barhe"/>
    <n v="20090011"/>
    <s v="Gomukh Gold 50 Kgs"/>
    <n v="3"/>
    <n v="1250"/>
    <n v="3750"/>
    <s v="Deduction from Milk Payment"/>
    <m/>
    <m/>
    <s v="Mar-26"/>
    <s v="Farmer"/>
    <s v="13 Mar - 19 Mar"/>
    <d v="2026-03-19T00:00:00"/>
    <n v="3750"/>
    <n v="0"/>
  </r>
  <r>
    <x v="1"/>
    <s v="Barhe"/>
    <n v="20090011"/>
    <s v="Gomukh Gold 50 Kgs"/>
    <n v="2"/>
    <n v="1250"/>
    <n v="2500"/>
    <s v="Deduction from Milk Payment"/>
    <m/>
    <m/>
    <s v="Mar-26"/>
    <s v="Farmer"/>
    <s v="20 Mar - 26 Mar"/>
    <d v="2026-03-26T00:00:00"/>
    <n v="2500"/>
    <n v="0"/>
  </r>
  <r>
    <x v="1"/>
    <s v="Chanho"/>
    <n v="20090001"/>
    <s v="Gomukh Gold 50 Kgs"/>
    <n v="1"/>
    <n v="1250"/>
    <n v="1250"/>
    <s v="Deduction from Milk Payment"/>
    <m/>
    <m/>
    <s v="Mar-26"/>
    <s v="Bank"/>
    <m/>
    <d v="2026-03-20T00:00:00"/>
    <n v="1250"/>
    <n v="0"/>
  </r>
  <r>
    <x v="1"/>
    <s v="Chanho"/>
    <n v="20090001"/>
    <s v="Gomukh Gold 50 Kgs"/>
    <n v="1"/>
    <n v="1250"/>
    <n v="1250"/>
    <s v="Deduction from Milk Payment"/>
    <m/>
    <m/>
    <s v="Mar-26"/>
    <s v="Farmer"/>
    <s v="13 Mar - 19 Mar &amp; 20-26 Mar"/>
    <d v="2026-03-19T00:00:00"/>
    <n v="1250"/>
    <n v="0"/>
  </r>
  <r>
    <x v="1"/>
    <s v="Tutlo"/>
    <n v="20010053"/>
    <s v="Gomukh Gold 50 Kgs"/>
    <n v="2"/>
    <n v="1250"/>
    <n v="2500"/>
    <s v="Deduction from Milk Payment"/>
    <m/>
    <m/>
    <s v="Mar-26"/>
    <s v="Farmer"/>
    <s v="13 Mar - 19 Mar &amp; 20-26 Mar"/>
    <d v="2026-03-19T00:00:00"/>
    <n v="2500"/>
    <n v="0"/>
  </r>
  <r>
    <x v="1"/>
    <s v="Kullu"/>
    <n v="20090025"/>
    <s v="Gomukh Gold 50 Kgs"/>
    <n v="3"/>
    <n v="1250"/>
    <n v="3750"/>
    <s v="Deduction from Milk Payment"/>
    <m/>
    <m/>
    <s v="Mar-26"/>
    <s v="Farmer"/>
    <s v="13 Mar - 19 Mar"/>
    <d v="2026-03-19T00:00:00"/>
    <n v="3750"/>
    <n v="0"/>
  </r>
  <r>
    <x v="6"/>
    <s v="Chuttu"/>
    <n v="20060004"/>
    <s v="Gomukh Gold 50 Kgs"/>
    <n v="2"/>
    <n v="1250"/>
    <n v="2334"/>
    <s v="Deduction from Milk Payment"/>
    <m/>
    <m/>
    <s v="Mar-26"/>
    <s v="Farmer"/>
    <s v="20 Mar - 26 Mar"/>
    <d v="2026-03-26T00:00:00"/>
    <n v="2334"/>
    <n v="0"/>
  </r>
  <r>
    <x v="2"/>
    <s v="Dumardagga"/>
    <n v="20060003"/>
    <s v="Gomukh Gold 50 Kgs"/>
    <n v="20"/>
    <n v="1250"/>
    <n v="25000"/>
    <s v="Deduction from Milk Payment"/>
    <m/>
    <m/>
    <s v="Mar-26"/>
    <s v="Farmer"/>
    <s v="01-07 May"/>
    <d v="2026-05-07T00:00:00"/>
    <n v="25000"/>
    <n v="0"/>
  </r>
  <r>
    <x v="2"/>
    <s v="Dumardagga"/>
    <n v="20060003"/>
    <s v="Gomukh Gold 50 Kgs"/>
    <n v="20"/>
    <n v="1250"/>
    <n v="25000"/>
    <s v="Deduction from Milk Payment"/>
    <m/>
    <m/>
    <s v="Mar-26"/>
    <s v="Farmer"/>
    <s v="03 Apr - 09 Apr"/>
    <d v="2026-04-09T00:00:00"/>
    <n v="12500"/>
    <n v="12500"/>
  </r>
  <r>
    <x v="3"/>
    <s v="Ormanjhi"/>
    <n v="20060001"/>
    <s v="Gomukh Gold 50 Kgs"/>
    <n v="5"/>
    <n v="1250"/>
    <n v="6250"/>
    <s v="Deduction from Milk Payment"/>
    <m/>
    <m/>
    <s v="Mar-26"/>
    <s v="Farmer"/>
    <s v="13 Mar - 19 Mar"/>
    <d v="2026-03-19T00:00:00"/>
    <n v="6250"/>
    <n v="0"/>
  </r>
  <r>
    <x v="3"/>
    <s v="Kukui"/>
    <n v="20060017"/>
    <s v="Gomukh Gold 50 Kgs"/>
    <n v="5"/>
    <n v="1250"/>
    <n v="6250"/>
    <s v="Deduction from Milk Payment"/>
    <m/>
    <m/>
    <s v="Mar-26"/>
    <s v="Farmer"/>
    <s v="24 Apr - 30 Apr/ 01-07 May"/>
    <d v="2026-04-30T00:00:00"/>
    <n v="6250"/>
    <n v="0"/>
  </r>
  <r>
    <x v="3"/>
    <s v="Kuchu"/>
    <n v="20060009"/>
    <s v="Gomukh Gold 50 Kgs"/>
    <n v="5"/>
    <n v="1250"/>
    <n v="6250"/>
    <s v="Deduction from Milk Payment"/>
    <m/>
    <m/>
    <s v="Mar-26"/>
    <s v="Farmer"/>
    <s v="03 Apr - 09 Apr &amp; 17-23 Apr 24-30 Apr"/>
    <d v="2026-04-09T00:00:00"/>
    <n v="6250"/>
    <n v="0"/>
  </r>
  <r>
    <x v="4"/>
    <s v="Bero"/>
    <n v="20010003"/>
    <s v="Gomukh Gold 50 Kgs"/>
    <n v="6"/>
    <n v="1250"/>
    <n v="7500"/>
    <s v="Deduction from Milk Payment"/>
    <m/>
    <m/>
    <s v="Mar-26"/>
    <s v="Farmer"/>
    <s v="13 Mar - 19 Mar"/>
    <d v="2026-03-19T00:00:00"/>
    <n v="7500"/>
    <n v="0"/>
  </r>
  <r>
    <x v="4"/>
    <s v="Bero"/>
    <n v="20010003"/>
    <s v="Gomukh Gold 50 Kgs"/>
    <n v="6"/>
    <n v="1250"/>
    <n v="7500"/>
    <s v="Deduction from Milk Payment"/>
    <m/>
    <m/>
    <s v="Mar-26"/>
    <s v="Farmer"/>
    <s v="06 Mar - 12 Mar &amp; 20-26 Mar/03-09 Apr"/>
    <d v="2026-03-12T00:00:00"/>
    <n v="7500"/>
    <n v="0"/>
  </r>
  <r>
    <x v="4"/>
    <s v="Etachildri"/>
    <n v="20010016"/>
    <s v="Gomukh Gold 50 Kgs"/>
    <n v="2"/>
    <n v="1250"/>
    <n v="2500"/>
    <s v="Deduction from Milk Payment"/>
    <m/>
    <m/>
    <s v="Mar-26"/>
    <s v="Farmer"/>
    <s v="06 Mar - 12 Mar &amp; 20-26 Mar 10-16 Apr &amp; 01-07 May 2026"/>
    <d v="2026-03-12T00:00:00"/>
    <n v="2500"/>
    <n v="0"/>
  </r>
  <r>
    <x v="4"/>
    <s v="Bero"/>
    <n v="20010003"/>
    <s v="Gomukh Gold 50 Kgs"/>
    <n v="12"/>
    <n v="1250"/>
    <n v="15000"/>
    <s v="Deduction from Milk Payment"/>
    <m/>
    <m/>
    <s v="Mar-26"/>
    <s v="Farmer"/>
    <s v="03 Apr - 09 Apr &amp; 10-16 Apr"/>
    <d v="2026-04-09T00:00:00"/>
    <n v="15000"/>
    <n v="0"/>
  </r>
  <r>
    <x v="8"/>
    <s v="Itki"/>
    <n v="20010001"/>
    <s v="Gomukh Gold 50 Kgs"/>
    <n v="150"/>
    <n v="1200"/>
    <n v="180000"/>
    <s v="Deduction from Milk Payment"/>
    <m/>
    <m/>
    <s v="Mar-26"/>
    <s v="Farmer"/>
    <s v="20 Mar - 26 Mar/01-07 May"/>
    <d v="2026-03-26T00:00:00"/>
    <n v="180000"/>
    <n v="0"/>
  </r>
  <r>
    <x v="1"/>
    <s v="Narkopi"/>
    <n v="20010054"/>
    <s v="Gomukh Gold 50 Kgs"/>
    <n v="3"/>
    <n v="1250"/>
    <n v="3750"/>
    <s v="Deduction from Milk Payment"/>
    <m/>
    <m/>
    <s v="Mar-26"/>
    <s v="Farmer"/>
    <s v="20 Mar - 26 Mar"/>
    <d v="2026-03-26T00:00:00"/>
    <n v="3750"/>
    <n v="0"/>
  </r>
  <r>
    <x v="1"/>
    <s v="Kullu"/>
    <n v="20090025"/>
    <s v="Gomukh Gold 50 Kgs"/>
    <n v="2"/>
    <n v="1250"/>
    <n v="2500"/>
    <s v="Deduction from Milk Payment"/>
    <m/>
    <m/>
    <s v="Mar-26"/>
    <s v="Farmer"/>
    <s v="27-31 Mar"/>
    <m/>
    <n v="2500"/>
    <n v="0"/>
  </r>
  <r>
    <x v="1"/>
    <s v="Tutlo"/>
    <n v="20010053"/>
    <s v="Gomukh Gold 50 Kgs"/>
    <n v="1"/>
    <n v="1250"/>
    <n v="1250"/>
    <s v="Deduction from Milk Payment"/>
    <m/>
    <m/>
    <s v="Mar-26"/>
    <s v="Farmer"/>
    <s v="20 Mar - 26 Mar/27-31 Mar"/>
    <d v="2026-03-26T00:00:00"/>
    <n v="1250"/>
    <n v="0"/>
  </r>
  <r>
    <x v="1"/>
    <s v="Chanho"/>
    <n v="20090001"/>
    <s v="Gomukh Gold 50 Kgs"/>
    <n v="1"/>
    <n v="1250"/>
    <n v="1250"/>
    <s v="Deduction from Milk Payment"/>
    <m/>
    <m/>
    <s v="Mar-26"/>
    <s v="Farmer"/>
    <s v="20 Mar - 26 Mar"/>
    <d v="2026-03-26T00:00:00"/>
    <n v="1250"/>
    <n v="0"/>
  </r>
  <r>
    <x v="1"/>
    <s v="Pakariyo"/>
    <n v="20090015"/>
    <s v="Gomukh Gold 50 Kgs"/>
    <n v="3"/>
    <n v="1250"/>
    <n v="3750"/>
    <s v="Deduction from Milk Payment"/>
    <m/>
    <m/>
    <s v="Mar-26"/>
    <s v="Farmer"/>
    <s v="20 Mar - 26 Mar"/>
    <d v="2026-03-26T00:00:00"/>
    <n v="3159"/>
    <n v="591"/>
  </r>
  <r>
    <x v="1"/>
    <s v="Pakariyo2"/>
    <n v="20090020"/>
    <s v="Gomukh Gold 50 Kgs"/>
    <n v="3"/>
    <n v="1250"/>
    <n v="3750"/>
    <s v="Deduction from Milk Payment"/>
    <m/>
    <m/>
    <s v="Mar-26"/>
    <s v="Farmer"/>
    <s v="20 Mar - 26 Mar"/>
    <d v="2026-03-26T00:00:00"/>
    <n v="3750"/>
    <n v="0"/>
  </r>
  <r>
    <x v="1"/>
    <s v="Pakariyo2"/>
    <n v="20090020"/>
    <s v="Gomukh Gold 50 Kgs"/>
    <n v="3"/>
    <n v="1250"/>
    <n v="3750"/>
    <s v="Deduction from Milk Payment"/>
    <m/>
    <m/>
    <s v="Mar-26"/>
    <m/>
    <m/>
    <m/>
    <m/>
    <n v="3750"/>
  </r>
  <r>
    <x v="1"/>
    <s v="Pakariyo2"/>
    <n v="20090020"/>
    <s v="Gomukh Gold 50 Kgs"/>
    <n v="4"/>
    <n v="1250"/>
    <n v="5000"/>
    <s v="Deduction from Milk Payment"/>
    <m/>
    <m/>
    <s v="Mar-26"/>
    <s v="Farmer"/>
    <s v="10 Apr - 16 Apr &amp; 17-23 Apr"/>
    <d v="2026-04-16T00:00:00"/>
    <n v="5000"/>
    <n v="0"/>
  </r>
  <r>
    <x v="1"/>
    <s v="Barhe"/>
    <n v="20090011"/>
    <s v="Gomukh Gold 50 Kgs"/>
    <n v="3"/>
    <n v="1250"/>
    <n v="3750"/>
    <s v="Deduction from Milk Payment"/>
    <m/>
    <m/>
    <s v="Mar-26"/>
    <m/>
    <m/>
    <m/>
    <m/>
    <n v="3750"/>
  </r>
  <r>
    <x v="4"/>
    <s v="Bero"/>
    <n v="20010003"/>
    <s v="Gomukh Gold 50 Kgs"/>
    <n v="4"/>
    <n v="1250"/>
    <n v="5000"/>
    <s v="Deduction from Milk Payment"/>
    <m/>
    <m/>
    <s v="Mar-26"/>
    <s v="Farmer"/>
    <s v="10 Apr - 16 Apr"/>
    <d v="2026-04-16T00:00:00"/>
    <n v="5000"/>
    <n v="0"/>
  </r>
  <r>
    <x v="3"/>
    <s v="Ormanjhi"/>
    <n v="20060001"/>
    <s v="Gomukh Gold 50 Kgs"/>
    <n v="1"/>
    <n v="1250"/>
    <n v="1250"/>
    <s v="Deduction from Milk Payment"/>
    <m/>
    <m/>
    <s v="Mar-26"/>
    <s v="Farmer"/>
    <s v="06 Feb - 12 Feb &amp; 20-26 Mar"/>
    <d v="2026-02-12T00:00:00"/>
    <n v="1250"/>
    <n v="0"/>
  </r>
  <r>
    <x v="8"/>
    <s v="Itki"/>
    <n v="20010001"/>
    <s v="Gomukh Gold 50 Kgs"/>
    <n v="200"/>
    <n v="1200"/>
    <n v="240000"/>
    <s v="Deduction from Milk Payment"/>
    <m/>
    <m/>
    <s v="Apr-26"/>
    <s v="Farmer"/>
    <s v="03-09 Apr 17-23 Apr &amp; 01-07 May"/>
    <d v="2026-04-09T00:00:00"/>
    <n v="240000"/>
    <n v="0"/>
  </r>
  <r>
    <x v="2"/>
    <s v="Dumardagga"/>
    <n v="20060003"/>
    <s v="Gomukh Gold 50 Kgs"/>
    <n v="20"/>
    <n v="1250"/>
    <n v="25000"/>
    <s v="Deduction from Milk Payment"/>
    <m/>
    <m/>
    <s v="Apr-26"/>
    <s v="Farmer"/>
    <s v="03 Apr - 09 Apr &amp; 10-16 Apr"/>
    <d v="2026-04-09T00:00:00"/>
    <n v="25000"/>
    <n v="0"/>
  </r>
  <r>
    <x v="0"/>
    <s v="Tikotoli"/>
    <n v="20020020"/>
    <s v="Gomukh Gold 50 Kgs"/>
    <n v="5"/>
    <n v="1250"/>
    <n v="6250"/>
    <s v="Deduction from Milk Payment"/>
    <m/>
    <m/>
    <s v="Apr-26"/>
    <m/>
    <m/>
    <m/>
    <m/>
    <n v="6250"/>
  </r>
  <r>
    <x v="0"/>
    <s v="Tikotoli"/>
    <n v="20020020"/>
    <s v="Gomukh Gold 50 Kgs"/>
    <n v="3"/>
    <n v="1250"/>
    <n v="3750"/>
    <s v="Deduction from Milk Payment"/>
    <m/>
    <m/>
    <s v="Apr-26"/>
    <s v="Farmer"/>
    <s v="03 Apr - 09 Apr/01-07 May"/>
    <d v="2026-04-09T00:00:00"/>
    <n v="3750"/>
    <n v="0"/>
  </r>
  <r>
    <x v="0"/>
    <s v="Bijuliya"/>
    <n v="20020003"/>
    <s v="Gomukh Gold 50 Kgs"/>
    <n v="10"/>
    <n v="1250"/>
    <n v="12500"/>
    <s v="Deduction from Milk Payment"/>
    <m/>
    <m/>
    <s v="Apr-26"/>
    <s v="Farmer"/>
    <s v="01-07 May"/>
    <d v="2026-05-07T00:00:00"/>
    <n v="6250"/>
    <n v="6250"/>
  </r>
  <r>
    <x v="0"/>
    <s v="Ranikhatanga"/>
    <n v="20020006"/>
    <s v="Gomukh Gold 50 Kgs"/>
    <n v="5"/>
    <n v="1250"/>
    <n v="6250"/>
    <s v="Deduction from Milk Payment"/>
    <m/>
    <m/>
    <s v="Apr-26"/>
    <s v="Farmer"/>
    <s v="03 Apr - 09 Apr"/>
    <d v="2026-04-09T00:00:00"/>
    <n v="6250"/>
    <n v="0"/>
  </r>
  <r>
    <x v="5"/>
    <s v="Murpa"/>
    <n v="20070024"/>
    <s v="Gomukh Gold 50 Kgs"/>
    <n v="10"/>
    <n v="1250"/>
    <n v="12500"/>
    <s v="Deduction from Milk Payment"/>
    <m/>
    <m/>
    <s v="Apr-26"/>
    <s v="Farmer"/>
    <s v="10 Apr - 16 Apr/27-31 Mar"/>
    <d v="2026-04-16T00:00:00"/>
    <n v="12500"/>
    <n v="0"/>
  </r>
  <r>
    <x v="5"/>
    <s v="Saram"/>
    <n v="20070002"/>
    <s v="Gomukh Gold 50 Kgs"/>
    <n v="3"/>
    <n v="1250"/>
    <n v="3750"/>
    <s v="Deduction from Milk Payment"/>
    <m/>
    <m/>
    <s v="Apr-26"/>
    <s v="Farmer"/>
    <s v="03 Apr - 09 Apr/01-07 May"/>
    <d v="2026-04-09T00:00:00"/>
    <n v="3750"/>
    <n v="0"/>
  </r>
  <r>
    <x v="1"/>
    <s v="Tutlo"/>
    <n v="20010053"/>
    <s v="Gomukh Gold 50 Kgs"/>
    <n v="1"/>
    <n v="1250"/>
    <n v="1250"/>
    <s v="Deduction from Milk Payment"/>
    <m/>
    <m/>
    <s v="Apr-26"/>
    <s v="Farmer"/>
    <s v="10 Apr - 16 Apr"/>
    <d v="2026-04-16T00:00:00"/>
    <n v="1250"/>
    <n v="0"/>
  </r>
  <r>
    <x v="1"/>
    <s v="Pakariyo"/>
    <n v="20090015"/>
    <s v="Gomukh Gold 50 Kgs"/>
    <n v="2"/>
    <n v="1250"/>
    <n v="2500"/>
    <s v="Deduction from Milk Payment"/>
    <m/>
    <m/>
    <s v="Apr-26"/>
    <s v="Farmer"/>
    <s v="10 Apr - 16 Apr &amp; 17-23 Apr"/>
    <d v="2026-04-16T00:00:00"/>
    <n v="2500"/>
    <n v="0"/>
  </r>
  <r>
    <x v="1"/>
    <s v="Chanho"/>
    <n v="20090001"/>
    <s v="Gomukh Gold 50 Kgs"/>
    <n v="2"/>
    <n v="1250"/>
    <n v="2500"/>
    <s v="Deduction from Milk Payment"/>
    <m/>
    <m/>
    <s v="Apr-26"/>
    <s v="Bank"/>
    <m/>
    <d v="2026-04-07T00:00:00"/>
    <n v="2500"/>
    <n v="0"/>
  </r>
  <r>
    <x v="1"/>
    <s v="Nawatand"/>
    <n v="20090017"/>
    <s v="Gomukh Gold 50 Kgs"/>
    <n v="3"/>
    <n v="1250"/>
    <n v="3750"/>
    <s v="Deduction from Milk Payment"/>
    <m/>
    <m/>
    <s v="Apr-26"/>
    <s v="Farmer"/>
    <s v="10 Apr - 16 Apr"/>
    <d v="2026-04-16T00:00:00"/>
    <n v="3750"/>
    <n v="0"/>
  </r>
  <r>
    <x v="1"/>
    <s v="Barhe"/>
    <n v="20090011"/>
    <s v="Gomukh Gold 50 Kgs"/>
    <n v="5"/>
    <n v="1250"/>
    <n v="6250"/>
    <s v="Deduction from Milk Payment"/>
    <m/>
    <m/>
    <s v="Apr-26"/>
    <s v="Farmer"/>
    <s v="10 Apr - 16 Apr &amp; 17-23 Apr 24-30 Apr"/>
    <d v="2026-04-16T00:00:00"/>
    <n v="6250"/>
    <n v="0"/>
  </r>
  <r>
    <x v="1"/>
    <s v="Kokar"/>
    <n v="20090023"/>
    <s v="Gomukh Gold 50 Kgs"/>
    <n v="5"/>
    <n v="1250"/>
    <n v="6250"/>
    <s v="Deduction from Milk Payment"/>
    <m/>
    <m/>
    <s v="Apr-26"/>
    <s v="Farmer"/>
    <s v="10 Apr - 16 Apr &amp; 17-23 Apr"/>
    <d v="2026-04-16T00:00:00"/>
    <n v="6250"/>
    <n v="0"/>
  </r>
  <r>
    <x v="0"/>
    <s v="Agru"/>
    <n v="20020025"/>
    <s v="Gomukh Gold 50 Kgs"/>
    <n v="11"/>
    <n v="1250"/>
    <n v="13750"/>
    <s v="Deduction from Milk Payment"/>
    <m/>
    <m/>
    <s v="Apr-26"/>
    <s v="Farmer"/>
    <s v="03 Apr - 09 Apr &amp; 10-16 Apr 17-23 Apr"/>
    <d v="2026-04-09T00:00:00"/>
    <n v="13750"/>
    <n v="0"/>
  </r>
  <r>
    <x v="0"/>
    <s v="Tikotoli"/>
    <n v="20020020"/>
    <s v="Gomukh Gold 50 Kgs"/>
    <n v="5"/>
    <n v="1250"/>
    <n v="6250"/>
    <s v="Deduction from Milk Payment"/>
    <m/>
    <m/>
    <s v="Apr-26"/>
    <s v="Farmer"/>
    <s v="03 Apr - 09 Apr &amp; 10-16 Apr"/>
    <d v="2026-04-09T00:00:00"/>
    <n v="6250"/>
    <n v="0"/>
  </r>
  <r>
    <x v="0"/>
    <s v="Bijuliya"/>
    <n v="20020003"/>
    <s v="Gomukh Gold 50 Kgs"/>
    <n v="10"/>
    <n v="1250"/>
    <n v="12500"/>
    <s v="Deduction from Milk Payment"/>
    <m/>
    <m/>
    <s v="Apr-26"/>
    <s v="Farmer"/>
    <s v="03 Apr - 09 Apr"/>
    <d v="2026-04-09T00:00:00"/>
    <n v="12500"/>
    <n v="0"/>
  </r>
  <r>
    <x v="0"/>
    <s v="Pali"/>
    <n v="20020001"/>
    <s v="Gomukh Gold 50 Kgs"/>
    <n v="8"/>
    <n v="1250"/>
    <n v="10000"/>
    <s v="Deduction from Milk Payment"/>
    <m/>
    <m/>
    <s v="Apr-26"/>
    <s v="Farmer"/>
    <s v="03 Apr - 09 Apr &amp; 10-16 Apr"/>
    <d v="2026-04-09T00:00:00"/>
    <n v="10000"/>
    <n v="0"/>
  </r>
  <r>
    <x v="6"/>
    <s v="Chuttu"/>
    <n v="20060004"/>
    <s v="Gomukh Gold 50 Kgs"/>
    <n v="18"/>
    <n v="1250"/>
    <n v="22666"/>
    <s v="Deduction from Milk Payment"/>
    <m/>
    <m/>
    <s v="Mar-26"/>
    <s v="Bank"/>
    <m/>
    <d v="2026-04-10T00:00:00"/>
    <n v="22666"/>
    <n v="0"/>
  </r>
  <r>
    <x v="6"/>
    <s v="Chuttu"/>
    <n v="20060004"/>
    <s v="Gomukh Gold 50 Kgs"/>
    <n v="10"/>
    <n v="1250"/>
    <n v="12500"/>
    <s v="Deduction from Milk Payment"/>
    <m/>
    <m/>
    <s v="Apr-26"/>
    <s v="Farmer"/>
    <s v="24 Apr - 30 Apr"/>
    <d v="2026-04-30T00:00:00"/>
    <n v="12500"/>
    <n v="0"/>
  </r>
  <r>
    <x v="2"/>
    <s v="Dumardagga"/>
    <n v="20060003"/>
    <s v="Gomukh Gold 50 Kgs"/>
    <n v="20"/>
    <n v="1250"/>
    <n v="25000"/>
    <s v="Deduction from Milk Payment"/>
    <m/>
    <m/>
    <s v="Apr-26"/>
    <s v="Farmer"/>
    <s v="10 Apr - 16 Apr &amp; 17-23 Apr"/>
    <d v="2026-04-16T00:00:00"/>
    <n v="25000"/>
    <n v="0"/>
  </r>
  <r>
    <x v="2"/>
    <s v="Dumardagga"/>
    <n v="20060003"/>
    <s v="Gomukh Gold 50 Kgs"/>
    <n v="20"/>
    <n v="1250"/>
    <n v="25000"/>
    <s v="Deduction from Milk Payment"/>
    <m/>
    <m/>
    <s v="Apr-26"/>
    <s v="Farmer"/>
    <s v="17 Apr - 23 Apr &amp; 24-30 Apr"/>
    <d v="2026-04-23T00:00:00"/>
    <n v="25000"/>
    <n v="0"/>
  </r>
  <r>
    <x v="3"/>
    <s v="Jirabar"/>
    <n v="20060005"/>
    <s v="Gomukh Gold 50 Kgs"/>
    <n v="2"/>
    <n v="1250"/>
    <n v="2500"/>
    <s v="Deduction from Milk Payment"/>
    <m/>
    <m/>
    <s v="Apr-26"/>
    <s v="Farmer"/>
    <s v="01-07 May"/>
    <d v="2026-05-07T00:00:00"/>
    <n v="2500"/>
    <n v="0"/>
  </r>
  <r>
    <x v="3"/>
    <s v="Ormanjhi"/>
    <n v="20060001"/>
    <s v="Gomukh Gold 50 Kgs"/>
    <n v="7"/>
    <n v="1250"/>
    <n v="8750"/>
    <s v="Deduction from Milk Payment"/>
    <m/>
    <m/>
    <s v="Apr-26"/>
    <s v="Farmer"/>
    <s v="10 Apr - 16 Apr &amp; 24-30 Apr"/>
    <d v="2026-04-16T00:00:00"/>
    <n v="8750"/>
    <n v="0"/>
  </r>
  <r>
    <x v="4"/>
    <s v="Etachildri"/>
    <n v="20010016"/>
    <s v="Gomukh Gold 50 Kgs"/>
    <n v="2"/>
    <n v="1250"/>
    <n v="2500"/>
    <s v="Deduction from Milk Payment"/>
    <m/>
    <m/>
    <s v="Apr-26"/>
    <s v="Farmer"/>
    <s v="10 Apr - 16 Apr/01-07 May/27-31 Mar"/>
    <d v="2026-04-16T00:00:00"/>
    <n v="2433"/>
    <n v="67"/>
  </r>
  <r>
    <x v="4"/>
    <s v="Bero"/>
    <n v="20010003"/>
    <s v="Gomukh Gold 50 Kgs"/>
    <n v="8"/>
    <n v="1250"/>
    <n v="10000"/>
    <s v="Deduction from Milk Payment"/>
    <m/>
    <m/>
    <s v="Apr-26"/>
    <s v="Farmer"/>
    <s v="17 Apr - 23 Apr"/>
    <d v="2026-04-23T00:00:00"/>
    <n v="10000"/>
    <n v="0"/>
  </r>
  <r>
    <x v="4"/>
    <s v="Erchoro"/>
    <n v="20010008"/>
    <s v="Gomukh Gold 50 Kgs"/>
    <n v="20"/>
    <n v="1250"/>
    <n v="25000"/>
    <s v="Deduction from Milk Payment"/>
    <m/>
    <m/>
    <s v="Apr-26"/>
    <s v="Farmer"/>
    <s v="10 Apr - 16 Apr &amp; 17-23 Apr"/>
    <d v="2026-04-16T00:00:00"/>
    <n v="25000"/>
    <n v="0"/>
  </r>
  <r>
    <x v="4"/>
    <s v="Bero"/>
    <n v="20010003"/>
    <s v="Gomukh Gold 50 Kgs"/>
    <n v="2"/>
    <n v="1250"/>
    <n v="2500"/>
    <s v="Deduction from Milk Payment"/>
    <m/>
    <m/>
    <s v="Apr-26"/>
    <s v="Farmer"/>
    <s v="17 Apr - 23 Apr"/>
    <d v="2026-04-23T00:00:00"/>
    <n v="2500"/>
    <n v="0"/>
  </r>
  <r>
    <x v="4"/>
    <s v="Bero"/>
    <n v="20010003"/>
    <s v="Gomukh Gold 50 Kgs"/>
    <n v="8"/>
    <n v="1250"/>
    <n v="10000"/>
    <s v="Deduction from Milk Payment"/>
    <m/>
    <m/>
    <s v="Apr-26"/>
    <s v="Farmer"/>
    <s v="24 Apr - 30 Apr"/>
    <d v="2026-04-30T00:00:00"/>
    <n v="10000"/>
    <n v="0"/>
  </r>
  <r>
    <x v="1"/>
    <s v="Pakariyo"/>
    <n v="20090015"/>
    <s v="Gomukh Gold 50 Kgs"/>
    <n v="1"/>
    <n v="1250"/>
    <n v="1250"/>
    <s v="Deduction from Milk Payment"/>
    <m/>
    <m/>
    <s v="Apr-26"/>
    <s v="Farmer"/>
    <s v="17 Apr - 23 Apr &amp; 24-30 Apr"/>
    <d v="2026-04-23T00:00:00"/>
    <n v="1250"/>
    <n v="0"/>
  </r>
  <r>
    <x v="1"/>
    <s v="Bhogla Toli"/>
    <n v="20090026"/>
    <s v="Gomukh Gold 50 Kgs"/>
    <n v="1"/>
    <n v="1250"/>
    <n v="1250"/>
    <s v="Deduction from Milk Payment"/>
    <m/>
    <m/>
    <s v="Apr-26"/>
    <s v="Farmer"/>
    <s v="17 Apr - 23 Apr"/>
    <d v="2026-04-23T00:00:00"/>
    <n v="1250"/>
    <n v="0"/>
  </r>
  <r>
    <x v="1"/>
    <s v="Chanho"/>
    <n v="20090001"/>
    <s v="Gomukh Gold 50 Kgs"/>
    <n v="1"/>
    <n v="1250"/>
    <n v="1250"/>
    <s v="Deduction from Milk Payment"/>
    <m/>
    <m/>
    <s v="Apr-26"/>
    <s v="Farmer"/>
    <s v="17 Apr - 23 Apr"/>
    <d v="2026-04-23T00:00:00"/>
    <n v="1250"/>
    <n v="0"/>
  </r>
  <r>
    <x v="1"/>
    <s v="Tutlo"/>
    <n v="20010053"/>
    <s v="Gomukh Gold 50 Kgs"/>
    <n v="1"/>
    <n v="1250"/>
    <n v="1250"/>
    <s v="Deduction from Milk Payment"/>
    <m/>
    <m/>
    <s v="Apr-26"/>
    <s v="Farmer"/>
    <s v="10 Apr - 16 Apr/01-07 May/27-31 Mar"/>
    <d v="2026-04-16T00:00:00"/>
    <n v="1250"/>
    <n v="0"/>
  </r>
  <r>
    <x v="1"/>
    <s v="Pakariyo2"/>
    <n v="20090020"/>
    <s v="Gomukh Gold 50 Kgs"/>
    <n v="1"/>
    <n v="1250"/>
    <n v="1250"/>
    <s v="Deduction from Milk Payment"/>
    <m/>
    <m/>
    <s v="Apr-26"/>
    <s v="Farmer"/>
    <s v="17 Apr - 23 Apr &amp; 24-30 Apr"/>
    <d v="2026-04-23T00:00:00"/>
    <n v="1250"/>
    <n v="0"/>
  </r>
  <r>
    <x v="1"/>
    <s v="Ganeshpur"/>
    <n v="20090008"/>
    <s v="Gomukh Gold 50 Kgs"/>
    <n v="1"/>
    <n v="1250"/>
    <n v="1250"/>
    <s v="Deduction from Milk Payment"/>
    <m/>
    <m/>
    <s v="Apr-26"/>
    <s v="Farmer"/>
    <s v="24 Apr - 30 Apr/01-07 May"/>
    <s v="30-04-2026/07 May"/>
    <n v="1250"/>
    <n v="0"/>
  </r>
  <r>
    <x v="0"/>
    <s v="Bijuliya"/>
    <n v="20020003"/>
    <s v="Gomukh Gold 50 Kgs"/>
    <n v="10"/>
    <n v="1250"/>
    <n v="12500"/>
    <s v="Deduction from Milk Payment"/>
    <m/>
    <m/>
    <s v="Apr-26"/>
    <s v="Farmer"/>
    <s v="17 Apr - 23 Apr &amp; 24-30 Apr"/>
    <d v="2026-04-23T00:00:00"/>
    <n v="12500"/>
    <n v="0"/>
  </r>
  <r>
    <x v="0"/>
    <s v="Ranikhatanga"/>
    <n v="20020006"/>
    <s v="Gomukh Gold 50 Kgs"/>
    <n v="5"/>
    <n v="1250"/>
    <n v="6250"/>
    <s v="Deduction from Milk Payment"/>
    <m/>
    <m/>
    <s v="Apr-26"/>
    <s v="Farmer"/>
    <s v="24 Apr - 30 Apr"/>
    <d v="2026-04-30T00:00:00"/>
    <n v="6250"/>
    <n v="0"/>
  </r>
  <r>
    <x v="0"/>
    <s v="Pali"/>
    <n v="20020001"/>
    <s v="Gomukh Gold 50 Kgs"/>
    <n v="5"/>
    <n v="1250"/>
    <n v="6250"/>
    <s v="Deduction from Milk Payment"/>
    <m/>
    <m/>
    <s v="Apr-26"/>
    <s v="Farmer"/>
    <s v="10 Apr - 16 Apr"/>
    <d v="2026-04-16T00:00:00"/>
    <n v="6250"/>
    <n v="0"/>
  </r>
  <r>
    <x v="0"/>
    <s v="Tikotoli"/>
    <n v="20020020"/>
    <s v="Gomukh Gold 50 Kgs"/>
    <n v="5"/>
    <n v="1250"/>
    <n v="6250"/>
    <s v="Deduction from Milk Payment"/>
    <m/>
    <m/>
    <s v="Apr-26"/>
    <s v="Farmer"/>
    <s v="10 Apr - 16 Apr &amp; 24-30 Apr"/>
    <d v="2026-04-16T00:00:00"/>
    <n v="6250"/>
    <n v="0"/>
  </r>
  <r>
    <x v="0"/>
    <s v="Baski2"/>
    <n v="20050001"/>
    <s v="Gomukh Gold 50 Kgs"/>
    <n v="2"/>
    <n v="1250"/>
    <n v="2500"/>
    <s v="Deduction from Milk Payment"/>
    <m/>
    <m/>
    <s v="Apr-26"/>
    <s v="Farmer"/>
    <s v="10 Apr - 16 Apr"/>
    <d v="2026-04-16T00:00:00"/>
    <n v="2500"/>
    <n v="0"/>
  </r>
  <r>
    <x v="0"/>
    <s v="Uchri"/>
    <n v="20050003"/>
    <s v="Gomukh Gold 50 Kgs"/>
    <n v="3"/>
    <n v="1250"/>
    <n v="3750"/>
    <s v="Deduction from Milk Payment"/>
    <m/>
    <m/>
    <s v="Apr-26"/>
    <s v="Farmer"/>
    <s v="10 Apr - 16 Apr"/>
    <d v="2026-04-16T00:00:00"/>
    <n v="3750"/>
    <n v="0"/>
  </r>
  <r>
    <x v="0"/>
    <s v="Jari"/>
    <n v="20020002"/>
    <s v="Gomukh Gold 50 Kgs"/>
    <n v="3"/>
    <n v="1250"/>
    <n v="3750"/>
    <s v="Deduction from Milk Payment"/>
    <m/>
    <m/>
    <s v="Apr-26"/>
    <s v="Farmer"/>
    <s v="10 Apr - 16 Apr"/>
    <d v="2026-04-16T00:00:00"/>
    <n v="3750"/>
    <n v="0"/>
  </r>
  <r>
    <x v="0"/>
    <s v="Bijuliya"/>
    <n v="20020003"/>
    <s v="Gomukh Gold 50 Kgs"/>
    <n v="10"/>
    <n v="1250"/>
    <n v="12500"/>
    <s v="Deduction from Milk Payment"/>
    <m/>
    <m/>
    <s v="Apr-26"/>
    <s v="Farmer"/>
    <s v="24 Apr - 30 Apr"/>
    <d v="2026-04-30T00:00:00"/>
    <n v="6250"/>
    <n v="6250"/>
  </r>
  <r>
    <x v="0"/>
    <s v="Agru"/>
    <n v="20020025"/>
    <s v="Gomukh Gold 50 Kgs"/>
    <n v="8"/>
    <n v="1250"/>
    <n v="10000"/>
    <s v="Deduction from Milk Payment"/>
    <m/>
    <m/>
    <s v="Apr-26"/>
    <s v="Bank"/>
    <m/>
    <d v="2026-05-04T00:00:00"/>
    <n v="10000"/>
    <n v="0"/>
  </r>
  <r>
    <x v="0"/>
    <s v="Bijuliya"/>
    <n v="20020003"/>
    <s v="Gomukh Gold 50 Kgs"/>
    <n v="5"/>
    <n v="1250"/>
    <n v="6250"/>
    <s v="Deduction from Milk Payment"/>
    <m/>
    <m/>
    <s v="Apr-26"/>
    <m/>
    <m/>
    <m/>
    <m/>
    <n v="6250"/>
  </r>
  <r>
    <x v="0"/>
    <s v="Agru"/>
    <n v="20020025"/>
    <s v="Gomukh Gold 50 Kgs"/>
    <n v="2"/>
    <n v="1250"/>
    <n v="2500"/>
    <s v="Deduction from Milk Payment"/>
    <m/>
    <m/>
    <s v="Apr-26"/>
    <s v="Farmer"/>
    <s v="17 Apr - 23 Apr"/>
    <d v="2026-04-23T00:00:00"/>
    <n v="2500"/>
    <n v="0"/>
  </r>
  <r>
    <x v="0"/>
    <s v="Agru"/>
    <n v="20020025"/>
    <s v="Gomukh Gold 50 Kgs"/>
    <n v="13"/>
    <n v="1250"/>
    <n v="16250"/>
    <s v="Deduction from Milk Payment"/>
    <m/>
    <m/>
    <s v="Apr-26"/>
    <s v="Farmer"/>
    <s v="17 Apr - 23 Apr &amp; 24-30 Apr"/>
    <d v="2026-04-23T00:00:00"/>
    <n v="4373"/>
    <n v="11877"/>
  </r>
  <r>
    <x v="0"/>
    <s v="Baski2"/>
    <n v="20050001"/>
    <s v="Gomukh Gold 50 Kgs"/>
    <n v="5"/>
    <n v="1250"/>
    <n v="6250"/>
    <s v="Deduction from Milk Payment"/>
    <m/>
    <m/>
    <s v="Apr-26"/>
    <s v="Farmer"/>
    <s v="24 Apr - 30 Apr"/>
    <d v="2026-04-30T00:00:00"/>
    <n v="5990"/>
    <n v="260"/>
  </r>
  <r>
    <x v="0"/>
    <s v="Tikotoli"/>
    <n v="20020020"/>
    <s v="Gomukh Gold 50 Kgs"/>
    <n v="6"/>
    <n v="1250"/>
    <n v="7500"/>
    <s v="Deduction from Milk Payment"/>
    <m/>
    <m/>
    <s v="Apr-26"/>
    <s v="Farmer"/>
    <s v="24 Apr - 30 Apr"/>
    <d v="2026-04-30T00:00:00"/>
    <n v="5548"/>
    <n v="1952"/>
  </r>
  <r>
    <x v="0"/>
    <s v="Ranikhatanga"/>
    <n v="20020006"/>
    <s v="Gomukh Gold 50 Kgs"/>
    <n v="4"/>
    <n v="1250"/>
    <n v="5000"/>
    <s v="Deduction from Milk Payment"/>
    <m/>
    <m/>
    <s v="Apr-26"/>
    <m/>
    <m/>
    <m/>
    <m/>
    <n v="5000"/>
  </r>
  <r>
    <x v="3"/>
    <s v="Ormanjhi"/>
    <n v="20060001"/>
    <s v="Gomukh Gold 50 Kgs"/>
    <n v="3"/>
    <n v="1250"/>
    <n v="3750"/>
    <s v="Deduction from Milk Payment"/>
    <m/>
    <m/>
    <s v="Apr-26"/>
    <s v="Farmer"/>
    <s v="24 Apr - 30 Apr"/>
    <d v="2026-04-30T00:00:00"/>
    <n v="2955"/>
    <n v="795"/>
  </r>
  <r>
    <x v="3"/>
    <s v="Jirabar"/>
    <n v="20060005"/>
    <s v="Gomukh Gold 50 Kgs"/>
    <n v="2"/>
    <n v="1250"/>
    <n v="2500"/>
    <s v="Deduction from Milk Payment"/>
    <m/>
    <m/>
    <s v="Apr-26"/>
    <m/>
    <m/>
    <m/>
    <m/>
    <n v="2500"/>
  </r>
  <r>
    <x v="7"/>
    <s v="Umedanda"/>
    <n v="20030002"/>
    <s v="Gomukh Gold 50 Kgs"/>
    <n v="2"/>
    <n v="1250"/>
    <n v="2500"/>
    <s v="Deduction from Milk Payment"/>
    <m/>
    <m/>
    <s v="Apr-26"/>
    <s v="Bank"/>
    <m/>
    <d v="2026-04-22T00:00:00"/>
    <n v="2500"/>
    <n v="0"/>
  </r>
  <r>
    <x v="7"/>
    <s v="Hisri"/>
    <n v="20030001"/>
    <s v="Gomukh Gold 50 Kgs"/>
    <n v="4"/>
    <n v="1250"/>
    <n v="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<s v="Gomukh Gold 50 Kgs"/>
    <n v="20"/>
    <n v="1250"/>
    <n v="25000"/>
    <s v="Deduction from Milk Payment"/>
    <m/>
    <m/>
    <s v="Apr-26"/>
    <s v="Farmer"/>
    <s v="24 Apr - 30 Apr"/>
    <d v="2026-04-30T00:00:00"/>
    <n v="12500"/>
    <n v="12500"/>
  </r>
  <r>
    <x v="4"/>
    <s v="Bero"/>
    <n v="20010003"/>
    <s v="Gomukh Gold 50 Kgs"/>
    <n v="10"/>
    <n v="1250"/>
    <n v="12500"/>
    <s v="Deduction from Milk Payment"/>
    <m/>
    <m/>
    <s v="Apr-26"/>
    <s v="Farmer"/>
    <s v="01-07 May"/>
    <d v="2026-05-07T00:00:00"/>
    <n v="10000"/>
    <n v="2500"/>
  </r>
  <r>
    <x v="5"/>
    <s v="Kurulo"/>
    <n v="20070010"/>
    <s v="Gomukh Gold 50 Kgs"/>
    <n v="2"/>
    <n v="1250"/>
    <n v="2500"/>
    <s v="Deduction from Milk Payment"/>
    <m/>
    <m/>
    <s v="Apr-26"/>
    <s v="Farmer"/>
    <s v="10 Apr - 16 Apr/01-07 May"/>
    <d v="2026-04-16T00:00:00"/>
    <n v="2500"/>
    <n v="0"/>
  </r>
  <r>
    <x v="5"/>
    <s v="Karamba"/>
    <n v="20070009"/>
    <s v="Gomukh Gold 50 Kgs"/>
    <n v="2"/>
    <n v="1250"/>
    <n v="2500"/>
    <s v="Deduction from Milk Payment"/>
    <m/>
    <m/>
    <s v="Apr-26"/>
    <s v="Farmer"/>
    <s v="10 Apr - 16 Apr"/>
    <d v="2026-04-16T00:00:00"/>
    <n v="2500"/>
    <n v="0"/>
  </r>
  <r>
    <x v="5"/>
    <s v="Piragutu"/>
    <n v="20070001"/>
    <s v="Gomukh Gold 50 Kgs"/>
    <n v="7"/>
    <n v="1250"/>
    <n v="8750"/>
    <s v="Deduction from Milk Payment"/>
    <m/>
    <m/>
    <s v="Apr-26"/>
    <s v="Farmer"/>
    <s v="17 Apr - 23 Apr"/>
    <d v="2026-04-23T00:00:00"/>
    <n v="8750"/>
    <n v="0"/>
  </r>
  <r>
    <x v="5"/>
    <s v="Piragutu"/>
    <n v="20070001"/>
    <s v="Gomukh Gold 50 Kgs"/>
    <n v="5"/>
    <n v="1250"/>
    <n v="6250"/>
    <s v="Deduction from Milk Payment"/>
    <m/>
    <m/>
    <s v="Apr-26"/>
    <s v="Farmer"/>
    <s v="01-07 May"/>
    <d v="2026-05-07T00:00:00"/>
    <n v="6250"/>
    <n v="0"/>
  </r>
  <r>
    <x v="1"/>
    <s v="Nawatand"/>
    <n v="20090017"/>
    <s v="Gomukh Gold 50 Kgs"/>
    <n v="1"/>
    <n v="1250"/>
    <n v="1250"/>
    <s v="Deduction from Milk Payment"/>
    <m/>
    <m/>
    <s v="May-26"/>
    <s v="Farmer"/>
    <s v="17 Apr - 23 Apr"/>
    <d v="2026-04-23T00:00:00"/>
    <n v="1250"/>
    <n v="0"/>
  </r>
  <r>
    <x v="1"/>
    <s v="Nawatand"/>
    <n v="20090017"/>
    <s v="Gomukh Gold 50 Kgs"/>
    <n v="7"/>
    <n v="1250"/>
    <n v="8750"/>
    <s v="Deduction from Milk Payment"/>
    <m/>
    <m/>
    <s v="May-26"/>
    <s v="Farmer"/>
    <s v="01-07 May"/>
    <d v="2026-05-07T00:00:00"/>
    <n v="2500"/>
    <n v="6250"/>
  </r>
  <r>
    <x v="1"/>
    <s v="Tutlo"/>
    <n v="20010053"/>
    <s v="Gomukh Gold 50 Kgs"/>
    <n v="2"/>
    <n v="1250"/>
    <n v="2500"/>
    <s v="Deduction from Milk Payment"/>
    <m/>
    <m/>
    <s v="May-26"/>
    <s v="Farmer"/>
    <s v="17 Apr - 23 Apr/27-31 Mar"/>
    <d v="2026-04-23T00:00:00"/>
    <n v="2500"/>
    <n v="0"/>
  </r>
  <r>
    <x v="1"/>
    <s v="Pakariyo"/>
    <n v="20090015"/>
    <s v="Gomukh Gold 50 Kgs"/>
    <n v="5"/>
    <n v="1250"/>
    <n v="6250"/>
    <s v="Deduction from Milk Payment"/>
    <m/>
    <m/>
    <s v="May-26"/>
    <s v="Farmer"/>
    <s v="01-07 May"/>
    <d v="2026-05-07T00:00:00"/>
    <n v="3476"/>
    <n v="2774"/>
  </r>
  <r>
    <x v="0"/>
    <s v="Pali"/>
    <n v="20020001"/>
    <s v="Gomukh Gold 50 Kgs"/>
    <n v="16"/>
    <n v="1250"/>
    <n v="20000"/>
    <s v="Deduction from Milk Payment"/>
    <m/>
    <m/>
    <s v="May-26"/>
    <s v="Farmer"/>
    <s v="01-07 May"/>
    <d v="2026-05-07T00:00:00"/>
    <n v="17961"/>
    <n v="2039"/>
  </r>
  <r>
    <x v="0"/>
    <s v="Jari"/>
    <n v="20020002"/>
    <s v="Gomukh Gold 50 Kgs"/>
    <n v="2"/>
    <n v="1250"/>
    <n v="2500"/>
    <s v="Deduction from Milk Payment"/>
    <m/>
    <m/>
    <s v="May-26"/>
    <s v="Farmer"/>
    <s v="01-07 May"/>
    <d v="2026-05-07T00:00:00"/>
    <n v="25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5D70F-69C0-43A0-9C05-02B15CFF47A5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chment">
  <location ref="AC3:AE13" firstHeaderRow="0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6">
        <item m="1" x="34"/>
        <item m="1" x="15"/>
        <item m="1" x="20"/>
        <item m="1" x="33"/>
        <item m="1" x="18"/>
        <item m="1" x="19"/>
        <item m="1" x="17"/>
        <item m="1" x="35"/>
        <item m="1" x="24"/>
        <item x="9"/>
        <item m="1" x="37"/>
        <item m="1" x="39"/>
        <item m="1" x="22"/>
        <item m="1" x="29"/>
        <item m="1" x="26"/>
        <item m="1" x="42"/>
        <item m="1" x="30"/>
        <item m="1" x="31"/>
        <item m="1" x="38"/>
        <item m="1" x="44"/>
        <item m="1" x="40"/>
        <item m="1" x="41"/>
        <item m="1" x="25"/>
        <item m="1" x="43"/>
        <item m="1" x="32"/>
        <item m="1" x="16"/>
        <item m="1" x="21"/>
        <item m="1" x="36"/>
        <item m="1" x="23"/>
        <item m="1" x="28"/>
        <item m="1" x="27"/>
        <item x="12"/>
        <item x="0"/>
        <item x="8"/>
        <item m="1" x="13"/>
        <item m="1" x="14"/>
        <item x="1"/>
        <item x="2"/>
        <item x="4"/>
        <item x="10"/>
        <item x="7"/>
        <item x="6"/>
        <item x="5"/>
        <item x="3"/>
        <item x="11"/>
        <item t="default"/>
      </items>
    </pivotField>
    <pivotField showAll="0"/>
    <pivotField dataField="1" showAll="0"/>
    <pivotField showAll="0"/>
    <pivotField dataField="1" showAll="0"/>
    <pivotField showAll="0"/>
    <pivotField axis="axisPage" multipleItemSelectionAllowed="1" showAll="0">
      <items count="11">
        <item h="1" m="1" x="9"/>
        <item h="1" x="0"/>
        <item h="1" m="1" x="7"/>
        <item h="1" m="1" x="8"/>
        <item x="1"/>
        <item h="1" m="1" x="2"/>
        <item h="1" m="1" x="6"/>
        <item h="1" m="1" x="3"/>
        <item h="1" m="1" x="5"/>
        <item h="1" m="1" x="4"/>
        <item t="default"/>
      </items>
    </pivotField>
    <pivotField showAll="0"/>
    <pivotField showAll="0"/>
  </pivotFields>
  <rowFields count="1">
    <field x="8"/>
  </rowFields>
  <rowItems count="10">
    <i>
      <x v="32"/>
    </i>
    <i>
      <x v="33"/>
    </i>
    <i>
      <x v="36"/>
    </i>
    <i>
      <x v="37"/>
    </i>
    <i>
      <x v="38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Qty" fld="10" baseField="0" baseItem="0"/>
    <dataField name="Value" fld="12" baseField="8" baseItem="1"/>
  </dataFields>
  <formats count="14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8" type="button" dataOnly="0" labelOnly="1" outline="0" axis="axisRow" fieldPosition="0"/>
    </format>
    <format dxfId="97">
      <pivotArea dataOnly="0" labelOnly="1" fieldPosition="0">
        <references count="1">
          <reference field="8" count="7">
            <x v="0"/>
            <x v="1"/>
            <x v="3"/>
            <x v="4"/>
            <x v="6"/>
            <x v="7"/>
            <x v="8"/>
          </reference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field="8" type="button" dataOnly="0" labelOnly="1" outline="0" axis="axisRow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8" type="button" dataOnly="0" labelOnly="1" outline="0" axis="axisRow" fieldPosition="0"/>
    </format>
    <format dxfId="89">
      <pivotArea dataOnly="0" labelOnly="1" fieldPosition="0">
        <references count="1">
          <reference field="8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B4EA3-6120-43F5-AC7B-2A3AB8025DF2}" name="Summary" cacheId="52" applyNumberFormats="0" applyBorderFormats="0" applyFontFormats="0" applyPatternFormats="0" applyAlignmentFormats="0" applyWidthHeightFormats="0" dataCaption="" updatedVersion="8" compact="0" compactData="0">
  <location ref="B2:E13" firstHeaderRow="1" firstDataRow="2" firstDataCol="1"/>
  <pivotFields count="16">
    <pivotField name="Godown" axis="axisRow" compact="0" outline="0" multipleItemSelectionAllowed="1" showAll="0" sortType="ascending">
      <items count="11">
        <item m="1" x="9"/>
        <item x="4"/>
        <item x="1"/>
        <item x="6"/>
        <item x="2"/>
        <item x="7"/>
        <item x="8"/>
        <item x="3"/>
        <item x="0"/>
        <item x="5"/>
        <item t="default"/>
      </items>
    </pivotField>
    <pivotField name="MPG Name" compact="0" outline="0" multipleItemSelectionAllowed="1" showAll="0"/>
    <pivotField compact="0" outline="0" showAll="0" includeNewItemsInFilter="1"/>
    <pivotField name="Name of Product" compact="0" outline="0" multipleItemSelectionAllowed="1" showAll="0"/>
    <pivotField name="Qty Sold" compact="0" outline="0" multipleItemSelectionAllowed="1" showAll="0"/>
    <pivotField name="Rate" compact="0" outline="0" multipleItemSelectionAllowed="1" showAll="0"/>
    <pivotField name="Sales Amount" dataField="1" compact="0" outline="0" multipleItemSelectionAllowed="1" showAll="0"/>
    <pivotField name="Sale Type" compact="0" outline="0" multipleItemSelectionAllowed="1" showAll="0"/>
    <pivotField name="Salesman Name" compact="0" outline="0" multipleItemSelectionAllowed="1" showAll="0"/>
    <pivotField name="Challan Number" compact="0" outline="0" multipleItemSelectionAllowed="1" showAll="0"/>
    <pivotField name="Month" compact="0" outline="0" multipleItemSelectionAllowed="1" showAll="0"/>
    <pivotField name="Mode" compact="0" outline="0" multipleItemSelectionAllowed="1" showAll="0"/>
    <pivotField name="Cycle" compact="0" outline="0" multipleItemSelectionAllowed="1" showAll="0"/>
    <pivotField compact="0" numFmtId="168" outline="0" showAll="0" includeNewItemsInFilter="1"/>
    <pivotField name="Payment Amt" dataField="1" compact="0" outline="0" multipleItemSelectionAllowed="1" showAll="0"/>
    <pivotField dataField="1" compact="0" outline="0" showAll="0" includeNewItemsInFilter="1"/>
  </pivotFields>
  <rowFields count="1"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 Amount" fld="6" baseField="0"/>
    <dataField name="Payment Amt" fld="14" baseField="0"/>
    <dataField name="Sum of Dues" fld="15" baseField="0" baseItem="0"/>
  </dataFields>
  <formats count="18">
    <format dxfId="118">
      <pivotArea type="all" dataOnly="0" outline="0" fieldPosition="0"/>
    </format>
    <format dxfId="117">
      <pivotArea outline="0" fieldPosition="0"/>
    </format>
    <format dxfId="116">
      <pivotArea type="origin" dataOnly="0" labelOnly="1" outline="0" fieldPosition="0"/>
    </format>
    <format dxfId="115">
      <pivotArea field="-2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0" type="button" dataOnly="0" labelOnly="1" outline="0" axis="axisRow" fieldPosition="0"/>
    </format>
    <format dxfId="112">
      <pivotArea dataOnly="0" labelOnly="1" outline="0" fieldPosition="0">
        <references count="1">
          <reference field="0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type="all" dataOnly="0" outline="0" fieldPosition="0"/>
    </format>
    <format dxfId="108">
      <pivotArea outline="0" fieldPosition="0"/>
    </format>
    <format dxfId="107">
      <pivotArea type="origin" dataOnly="0" labelOnly="1" outline="0" fieldPosition="0"/>
    </format>
    <format dxfId="106">
      <pivotArea field="-2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0" type="button" dataOnly="0" labelOnly="1" outline="0" axis="axisRow" fieldPosition="0"/>
    </format>
    <format dxfId="103">
      <pivotArea dataOnly="0" labelOnly="1" outline="0" fieldPosition="0">
        <references count="1">
          <reference field="0" count="0"/>
        </references>
      </pivotArea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53224-38CB-4E71-B6FF-7233468DB4ED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odown" fieldListSortAscending="1">
  <location ref="G2:M13" firstHeaderRow="1" firstDataRow="2" firstDataCol="1"/>
  <pivotFields count="19">
    <pivotField numFmtId="15" showAll="0"/>
    <pivotField axis="axisRow" showAll="0" sortType="ascending">
      <items count="25">
        <item m="1" x="21"/>
        <item m="1" x="13"/>
        <item x="4"/>
        <item x="1"/>
        <item m="1" x="12"/>
        <item x="6"/>
        <item x="2"/>
        <item m="1" x="14"/>
        <item m="1" x="10"/>
        <item x="7"/>
        <item x="8"/>
        <item m="1" x="15"/>
        <item m="1" x="16"/>
        <item m="1" x="17"/>
        <item m="1" x="22"/>
        <item x="3"/>
        <item x="0"/>
        <item m="1" x="11"/>
        <item m="1" x="19"/>
        <item x="5"/>
        <item m="1" x="20"/>
        <item m="1" x="18"/>
        <item m="1" x="23"/>
        <item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dataField="1"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0">
    <i>
      <x v="2"/>
    </i>
    <i>
      <x v="3"/>
    </i>
    <i>
      <x v="5"/>
    </i>
    <i>
      <x v="6"/>
    </i>
    <i>
      <x v="9"/>
    </i>
    <i>
      <x v="10"/>
    </i>
    <i>
      <x v="15"/>
    </i>
    <i>
      <x v="16"/>
    </i>
    <i>
      <x v="19"/>
    </i>
    <i t="grand">
      <x/>
    </i>
  </rowItems>
  <colFields count="1">
    <field x="18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Dues" fld="16" baseField="0" baseItem="0"/>
  </dataFields>
  <formats count="29">
    <format dxfId="147">
      <pivotArea outline="0" collapsedLevelsAreSubtotals="1" fieldPosition="0"/>
    </format>
    <format dxfId="146">
      <pivotArea dataOnly="0" labelOnly="1" grandCol="1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18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1" type="button" dataOnly="0" labelOnly="1" outline="0" axis="axisRow" fieldPosition="0"/>
    </format>
    <format dxfId="139">
      <pivotArea dataOnly="0" labelOnly="1" fieldPosition="0">
        <references count="1">
          <reference field="1" count="0"/>
        </references>
      </pivotArea>
    </format>
    <format dxfId="138">
      <pivotArea dataOnly="0" labelOnly="1" grandRow="1" outline="0" fieldPosition="0"/>
    </format>
    <format dxfId="137">
      <pivotArea dataOnly="0" labelOnly="1" grandCol="1" outline="0" fieldPosition="0"/>
    </format>
    <format dxfId="136">
      <pivotArea type="all" dataOnly="0" outline="0" fieldPosition="0"/>
    </format>
    <format dxfId="135">
      <pivotArea dataOnly="0" labelOnly="1" fieldPosition="0">
        <references count="1">
          <reference field="1" count="0"/>
        </references>
      </pivotArea>
    </format>
    <format dxfId="134">
      <pivotArea type="all" dataOnly="0" outline="0" fieldPosition="0"/>
    </format>
    <format dxfId="133">
      <pivotArea dataOnly="0" labelOnly="1" fieldPosition="0">
        <references count="1">
          <reference field="1" count="0"/>
        </references>
      </pivotArea>
    </format>
    <format dxfId="132">
      <pivotArea type="all" dataOnly="0" outline="0" fieldPosition="0"/>
    </format>
    <format dxfId="131">
      <pivotArea dataOnly="0" labelOnly="1" fieldPosition="0">
        <references count="1">
          <reference field="1" count="0"/>
        </references>
      </pivotArea>
    </format>
    <format dxfId="130">
      <pivotArea dataOnly="0" labelOnly="1" fieldPosition="0">
        <references count="1">
          <reference field="1" count="0"/>
        </references>
      </pivotArea>
    </format>
    <format dxfId="129">
      <pivotArea collapsedLevelsAreSubtotals="1" fieldPosition="0">
        <references count="1">
          <reference field="1" count="1">
            <x v="18"/>
          </reference>
        </references>
      </pivotArea>
    </format>
    <format dxfId="128">
      <pivotArea dataOnly="0" labelOnly="1" fieldPosition="0">
        <references count="1">
          <reference field="1" count="1">
            <x v="18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18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1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grandRow="1" outline="0" fieldPosition="0"/>
    </format>
    <format dxfId="119">
      <pivotArea dataOnly="0" labelOnly="1" grandCol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3A8F8-9A28-4769-8C71-3154E6240880}" name="PivotTable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199">
  <location ref="A3:A4" firstHeaderRow="1" firstDataRow="1" firstDataCol="0" rowPageCount="1" colPageCount="1"/>
  <pivotFields count="19">
    <pivotField numFmtId="15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35">
        <item m="1" x="29"/>
        <item m="1" x="28"/>
        <item m="1" x="33"/>
        <item m="1" x="4"/>
        <item m="1" x="31"/>
        <item m="1" x="32"/>
        <item m="1" x="30"/>
        <item m="1" x="15"/>
        <item m="1" x="16"/>
        <item m="1" x="17"/>
        <item m="1" x="18"/>
        <item m="1" x="27"/>
        <item m="1" x="19"/>
        <item m="1" x="20"/>
        <item m="1" x="21"/>
        <item m="1" x="22"/>
        <item m="1" x="23"/>
        <item m="1" x="13"/>
        <item m="1" x="24"/>
        <item m="1" x="25"/>
        <item m="1" x="26"/>
        <item m="1" x="5"/>
        <item m="1" x="6"/>
        <item m="1" x="7"/>
        <item m="1" x="8"/>
        <item m="1" x="9"/>
        <item m="1" x="10"/>
        <item m="1" x="11"/>
        <item m="1" x="12"/>
        <item m="1" x="14"/>
        <item x="0"/>
        <item x="1"/>
        <item x="2"/>
        <item x="3"/>
        <item t="default"/>
      </items>
    </pivotField>
    <pivotField showAll="0"/>
    <pivotField showAll="0"/>
    <pivotField numFmtId="168"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1" item="30" hier="-1"/>
  </pageFields>
  <dataFields count="1">
    <dataField name="Sum of Qty 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Month wise Report 2" cacheId="43" applyNumberFormats="0" applyBorderFormats="0" applyFontFormats="0" applyPatternFormats="0" applyAlignmentFormats="0" applyWidthHeightFormats="0" dataCaption="" updatedVersion="8" compact="0" compactData="0" chartFormat="1">
  <location ref="Q1:V12" firstHeaderRow="1" firstDataRow="2" firstDataCol="1"/>
  <pivotFields count="15">
    <pivotField name="Date" compact="0" numFmtId="164" outline="0" multipleItemSelectionAllowed="1" showAll="0"/>
    <pivotField name="Godown" axis="axisRow" compact="0" outline="0" multipleItemSelectionAllowed="1" showAll="0" sortType="ascending">
      <items count="11">
        <item m="1" x="9"/>
        <item x="4"/>
        <item x="1"/>
        <item x="6"/>
        <item x="2"/>
        <item x="7"/>
        <item x="8"/>
        <item x="3"/>
        <item x="0"/>
        <item x="5"/>
        <item t="default"/>
      </items>
    </pivotField>
    <pivotField name="MPG Name" compact="0" outline="0" multipleItemSelectionAllowed="1" showAll="0"/>
    <pivotField compact="0" outline="0" showAll="0" includeNewItemsInFilter="1"/>
    <pivotField name="Name of Product" compact="0" outline="0" multipleItemSelectionAllowed="1" showAll="0"/>
    <pivotField name="Qty Sold" dataField="1" compact="0" outline="0" multipleItemSelectionAllowed="1" showAll="0"/>
    <pivotField name="Rate" compact="0" outline="0" multipleItemSelectionAllowed="1" showAll="0"/>
    <pivotField name="Sales Amount" compact="0" outline="0" multipleItemSelectionAllowed="1" showAll="0"/>
    <pivotField name="Sale Type" compact="0" outline="0" multipleItemSelectionAllowed="1" showAll="0"/>
    <pivotField name="Salesman Name" compact="0" outline="0" multipleItemSelectionAllowed="1" showAll="0"/>
    <pivotField name="Challan Number" compact="0" outline="0" multipleItemSelectionAllowed="1" showAll="0"/>
    <pivotField name="Month" axis="axisCol" compact="0" outline="0" multipleItemSelectionAllowed="1" showAll="0" sortType="ascending">
      <items count="35">
        <item m="1" x="15"/>
        <item m="1" x="5"/>
        <item x="2"/>
        <item m="1" x="19"/>
        <item m="1" x="9"/>
        <item m="1" x="30"/>
        <item m="1" x="23"/>
        <item m="1" x="13"/>
        <item m="1" x="33"/>
        <item m="1" x="25"/>
        <item x="0"/>
        <item m="1" x="4"/>
        <item m="1" x="32"/>
        <item m="1" x="24"/>
        <item m="1" x="14"/>
        <item m="1" x="18"/>
        <item m="1" x="8"/>
        <item m="1" x="17"/>
        <item m="1" x="7"/>
        <item m="1" x="31"/>
        <item m="1" x="26"/>
        <item x="1"/>
        <item m="1" x="16"/>
        <item m="1" x="6"/>
        <item x="3"/>
        <item m="1" x="29"/>
        <item m="1" x="22"/>
        <item m="1" x="12"/>
        <item m="1" x="21"/>
        <item m="1" x="11"/>
        <item m="1" x="20"/>
        <item m="1" x="10"/>
        <item m="1" x="27"/>
        <item m="1" x="28"/>
        <item t="default"/>
      </items>
    </pivotField>
    <pivotField name="Mode" compact="0" outline="0" multipleItemSelectionAllowed="1" showAll="0"/>
    <pivotField name="Cycle" compact="0" outline="0" multipleItemSelectionAllowed="1" showAll="0"/>
    <pivotField compact="0" numFmtId="168" outline="0" showAll="0" includeNewItemsInFilter="1"/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1"/>
  </colFields>
  <colItems count="5">
    <i>
      <x v="2"/>
    </i>
    <i>
      <x v="10"/>
    </i>
    <i>
      <x v="21"/>
    </i>
    <i>
      <x v="24"/>
    </i>
    <i t="grand">
      <x/>
    </i>
  </colItems>
  <dataFields count="1">
    <dataField name="SUM of Qty Sold" fld="5" baseField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</chartFormats>
  <pivotTableStyleInfo name="PivotStyleMedium1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Month wise Report" cacheId="48" applyNumberFormats="0" applyBorderFormats="0" applyFontFormats="0" applyPatternFormats="0" applyAlignmentFormats="0" applyWidthHeightFormats="0" dataCaption="" updatedVersion="8" compact="0" compactData="0">
  <location ref="A1:F13" firstHeaderRow="1" firstDataRow="2" firstDataCol="1"/>
  <pivotFields count="16">
    <pivotField name="PO NO" compact="0" outline="0" multipleItemSelectionAllowed="1" showAll="0"/>
    <pivotField name="PO Date" compact="0" outline="0" multipleItemSelectionAllowed="1" showAll="0"/>
    <pivotField name="Purcahse From" compact="0" outline="0" multipleItemSelectionAllowed="1" showAll="0"/>
    <pivotField name="Invoice No" compact="0" outline="0" multipleItemSelectionAllowed="1" showAll="0"/>
    <pivotField name="Invoice Date" compact="0" outline="0" multipleItemSelectionAllowed="1" showAll="0"/>
    <pivotField name="Month" axis="axisCol" compact="0" numFmtId="165" outline="0" multipleItemSelectionAllowed="1" showAll="0" sortType="ascending">
      <items count="29">
        <item m="1" x="23"/>
        <item m="1" x="24"/>
        <item m="1" x="25"/>
        <item m="1" x="26"/>
        <item m="1" x="27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8"/>
        <item m="1" x="4"/>
        <item m="1" x="5"/>
        <item m="1" x="6"/>
        <item m="1" x="9"/>
        <item m="1" x="7"/>
        <item x="0"/>
        <item x="1"/>
        <item x="2"/>
        <item x="3"/>
        <item t="default"/>
      </items>
    </pivotField>
    <pivotField name="Item" compact="0" outline="0" multipleItemSelectionAllowed="1" showAll="0"/>
    <pivotField name="Qty" compact="0" outline="0" multipleItemSelectionAllowed="1" showAll="0"/>
    <pivotField name="Rate" compact="0" outline="0" multipleItemSelectionAllowed="1" showAll="0"/>
    <pivotField name="AMOUNT" compact="0" outline="0" multipleItemSelectionAllowed="1" showAll="0"/>
    <pivotField name="Delivered at" axis="axisRow" compact="0" outline="0" multipleItemSelectionAllowed="1" showAll="0" sortType="ascending">
      <items count="24">
        <item m="1" x="20"/>
        <item m="1" x="11"/>
        <item x="4"/>
        <item m="1" x="22"/>
        <item x="6"/>
        <item x="7"/>
        <item x="8"/>
        <item m="1" x="12"/>
        <item m="1" x="10"/>
        <item x="2"/>
        <item x="3"/>
        <item m="1" x="21"/>
        <item m="1" x="13"/>
        <item m="1" x="16"/>
        <item m="1" x="19"/>
        <item x="5"/>
        <item x="1"/>
        <item m="1" x="17"/>
        <item x="0"/>
        <item m="1" x="14"/>
        <item m="1" x="18"/>
        <item m="1" x="15"/>
        <item x="9"/>
        <item t="default"/>
      </items>
    </pivotField>
    <pivotField name="Delivered Item" compact="0" outline="0" multipleItemSelectionAllowed="1" showAll="0"/>
    <pivotField name="Delivered Qty" dataField="1" compact="0" outline="0" multipleItemSelectionAllowed="1" showAll="0"/>
    <pivotField name="Dilvery Challan Number" compact="0" outline="0" multipleItemSelectionAllowed="1" showAll="0"/>
    <pivotField name="GRN document received" compact="0" outline="0" multipleItemSelectionAllowed="1" showAll="0"/>
    <pivotField name="Delivered date" compact="0" outline="0" multipleItemSelectionAllowed="1" showAll="0"/>
  </pivotFields>
  <rowFields count="1">
    <field x="10"/>
  </rowFields>
  <rowItems count="11">
    <i>
      <x v="2"/>
    </i>
    <i>
      <x v="4"/>
    </i>
    <i>
      <x v="5"/>
    </i>
    <i>
      <x v="6"/>
    </i>
    <i>
      <x v="9"/>
    </i>
    <i>
      <x v="10"/>
    </i>
    <i>
      <x v="15"/>
    </i>
    <i>
      <x v="16"/>
    </i>
    <i>
      <x v="18"/>
    </i>
    <i>
      <x v="22"/>
    </i>
    <i t="grand">
      <x/>
    </i>
  </rowItems>
  <colFields count="1">
    <field x="5"/>
  </colFields>
  <colItems count="5">
    <i>
      <x v="24"/>
    </i>
    <i>
      <x v="25"/>
    </i>
    <i>
      <x v="26"/>
    </i>
    <i>
      <x v="27"/>
    </i>
    <i t="grand">
      <x/>
    </i>
  </colItems>
  <dataFields count="1">
    <dataField name="SUM of Delivered Qty" fld="12" baseField="0"/>
  </dataField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A0E6AF-B64B-404B-AF0E-FFA8B5C08107}" name="Table2" displayName="Table2" ref="A1:T21" totalsRowCount="1" headerRowDxfId="86" dataDxfId="84" headerRowBorderDxfId="85" tableBorderDxfId="83" totalsRowBorderDxfId="82">
  <autoFilter ref="A1:T20" xr:uid="{A8A0E6AF-B64B-404B-AF0E-FFA8B5C08107}"/>
  <tableColumns count="20">
    <tableColumn id="1" xr3:uid="{2C03159B-9F2C-43C4-A8A7-949D41A9B684}" name="PO NO" dataDxfId="81" totalsRowDxfId="80"/>
    <tableColumn id="2" xr3:uid="{EA84EB82-A9B0-4F17-A1E6-F8219B74E7F3}" name="PO Date" dataDxfId="79" totalsRowDxfId="78"/>
    <tableColumn id="3" xr3:uid="{12E9E8D8-F845-4C24-9473-91608B873346}" name="Purcahse From" dataDxfId="77" totalsRowDxfId="76"/>
    <tableColumn id="4" xr3:uid="{8B33FC8E-823E-4A40-8019-E9E6B523018D}" name="Invoice No" dataDxfId="75" totalsRowDxfId="74"/>
    <tableColumn id="5" xr3:uid="{267E8F1B-6516-44E9-99D3-28E9E06C2107}" name="Invoice Date" dataDxfId="73" totalsRowDxfId="72"/>
    <tableColumn id="6" xr3:uid="{5CE5C208-1491-4073-84A8-E682A3DF3C8A}" name="Month" dataDxfId="71" totalsRowDxfId="70"/>
    <tableColumn id="7" xr3:uid="{2F344616-3B76-403F-B1D7-C161FA72ADEE}" name="Item" dataDxfId="69" totalsRowDxfId="68"/>
    <tableColumn id="8" xr3:uid="{B557F72E-28CB-477C-AFE6-F85FCE25FF16}" name="Qty" totalsRowFunction="sum" dataDxfId="67" totalsRowDxfId="66"/>
    <tableColumn id="9" xr3:uid="{2E2BFB23-ACA3-42D9-987B-437AF701C1FB}" name="Rate" dataDxfId="65" totalsRowDxfId="64"/>
    <tableColumn id="10" xr3:uid="{C26A6C8B-0947-4F1E-A6B0-0AB8D8EDEDA1}" name="AMOUNT" totalsRowFunction="sum" dataDxfId="63" totalsRowDxfId="62">
      <calculatedColumnFormula>Table2[[#This Row],[Qty]]*Table2[[#This Row],[Rate]]</calculatedColumnFormula>
    </tableColumn>
    <tableColumn id="11" xr3:uid="{505C8B4D-CA96-472D-A26C-BBACFF42918F}" name="Delivered at" dataDxfId="61" totalsRowDxfId="60"/>
    <tableColumn id="12" xr3:uid="{02F8337A-D5FD-49E2-ABCC-B3C865AB1C90}" name="Delivered Item" dataDxfId="59" totalsRowDxfId="58"/>
    <tableColumn id="13" xr3:uid="{552BADBC-C44D-41C2-BF60-FFE8BEC9639E}" name="Delivered Qty" dataDxfId="57" totalsRowDxfId="56"/>
    <tableColumn id="14" xr3:uid="{1F98AF89-2859-400C-87D7-A148A20862EC}" name="Dilvery Challan Number" dataDxfId="55" totalsRowDxfId="54"/>
    <tableColumn id="15" xr3:uid="{9D156BD5-02A3-4B85-96C8-4683E07DAC3E}" name="GRN document received" dataDxfId="53" totalsRowDxfId="52"/>
    <tableColumn id="16" xr3:uid="{514B9E70-20B7-4F1D-90D6-8FE2570ADC98}" name="Delivered date" dataDxfId="51" totalsRowDxfId="50"/>
    <tableColumn id="17" xr3:uid="{62883A91-5D82-4865-8046-2546E6FC8591}" name="TCS" dataDxfId="49" totalsRowDxfId="48">
      <calculatedColumnFormula>ROUND(J2*0.1/100,0)</calculatedColumnFormula>
    </tableColumn>
    <tableColumn id="18" xr3:uid="{40EC6317-279E-49AB-95F4-804315166B8C}" name="Payment Amount" dataDxfId="47" totalsRowDxfId="46"/>
    <tableColumn id="19" xr3:uid="{FB0945A9-80F0-4F8A-AF32-B0208A6DD07B}" name="Payment Date" dataDxfId="45" totalsRowDxfId="44"/>
    <tableColumn id="20" xr3:uid="{BD5E700C-6E15-4FE1-B7FE-8C289DB482E2}" name="Balance" totalsRowFunction="sum" dataDxfId="43" totalsRowDxfId="42">
      <calculatedColumnFormula>J2-R2-Q2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EA79D-4A7B-4FA5-B0DA-C37E86051CD4}" name="Table1" displayName="Table1" ref="A1:S137" totalsRowShown="0" headerRowDxfId="41" headerRowBorderDxfId="40" tableBorderDxfId="39">
  <autoFilter ref="A1:S137" xr:uid="{607EA79D-4A7B-4FA5-B0DA-C37E86051CD4}">
    <filterColumn colId="16">
      <filters>
        <filter val="11877"/>
        <filter val="12500"/>
        <filter val="1952"/>
        <filter val="2039"/>
        <filter val="2500"/>
        <filter val="2544"/>
        <filter val="260"/>
        <filter val="2774"/>
        <filter val="3750"/>
        <filter val="5000"/>
        <filter val="591"/>
        <filter val="6250"/>
        <filter val="67"/>
        <filter val="795"/>
        <filter val="8823"/>
      </filters>
    </filterColumn>
    <filterColumn colId="18">
      <filters>
        <filter val="19"/>
        <filter val="22"/>
        <filter val="24"/>
        <filter val="46"/>
        <filter val="47"/>
        <filter val="54"/>
        <filter val="63"/>
        <filter val="74"/>
      </filters>
    </filterColumn>
  </autoFilter>
  <tableColumns count="19">
    <tableColumn id="1" xr3:uid="{62DD7286-5C43-4C70-980C-9ECD81FBE672}" name="Date" dataDxfId="38"/>
    <tableColumn id="2" xr3:uid="{6BE37C92-61D5-4CCE-B3AF-7B30AF6062A0}" name="Godown" dataDxfId="37"/>
    <tableColumn id="3" xr3:uid="{BA70F2CA-B0EB-4AC5-AB5A-EFA8C83BF41F}" name="MPG Name" dataDxfId="36"/>
    <tableColumn id="5" xr3:uid="{745C321A-CEBC-45BE-BF27-6C9D7F87331D}" name="New Code" dataDxfId="35"/>
    <tableColumn id="6" xr3:uid="{6D1E2154-64A2-4911-959A-E8267CB08227}" name="Name of Product" dataDxfId="34"/>
    <tableColumn id="7" xr3:uid="{48DD793A-8D73-40D9-9CDB-DCEF73667460}" name="Qty Sold" dataDxfId="33"/>
    <tableColumn id="8" xr3:uid="{75BBA9CA-81DB-478C-9CB7-B1E4DCC32530}" name="Rate" dataDxfId="32"/>
    <tableColumn id="9" xr3:uid="{7F0A72B7-0B4B-4CD8-A24F-AB6FCB79DADE}" name="Sales Amount" dataDxfId="31">
      <calculatedColumnFormula>Table1[[#This Row],[Qty Sold]]*Table1[[#This Row],[Rate]]</calculatedColumnFormula>
    </tableColumn>
    <tableColumn id="10" xr3:uid="{83A87446-E9A1-4B1A-8F93-D2916A98744A}" name="Sale Type" dataDxfId="30"/>
    <tableColumn id="11" xr3:uid="{D6F5E7A9-F708-436A-8812-FD1E4250B6F3}" name="Salesman Name" dataDxfId="29"/>
    <tableColumn id="12" xr3:uid="{EEADDFC7-61B3-4FED-BAC8-4DA4536AD51F}" name="Challan Number" dataDxfId="28"/>
    <tableColumn id="13" xr3:uid="{A11D0C71-038B-4216-AA7F-AB7825389512}" name="Month" dataDxfId="27">
      <calculatedColumnFormula>TEXT(A2,"mmm-yy")</calculatedColumnFormula>
    </tableColumn>
    <tableColumn id="14" xr3:uid="{4A454CF2-677B-4063-B265-40FC8F0C59BC}" name="Mode" dataDxfId="26"/>
    <tableColumn id="15" xr3:uid="{1BB06F79-F82A-4179-BD29-741A3B86E3A4}" name="Cycle" dataDxfId="25"/>
    <tableColumn id="16" xr3:uid="{DD044669-A3C6-4EDB-94EB-14F23F20EF16}" name="Deduction Date" dataDxfId="24"/>
    <tableColumn id="17" xr3:uid="{4FC5258F-0F65-420B-88A7-C7A85470D95D}" name="Payment Amt" dataDxfId="23"/>
    <tableColumn id="18" xr3:uid="{4932A430-A06C-49DB-8433-EA83E79172C1}" name="Dues" dataDxfId="22">
      <calculatedColumnFormula>H2-P2</calculatedColumnFormula>
    </tableColumn>
    <tableColumn id="19" xr3:uid="{A0932447-2E29-49BA-A245-49769508CB40}" name="Remarks" dataDxfId="21"/>
    <tableColumn id="20" xr3:uid="{3221698E-B192-4F96-A54D-7D82A83D071E}" name="Ageing" dataDxfId="20">
      <calculatedColumnFormula>IF(Q2&lt;=0,0,(TODAY()-A2))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B127B-A681-4706-A20B-4D8A540E54B6}" name="Table3" displayName="Table3" ref="A1:Q361" totalsRowShown="0" headerRowDxfId="168" dataDxfId="166" headerRowBorderDxfId="167" tableBorderDxfId="165">
  <autoFilter ref="A1:Q361" xr:uid="{4F7B127B-A681-4706-A20B-4D8A540E54B6}">
    <filterColumn colId="15">
      <filters blank="1"/>
    </filterColumn>
  </autoFilter>
  <sortState xmlns:xlrd2="http://schemas.microsoft.com/office/spreadsheetml/2017/richdata2" ref="A203:Q220">
    <sortCondition ref="O1:O223"/>
  </sortState>
  <tableColumns count="17">
    <tableColumn id="1" xr3:uid="{A9D71A31-E3A1-418B-88D2-96788E3AA02B}" name="Month" dataDxfId="164"/>
    <tableColumn id="2" xr3:uid="{581C782A-8B8B-406B-BA29-E3B5007E0603}" name="Date" dataDxfId="163"/>
    <tableColumn id="3" xr3:uid="{416278D5-0971-45CB-BFBA-564AD12213A3}" name="Cycle" dataDxfId="162"/>
    <tableColumn id="4" xr3:uid="{3031725A-F315-41E2-9A14-A9964E0334D9}" name="Product" dataDxfId="161"/>
    <tableColumn id="5" xr3:uid="{1FFB6FA3-BC32-48F2-849C-D6EEE01EDBDF}" name="MPG Code" dataDxfId="160"/>
    <tableColumn id="6" xr3:uid="{2C280203-83B7-49D5-B154-35B77A047434}" name="MPG Name" dataDxfId="159"/>
    <tableColumn id="7" xr3:uid="{5438022F-D2CC-41FC-B112-C49C2D685812}" name="Farmer code" dataDxfId="158"/>
    <tableColumn id="8" xr3:uid="{D4E0C8CF-C869-4688-AC11-4A26768F1EC6}" name="Farmer Name" dataDxfId="157"/>
    <tableColumn id="9" xr3:uid="{27F576FD-FFBD-4613-9FFC-092F82AC982B}" name="BMC Name" dataDxfId="156"/>
    <tableColumn id="10" xr3:uid="{52D2CF31-1F7A-428C-A0A6-E04F179D4EB4}" name="CSP" dataDxfId="155"/>
    <tableColumn id="11" xr3:uid="{CC0BAB10-2B73-4653-AA10-47559CC9A4FF}" name="Deliver Qty" dataDxfId="154"/>
    <tableColumn id="12" xr3:uid="{C4710319-FC22-4E79-9720-C224C92F74AF}" name="Rate" dataDxfId="153"/>
    <tableColumn id="13" xr3:uid="{707FACEF-E27F-4BDF-89CE-5BEABF622227}" name="Deliver Value" dataDxfId="152"/>
    <tableColumn id="14" xr3:uid="{2A3407BC-1283-473F-93E0-F7081F75AB2F}" name="Challen No" dataDxfId="151"/>
    <tableColumn id="15" xr3:uid="{4CE6A104-7D74-4F63-9BBD-583D93DB3194}" name="Remark" dataDxfId="150"/>
    <tableColumn id="16" xr3:uid="{5EC97136-4CDE-4B8C-91DA-6D44FBE80408}" name="Column1" dataDxfId="149"/>
    <tableColumn id="18" xr3:uid="{26B9E440-A36A-414F-A5C9-8BC721800699}" name="Column2" dataDxfId="148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E42"/>
  <sheetViews>
    <sheetView showGridLines="0" zoomScale="90" zoomScaleNormal="9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B18" sqref="B18:N34"/>
    </sheetView>
  </sheetViews>
  <sheetFormatPr defaultColWidth="12.7109375" defaultRowHeight="12.75" zeroHeight="1" x14ac:dyDescent="0.2"/>
  <cols>
    <col min="1" max="1" width="2.28515625" style="81" customWidth="1"/>
    <col min="2" max="2" width="12.28515625" style="81" customWidth="1"/>
    <col min="3" max="3" width="9.140625" style="81" customWidth="1"/>
    <col min="4" max="4" width="8.7109375" style="81" customWidth="1"/>
    <col min="5" max="5" width="9.140625" style="81" customWidth="1"/>
    <col min="6" max="6" width="7.7109375" style="81" customWidth="1"/>
    <col min="7" max="7" width="10.85546875" style="81" bestFit="1" customWidth="1"/>
    <col min="8" max="8" width="14.5703125" style="81" bestFit="1" customWidth="1"/>
    <col min="9" max="9" width="6" style="81" bestFit="1" customWidth="1"/>
    <col min="10" max="10" width="5.5703125" style="81" bestFit="1" customWidth="1"/>
    <col min="11" max="12" width="6" style="81" bestFit="1" customWidth="1"/>
    <col min="13" max="13" width="10.140625" style="81" bestFit="1" customWidth="1"/>
    <col min="14" max="14" width="7.7109375" style="81" customWidth="1"/>
    <col min="15" max="19" width="10.140625" style="81" customWidth="1"/>
    <col min="20" max="20" width="16.28515625" style="81" customWidth="1"/>
    <col min="21" max="21" width="7" style="81" customWidth="1"/>
    <col min="22" max="22" width="10.140625" style="81" bestFit="1" customWidth="1"/>
    <col min="23" max="23" width="13.28515625" style="81" customWidth="1"/>
    <col min="24" max="25" width="12.7109375" style="81" customWidth="1"/>
    <col min="26" max="26" width="9.5703125" style="81" customWidth="1"/>
    <col min="27" max="27" width="12.7109375" style="81" customWidth="1"/>
    <col min="28" max="28" width="24.28515625" style="81" customWidth="1"/>
    <col min="29" max="29" width="14.140625" style="81" bestFit="1" customWidth="1"/>
    <col min="30" max="31" width="12.7109375" style="81" hidden="1" customWidth="1"/>
    <col min="32" max="16384" width="12.7109375" style="81"/>
  </cols>
  <sheetData>
    <row r="1" spans="1:31" x14ac:dyDescent="0.2">
      <c r="A1" s="80"/>
      <c r="B1" s="273" t="s">
        <v>123</v>
      </c>
      <c r="C1" s="273"/>
      <c r="D1" s="273"/>
      <c r="E1" s="273"/>
      <c r="F1" s="80"/>
      <c r="G1" s="273" t="s">
        <v>69</v>
      </c>
      <c r="H1" s="273"/>
      <c r="I1" s="273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80"/>
      <c r="AC1" s="269" t="s">
        <v>58</v>
      </c>
      <c r="AD1" s="79" t="s">
        <v>60</v>
      </c>
      <c r="AE1" s="82"/>
    </row>
    <row r="2" spans="1:31" hidden="1" x14ac:dyDescent="0.2">
      <c r="A2" s="80"/>
      <c r="B2" s="287"/>
      <c r="C2" s="288" t="s">
        <v>61</v>
      </c>
      <c r="D2" s="287"/>
      <c r="E2" s="287"/>
      <c r="F2" s="80"/>
      <c r="G2" s="269" t="s">
        <v>63</v>
      </c>
      <c r="H2" s="269" t="s">
        <v>62</v>
      </c>
      <c r="I2" s="79"/>
      <c r="J2" s="79"/>
      <c r="K2" s="79"/>
      <c r="L2" s="79"/>
      <c r="M2" s="79"/>
      <c r="N2" s="79"/>
      <c r="O2" s="79"/>
      <c r="P2"/>
      <c r="Q2"/>
      <c r="R2"/>
      <c r="S2"/>
      <c r="T2"/>
      <c r="U2"/>
      <c r="V2"/>
      <c r="AC2" s="273" t="s">
        <v>73</v>
      </c>
      <c r="AD2" s="273"/>
      <c r="AE2" s="273"/>
    </row>
    <row r="3" spans="1:31" x14ac:dyDescent="0.2">
      <c r="A3" s="80"/>
      <c r="B3" s="288" t="s">
        <v>0</v>
      </c>
      <c r="C3" s="287" t="s">
        <v>1</v>
      </c>
      <c r="D3" s="287" t="s">
        <v>2</v>
      </c>
      <c r="E3" s="287" t="s">
        <v>63</v>
      </c>
      <c r="F3" s="80"/>
      <c r="G3" s="269" t="s">
        <v>0</v>
      </c>
      <c r="H3" s="79" t="s">
        <v>146</v>
      </c>
      <c r="I3" s="79" t="s">
        <v>172</v>
      </c>
      <c r="J3" s="79" t="s">
        <v>270</v>
      </c>
      <c r="K3" s="79" t="s">
        <v>304</v>
      </c>
      <c r="L3" s="79" t="s">
        <v>276</v>
      </c>
      <c r="M3" s="82" t="s">
        <v>9</v>
      </c>
      <c r="N3" s="82"/>
      <c r="O3" s="82"/>
      <c r="P3"/>
      <c r="Q3" s="281" t="s">
        <v>85</v>
      </c>
      <c r="R3" s="281"/>
      <c r="S3" s="281"/>
      <c r="T3" s="281"/>
      <c r="U3"/>
      <c r="V3"/>
      <c r="AC3" s="270" t="s">
        <v>71</v>
      </c>
      <c r="AD3" s="82" t="s">
        <v>17</v>
      </c>
      <c r="AE3" s="82" t="s">
        <v>70</v>
      </c>
    </row>
    <row r="4" spans="1:31" x14ac:dyDescent="0.2">
      <c r="A4" s="80"/>
      <c r="B4" s="287" t="s">
        <v>95</v>
      </c>
      <c r="C4" s="289">
        <v>180000</v>
      </c>
      <c r="D4" s="289">
        <v>177433</v>
      </c>
      <c r="E4" s="289">
        <v>2567</v>
      </c>
      <c r="F4" s="80"/>
      <c r="G4" s="194" t="s">
        <v>95</v>
      </c>
      <c r="H4" s="82">
        <v>0</v>
      </c>
      <c r="I4" s="82">
        <v>2500</v>
      </c>
      <c r="J4" s="82">
        <v>67</v>
      </c>
      <c r="K4" s="82"/>
      <c r="L4" s="82"/>
      <c r="M4" s="82">
        <v>2567</v>
      </c>
      <c r="N4" s="82"/>
      <c r="O4" s="82"/>
      <c r="P4"/>
      <c r="Q4" s="275"/>
      <c r="R4" s="275"/>
      <c r="S4" s="275"/>
      <c r="T4" s="275"/>
      <c r="U4" s="83"/>
      <c r="V4" s="84"/>
      <c r="AC4" s="194" t="s">
        <v>88</v>
      </c>
      <c r="AD4" s="79">
        <v>18</v>
      </c>
      <c r="AE4" s="79">
        <v>29360</v>
      </c>
    </row>
    <row r="5" spans="1:31" x14ac:dyDescent="0.2">
      <c r="A5" s="80"/>
      <c r="B5" s="287" t="s">
        <v>124</v>
      </c>
      <c r="C5" s="289">
        <v>143750</v>
      </c>
      <c r="D5" s="289">
        <v>124091</v>
      </c>
      <c r="E5" s="289">
        <v>19659</v>
      </c>
      <c r="F5" s="80"/>
      <c r="G5" s="194" t="s">
        <v>124</v>
      </c>
      <c r="H5" s="82">
        <v>9024</v>
      </c>
      <c r="I5" s="82"/>
      <c r="J5" s="82"/>
      <c r="K5" s="82">
        <v>8091</v>
      </c>
      <c r="L5" s="82">
        <v>2544</v>
      </c>
      <c r="M5" s="82">
        <v>19659</v>
      </c>
      <c r="N5" s="82"/>
      <c r="O5" s="82"/>
      <c r="P5"/>
      <c r="Q5" s="275"/>
      <c r="R5" s="275"/>
      <c r="S5" s="275"/>
      <c r="T5" s="275"/>
      <c r="U5"/>
      <c r="V5"/>
      <c r="AC5" s="194" t="s">
        <v>87</v>
      </c>
      <c r="AD5" s="79">
        <v>80</v>
      </c>
      <c r="AE5" s="79">
        <v>96000</v>
      </c>
    </row>
    <row r="6" spans="1:31" x14ac:dyDescent="0.2">
      <c r="A6" s="80"/>
      <c r="B6" s="287" t="s">
        <v>92</v>
      </c>
      <c r="C6" s="289">
        <v>50000</v>
      </c>
      <c r="D6" s="289">
        <v>50000</v>
      </c>
      <c r="E6" s="289">
        <v>0</v>
      </c>
      <c r="F6" s="80"/>
      <c r="G6" s="194" t="s">
        <v>92</v>
      </c>
      <c r="H6" s="82">
        <v>0</v>
      </c>
      <c r="I6" s="82"/>
      <c r="J6" s="82"/>
      <c r="K6" s="82"/>
      <c r="L6" s="82"/>
      <c r="M6" s="82">
        <v>0</v>
      </c>
      <c r="N6" s="82"/>
      <c r="O6" s="82"/>
      <c r="P6"/>
      <c r="Q6" s="275"/>
      <c r="R6" s="275"/>
      <c r="S6" s="275"/>
      <c r="T6" s="275"/>
      <c r="U6"/>
      <c r="V6"/>
      <c r="AC6" s="194" t="s">
        <v>95</v>
      </c>
      <c r="AD6" s="79">
        <v>2</v>
      </c>
      <c r="AE6" s="79">
        <v>835</v>
      </c>
    </row>
    <row r="7" spans="1:31" x14ac:dyDescent="0.2">
      <c r="A7" s="80"/>
      <c r="B7" s="287" t="s">
        <v>93</v>
      </c>
      <c r="C7" s="289">
        <v>225000</v>
      </c>
      <c r="D7" s="289">
        <v>200000</v>
      </c>
      <c r="E7" s="289">
        <v>25000</v>
      </c>
      <c r="F7" s="80"/>
      <c r="G7" s="194" t="s">
        <v>93</v>
      </c>
      <c r="H7" s="82">
        <v>0</v>
      </c>
      <c r="I7" s="82">
        <v>12500</v>
      </c>
      <c r="J7" s="82"/>
      <c r="K7" s="82">
        <v>12500</v>
      </c>
      <c r="L7" s="82"/>
      <c r="M7" s="82">
        <v>25000</v>
      </c>
      <c r="N7" s="82"/>
      <c r="O7" s="82"/>
      <c r="P7"/>
      <c r="Q7" s="275"/>
      <c r="R7" s="275"/>
      <c r="S7" s="275"/>
      <c r="T7" s="275"/>
      <c r="U7"/>
      <c r="V7"/>
      <c r="AC7" s="194" t="s">
        <v>91</v>
      </c>
      <c r="AD7" s="79">
        <v>3</v>
      </c>
      <c r="AE7" s="79">
        <v>3750</v>
      </c>
    </row>
    <row r="8" spans="1:31" x14ac:dyDescent="0.2">
      <c r="A8" s="80"/>
      <c r="B8" s="287" t="s">
        <v>89</v>
      </c>
      <c r="C8" s="289">
        <v>13750</v>
      </c>
      <c r="D8" s="289">
        <v>13750</v>
      </c>
      <c r="E8" s="289">
        <v>0</v>
      </c>
      <c r="F8" s="80"/>
      <c r="G8" s="194" t="s">
        <v>89</v>
      </c>
      <c r="H8" s="82">
        <v>0</v>
      </c>
      <c r="I8" s="82"/>
      <c r="J8" s="82"/>
      <c r="K8" s="82"/>
      <c r="L8" s="82"/>
      <c r="M8" s="82">
        <v>0</v>
      </c>
      <c r="N8" s="82"/>
      <c r="O8" s="82"/>
      <c r="P8"/>
      <c r="Q8" s="275"/>
      <c r="R8" s="275"/>
      <c r="S8" s="275"/>
      <c r="T8" s="275"/>
      <c r="U8"/>
      <c r="V8"/>
      <c r="AC8" s="194" t="s">
        <v>94</v>
      </c>
      <c r="AD8" s="79">
        <v>60</v>
      </c>
      <c r="AE8" s="79">
        <v>37926</v>
      </c>
    </row>
    <row r="9" spans="1:31" x14ac:dyDescent="0.2">
      <c r="A9" s="80"/>
      <c r="B9" s="287" t="s">
        <v>87</v>
      </c>
      <c r="C9" s="289">
        <v>420000</v>
      </c>
      <c r="D9" s="289">
        <v>420000</v>
      </c>
      <c r="E9" s="289">
        <v>0</v>
      </c>
      <c r="F9" s="80"/>
      <c r="G9" s="194" t="s">
        <v>87</v>
      </c>
      <c r="H9" s="82">
        <v>0</v>
      </c>
      <c r="I9" s="82"/>
      <c r="J9" s="82"/>
      <c r="K9" s="82"/>
      <c r="L9" s="82"/>
      <c r="M9" s="82">
        <v>0</v>
      </c>
      <c r="N9" s="82"/>
      <c r="O9" s="82"/>
      <c r="P9"/>
      <c r="Q9" s="275"/>
      <c r="R9" s="275"/>
      <c r="S9" s="275"/>
      <c r="T9" s="275"/>
      <c r="U9"/>
      <c r="V9"/>
      <c r="AC9" s="194" t="s">
        <v>93</v>
      </c>
      <c r="AD9" s="79">
        <v>30</v>
      </c>
      <c r="AE9" s="79">
        <v>37500</v>
      </c>
    </row>
    <row r="10" spans="1:31" s="88" customFormat="1" x14ac:dyDescent="0.2">
      <c r="A10" s="85"/>
      <c r="B10" s="287" t="s">
        <v>91</v>
      </c>
      <c r="C10" s="289">
        <v>63750</v>
      </c>
      <c r="D10" s="289">
        <v>60455</v>
      </c>
      <c r="E10" s="289">
        <v>3295</v>
      </c>
      <c r="F10" s="85"/>
      <c r="G10" s="194" t="s">
        <v>91</v>
      </c>
      <c r="H10" s="82">
        <v>0</v>
      </c>
      <c r="I10" s="82">
        <v>3295</v>
      </c>
      <c r="J10" s="82"/>
      <c r="K10" s="82"/>
      <c r="L10" s="82"/>
      <c r="M10" s="82">
        <v>3295</v>
      </c>
      <c r="N10" s="86"/>
      <c r="O10" s="86"/>
      <c r="P10" s="87"/>
      <c r="Q10" s="274"/>
      <c r="R10" s="274"/>
      <c r="S10" s="274"/>
      <c r="T10" s="274"/>
      <c r="U10" s="87"/>
      <c r="V10" s="87"/>
      <c r="AC10" s="194" t="s">
        <v>99</v>
      </c>
      <c r="AD10" s="79">
        <v>15</v>
      </c>
      <c r="AE10" s="79">
        <v>15994</v>
      </c>
    </row>
    <row r="11" spans="1:31" x14ac:dyDescent="0.2">
      <c r="A11" s="80"/>
      <c r="B11" s="287" t="s">
        <v>88</v>
      </c>
      <c r="C11" s="289">
        <v>286250</v>
      </c>
      <c r="D11" s="289">
        <v>231299</v>
      </c>
      <c r="E11" s="289">
        <v>54951</v>
      </c>
      <c r="F11" s="80"/>
      <c r="G11" s="194" t="s">
        <v>88</v>
      </c>
      <c r="H11" s="82">
        <v>2039</v>
      </c>
      <c r="I11" s="82">
        <v>31589</v>
      </c>
      <c r="J11" s="82"/>
      <c r="K11" s="82">
        <v>12500</v>
      </c>
      <c r="L11" s="82">
        <v>8823</v>
      </c>
      <c r="M11" s="82">
        <v>54951</v>
      </c>
      <c r="N11" s="82"/>
      <c r="O11" s="82"/>
      <c r="P11"/>
      <c r="Q11" s="274"/>
      <c r="R11" s="274"/>
      <c r="S11" s="274"/>
      <c r="T11" s="274"/>
      <c r="U11"/>
      <c r="V11"/>
      <c r="AC11" s="194" t="s">
        <v>124</v>
      </c>
      <c r="AD11" s="79">
        <v>25</v>
      </c>
      <c r="AE11" s="79">
        <v>15987</v>
      </c>
    </row>
    <row r="12" spans="1:31" x14ac:dyDescent="0.2">
      <c r="A12" s="80"/>
      <c r="B12" s="287" t="s">
        <v>99</v>
      </c>
      <c r="C12" s="289">
        <v>50000</v>
      </c>
      <c r="D12" s="289">
        <v>50000</v>
      </c>
      <c r="E12" s="289">
        <v>0</v>
      </c>
      <c r="F12" s="80"/>
      <c r="G12" s="194" t="s">
        <v>99</v>
      </c>
      <c r="H12" s="82">
        <v>0</v>
      </c>
      <c r="I12" s="82"/>
      <c r="J12" s="82"/>
      <c r="K12" s="82"/>
      <c r="L12" s="82"/>
      <c r="M12" s="82">
        <v>0</v>
      </c>
      <c r="N12" s="82"/>
      <c r="O12" s="82"/>
      <c r="P12"/>
      <c r="Q12" s="275"/>
      <c r="R12" s="275"/>
      <c r="S12" s="275"/>
      <c r="T12" s="275"/>
      <c r="U12"/>
      <c r="V12"/>
      <c r="AC12" s="194" t="s">
        <v>284</v>
      </c>
      <c r="AD12" s="79">
        <v>0</v>
      </c>
      <c r="AE12" s="79">
        <v>6437</v>
      </c>
    </row>
    <row r="13" spans="1:31" x14ac:dyDescent="0.2">
      <c r="A13" s="80"/>
      <c r="B13" s="287" t="s">
        <v>9</v>
      </c>
      <c r="C13" s="289">
        <v>1432500</v>
      </c>
      <c r="D13" s="289">
        <v>1327028</v>
      </c>
      <c r="E13" s="289">
        <v>105472</v>
      </c>
      <c r="F13" s="80"/>
      <c r="G13" s="194" t="s">
        <v>9</v>
      </c>
      <c r="H13" s="82">
        <v>11063</v>
      </c>
      <c r="I13" s="82">
        <v>49884</v>
      </c>
      <c r="J13" s="82">
        <v>67</v>
      </c>
      <c r="K13" s="82">
        <v>33091</v>
      </c>
      <c r="L13" s="82">
        <v>11367</v>
      </c>
      <c r="M13" s="82">
        <v>105472</v>
      </c>
      <c r="N13" s="82"/>
      <c r="O13" s="82"/>
      <c r="P13"/>
      <c r="Q13" s="275"/>
      <c r="R13" s="275"/>
      <c r="S13" s="275"/>
      <c r="T13" s="275"/>
      <c r="U13"/>
      <c r="V13"/>
      <c r="AC13" s="194" t="s">
        <v>9</v>
      </c>
      <c r="AD13" s="79">
        <v>233</v>
      </c>
      <c r="AE13" s="79">
        <v>243789</v>
      </c>
    </row>
    <row r="14" spans="1:31" x14ac:dyDescent="0.2">
      <c r="A14" s="80"/>
      <c r="B14"/>
      <c r="C14"/>
      <c r="D14"/>
      <c r="E14"/>
      <c r="F14" s="80"/>
      <c r="G14"/>
      <c r="H14"/>
      <c r="I14"/>
      <c r="J14"/>
      <c r="K14"/>
      <c r="L14"/>
      <c r="M14"/>
      <c r="N14" s="82"/>
      <c r="O14" s="82"/>
      <c r="P14" s="82"/>
      <c r="Q14" s="275"/>
      <c r="R14" s="275"/>
      <c r="S14" s="275"/>
      <c r="T14" s="275"/>
      <c r="U14" s="80"/>
      <c r="AC14"/>
      <c r="AD14"/>
      <c r="AE14"/>
    </row>
    <row r="15" spans="1:31" x14ac:dyDescent="0.2">
      <c r="A15" s="80"/>
      <c r="B15"/>
      <c r="C15"/>
      <c r="D15"/>
      <c r="E15"/>
      <c r="F15" s="80"/>
      <c r="G15"/>
      <c r="H15"/>
      <c r="I15"/>
      <c r="J15"/>
      <c r="K15"/>
      <c r="L15"/>
      <c r="M15"/>
      <c r="U15" s="80"/>
    </row>
    <row r="16" spans="1:31" x14ac:dyDescent="0.2">
      <c r="A16" s="80"/>
      <c r="B16"/>
      <c r="C16"/>
      <c r="D16"/>
      <c r="E16"/>
      <c r="F16" s="80"/>
      <c r="G16"/>
      <c r="H16"/>
      <c r="I16"/>
      <c r="J16"/>
      <c r="K16"/>
      <c r="L16"/>
      <c r="M16"/>
      <c r="U16" s="80"/>
    </row>
    <row r="17" spans="1:21" ht="13.5" thickBot="1" x14ac:dyDescent="0.25">
      <c r="A17" s="80"/>
      <c r="B17" s="79"/>
      <c r="C17" s="79"/>
      <c r="D17" s="79"/>
      <c r="E17" s="79"/>
      <c r="F17" s="80"/>
      <c r="G17" s="194"/>
      <c r="H17" s="82"/>
      <c r="I17" s="82"/>
      <c r="J17" s="82"/>
      <c r="K17" s="82"/>
      <c r="L17" s="82"/>
      <c r="U17" s="80"/>
    </row>
    <row r="18" spans="1:21" ht="13.5" thickBot="1" x14ac:dyDescent="0.25">
      <c r="A18" s="80"/>
      <c r="B18" s="278" t="str">
        <f ca="1">"Stock as on Date"&amp;"  "&amp;TEXT(TODAY(),"dd-mm-yyyy")</f>
        <v>Stock as on Date  19-05-2026</v>
      </c>
      <c r="C18" s="279"/>
      <c r="D18" s="279"/>
      <c r="E18" s="279"/>
      <c r="F18" s="279"/>
      <c r="G18" s="279"/>
      <c r="H18" s="279"/>
      <c r="I18" s="279"/>
      <c r="J18" s="279"/>
      <c r="K18" s="279"/>
      <c r="L18" s="279"/>
      <c r="M18" s="279"/>
      <c r="N18" s="280"/>
      <c r="U18" s="80"/>
    </row>
    <row r="19" spans="1:21" ht="13.5" thickBot="1" x14ac:dyDescent="0.25">
      <c r="A19" s="80"/>
      <c r="B19" s="91"/>
      <c r="C19" s="276" t="s">
        <v>29</v>
      </c>
      <c r="D19" s="276"/>
      <c r="E19" s="276"/>
      <c r="F19" s="276"/>
      <c r="G19" s="276" t="s">
        <v>86</v>
      </c>
      <c r="H19" s="276"/>
      <c r="I19" s="276"/>
      <c r="J19" s="276"/>
      <c r="K19" s="276" t="s">
        <v>8</v>
      </c>
      <c r="L19" s="276"/>
      <c r="M19" s="276"/>
      <c r="N19" s="277"/>
      <c r="U19" s="80"/>
    </row>
    <row r="20" spans="1:21" s="90" customFormat="1" ht="36.6" customHeight="1" thickBot="1" x14ac:dyDescent="0.25">
      <c r="A20" s="89"/>
      <c r="B20" s="92" t="s">
        <v>0</v>
      </c>
      <c r="C20" s="93" t="s">
        <v>66</v>
      </c>
      <c r="D20" s="93" t="s">
        <v>3</v>
      </c>
      <c r="E20" s="93" t="s">
        <v>4</v>
      </c>
      <c r="F20" s="93" t="s">
        <v>5</v>
      </c>
      <c r="G20" s="93" t="s">
        <v>66</v>
      </c>
      <c r="H20" s="93" t="s">
        <v>3</v>
      </c>
      <c r="I20" s="93" t="s">
        <v>4</v>
      </c>
      <c r="J20" s="93" t="s">
        <v>5</v>
      </c>
      <c r="K20" s="93" t="s">
        <v>66</v>
      </c>
      <c r="L20" s="93" t="s">
        <v>3</v>
      </c>
      <c r="M20" s="93" t="s">
        <v>4</v>
      </c>
      <c r="N20" s="94" t="s">
        <v>5</v>
      </c>
      <c r="U20" s="89"/>
    </row>
    <row r="21" spans="1:21" x14ac:dyDescent="0.2">
      <c r="A21" s="80"/>
      <c r="B21" s="95" t="s">
        <v>87</v>
      </c>
      <c r="C21" s="98">
        <v>0</v>
      </c>
      <c r="D21" s="98">
        <f>(SUMIFS(Purchases!M:M,Purchases!K:K,Summary!$B21,Purchases!L:L,Summary!$C$19))</f>
        <v>350</v>
      </c>
      <c r="E21" s="99">
        <f>SUMIFS(Table1[[#All],[Qty Sold]],Table1[[#All],[Godown]],Summary!$B21,Table1[[#All],[Name of Product]],Summary!$C$19)</f>
        <v>350</v>
      </c>
      <c r="F21" s="101">
        <f>D21-E21+C21</f>
        <v>0</v>
      </c>
      <c r="G21" s="98"/>
      <c r="H21" s="98">
        <f>(SUMIFS(Purchases!Q:Q,Purchases!O:O,Summary!$B21,Purchases!P:P,Summary!$G$19))</f>
        <v>0</v>
      </c>
      <c r="I21" s="99">
        <f>SUMIFS(Table1[[#All],[Qty Sold]],Table1[[#All],[Godown]],Summary!$B21,Table1[[#All],[Name of Product]],Summary!$G$19)</f>
        <v>0</v>
      </c>
      <c r="J21" s="101">
        <f>H21-I21+G21</f>
        <v>0</v>
      </c>
      <c r="K21" s="98">
        <f>+C21+G21</f>
        <v>0</v>
      </c>
      <c r="L21" s="99">
        <f>+D21+H21</f>
        <v>350</v>
      </c>
      <c r="M21" s="99">
        <f>+E21+I21</f>
        <v>350</v>
      </c>
      <c r="N21" s="101">
        <f>+F21+J21</f>
        <v>0</v>
      </c>
      <c r="U21" s="80"/>
    </row>
    <row r="22" spans="1:21" x14ac:dyDescent="0.2">
      <c r="A22" s="80"/>
      <c r="B22" s="96" t="s">
        <v>88</v>
      </c>
      <c r="C22" s="97">
        <v>0</v>
      </c>
      <c r="D22" s="97">
        <f>(SUMIFS(Purchases!M:M,Purchases!K:K,Summary!$B22,Purchases!L:L,Summary!$C$19))</f>
        <v>305</v>
      </c>
      <c r="E22" s="100">
        <f>SUMIFS(Table1[[#All],[Qty Sold]],Table1[[#All],[Godown]],Summary!$B22,Table1[[#All],[Name of Product]],Summary!$C$19)</f>
        <v>229</v>
      </c>
      <c r="F22" s="102">
        <f t="shared" ref="F22:F30" si="0">D22-E22+C22</f>
        <v>76</v>
      </c>
      <c r="G22" s="97"/>
      <c r="H22" s="97">
        <f>(SUMIFS(Purchases!Q:Q,Purchases!O:O,Summary!$B22,Purchases!P:P,Summary!$G$19))</f>
        <v>0</v>
      </c>
      <c r="I22" s="100">
        <f>SUMIFS(Table1[[#All],[Qty Sold]],Table1[[#All],[Godown]],Summary!$B22,Table1[[#All],[Name of Product]],Summary!$G$19)</f>
        <v>0</v>
      </c>
      <c r="J22" s="102">
        <f t="shared" ref="J22:J30" si="1">H22-I22+G22</f>
        <v>0</v>
      </c>
      <c r="K22" s="97">
        <f t="shared" ref="K22:K30" si="2">+C22+G22</f>
        <v>0</v>
      </c>
      <c r="L22" s="100">
        <f t="shared" ref="L22:L30" si="3">+D22+H22</f>
        <v>305</v>
      </c>
      <c r="M22" s="100">
        <f t="shared" ref="M22:M30" si="4">+E22+I22</f>
        <v>229</v>
      </c>
      <c r="N22" s="102">
        <f t="shared" ref="N22:N30" si="5">+F22+J22</f>
        <v>76</v>
      </c>
      <c r="U22" s="80"/>
    </row>
    <row r="23" spans="1:21" x14ac:dyDescent="0.2">
      <c r="A23" s="80"/>
      <c r="B23" s="96" t="s">
        <v>89</v>
      </c>
      <c r="C23" s="97">
        <v>0</v>
      </c>
      <c r="D23" s="97">
        <f>(SUMIFS(Purchases!M:M,Purchases!K:K,Summary!$B23,Purchases!L:L,Summary!$C$19))</f>
        <v>25</v>
      </c>
      <c r="E23" s="100">
        <f>SUMIFS(Table1[[#All],[Qty Sold]],Table1[[#All],[Godown]],Summary!$B23,Table1[[#All],[Name of Product]],Summary!$C$19)</f>
        <v>11</v>
      </c>
      <c r="F23" s="102">
        <f t="shared" si="0"/>
        <v>14</v>
      </c>
      <c r="G23" s="97"/>
      <c r="H23" s="97">
        <f>(SUMIFS(Purchases!Q:Q,Purchases!O:O,Summary!$B23,Purchases!P:P,Summary!$G$19))</f>
        <v>0</v>
      </c>
      <c r="I23" s="100">
        <f>SUMIFS(Table1[[#All],[Qty Sold]],Table1[[#All],[Godown]],Summary!$B23,Table1[[#All],[Name of Product]],Summary!$G$19)</f>
        <v>0</v>
      </c>
      <c r="J23" s="102">
        <f t="shared" si="1"/>
        <v>0</v>
      </c>
      <c r="K23" s="97">
        <f t="shared" si="2"/>
        <v>0</v>
      </c>
      <c r="L23" s="100">
        <f t="shared" si="3"/>
        <v>25</v>
      </c>
      <c r="M23" s="100">
        <f t="shared" si="4"/>
        <v>11</v>
      </c>
      <c r="N23" s="102">
        <f t="shared" si="5"/>
        <v>14</v>
      </c>
      <c r="U23" s="80"/>
    </row>
    <row r="24" spans="1:21" x14ac:dyDescent="0.2">
      <c r="A24" s="80"/>
      <c r="B24" s="96" t="s">
        <v>90</v>
      </c>
      <c r="C24" s="97">
        <v>0</v>
      </c>
      <c r="D24" s="97">
        <f>(SUMIFS(Purchases!M:M,Purchases!K:K,Summary!$B24,Purchases!L:L,Summary!$C$19))</f>
        <v>0</v>
      </c>
      <c r="E24" s="100">
        <f>SUMIFS(Table1[[#All],[Qty Sold]],Table1[[#All],[Godown]],Summary!$B24,Table1[[#All],[Name of Product]],Summary!$C$19)</f>
        <v>0</v>
      </c>
      <c r="F24" s="102">
        <f t="shared" si="0"/>
        <v>0</v>
      </c>
      <c r="G24" s="97"/>
      <c r="H24" s="97">
        <f>(SUMIFS(Purchases!Q:Q,Purchases!O:O,Summary!$B24,Purchases!P:P,Summary!$G$19))</f>
        <v>0</v>
      </c>
      <c r="I24" s="100">
        <f>SUMIFS(Table1[[#All],[Qty Sold]],Table1[[#All],[Godown]],Summary!$B24,Table1[[#All],[Name of Product]],Summary!$G$19)</f>
        <v>0</v>
      </c>
      <c r="J24" s="102">
        <f t="shared" si="1"/>
        <v>0</v>
      </c>
      <c r="K24" s="97">
        <f t="shared" si="2"/>
        <v>0</v>
      </c>
      <c r="L24" s="100">
        <f t="shared" si="3"/>
        <v>0</v>
      </c>
      <c r="M24" s="100">
        <f t="shared" si="4"/>
        <v>0</v>
      </c>
      <c r="N24" s="102">
        <f t="shared" si="5"/>
        <v>0</v>
      </c>
      <c r="U24" s="80"/>
    </row>
    <row r="25" spans="1:21" x14ac:dyDescent="0.2">
      <c r="A25" s="80"/>
      <c r="B25" s="96" t="s">
        <v>91</v>
      </c>
      <c r="C25" s="97">
        <v>0</v>
      </c>
      <c r="D25" s="97">
        <f>(SUMIFS(Purchases!M:M,Purchases!K:K,Summary!$B25,Purchases!L:L,Summary!$C$19))</f>
        <v>112</v>
      </c>
      <c r="E25" s="100">
        <f>SUMIFS(Table1[[#All],[Qty Sold]],Table1[[#All],[Godown]],Summary!$B25,Table1[[#All],[Name of Product]],Summary!$C$19)</f>
        <v>51</v>
      </c>
      <c r="F25" s="102">
        <f t="shared" si="0"/>
        <v>61</v>
      </c>
      <c r="G25" s="97"/>
      <c r="H25" s="97">
        <f>(SUMIFS(Purchases!Q:Q,Purchases!O:O,Summary!$B25,Purchases!P:P,Summary!$G$19))</f>
        <v>0</v>
      </c>
      <c r="I25" s="100">
        <f>SUMIFS(Table1[[#All],[Qty Sold]],Table1[[#All],[Godown]],Summary!$B25,Table1[[#All],[Name of Product]],Summary!$G$19)</f>
        <v>0</v>
      </c>
      <c r="J25" s="102">
        <f t="shared" si="1"/>
        <v>0</v>
      </c>
      <c r="K25" s="97">
        <f t="shared" si="2"/>
        <v>0</v>
      </c>
      <c r="L25" s="100">
        <f t="shared" si="3"/>
        <v>112</v>
      </c>
      <c r="M25" s="100">
        <f t="shared" si="4"/>
        <v>51</v>
      </c>
      <c r="N25" s="102">
        <f t="shared" si="5"/>
        <v>61</v>
      </c>
      <c r="U25" s="80"/>
    </row>
    <row r="26" spans="1:21" x14ac:dyDescent="0.2">
      <c r="A26" s="80"/>
      <c r="B26" s="96" t="s">
        <v>92</v>
      </c>
      <c r="C26" s="97">
        <v>0</v>
      </c>
      <c r="D26" s="97">
        <f>(SUMIFS(Purchases!M:M,Purchases!K:K,Summary!$B26,Purchases!L:L,Summary!$C$19))</f>
        <v>96</v>
      </c>
      <c r="E26" s="100">
        <f>SUMIFS(Table1[[#All],[Qty Sold]],Table1[[#All],[Godown]],Summary!$B26,Table1[[#All],[Name of Product]],Summary!$C$19)</f>
        <v>40</v>
      </c>
      <c r="F26" s="102">
        <f t="shared" si="0"/>
        <v>56</v>
      </c>
      <c r="G26" s="97"/>
      <c r="H26" s="97">
        <f>(SUMIFS(Purchases!Q:Q,Purchases!O:O,Summary!$B26,Purchases!P:P,Summary!$G$19))</f>
        <v>0</v>
      </c>
      <c r="I26" s="100">
        <f>SUMIFS(Table1[[#All],[Qty Sold]],Table1[[#All],[Godown]],Summary!$B26,Table1[[#All],[Name of Product]],Summary!$G$19)</f>
        <v>0</v>
      </c>
      <c r="J26" s="102">
        <f t="shared" si="1"/>
        <v>0</v>
      </c>
      <c r="K26" s="97">
        <f t="shared" si="2"/>
        <v>0</v>
      </c>
      <c r="L26" s="100">
        <f t="shared" si="3"/>
        <v>96</v>
      </c>
      <c r="M26" s="100">
        <f t="shared" si="4"/>
        <v>40</v>
      </c>
      <c r="N26" s="102">
        <f t="shared" si="5"/>
        <v>56</v>
      </c>
      <c r="U26" s="80"/>
    </row>
    <row r="27" spans="1:21" x14ac:dyDescent="0.2">
      <c r="A27" s="80"/>
      <c r="B27" s="96" t="s">
        <v>93</v>
      </c>
      <c r="C27" s="97">
        <v>0</v>
      </c>
      <c r="D27" s="97">
        <f>(SUMIFS(Purchases!M:M,Purchases!K:K,Summary!$B27,Purchases!L:L,Summary!$C$19))</f>
        <v>250</v>
      </c>
      <c r="E27" s="100">
        <f>SUMIFS(Table1[[#All],[Qty Sold]],Table1[[#All],[Godown]],Summary!$B27,Table1[[#All],[Name of Product]],Summary!$C$19)</f>
        <v>180</v>
      </c>
      <c r="F27" s="102">
        <f t="shared" si="0"/>
        <v>70</v>
      </c>
      <c r="G27" s="97"/>
      <c r="H27" s="97">
        <f>(SUMIFS(Purchases!Q:Q,Purchases!O:O,Summary!$B27,Purchases!P:P,Summary!$G$19))</f>
        <v>0</v>
      </c>
      <c r="I27" s="100">
        <f>SUMIFS(Table1[[#All],[Qty Sold]],Table1[[#All],[Godown]],Summary!$B27,Table1[[#All],[Name of Product]],Summary!$G$19)</f>
        <v>0</v>
      </c>
      <c r="J27" s="102">
        <f t="shared" si="1"/>
        <v>0</v>
      </c>
      <c r="K27" s="97">
        <f t="shared" si="2"/>
        <v>0</v>
      </c>
      <c r="L27" s="100">
        <f t="shared" si="3"/>
        <v>250</v>
      </c>
      <c r="M27" s="100">
        <f t="shared" si="4"/>
        <v>180</v>
      </c>
      <c r="N27" s="102">
        <f t="shared" si="5"/>
        <v>70</v>
      </c>
      <c r="U27" s="80"/>
    </row>
    <row r="28" spans="1:21" x14ac:dyDescent="0.2">
      <c r="A28" s="80"/>
      <c r="B28" s="96" t="s">
        <v>94</v>
      </c>
      <c r="C28" s="97">
        <v>0</v>
      </c>
      <c r="D28" s="97">
        <f>(SUMIFS(Purchases!M:M,Purchases!K:K,Summary!$B28,Purchases!L:L,Summary!$C$19))</f>
        <v>0</v>
      </c>
      <c r="E28" s="100">
        <f>SUMIFS(Table1[[#All],[Qty Sold]],Table1[[#All],[Godown]],Summary!$B28,Table1[[#All],[Name of Product]],Summary!$C$19)</f>
        <v>0</v>
      </c>
      <c r="F28" s="102">
        <f t="shared" si="0"/>
        <v>0</v>
      </c>
      <c r="G28" s="97"/>
      <c r="H28" s="97">
        <f>(SUMIFS(Purchases!Q:Q,Purchases!O:O,Summary!$B28,Purchases!P:P,Summary!$G$19))</f>
        <v>0</v>
      </c>
      <c r="I28" s="100">
        <f>SUMIFS(Table1[[#All],[Qty Sold]],Table1[[#All],[Godown]],Summary!$B28,Table1[[#All],[Name of Product]],Summary!$G$19)</f>
        <v>0</v>
      </c>
      <c r="J28" s="102">
        <f t="shared" si="1"/>
        <v>0</v>
      </c>
      <c r="K28" s="97">
        <f t="shared" si="2"/>
        <v>0</v>
      </c>
      <c r="L28" s="100">
        <f t="shared" si="3"/>
        <v>0</v>
      </c>
      <c r="M28" s="100">
        <f t="shared" si="4"/>
        <v>0</v>
      </c>
      <c r="N28" s="102">
        <f t="shared" si="5"/>
        <v>0</v>
      </c>
      <c r="U28" s="80"/>
    </row>
    <row r="29" spans="1:21" x14ac:dyDescent="0.2">
      <c r="A29" s="80"/>
      <c r="B29" s="129" t="s">
        <v>95</v>
      </c>
      <c r="C29" s="97">
        <v>0</v>
      </c>
      <c r="D29" s="97">
        <f>(SUMIFS(Purchases!M:M,Purchases!K:K,Summary!$B29,Purchases!L:L,Summary!$C$19))</f>
        <v>188</v>
      </c>
      <c r="E29" s="100">
        <f>SUMIFS(Table1[[#All],[Qty Sold]],Table1[[#All],[Godown]],Summary!$B29,Table1[[#All],[Name of Product]],Summary!$C$19)</f>
        <v>144</v>
      </c>
      <c r="F29" s="102">
        <f t="shared" si="0"/>
        <v>44</v>
      </c>
      <c r="G29" s="97"/>
      <c r="H29" s="97">
        <f>(SUMIFS(Purchases!Q:Q,Purchases!O:O,Summary!$B29,Purchases!P:P,Summary!$G$19))</f>
        <v>0</v>
      </c>
      <c r="I29" s="100">
        <f>SUMIFS(Table1[[#All],[Qty Sold]],Table1[[#All],[Godown]],Summary!$B29,Table1[[#All],[Name of Product]],Summary!$G$19)</f>
        <v>0</v>
      </c>
      <c r="J29" s="102">
        <f t="shared" si="1"/>
        <v>0</v>
      </c>
      <c r="K29" s="97">
        <f t="shared" si="2"/>
        <v>0</v>
      </c>
      <c r="L29" s="100">
        <f t="shared" si="3"/>
        <v>188</v>
      </c>
      <c r="M29" s="100">
        <f t="shared" si="4"/>
        <v>144</v>
      </c>
      <c r="N29" s="102">
        <f t="shared" si="5"/>
        <v>44</v>
      </c>
      <c r="U29" s="80"/>
    </row>
    <row r="30" spans="1:21" x14ac:dyDescent="0.2">
      <c r="A30" s="80"/>
      <c r="B30" s="96" t="s">
        <v>96</v>
      </c>
      <c r="C30" s="97">
        <v>0</v>
      </c>
      <c r="D30" s="97">
        <f>(SUMIFS(Purchases!M:M,Purchases!K:K,Summary!$B30,Purchases!L:L,Summary!$C$19))</f>
        <v>0</v>
      </c>
      <c r="E30" s="100">
        <f>SUMIFS(Table1[[#All],[Qty Sold]],Table1[[#All],[Godown]],Summary!$B30,Table1[[#All],[Name of Product]],Summary!$C$19)</f>
        <v>0</v>
      </c>
      <c r="F30" s="102">
        <f t="shared" si="0"/>
        <v>0</v>
      </c>
      <c r="G30" s="97"/>
      <c r="H30" s="97">
        <f>(SUMIFS(Purchases!Q:Q,Purchases!O:O,Summary!$B30,Purchases!P:P,Summary!$G$19))</f>
        <v>0</v>
      </c>
      <c r="I30" s="100">
        <f>SUMIFS(Table1[[#All],[Qty Sold]],Table1[[#All],[Godown]],Summary!$B30,Table1[[#All],[Name of Product]],Summary!$G$19)</f>
        <v>0</v>
      </c>
      <c r="J30" s="102">
        <f t="shared" si="1"/>
        <v>0</v>
      </c>
      <c r="K30" s="97">
        <f t="shared" si="2"/>
        <v>0</v>
      </c>
      <c r="L30" s="100">
        <f t="shared" si="3"/>
        <v>0</v>
      </c>
      <c r="M30" s="100">
        <f t="shared" si="4"/>
        <v>0</v>
      </c>
      <c r="N30" s="102">
        <f t="shared" si="5"/>
        <v>0</v>
      </c>
      <c r="U30" s="80"/>
    </row>
    <row r="31" spans="1:21" x14ac:dyDescent="0.2">
      <c r="A31" s="80"/>
      <c r="B31" s="188" t="s">
        <v>97</v>
      </c>
      <c r="C31" s="97">
        <v>0</v>
      </c>
      <c r="D31" s="97">
        <f>(SUMIFS(Purchases!M:M,Purchases!K:K,Summary!$B31,Purchases!L:L,Summary!$C$19))</f>
        <v>0</v>
      </c>
      <c r="E31" s="100">
        <f>SUMIFS(Table1[[#All],[Qty Sold]],Table1[[#All],[Godown]],Summary!$B31,Table1[[#All],[Name of Product]],Summary!$C$19)</f>
        <v>0</v>
      </c>
      <c r="F31" s="102">
        <f t="shared" ref="F31" si="6">D31-E31+C31</f>
        <v>0</v>
      </c>
      <c r="G31" s="97"/>
      <c r="H31" s="97">
        <f>(SUMIFS(Purchases!Q:Q,Purchases!O:O,Summary!$B31,Purchases!P:P,Summary!$G$19))</f>
        <v>0</v>
      </c>
      <c r="I31" s="100">
        <f>SUMIFS(Table1[[#All],[Qty Sold]],Table1[[#All],[Godown]],Summary!$B31,Table1[[#All],[Name of Product]],Summary!$G$19)</f>
        <v>0</v>
      </c>
      <c r="J31" s="102">
        <f t="shared" ref="J31" si="7">H31-I31+G31</f>
        <v>0</v>
      </c>
      <c r="K31" s="97">
        <f t="shared" ref="K31" si="8">+C31+G31</f>
        <v>0</v>
      </c>
      <c r="L31" s="100">
        <f t="shared" ref="L31" si="9">+D31+H31</f>
        <v>0</v>
      </c>
      <c r="M31" s="100">
        <f t="shared" ref="M31" si="10">+E31+I31</f>
        <v>0</v>
      </c>
      <c r="N31" s="102">
        <f t="shared" ref="N31" si="11">+F31+J31</f>
        <v>0</v>
      </c>
      <c r="U31" s="80"/>
    </row>
    <row r="32" spans="1:21" x14ac:dyDescent="0.2">
      <c r="A32" s="80"/>
      <c r="B32" s="188" t="s">
        <v>99</v>
      </c>
      <c r="C32" s="97">
        <v>0</v>
      </c>
      <c r="D32" s="97">
        <f>(SUMIFS(Purchases!M:M,Purchases!K:K,Summary!$B32,Purchases!L:L,Summary!$C$19))</f>
        <v>50</v>
      </c>
      <c r="E32" s="100">
        <f>SUMIFS(Table1[[#All],[Qty Sold]],Table1[[#All],[Godown]],Summary!$B32,Table1[[#All],[Name of Product]],Summary!$C$19)</f>
        <v>40</v>
      </c>
      <c r="F32" s="102">
        <f t="shared" ref="F32" si="12">D32-E32+C32</f>
        <v>10</v>
      </c>
      <c r="G32" s="97"/>
      <c r="H32" s="97">
        <f>(SUMIFS(Purchases!Q:Q,Purchases!O:O,Summary!$B32,Purchases!P:P,Summary!$G$19))</f>
        <v>0</v>
      </c>
      <c r="I32" s="100">
        <f>SUMIFS(Table1[[#All],[Qty Sold]],Table1[[#All],[Godown]],Summary!$B32,Table1[[#All],[Name of Product]],Summary!$G$19)</f>
        <v>0</v>
      </c>
      <c r="J32" s="102">
        <f t="shared" ref="J32" si="13">H32-I32+G32</f>
        <v>0</v>
      </c>
      <c r="K32" s="97">
        <f t="shared" ref="K32" si="14">+C32+G32</f>
        <v>0</v>
      </c>
      <c r="L32" s="100">
        <f t="shared" ref="L32" si="15">+D32+H32</f>
        <v>50</v>
      </c>
      <c r="M32" s="100">
        <f t="shared" ref="M32" si="16">+E32+I32</f>
        <v>40</v>
      </c>
      <c r="N32" s="102">
        <f t="shared" ref="N32" si="17">+F32+J32</f>
        <v>10</v>
      </c>
      <c r="U32" s="80"/>
    </row>
    <row r="33" spans="1:21" ht="13.5" thickBot="1" x14ac:dyDescent="0.25">
      <c r="A33" s="80"/>
      <c r="B33" s="188" t="s">
        <v>124</v>
      </c>
      <c r="C33" s="97">
        <v>0</v>
      </c>
      <c r="D33" s="97">
        <f>(SUMIFS(Purchases!M:M,Purchases!K:K,Summary!$B33,Purchases!L:L,Summary!$C$19))</f>
        <v>120</v>
      </c>
      <c r="E33" s="100">
        <f>SUMIFS(Table1[[#All],[Qty Sold]],Table1[[#All],[Godown]],Summary!$B33,Table1[[#All],[Name of Product]],Summary!$C$19)</f>
        <v>115</v>
      </c>
      <c r="F33" s="102">
        <f t="shared" ref="F33" si="18">D33-E33+C33</f>
        <v>5</v>
      </c>
      <c r="G33" s="97"/>
      <c r="H33" s="97">
        <f>(SUMIFS(Purchases!Q:Q,Purchases!O:O,Summary!$B33,Purchases!P:P,Summary!$G$19))</f>
        <v>0</v>
      </c>
      <c r="I33" s="100">
        <f>SUMIFS(Table1[[#All],[Qty Sold]],Table1[[#All],[Godown]],Summary!$B33,Table1[[#All],[Name of Product]],Summary!$G$19)</f>
        <v>0</v>
      </c>
      <c r="J33" s="102">
        <f t="shared" ref="J33" si="19">H33-I33+G33</f>
        <v>0</v>
      </c>
      <c r="K33" s="97">
        <f t="shared" ref="K33" si="20">+C33+G33</f>
        <v>0</v>
      </c>
      <c r="L33" s="100">
        <f t="shared" ref="L33" si="21">+D33+H33</f>
        <v>120</v>
      </c>
      <c r="M33" s="100">
        <f t="shared" ref="M33" si="22">+E33+I33</f>
        <v>115</v>
      </c>
      <c r="N33" s="102">
        <f t="shared" ref="N33" si="23">+F33+J33</f>
        <v>5</v>
      </c>
      <c r="U33" s="80"/>
    </row>
    <row r="34" spans="1:21" s="79" customFormat="1" ht="13.5" thickBot="1" x14ac:dyDescent="0.25">
      <c r="B34" s="103"/>
      <c r="C34" s="104">
        <f>SUM(C21:C33)</f>
        <v>0</v>
      </c>
      <c r="D34" s="104">
        <f t="shared" ref="D34:N34" si="24">SUM(D21:D33)</f>
        <v>1496</v>
      </c>
      <c r="E34" s="104">
        <f t="shared" si="24"/>
        <v>1160</v>
      </c>
      <c r="F34" s="104">
        <f t="shared" si="24"/>
        <v>336</v>
      </c>
      <c r="G34" s="104">
        <f t="shared" si="24"/>
        <v>0</v>
      </c>
      <c r="H34" s="104">
        <f t="shared" si="24"/>
        <v>0</v>
      </c>
      <c r="I34" s="104">
        <f t="shared" si="24"/>
        <v>0</v>
      </c>
      <c r="J34" s="104">
        <f t="shared" si="24"/>
        <v>0</v>
      </c>
      <c r="K34" s="104">
        <f t="shared" si="24"/>
        <v>0</v>
      </c>
      <c r="L34" s="104">
        <f t="shared" si="24"/>
        <v>1496</v>
      </c>
      <c r="M34" s="104">
        <f t="shared" si="24"/>
        <v>1160</v>
      </c>
      <c r="N34" s="104">
        <f t="shared" si="24"/>
        <v>336</v>
      </c>
    </row>
    <row r="35" spans="1:21" s="79" customFormat="1" x14ac:dyDescent="0.2"/>
    <row r="36" spans="1:21" s="79" customFormat="1" x14ac:dyDescent="0.2"/>
    <row r="37" spans="1:21" x14ac:dyDescent="0.2"/>
    <row r="38" spans="1:21" x14ac:dyDescent="0.2"/>
    <row r="39" spans="1:21" x14ac:dyDescent="0.2"/>
    <row r="40" spans="1:21" x14ac:dyDescent="0.2"/>
    <row r="41" spans="1:21" x14ac:dyDescent="0.2"/>
    <row r="42" spans="1:21" x14ac:dyDescent="0.2"/>
  </sheetData>
  <mergeCells count="19">
    <mergeCell ref="AC2:AE2"/>
    <mergeCell ref="Q6:T6"/>
    <mergeCell ref="Q8:T8"/>
    <mergeCell ref="Q9:T9"/>
    <mergeCell ref="Q10:T10"/>
    <mergeCell ref="Q3:T3"/>
    <mergeCell ref="Q7:T7"/>
    <mergeCell ref="C19:F19"/>
    <mergeCell ref="G19:J19"/>
    <mergeCell ref="K19:N19"/>
    <mergeCell ref="B18:N18"/>
    <mergeCell ref="Q4:T4"/>
    <mergeCell ref="Q5:T5"/>
    <mergeCell ref="B1:E1"/>
    <mergeCell ref="Q11:T11"/>
    <mergeCell ref="Q12:T12"/>
    <mergeCell ref="Q13:T13"/>
    <mergeCell ref="Q14:T14"/>
    <mergeCell ref="G1:I1"/>
  </mergeCells>
  <pageMargins left="0.7" right="0.7" top="0.75" bottom="0.75" header="0.3" footer="0.3"/>
  <pageSetup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E8CD-8535-45FB-B2A7-607BCDB1E851}">
  <dimension ref="A1:AN40"/>
  <sheetViews>
    <sheetView workbookViewId="0">
      <pane ySplit="3" topLeftCell="A4" activePane="bottomLeft" state="frozen"/>
      <selection pane="bottomLeft"/>
    </sheetView>
  </sheetViews>
  <sheetFormatPr defaultRowHeight="12.75" x14ac:dyDescent="0.2"/>
  <cols>
    <col min="1" max="1" width="31.42578125" customWidth="1"/>
    <col min="2" max="2" width="5.42578125" hidden="1" customWidth="1"/>
    <col min="3" max="3" width="11.42578125" hidden="1" customWidth="1"/>
    <col min="4" max="4" width="11.85546875" hidden="1" customWidth="1"/>
    <col min="5" max="5" width="11.5703125" hidden="1" customWidth="1"/>
    <col min="6" max="6" width="10.140625" hidden="1" customWidth="1"/>
    <col min="7" max="7" width="11.85546875" hidden="1" customWidth="1"/>
    <col min="8" max="8" width="13.7109375" hidden="1" customWidth="1"/>
    <col min="9" max="9" width="11" hidden="1" customWidth="1"/>
    <col min="10" max="10" width="13.7109375" hidden="1" customWidth="1"/>
    <col min="11" max="11" width="8.85546875" hidden="1" customWidth="1"/>
    <col min="12" max="12" width="10.7109375" hidden="1" customWidth="1"/>
    <col min="13" max="13" width="12.7109375" hidden="1" customWidth="1"/>
    <col min="14" max="14" width="10.42578125" hidden="1" customWidth="1"/>
    <col min="15" max="15" width="11.5703125" hidden="1" customWidth="1"/>
    <col min="16" max="16" width="10.7109375" hidden="1" customWidth="1"/>
    <col min="17" max="17" width="8.85546875" hidden="1" customWidth="1"/>
    <col min="18" max="19" width="10.7109375" hidden="1" customWidth="1"/>
    <col min="20" max="20" width="8.85546875" hidden="1" customWidth="1"/>
    <col min="21" max="22" width="10.7109375" hidden="1" customWidth="1"/>
    <col min="23" max="23" width="8.85546875" hidden="1" customWidth="1"/>
    <col min="24" max="24" width="12.7109375" hidden="1" customWidth="1"/>
    <col min="25" max="25" width="11.140625" hidden="1" customWidth="1"/>
    <col min="26" max="26" width="8.85546875" hidden="1" customWidth="1"/>
    <col min="27" max="27" width="10.140625" hidden="1" customWidth="1"/>
    <col min="28" max="28" width="11.85546875" hidden="1" customWidth="1"/>
    <col min="29" max="29" width="8.85546875" hidden="1" customWidth="1"/>
    <col min="30" max="30" width="10.140625" hidden="1" customWidth="1"/>
    <col min="31" max="31" width="10.7109375" hidden="1" customWidth="1"/>
    <col min="32" max="32" width="8.85546875" hidden="1" customWidth="1"/>
    <col min="33" max="33" width="10.140625" hidden="1" customWidth="1"/>
    <col min="34" max="34" width="11.85546875" hidden="1" customWidth="1"/>
    <col min="35" max="35" width="8.85546875" hidden="1" customWidth="1"/>
    <col min="36" max="36" width="10.140625" hidden="1" customWidth="1"/>
    <col min="37" max="37" width="10.7109375" hidden="1" customWidth="1"/>
    <col min="38" max="38" width="0" hidden="1" customWidth="1"/>
    <col min="39" max="39" width="10.140625" hidden="1" customWidth="1"/>
    <col min="40" max="40" width="11.28515625" hidden="1" customWidth="1"/>
  </cols>
  <sheetData>
    <row r="1" spans="1:40" ht="13.5" thickBot="1" x14ac:dyDescent="0.25"/>
    <row r="2" spans="1:40" ht="14.25" x14ac:dyDescent="0.2">
      <c r="A2" s="180" t="s">
        <v>120</v>
      </c>
      <c r="B2" s="282" t="s">
        <v>101</v>
      </c>
      <c r="C2" s="283"/>
      <c r="D2" s="284"/>
      <c r="E2" s="285" t="s">
        <v>102</v>
      </c>
      <c r="F2" s="285"/>
      <c r="G2" s="285"/>
      <c r="H2" s="285" t="s">
        <v>103</v>
      </c>
      <c r="I2" s="285"/>
      <c r="J2" s="285"/>
      <c r="K2" s="285" t="s">
        <v>104</v>
      </c>
      <c r="L2" s="285"/>
      <c r="M2" s="285"/>
      <c r="N2" s="285" t="s">
        <v>105</v>
      </c>
      <c r="O2" s="285"/>
      <c r="P2" s="285"/>
      <c r="Q2" s="285" t="s">
        <v>106</v>
      </c>
      <c r="R2" s="285"/>
      <c r="S2" s="285"/>
      <c r="T2" s="285" t="s">
        <v>107</v>
      </c>
      <c r="U2" s="285"/>
      <c r="V2" s="285"/>
      <c r="W2" s="285" t="s">
        <v>108</v>
      </c>
      <c r="X2" s="285"/>
      <c r="Y2" s="285"/>
      <c r="Z2" s="285" t="s">
        <v>109</v>
      </c>
      <c r="AA2" s="285"/>
      <c r="AB2" s="285"/>
      <c r="AC2" s="285" t="s">
        <v>110</v>
      </c>
      <c r="AD2" s="285"/>
      <c r="AE2" s="285"/>
      <c r="AF2" s="285" t="s">
        <v>111</v>
      </c>
      <c r="AG2" s="285"/>
      <c r="AH2" s="285"/>
      <c r="AI2" s="285" t="s">
        <v>112</v>
      </c>
      <c r="AJ2" s="285"/>
      <c r="AK2" s="285"/>
      <c r="AL2" s="282" t="s">
        <v>113</v>
      </c>
      <c r="AM2" s="283"/>
      <c r="AN2" s="284"/>
    </row>
    <row r="3" spans="1:40" ht="15.75" thickBot="1" x14ac:dyDescent="0.3">
      <c r="A3" s="181" t="s">
        <v>64</v>
      </c>
      <c r="B3" s="162" t="s">
        <v>17</v>
      </c>
      <c r="C3" s="138" t="s">
        <v>18</v>
      </c>
      <c r="D3" s="163" t="s">
        <v>65</v>
      </c>
      <c r="E3" s="138" t="s">
        <v>17</v>
      </c>
      <c r="F3" s="138" t="s">
        <v>18</v>
      </c>
      <c r="G3" s="139" t="s">
        <v>65</v>
      </c>
      <c r="H3" s="138" t="s">
        <v>17</v>
      </c>
      <c r="I3" s="138" t="s">
        <v>18</v>
      </c>
      <c r="J3" s="139" t="s">
        <v>65</v>
      </c>
      <c r="K3" s="138" t="s">
        <v>17</v>
      </c>
      <c r="L3" s="138" t="s">
        <v>18</v>
      </c>
      <c r="M3" s="139" t="s">
        <v>65</v>
      </c>
      <c r="N3" s="138" t="s">
        <v>17</v>
      </c>
      <c r="O3" s="138" t="s">
        <v>18</v>
      </c>
      <c r="P3" s="139" t="s">
        <v>65</v>
      </c>
      <c r="Q3" s="138" t="s">
        <v>17</v>
      </c>
      <c r="R3" s="138" t="s">
        <v>18</v>
      </c>
      <c r="S3" s="139" t="s">
        <v>65</v>
      </c>
      <c r="T3" s="138" t="s">
        <v>17</v>
      </c>
      <c r="U3" s="138" t="s">
        <v>18</v>
      </c>
      <c r="V3" s="139" t="s">
        <v>65</v>
      </c>
      <c r="W3" s="138" t="s">
        <v>17</v>
      </c>
      <c r="X3" s="138" t="s">
        <v>18</v>
      </c>
      <c r="Y3" s="139" t="s">
        <v>65</v>
      </c>
      <c r="Z3" s="138" t="s">
        <v>17</v>
      </c>
      <c r="AA3" s="138" t="s">
        <v>18</v>
      </c>
      <c r="AB3" s="139" t="s">
        <v>65</v>
      </c>
      <c r="AC3" s="138" t="s">
        <v>17</v>
      </c>
      <c r="AD3" s="138" t="s">
        <v>18</v>
      </c>
      <c r="AE3" s="139" t="s">
        <v>65</v>
      </c>
      <c r="AF3" s="138" t="s">
        <v>17</v>
      </c>
      <c r="AG3" s="138" t="s">
        <v>18</v>
      </c>
      <c r="AH3" s="139" t="s">
        <v>65</v>
      </c>
      <c r="AI3" s="138" t="s">
        <v>17</v>
      </c>
      <c r="AJ3" s="138" t="s">
        <v>18</v>
      </c>
      <c r="AK3" s="138" t="s">
        <v>65</v>
      </c>
      <c r="AL3" s="162" t="s">
        <v>17</v>
      </c>
      <c r="AM3" s="138" t="s">
        <v>18</v>
      </c>
      <c r="AN3" s="163" t="s">
        <v>65</v>
      </c>
    </row>
    <row r="4" spans="1:40" ht="15.75" thickBot="1" x14ac:dyDescent="0.25">
      <c r="A4" s="182" t="s">
        <v>66</v>
      </c>
      <c r="B4" s="164">
        <f>+SUM(B5:B8)</f>
        <v>901</v>
      </c>
      <c r="C4" s="140"/>
      <c r="D4" s="165">
        <f>+SUM(D5:D8)</f>
        <v>955060</v>
      </c>
      <c r="E4" s="10">
        <f>+SUM(E5:E8)</f>
        <v>424</v>
      </c>
      <c r="F4" s="140"/>
      <c r="G4" s="141">
        <f>+SUM(G5:G8)</f>
        <v>449440</v>
      </c>
      <c r="H4" s="10">
        <f>+SUM(H5:H8)</f>
        <v>1003</v>
      </c>
      <c r="I4" s="140"/>
      <c r="J4" s="141">
        <f>+SUM(J5:J8)</f>
        <v>1063180</v>
      </c>
      <c r="K4" s="10">
        <f>+SUM(K5:K8)</f>
        <v>676</v>
      </c>
      <c r="L4" s="140"/>
      <c r="M4" s="141">
        <f>+SUM(M5:M8)</f>
        <v>716560</v>
      </c>
      <c r="N4" s="10">
        <f>+SUM(N5:N8)</f>
        <v>471</v>
      </c>
      <c r="O4" s="140"/>
      <c r="P4" s="141">
        <f>+SUM(P5:P8)</f>
        <v>499260</v>
      </c>
      <c r="Q4" s="10">
        <f>+SUM(Q5:Q8)</f>
        <v>711</v>
      </c>
      <c r="R4" s="140"/>
      <c r="S4" s="141">
        <f>+SUM(S5:S8)</f>
        <v>739440</v>
      </c>
      <c r="T4" s="10">
        <f>+SUM(T5:T8)</f>
        <v>476</v>
      </c>
      <c r="U4" s="140"/>
      <c r="V4" s="141">
        <f>+SUM(V5:V8)</f>
        <v>495040</v>
      </c>
      <c r="W4" s="10">
        <f>+SUM(W5:W8)</f>
        <v>556</v>
      </c>
      <c r="X4" s="140"/>
      <c r="Y4" s="141">
        <f>+SUM(Y5:Y8)</f>
        <v>578240</v>
      </c>
      <c r="Z4" s="10">
        <f>+SUM(Z5:Z8)</f>
        <v>885</v>
      </c>
      <c r="AA4" s="140"/>
      <c r="AB4" s="141">
        <f>+SUM(AB5:AB8)</f>
        <v>920400</v>
      </c>
      <c r="AC4" s="10">
        <f>+SUM(AC5:AC8)</f>
        <v>337</v>
      </c>
      <c r="AD4" s="140"/>
      <c r="AE4" s="141">
        <f>+SUM(AE5:AE8)</f>
        <v>350480</v>
      </c>
      <c r="AF4" s="10">
        <f>+SUM(AF5:AF8)</f>
        <v>136</v>
      </c>
      <c r="AG4" s="140"/>
      <c r="AH4" s="141">
        <f>+SUM(AH5:AH8)</f>
        <v>141440</v>
      </c>
      <c r="AI4" s="10">
        <f>+SUM(AI5:AI8)</f>
        <v>871</v>
      </c>
      <c r="AJ4" s="140"/>
      <c r="AK4" s="156">
        <f>+SUM(AK5:AK8)</f>
        <v>923260</v>
      </c>
      <c r="AL4" s="164">
        <f>+SUM(AL5:AL8)</f>
        <v>901</v>
      </c>
      <c r="AM4" s="140"/>
      <c r="AN4" s="165">
        <f>+SUM(AN5:AN8)</f>
        <v>955060</v>
      </c>
    </row>
    <row r="5" spans="1:40" ht="13.5" thickTop="1" x14ac:dyDescent="0.2">
      <c r="A5" s="183" t="s">
        <v>121</v>
      </c>
      <c r="B5" s="166">
        <v>901</v>
      </c>
      <c r="C5" s="61"/>
      <c r="D5" s="176">
        <v>955060</v>
      </c>
      <c r="E5" s="61">
        <f>+B20</f>
        <v>424</v>
      </c>
      <c r="F5" s="61"/>
      <c r="G5" s="61">
        <f>+D20</f>
        <v>449440</v>
      </c>
      <c r="H5" s="61">
        <f>+E20</f>
        <v>1003</v>
      </c>
      <c r="I5" s="61"/>
      <c r="J5" s="61">
        <f>+G20</f>
        <v>1063180</v>
      </c>
      <c r="K5" s="61">
        <f>+H20</f>
        <v>676</v>
      </c>
      <c r="L5" s="61"/>
      <c r="M5" s="61">
        <f>+J20</f>
        <v>716560</v>
      </c>
      <c r="N5" s="61">
        <f>+K20</f>
        <v>471</v>
      </c>
      <c r="O5" s="61"/>
      <c r="P5" s="143">
        <f>+M20</f>
        <v>499260</v>
      </c>
      <c r="Q5" s="61">
        <f>+N20</f>
        <v>711</v>
      </c>
      <c r="R5" s="61"/>
      <c r="S5" s="61">
        <f>+P20</f>
        <v>739440</v>
      </c>
      <c r="T5" s="61">
        <f>+Q20</f>
        <v>476</v>
      </c>
      <c r="U5" s="61"/>
      <c r="V5" s="61">
        <f>+S20</f>
        <v>495040</v>
      </c>
      <c r="W5" s="61">
        <f>+T20</f>
        <v>556</v>
      </c>
      <c r="X5" s="61"/>
      <c r="Y5" s="61">
        <f>+V20</f>
        <v>578240</v>
      </c>
      <c r="Z5" s="61">
        <f>+W20</f>
        <v>885</v>
      </c>
      <c r="AA5" s="61"/>
      <c r="AB5" s="143">
        <f>+Y20</f>
        <v>920400</v>
      </c>
      <c r="AC5" s="61">
        <f>+Z20</f>
        <v>337</v>
      </c>
      <c r="AD5" s="61"/>
      <c r="AE5" s="61">
        <f>+AB20</f>
        <v>350480</v>
      </c>
      <c r="AF5" s="61">
        <f>+AC20</f>
        <v>136</v>
      </c>
      <c r="AG5" s="61"/>
      <c r="AH5" s="61">
        <f>+AE20</f>
        <v>141440</v>
      </c>
      <c r="AI5" s="61">
        <f>+AF20</f>
        <v>871</v>
      </c>
      <c r="AJ5" s="61"/>
      <c r="AK5" s="143">
        <f>+AH20</f>
        <v>923260</v>
      </c>
      <c r="AL5" s="166">
        <f>+B5</f>
        <v>901</v>
      </c>
      <c r="AM5" s="61"/>
      <c r="AN5" s="167">
        <f>+D5</f>
        <v>955060</v>
      </c>
    </row>
    <row r="6" spans="1:40" x14ac:dyDescent="0.2">
      <c r="A6" s="184"/>
      <c r="B6" s="168"/>
      <c r="C6" s="11"/>
      <c r="D6" s="170"/>
      <c r="E6" s="11"/>
      <c r="F6" s="11"/>
      <c r="G6" s="61">
        <f>+D21</f>
        <v>0</v>
      </c>
      <c r="H6" s="11"/>
      <c r="I6" s="11"/>
      <c r="J6" s="61">
        <f>+G21</f>
        <v>0</v>
      </c>
      <c r="K6" s="11"/>
      <c r="L6" s="11"/>
      <c r="M6" s="61">
        <f>+J21</f>
        <v>0</v>
      </c>
      <c r="N6" s="11"/>
      <c r="O6" s="11"/>
      <c r="P6" s="143">
        <f>+M21</f>
        <v>0</v>
      </c>
      <c r="Q6" s="11"/>
      <c r="R6" s="11"/>
      <c r="S6" s="61">
        <f>+P21</f>
        <v>0</v>
      </c>
      <c r="T6" s="11"/>
      <c r="U6" s="11"/>
      <c r="V6" s="61">
        <f>+S21</f>
        <v>0</v>
      </c>
      <c r="W6" s="11"/>
      <c r="X6" s="11"/>
      <c r="Y6" s="61">
        <f>+V21</f>
        <v>0</v>
      </c>
      <c r="Z6" s="11"/>
      <c r="AA6" s="11"/>
      <c r="AB6" s="143">
        <f>+Y21</f>
        <v>0</v>
      </c>
      <c r="AC6" s="11"/>
      <c r="AD6" s="11"/>
      <c r="AE6" s="61">
        <f>+AB21</f>
        <v>0</v>
      </c>
      <c r="AF6" s="11"/>
      <c r="AG6" s="11"/>
      <c r="AH6" s="61">
        <f>+AE21</f>
        <v>0</v>
      </c>
      <c r="AI6" s="11"/>
      <c r="AJ6" s="11"/>
      <c r="AK6" s="143">
        <f>+AH21</f>
        <v>0</v>
      </c>
      <c r="AL6" s="168"/>
      <c r="AM6" s="11"/>
      <c r="AN6" s="169">
        <f>+AK21</f>
        <v>0</v>
      </c>
    </row>
    <row r="7" spans="1:40" x14ac:dyDescent="0.2">
      <c r="A7" s="184"/>
      <c r="B7" s="168"/>
      <c r="C7" s="11"/>
      <c r="D7" s="170"/>
      <c r="E7" s="11"/>
      <c r="F7" s="11"/>
      <c r="G7" s="12"/>
      <c r="H7" s="11"/>
      <c r="I7" s="11"/>
      <c r="J7" s="12"/>
      <c r="K7" s="11"/>
      <c r="L7" s="11"/>
      <c r="M7" s="12"/>
      <c r="N7" s="11"/>
      <c r="O7" s="11"/>
      <c r="P7" s="12"/>
      <c r="Q7" s="11"/>
      <c r="R7" s="11"/>
      <c r="S7" s="12"/>
      <c r="T7" s="11"/>
      <c r="U7" s="11"/>
      <c r="V7" s="12"/>
      <c r="W7" s="11"/>
      <c r="X7" s="11"/>
      <c r="Y7" s="12"/>
      <c r="Z7" s="11"/>
      <c r="AA7" s="11"/>
      <c r="AB7" s="12"/>
      <c r="AC7" s="11"/>
      <c r="AD7" s="11"/>
      <c r="AE7" s="12"/>
      <c r="AF7" s="11"/>
      <c r="AG7" s="11"/>
      <c r="AH7" s="12"/>
      <c r="AI7" s="11"/>
      <c r="AJ7" s="11"/>
      <c r="AK7" s="157"/>
      <c r="AL7" s="168"/>
      <c r="AM7" s="11"/>
      <c r="AN7" s="170"/>
    </row>
    <row r="8" spans="1:40" x14ac:dyDescent="0.2">
      <c r="A8" s="184"/>
      <c r="B8" s="168"/>
      <c r="C8" s="11"/>
      <c r="D8" s="170"/>
      <c r="E8" s="11"/>
      <c r="F8" s="11"/>
      <c r="G8" s="12"/>
      <c r="H8" s="11"/>
      <c r="I8" s="11"/>
      <c r="J8" s="12"/>
      <c r="K8" s="11"/>
      <c r="L8" s="11"/>
      <c r="M8" s="12"/>
      <c r="N8" s="11"/>
      <c r="O8" s="11"/>
      <c r="P8" s="12"/>
      <c r="Q8" s="11"/>
      <c r="R8" s="11"/>
      <c r="S8" s="12"/>
      <c r="T8" s="11"/>
      <c r="U8" s="11"/>
      <c r="V8" s="12"/>
      <c r="W8" s="11"/>
      <c r="X8" s="11"/>
      <c r="Y8" s="12"/>
      <c r="Z8" s="11"/>
      <c r="AA8" s="11"/>
      <c r="AB8" s="12"/>
      <c r="AC8" s="11"/>
      <c r="AD8" s="11"/>
      <c r="AE8" s="12"/>
      <c r="AF8" s="11"/>
      <c r="AG8" s="11"/>
      <c r="AH8" s="12"/>
      <c r="AI8" s="11"/>
      <c r="AJ8" s="11"/>
      <c r="AK8" s="157"/>
      <c r="AL8" s="168"/>
      <c r="AM8" s="11"/>
      <c r="AN8" s="170"/>
    </row>
    <row r="9" spans="1:40" ht="15.75" thickBot="1" x14ac:dyDescent="0.25">
      <c r="A9" s="185" t="s">
        <v>67</v>
      </c>
      <c r="B9" s="171">
        <f>+SUM(B10:B13)</f>
        <v>0</v>
      </c>
      <c r="C9" s="144" t="e">
        <f>+D9/B9</f>
        <v>#DIV/0!</v>
      </c>
      <c r="D9" s="172">
        <f>+SUM(D10:D13)</f>
        <v>0</v>
      </c>
      <c r="E9" s="13">
        <f>+SUM(E10:E13)</f>
        <v>1000</v>
      </c>
      <c r="F9" s="144">
        <f>+G9/E9</f>
        <v>1060</v>
      </c>
      <c r="G9" s="145">
        <f>+SUM(G10:G13)</f>
        <v>1060000</v>
      </c>
      <c r="H9" s="13">
        <f>+SUM(H10:H13)</f>
        <v>0</v>
      </c>
      <c r="I9" s="144" t="e">
        <f>+J9/H9</f>
        <v>#DIV/0!</v>
      </c>
      <c r="J9" s="145">
        <f>+SUM(J10:J13)</f>
        <v>0</v>
      </c>
      <c r="K9" s="13">
        <f>+SUM(K10:K13)</f>
        <v>0</v>
      </c>
      <c r="L9" s="144" t="e">
        <f>+M9/K9</f>
        <v>#DIV/0!</v>
      </c>
      <c r="M9" s="145">
        <f>+SUM(M10:M13)</f>
        <v>0</v>
      </c>
      <c r="N9" s="13">
        <f>+SUM(N10:N13)</f>
        <v>500</v>
      </c>
      <c r="O9" s="144">
        <f>+P9/N9</f>
        <v>1040</v>
      </c>
      <c r="P9" s="145">
        <f>+SUM(P10:P13)</f>
        <v>520000</v>
      </c>
      <c r="Q9" s="13">
        <f>+SUM(Q10:Q13)</f>
        <v>0</v>
      </c>
      <c r="R9" s="144" t="e">
        <f>+S9/Q9</f>
        <v>#DIV/0!</v>
      </c>
      <c r="S9" s="145">
        <f>+SUM(S10:S13)</f>
        <v>0</v>
      </c>
      <c r="T9" s="13">
        <f>+SUM(T10:T13)</f>
        <v>500</v>
      </c>
      <c r="U9" s="144">
        <f>+V9/T9</f>
        <v>1040</v>
      </c>
      <c r="V9" s="145">
        <f>+SUM(V10:V13)</f>
        <v>520000</v>
      </c>
      <c r="W9" s="13">
        <f>+SUM(W10:W13)</f>
        <v>500</v>
      </c>
      <c r="X9" s="144">
        <f>+Y9/W9</f>
        <v>1040</v>
      </c>
      <c r="Y9" s="145">
        <f>+SUM(Y10:Y13)</f>
        <v>520000</v>
      </c>
      <c r="Z9" s="13">
        <f>+SUM(Z10:Z13)</f>
        <v>0</v>
      </c>
      <c r="AA9" s="144" t="e">
        <f>+AB9/Z9</f>
        <v>#DIV/0!</v>
      </c>
      <c r="AB9" s="145">
        <f>+SUM(AB10:AB13)</f>
        <v>0</v>
      </c>
      <c r="AC9" s="13">
        <f>+SUM(AC10:AC13)</f>
        <v>0</v>
      </c>
      <c r="AD9" s="144" t="e">
        <f>+AE9/AC9</f>
        <v>#DIV/0!</v>
      </c>
      <c r="AE9" s="145">
        <f>+SUM(AE10:AE13)</f>
        <v>0</v>
      </c>
      <c r="AF9" s="13">
        <f>+SUM(AF10:AF13)</f>
        <v>996</v>
      </c>
      <c r="AG9" s="144">
        <f>+AH9/AF9</f>
        <v>1060</v>
      </c>
      <c r="AH9" s="145">
        <f>+SUM(AH10:AH13)</f>
        <v>1055760</v>
      </c>
      <c r="AI9" s="13">
        <f>+SUM(AI10:AI13)</f>
        <v>500</v>
      </c>
      <c r="AJ9" s="144">
        <f>+AK9/AI9</f>
        <v>1080</v>
      </c>
      <c r="AK9" s="158">
        <f>+SUM(AK10:AK13)</f>
        <v>540000</v>
      </c>
      <c r="AL9" s="171">
        <f>+SUM(AL10:AL13)</f>
        <v>3996</v>
      </c>
      <c r="AM9" s="144">
        <f>+AN9/AL9</f>
        <v>1054.9949949949951</v>
      </c>
      <c r="AN9" s="172">
        <f>+SUM(AN10:AN13)</f>
        <v>4215760</v>
      </c>
    </row>
    <row r="10" spans="1:40" ht="13.5" thickTop="1" x14ac:dyDescent="0.2">
      <c r="A10" s="184" t="str">
        <f>+A5</f>
        <v>Cattle Feed</v>
      </c>
      <c r="B10" s="168">
        <v>0</v>
      </c>
      <c r="C10" s="146">
        <v>1105</v>
      </c>
      <c r="D10" s="170"/>
      <c r="E10" s="11">
        <v>1000</v>
      </c>
      <c r="F10" s="146"/>
      <c r="G10" s="12">
        <v>1060000</v>
      </c>
      <c r="H10" s="11"/>
      <c r="I10" s="146"/>
      <c r="J10" s="12"/>
      <c r="K10" s="11">
        <v>0</v>
      </c>
      <c r="L10" s="146"/>
      <c r="M10" s="12">
        <v>0</v>
      </c>
      <c r="N10" s="11">
        <v>500</v>
      </c>
      <c r="O10" s="146"/>
      <c r="P10" s="12">
        <v>520000</v>
      </c>
      <c r="Q10" s="11"/>
      <c r="R10" s="146"/>
      <c r="S10" s="12"/>
      <c r="T10" s="11">
        <v>500</v>
      </c>
      <c r="U10" s="146"/>
      <c r="V10" s="12">
        <v>520000</v>
      </c>
      <c r="W10" s="11">
        <v>500</v>
      </c>
      <c r="X10" s="146"/>
      <c r="Y10" s="12">
        <v>520000</v>
      </c>
      <c r="Z10" s="11"/>
      <c r="AA10" s="146"/>
      <c r="AB10" s="12"/>
      <c r="AC10" s="11"/>
      <c r="AD10" s="146"/>
      <c r="AE10" s="12"/>
      <c r="AF10" s="11">
        <v>996</v>
      </c>
      <c r="AG10" s="146"/>
      <c r="AH10" s="12">
        <v>1055760</v>
      </c>
      <c r="AI10" s="11">
        <v>500</v>
      </c>
      <c r="AJ10" s="146"/>
      <c r="AK10" s="157">
        <v>540000</v>
      </c>
      <c r="AL10" s="168">
        <f>+AI10+AF10+AC10+Z10+W10+T10+Q10+N10+K10+H10+E10+B10</f>
        <v>3996</v>
      </c>
      <c r="AM10" s="146"/>
      <c r="AN10" s="173">
        <f>+AK10+AH10+AE10+AB10+Y10+V10+S10+P10+M10+J10+G10+D10</f>
        <v>4215760</v>
      </c>
    </row>
    <row r="11" spans="1:40" x14ac:dyDescent="0.2">
      <c r="A11" s="184"/>
      <c r="B11" s="168"/>
      <c r="C11" s="11"/>
      <c r="D11" s="170"/>
      <c r="E11" s="11"/>
      <c r="F11" s="11"/>
      <c r="G11" s="12"/>
      <c r="H11" s="11"/>
      <c r="I11" s="11"/>
      <c r="J11" s="12"/>
      <c r="K11" s="11"/>
      <c r="L11" s="11"/>
      <c r="M11" s="12"/>
      <c r="N11" s="11"/>
      <c r="O11" s="11"/>
      <c r="P11" s="12"/>
      <c r="Q11" s="11"/>
      <c r="R11" s="11"/>
      <c r="S11" s="12"/>
      <c r="T11" s="11"/>
      <c r="U11" s="11"/>
      <c r="V11" s="12"/>
      <c r="W11" s="11"/>
      <c r="X11" s="11"/>
      <c r="Y11" s="12"/>
      <c r="Z11" s="11"/>
      <c r="AA11" s="11"/>
      <c r="AB11" s="12"/>
      <c r="AC11" s="11"/>
      <c r="AD11" s="11"/>
      <c r="AE11" s="12"/>
      <c r="AF11" s="11"/>
      <c r="AG11" s="11"/>
      <c r="AH11" s="12"/>
      <c r="AI11" s="11"/>
      <c r="AJ11" s="11"/>
      <c r="AK11" s="157"/>
      <c r="AL11" s="168"/>
      <c r="AM11" s="11"/>
      <c r="AN11" s="173">
        <f>+AK11+AH11+AE11+AB11+Y11+V11+S11+P11+M11+J11+G11+D11</f>
        <v>0</v>
      </c>
    </row>
    <row r="12" spans="1:40" x14ac:dyDescent="0.2">
      <c r="A12" s="184"/>
      <c r="B12" s="168"/>
      <c r="C12" s="146"/>
      <c r="D12" s="170"/>
      <c r="E12" s="11"/>
      <c r="F12" s="146"/>
      <c r="G12" s="12"/>
      <c r="H12" s="11"/>
      <c r="I12" s="146"/>
      <c r="J12" s="12"/>
      <c r="K12" s="11"/>
      <c r="L12" s="146"/>
      <c r="M12" s="12"/>
      <c r="N12" s="11"/>
      <c r="O12" s="146"/>
      <c r="P12" s="12"/>
      <c r="Q12" s="11"/>
      <c r="R12" s="146"/>
      <c r="S12" s="12"/>
      <c r="T12" s="11"/>
      <c r="U12" s="146"/>
      <c r="V12" s="12"/>
      <c r="W12" s="11"/>
      <c r="X12" s="146"/>
      <c r="Y12" s="12"/>
      <c r="Z12" s="11"/>
      <c r="AA12" s="146"/>
      <c r="AB12" s="12"/>
      <c r="AC12" s="11"/>
      <c r="AD12" s="146"/>
      <c r="AE12" s="12"/>
      <c r="AF12" s="11"/>
      <c r="AG12" s="146"/>
      <c r="AH12" s="12"/>
      <c r="AI12" s="11"/>
      <c r="AJ12" s="146"/>
      <c r="AK12" s="157"/>
      <c r="AL12" s="168"/>
      <c r="AM12" s="146"/>
      <c r="AN12" s="170"/>
    </row>
    <row r="13" spans="1:40" x14ac:dyDescent="0.2">
      <c r="A13" s="184"/>
      <c r="B13" s="168"/>
      <c r="C13" s="146"/>
      <c r="D13" s="170"/>
      <c r="E13" s="11"/>
      <c r="F13" s="146"/>
      <c r="G13" s="12"/>
      <c r="H13" s="11"/>
      <c r="I13" s="146"/>
      <c r="J13" s="12"/>
      <c r="K13" s="11"/>
      <c r="L13" s="146"/>
      <c r="M13" s="12"/>
      <c r="N13" s="11"/>
      <c r="O13" s="146"/>
      <c r="P13" s="12"/>
      <c r="Q13" s="11"/>
      <c r="R13" s="146"/>
      <c r="S13" s="12"/>
      <c r="T13" s="11"/>
      <c r="U13" s="146"/>
      <c r="V13" s="12"/>
      <c r="W13" s="11"/>
      <c r="X13" s="146"/>
      <c r="Y13" s="12"/>
      <c r="Z13" s="11"/>
      <c r="AA13" s="146"/>
      <c r="AB13" s="12"/>
      <c r="AC13" s="11"/>
      <c r="AD13" s="146"/>
      <c r="AE13" s="12"/>
      <c r="AF13" s="11"/>
      <c r="AG13" s="146"/>
      <c r="AH13" s="12"/>
      <c r="AI13" s="11"/>
      <c r="AJ13" s="146"/>
      <c r="AK13" s="157"/>
      <c r="AL13" s="168"/>
      <c r="AM13" s="146"/>
      <c r="AN13" s="170"/>
    </row>
    <row r="14" spans="1:40" ht="15.75" thickBot="1" x14ac:dyDescent="0.25">
      <c r="A14" s="185" t="s">
        <v>4</v>
      </c>
      <c r="B14" s="171">
        <f>+SUM(B15:B18)</f>
        <v>477</v>
      </c>
      <c r="C14" s="144">
        <f>+D14/B14</f>
        <v>1234.2767295597484</v>
      </c>
      <c r="D14" s="172">
        <f>+SUM(D15:D18)</f>
        <v>588750</v>
      </c>
      <c r="E14" s="13">
        <f>+SUM(E15:E18)</f>
        <v>421</v>
      </c>
      <c r="F14" s="144">
        <f>+G14/E14</f>
        <v>1250</v>
      </c>
      <c r="G14" s="145">
        <f>+SUM(G15:G18)</f>
        <v>526250</v>
      </c>
      <c r="H14" s="13">
        <f>+SUM(H15:H18)</f>
        <v>327</v>
      </c>
      <c r="I14" s="144">
        <f>+J14/H14</f>
        <v>1250</v>
      </c>
      <c r="J14" s="145">
        <f>+SUM(J15:J18)</f>
        <v>408750</v>
      </c>
      <c r="K14" s="13">
        <f>+SUM(K15:K18)</f>
        <v>205</v>
      </c>
      <c r="L14" s="144">
        <f>+M14/K14</f>
        <v>1250</v>
      </c>
      <c r="M14" s="145">
        <f>+SUM(M15:M18)</f>
        <v>256250</v>
      </c>
      <c r="N14" s="13">
        <f>+SUM(N15:N18)</f>
        <v>260</v>
      </c>
      <c r="O14" s="144">
        <f>+P14/N14</f>
        <v>1250</v>
      </c>
      <c r="P14" s="145">
        <f>+SUM(P15:P18)</f>
        <v>325000</v>
      </c>
      <c r="Q14" s="13">
        <f>+SUM(Q15:Q18)</f>
        <v>235</v>
      </c>
      <c r="R14" s="144">
        <f>+S14/Q14</f>
        <v>1250</v>
      </c>
      <c r="S14" s="145">
        <f>+SUM(S15:S18)</f>
        <v>293750</v>
      </c>
      <c r="T14" s="13">
        <f>+SUM(T15:T18)</f>
        <v>420</v>
      </c>
      <c r="U14" s="144">
        <f>+V14/T14</f>
        <v>1229</v>
      </c>
      <c r="V14" s="145">
        <f>+SUM(V15:V18)</f>
        <v>516180</v>
      </c>
      <c r="W14" s="13">
        <f>+SUM(W15:W18)</f>
        <v>171</v>
      </c>
      <c r="X14" s="144">
        <f>+Y14/W14</f>
        <v>1250</v>
      </c>
      <c r="Y14" s="145">
        <f>+SUM(Y15:Y18)</f>
        <v>213750</v>
      </c>
      <c r="Z14" s="13">
        <f>+SUM(Z15:Z18)</f>
        <v>548</v>
      </c>
      <c r="AA14" s="144">
        <f>+AB14/Z14</f>
        <v>1250</v>
      </c>
      <c r="AB14" s="145">
        <f>+SUM(AB15:AB18)</f>
        <v>685000</v>
      </c>
      <c r="AC14" s="13">
        <f>+SUM(AC15:AC18)</f>
        <v>201</v>
      </c>
      <c r="AD14" s="144">
        <f>+AE14/AC14</f>
        <v>1250</v>
      </c>
      <c r="AE14" s="145">
        <f>+SUM(AE15:AE18)</f>
        <v>251250</v>
      </c>
      <c r="AF14" s="13">
        <f>+SUM(AF15:AF18)</f>
        <v>261</v>
      </c>
      <c r="AG14" s="144">
        <f>+AH14/AF14</f>
        <v>1166.3218390804598</v>
      </c>
      <c r="AH14" s="145">
        <f>+SUM(AH15:AH18)</f>
        <v>304410</v>
      </c>
      <c r="AI14" s="13">
        <f>+SUM(AI15:AI18)</f>
        <v>446</v>
      </c>
      <c r="AJ14" s="144">
        <f>+AK14/AI14</f>
        <v>1233.1838565022422</v>
      </c>
      <c r="AK14" s="158">
        <f>+SUM(AK15:AK18)</f>
        <v>550000</v>
      </c>
      <c r="AL14" s="171">
        <f>+SUM(AL15:AL18)</f>
        <v>3972</v>
      </c>
      <c r="AM14" s="144">
        <f>+AN14/AL14</f>
        <v>1238.5045317220545</v>
      </c>
      <c r="AN14" s="172">
        <f>+SUM(AN15:AN18)</f>
        <v>4919340</v>
      </c>
    </row>
    <row r="15" spans="1:40" ht="13.5" thickTop="1" x14ac:dyDescent="0.2">
      <c r="A15" s="184" t="str">
        <f>+A10</f>
        <v>Cattle Feed</v>
      </c>
      <c r="B15" s="168">
        <v>477</v>
      </c>
      <c r="C15" s="146"/>
      <c r="D15" s="170">
        <v>588750</v>
      </c>
      <c r="E15" s="11">
        <v>421</v>
      </c>
      <c r="F15" s="146"/>
      <c r="G15" s="12">
        <v>526250</v>
      </c>
      <c r="H15" s="11">
        <v>327</v>
      </c>
      <c r="I15" s="146"/>
      <c r="J15" s="12">
        <v>408750</v>
      </c>
      <c r="K15" s="11">
        <v>205</v>
      </c>
      <c r="L15" s="146"/>
      <c r="M15" s="12">
        <v>256250</v>
      </c>
      <c r="N15" s="11">
        <v>260</v>
      </c>
      <c r="O15" s="146"/>
      <c r="P15" s="12">
        <v>325000</v>
      </c>
      <c r="Q15" s="11">
        <v>235</v>
      </c>
      <c r="R15" s="146"/>
      <c r="S15" s="12">
        <v>293750</v>
      </c>
      <c r="T15" s="11">
        <v>420</v>
      </c>
      <c r="U15" s="146"/>
      <c r="V15" s="12">
        <v>516180</v>
      </c>
      <c r="W15" s="11">
        <v>171</v>
      </c>
      <c r="X15" s="146"/>
      <c r="Y15" s="12">
        <v>213750</v>
      </c>
      <c r="Z15" s="11">
        <v>548</v>
      </c>
      <c r="AA15" s="146"/>
      <c r="AB15" s="12">
        <v>685000</v>
      </c>
      <c r="AC15" s="11">
        <v>201</v>
      </c>
      <c r="AD15" s="146"/>
      <c r="AE15" s="12">
        <v>251250</v>
      </c>
      <c r="AF15" s="11">
        <v>261</v>
      </c>
      <c r="AG15" s="146"/>
      <c r="AH15" s="12">
        <f>326250-21840</f>
        <v>304410</v>
      </c>
      <c r="AI15" s="11">
        <v>446</v>
      </c>
      <c r="AJ15" s="146"/>
      <c r="AK15" s="157">
        <v>550000</v>
      </c>
      <c r="AL15" s="168">
        <f>+AI15+AF15+AC15+Z15+W15+T15+Q15+N15+K15+H15+E15+B15</f>
        <v>3972</v>
      </c>
      <c r="AM15" s="146"/>
      <c r="AN15" s="173">
        <f>+AK15+AH15+AE15+AB15+Y15+V15+S15+P15+M15+J15+G15+D15</f>
        <v>4919340</v>
      </c>
    </row>
    <row r="16" spans="1:40" x14ac:dyDescent="0.2">
      <c r="A16" s="184"/>
      <c r="B16" s="168"/>
      <c r="C16" s="146"/>
      <c r="D16" s="170"/>
      <c r="E16" s="11"/>
      <c r="F16" s="146"/>
      <c r="G16" s="12"/>
      <c r="H16" s="11"/>
      <c r="I16" s="146"/>
      <c r="J16" s="12"/>
      <c r="K16" s="11"/>
      <c r="L16" s="146"/>
      <c r="M16" s="12"/>
      <c r="N16" s="11"/>
      <c r="O16" s="146"/>
      <c r="P16" s="12"/>
      <c r="Q16" s="11"/>
      <c r="R16" s="146"/>
      <c r="S16" s="12"/>
      <c r="T16" s="11"/>
      <c r="U16" s="146"/>
      <c r="V16" s="12"/>
      <c r="W16" s="11"/>
      <c r="X16" s="146"/>
      <c r="Y16" s="12"/>
      <c r="Z16" s="11"/>
      <c r="AA16" s="146"/>
      <c r="AB16" s="12"/>
      <c r="AC16" s="11"/>
      <c r="AD16" s="146"/>
      <c r="AE16" s="12"/>
      <c r="AF16" s="11"/>
      <c r="AG16" s="146"/>
      <c r="AH16" s="12"/>
      <c r="AI16" s="11"/>
      <c r="AJ16" s="146"/>
      <c r="AK16" s="157"/>
      <c r="AL16" s="168"/>
      <c r="AM16" s="11"/>
      <c r="AN16" s="173">
        <f>+AK16+AH16+AE16+AB16+Y16+V16+S16+P16+M16+J16+G16+D16</f>
        <v>0</v>
      </c>
    </row>
    <row r="17" spans="1:40" x14ac:dyDescent="0.2">
      <c r="A17" s="184"/>
      <c r="B17" s="168"/>
      <c r="C17" s="146"/>
      <c r="D17" s="170"/>
      <c r="E17" s="11"/>
      <c r="F17" s="146"/>
      <c r="G17" s="12"/>
      <c r="H17" s="11"/>
      <c r="I17" s="146"/>
      <c r="J17" s="12"/>
      <c r="K17" s="11"/>
      <c r="L17" s="146"/>
      <c r="M17" s="12"/>
      <c r="N17" s="11"/>
      <c r="O17" s="146"/>
      <c r="P17" s="12"/>
      <c r="Q17" s="11"/>
      <c r="R17" s="146"/>
      <c r="S17" s="12"/>
      <c r="T17" s="11"/>
      <c r="U17" s="146"/>
      <c r="V17" s="12"/>
      <c r="W17" s="11"/>
      <c r="X17" s="146"/>
      <c r="Y17" s="12"/>
      <c r="Z17" s="11"/>
      <c r="AA17" s="146"/>
      <c r="AB17" s="12"/>
      <c r="AC17" s="11"/>
      <c r="AD17" s="146"/>
      <c r="AE17" s="12"/>
      <c r="AF17" s="11"/>
      <c r="AG17" s="146"/>
      <c r="AH17" s="12"/>
      <c r="AI17" s="11"/>
      <c r="AJ17" s="146"/>
      <c r="AK17" s="157"/>
      <c r="AL17" s="168"/>
      <c r="AM17" s="146"/>
      <c r="AN17" s="170"/>
    </row>
    <row r="18" spans="1:40" x14ac:dyDescent="0.2">
      <c r="A18" s="184"/>
      <c r="B18" s="168"/>
      <c r="C18" s="146"/>
      <c r="D18" s="170"/>
      <c r="E18" s="11"/>
      <c r="F18" s="146"/>
      <c r="G18" s="12"/>
      <c r="H18" s="11"/>
      <c r="I18" s="146"/>
      <c r="J18" s="12"/>
      <c r="K18" s="11"/>
      <c r="L18" s="146"/>
      <c r="M18" s="12"/>
      <c r="N18" s="11"/>
      <c r="O18" s="146"/>
      <c r="P18" s="12"/>
      <c r="Q18" s="11"/>
      <c r="R18" s="146"/>
      <c r="S18" s="12"/>
      <c r="T18" s="11"/>
      <c r="U18" s="146"/>
      <c r="V18" s="12"/>
      <c r="W18" s="11"/>
      <c r="X18" s="146"/>
      <c r="Y18" s="12"/>
      <c r="Z18" s="11"/>
      <c r="AA18" s="146"/>
      <c r="AB18" s="12"/>
      <c r="AC18" s="11"/>
      <c r="AD18" s="146"/>
      <c r="AE18" s="12"/>
      <c r="AF18" s="11"/>
      <c r="AG18" s="146"/>
      <c r="AH18" s="12"/>
      <c r="AI18" s="11"/>
      <c r="AJ18" s="146"/>
      <c r="AK18" s="157"/>
      <c r="AL18" s="168"/>
      <c r="AM18" s="146"/>
      <c r="AN18" s="170"/>
    </row>
    <row r="19" spans="1:40" ht="15.75" thickBot="1" x14ac:dyDescent="0.25">
      <c r="A19" s="186" t="s">
        <v>68</v>
      </c>
      <c r="B19" s="174">
        <f>+SUM(B20:B23)</f>
        <v>424</v>
      </c>
      <c r="C19" s="147">
        <f>+D19/B19</f>
        <v>1060</v>
      </c>
      <c r="D19" s="175">
        <f>+SUM(D20:D23)</f>
        <v>449440</v>
      </c>
      <c r="E19" s="14">
        <f>+SUM(E20:E23)</f>
        <v>1003</v>
      </c>
      <c r="F19" s="147">
        <f>+G19/E19</f>
        <v>1060</v>
      </c>
      <c r="G19" s="148">
        <f>+SUM(G20:G23)</f>
        <v>1063180</v>
      </c>
      <c r="H19" s="14">
        <f>+SUM(H20:H23)</f>
        <v>676</v>
      </c>
      <c r="I19" s="147">
        <f>+J19/H19</f>
        <v>1060</v>
      </c>
      <c r="J19" s="148">
        <f>+SUM(J20:J23)</f>
        <v>716560</v>
      </c>
      <c r="K19" s="14">
        <f>+SUM(K20:K23)</f>
        <v>471</v>
      </c>
      <c r="L19" s="147">
        <f>+M19/K19</f>
        <v>1060</v>
      </c>
      <c r="M19" s="148">
        <f>+SUM(M20:M23)</f>
        <v>499260</v>
      </c>
      <c r="N19" s="14">
        <f>+SUM(N20:N23)</f>
        <v>711</v>
      </c>
      <c r="O19" s="147">
        <f>+P19/N19</f>
        <v>1040</v>
      </c>
      <c r="P19" s="148">
        <f>+SUM(P20:P23)</f>
        <v>739440</v>
      </c>
      <c r="Q19" s="14">
        <f>+SUM(Q20:Q23)</f>
        <v>476</v>
      </c>
      <c r="R19" s="147">
        <f>+S19/Q19</f>
        <v>1040</v>
      </c>
      <c r="S19" s="148">
        <f>+SUM(S20:S23)</f>
        <v>495040</v>
      </c>
      <c r="T19" s="14">
        <f>+SUM(T20:T23)</f>
        <v>556</v>
      </c>
      <c r="U19" s="147">
        <f>+V19/T19</f>
        <v>1040</v>
      </c>
      <c r="V19" s="148">
        <f>+SUM(V20:V23)</f>
        <v>578240</v>
      </c>
      <c r="W19" s="14">
        <f>+SUM(W20:W23)</f>
        <v>885</v>
      </c>
      <c r="X19" s="147">
        <f>+Y19/W19</f>
        <v>1040</v>
      </c>
      <c r="Y19" s="148">
        <f>+SUM(Y20:Y23)</f>
        <v>920400</v>
      </c>
      <c r="Z19" s="14">
        <f>+SUM(Z20:Z23)</f>
        <v>337</v>
      </c>
      <c r="AA19" s="147">
        <f>+AB19/Z19</f>
        <v>1040</v>
      </c>
      <c r="AB19" s="148">
        <f>+SUM(AB20:AB23)</f>
        <v>350480</v>
      </c>
      <c r="AC19" s="14">
        <f>+SUM(AC20:AC23)</f>
        <v>136</v>
      </c>
      <c r="AD19" s="147">
        <f>+AE19/AC19</f>
        <v>1040</v>
      </c>
      <c r="AE19" s="148">
        <f>+SUM(AE20:AE23)</f>
        <v>141440</v>
      </c>
      <c r="AF19" s="14">
        <f>+SUM(AF20:AF23)</f>
        <v>871</v>
      </c>
      <c r="AG19" s="147">
        <f>+AH19/AF19</f>
        <v>1060</v>
      </c>
      <c r="AH19" s="148">
        <f>+SUM(AH20:AH23)</f>
        <v>923260</v>
      </c>
      <c r="AI19" s="14">
        <f>+SUM(AI20:AI23)</f>
        <v>925</v>
      </c>
      <c r="AJ19" s="147">
        <f>+AK19/AI19</f>
        <v>1080</v>
      </c>
      <c r="AK19" s="159">
        <f>+SUM(AK20:AK23)</f>
        <v>999000</v>
      </c>
      <c r="AL19" s="174">
        <f>+SUM(AL20:AL23)</f>
        <v>925</v>
      </c>
      <c r="AM19" s="147">
        <f>+AN19/AL19</f>
        <v>1060</v>
      </c>
      <c r="AN19" s="175">
        <f>+SUM(AN20:AN23)</f>
        <v>980500</v>
      </c>
    </row>
    <row r="20" spans="1:40" ht="13.5" thickTop="1" x14ac:dyDescent="0.2">
      <c r="A20" s="184" t="str">
        <f>+A15</f>
        <v>Cattle Feed</v>
      </c>
      <c r="B20" s="168">
        <f>+B5+B10-B15</f>
        <v>424</v>
      </c>
      <c r="C20" s="149"/>
      <c r="D20" s="170">
        <f>424*1060</f>
        <v>449440</v>
      </c>
      <c r="E20" s="11">
        <f>+E5+E10-E15</f>
        <v>1003</v>
      </c>
      <c r="F20" s="149"/>
      <c r="G20" s="12">
        <v>1063180</v>
      </c>
      <c r="H20" s="11">
        <f>+H5+H10-H15</f>
        <v>676</v>
      </c>
      <c r="I20" s="149"/>
      <c r="J20" s="12">
        <v>716560</v>
      </c>
      <c r="K20" s="11">
        <f>+K5+K10-K15</f>
        <v>471</v>
      </c>
      <c r="L20" s="149"/>
      <c r="M20" s="12">
        <v>499260</v>
      </c>
      <c r="N20" s="11">
        <f>+N5+N10-N15</f>
        <v>711</v>
      </c>
      <c r="O20" s="149"/>
      <c r="P20" s="12">
        <v>739440</v>
      </c>
      <c r="Q20" s="11">
        <f>+Q5+Q10-Q15</f>
        <v>476</v>
      </c>
      <c r="R20" s="149"/>
      <c r="S20" s="12">
        <v>495040</v>
      </c>
      <c r="T20" s="11">
        <f>+T5+T10-T15</f>
        <v>556</v>
      </c>
      <c r="U20" s="149"/>
      <c r="V20" s="12">
        <v>578240</v>
      </c>
      <c r="W20" s="11">
        <f>+W5+W10-W15</f>
        <v>885</v>
      </c>
      <c r="X20" s="149"/>
      <c r="Y20" s="12">
        <v>920400</v>
      </c>
      <c r="Z20" s="11">
        <f>+Z5+Z10-Z15</f>
        <v>337</v>
      </c>
      <c r="AA20" s="149"/>
      <c r="AB20" s="12">
        <v>350480</v>
      </c>
      <c r="AC20" s="11">
        <f>+AC5+AC10-AC15</f>
        <v>136</v>
      </c>
      <c r="AD20" s="149"/>
      <c r="AE20" s="12">
        <v>141440</v>
      </c>
      <c r="AF20" s="11">
        <f>+AF5+AF10-AF15</f>
        <v>871</v>
      </c>
      <c r="AG20" s="149"/>
      <c r="AH20" s="12">
        <v>923260</v>
      </c>
      <c r="AI20" s="11">
        <f>+AI5+AI10-AI15</f>
        <v>925</v>
      </c>
      <c r="AJ20" s="149"/>
      <c r="AK20" s="157">
        <v>999000</v>
      </c>
      <c r="AL20" s="168">
        <f>+AL5+AL10-AL15</f>
        <v>925</v>
      </c>
      <c r="AM20" s="149"/>
      <c r="AN20" s="170">
        <f>+AL20*1060</f>
        <v>980500</v>
      </c>
    </row>
    <row r="21" spans="1:40" x14ac:dyDescent="0.2">
      <c r="A21" s="184">
        <f>+A16</f>
        <v>0</v>
      </c>
      <c r="B21" s="168"/>
      <c r="C21" s="149"/>
      <c r="D21" s="170"/>
      <c r="E21" s="11"/>
      <c r="F21" s="149"/>
      <c r="G21" s="12"/>
      <c r="H21" s="11"/>
      <c r="I21" s="149"/>
      <c r="J21" s="12"/>
      <c r="K21" s="11"/>
      <c r="L21" s="149"/>
      <c r="M21" s="12"/>
      <c r="N21" s="11"/>
      <c r="O21" s="149"/>
      <c r="P21" s="12"/>
      <c r="Q21" s="11"/>
      <c r="R21" s="149"/>
      <c r="S21" s="12"/>
      <c r="T21" s="11"/>
      <c r="U21" s="149"/>
      <c r="V21" s="12"/>
      <c r="W21" s="11"/>
      <c r="X21" s="149"/>
      <c r="Y21" s="12"/>
      <c r="Z21" s="11"/>
      <c r="AA21" s="149"/>
      <c r="AB21" s="12"/>
      <c r="AC21" s="11"/>
      <c r="AD21" s="149"/>
      <c r="AE21" s="12"/>
      <c r="AF21" s="11"/>
      <c r="AG21" s="149"/>
      <c r="AH21" s="12"/>
      <c r="AI21" s="11"/>
      <c r="AJ21" s="149"/>
      <c r="AK21" s="157"/>
      <c r="AL21" s="168"/>
      <c r="AM21" s="149"/>
      <c r="AN21" s="170"/>
    </row>
    <row r="22" spans="1:40" x14ac:dyDescent="0.2">
      <c r="A22" s="184"/>
      <c r="B22" s="168"/>
      <c r="C22" s="146"/>
      <c r="D22" s="170"/>
      <c r="E22" s="11"/>
      <c r="F22" s="146"/>
      <c r="G22" s="12"/>
      <c r="H22" s="11"/>
      <c r="I22" s="146"/>
      <c r="J22" s="12"/>
      <c r="K22" s="11"/>
      <c r="L22" s="146"/>
      <c r="M22" s="12"/>
      <c r="N22" s="11"/>
      <c r="O22" s="146"/>
      <c r="P22" s="12"/>
      <c r="Q22" s="11"/>
      <c r="R22" s="146"/>
      <c r="S22" s="12"/>
      <c r="T22" s="11"/>
      <c r="U22" s="146"/>
      <c r="V22" s="12"/>
      <c r="W22" s="11"/>
      <c r="X22" s="146"/>
      <c r="Y22" s="12"/>
      <c r="Z22" s="11"/>
      <c r="AA22" s="146"/>
      <c r="AB22" s="12"/>
      <c r="AC22" s="11"/>
      <c r="AD22" s="146"/>
      <c r="AE22" s="12"/>
      <c r="AF22" s="11"/>
      <c r="AG22" s="146"/>
      <c r="AH22" s="12"/>
      <c r="AI22" s="11"/>
      <c r="AJ22" s="146"/>
      <c r="AK22" s="157"/>
      <c r="AL22" s="168"/>
      <c r="AM22" s="146"/>
      <c r="AN22" s="170"/>
    </row>
    <row r="23" spans="1:40" x14ac:dyDescent="0.2">
      <c r="A23" s="184"/>
      <c r="B23" s="168"/>
      <c r="C23" s="146"/>
      <c r="D23" s="170"/>
      <c r="E23" s="11"/>
      <c r="F23" s="146"/>
      <c r="G23" s="12"/>
      <c r="H23" s="11"/>
      <c r="I23" s="146"/>
      <c r="J23" s="12"/>
      <c r="K23" s="11"/>
      <c r="L23" s="146"/>
      <c r="M23" s="12"/>
      <c r="N23" s="11"/>
      <c r="O23" s="146"/>
      <c r="P23" s="12"/>
      <c r="Q23" s="11"/>
      <c r="R23" s="146"/>
      <c r="S23" s="12"/>
      <c r="T23" s="11"/>
      <c r="U23" s="146"/>
      <c r="V23" s="12"/>
      <c r="W23" s="11"/>
      <c r="X23" s="146"/>
      <c r="Y23" s="12"/>
      <c r="Z23" s="11"/>
      <c r="AA23" s="146"/>
      <c r="AB23" s="12"/>
      <c r="AC23" s="11"/>
      <c r="AD23" s="146"/>
      <c r="AE23" s="12"/>
      <c r="AF23" s="11"/>
      <c r="AG23" s="146"/>
      <c r="AH23" s="12"/>
      <c r="AI23" s="11"/>
      <c r="AJ23" s="146"/>
      <c r="AK23" s="157"/>
      <c r="AL23" s="168"/>
      <c r="AM23" s="146"/>
      <c r="AN23" s="170"/>
    </row>
    <row r="24" spans="1:40" ht="15.75" thickBot="1" x14ac:dyDescent="0.25">
      <c r="A24" s="185" t="s">
        <v>114</v>
      </c>
      <c r="B24" s="171">
        <f>+SUM(B25:B28)</f>
        <v>477</v>
      </c>
      <c r="C24" s="144">
        <f>+D24/B24</f>
        <v>59.926624737945495</v>
      </c>
      <c r="D24" s="172">
        <f>+SUM(D25:D28)</f>
        <v>28585</v>
      </c>
      <c r="E24" s="13">
        <f>+SUM(E25:E28)</f>
        <v>421</v>
      </c>
      <c r="F24" s="144">
        <f>+G24/E24</f>
        <v>55</v>
      </c>
      <c r="G24" s="145">
        <f>+SUM(G25:G28)</f>
        <v>23155</v>
      </c>
      <c r="H24" s="13">
        <f>+SUM(H25:H28)</f>
        <v>327</v>
      </c>
      <c r="I24" s="144">
        <f>+J24/H24</f>
        <v>55</v>
      </c>
      <c r="J24" s="145">
        <f>+SUM(J25:J28)</f>
        <v>17985</v>
      </c>
      <c r="K24" s="13">
        <f>+SUM(K25:K28)</f>
        <v>205</v>
      </c>
      <c r="L24" s="144">
        <f>+M24/K24</f>
        <v>55</v>
      </c>
      <c r="M24" s="145">
        <f>+SUM(M25:M28)</f>
        <v>11275</v>
      </c>
      <c r="N24" s="13">
        <f>+SUM(N25:N28)</f>
        <v>260</v>
      </c>
      <c r="O24" s="144">
        <f>+P24/N24</f>
        <v>55</v>
      </c>
      <c r="P24" s="145">
        <f>+SUM(P25:P28)</f>
        <v>14300</v>
      </c>
      <c r="Q24" s="13">
        <f>+SUM(Q25:Q28)</f>
        <v>235</v>
      </c>
      <c r="R24" s="144">
        <f>+S24/Q24</f>
        <v>55</v>
      </c>
      <c r="S24" s="145">
        <f>+SUM(S25:S28)</f>
        <v>12925</v>
      </c>
      <c r="T24" s="13">
        <f>+SUM(T25:T28)</f>
        <v>420</v>
      </c>
      <c r="U24" s="144">
        <f>+V24/T24</f>
        <v>49.5</v>
      </c>
      <c r="V24" s="145">
        <f>+SUM(V25:V28)</f>
        <v>20790</v>
      </c>
      <c r="W24" s="13">
        <f>+SUM(W25:W28)</f>
        <v>171</v>
      </c>
      <c r="X24" s="144">
        <f>+Y24/W24</f>
        <v>0</v>
      </c>
      <c r="Y24" s="145">
        <f>+SUM(Y25:Y28)</f>
        <v>0</v>
      </c>
      <c r="Z24" s="13">
        <f>+SUM(Z25:Z28)</f>
        <v>548</v>
      </c>
      <c r="AA24" s="144">
        <f>+AB24/Z24</f>
        <v>55</v>
      </c>
      <c r="AB24" s="145">
        <f>+SUM(AB25:AB28)</f>
        <v>30140</v>
      </c>
      <c r="AC24" s="13">
        <f>+SUM(AC25:AC28)</f>
        <v>201</v>
      </c>
      <c r="AD24" s="144">
        <f>+AE24/AC24</f>
        <v>0</v>
      </c>
      <c r="AE24" s="145">
        <f>+SUM(AE25:AE28)</f>
        <v>0</v>
      </c>
      <c r="AF24" s="13">
        <f>+SUM(AF25:AF28)</f>
        <v>261</v>
      </c>
      <c r="AG24" s="144">
        <f>+AH24/AF24</f>
        <v>0</v>
      </c>
      <c r="AH24" s="145">
        <f>+SUM(AH25:AH28)</f>
        <v>0</v>
      </c>
      <c r="AI24" s="13">
        <f>+SUM(AI25:AI28)</f>
        <v>446</v>
      </c>
      <c r="AJ24" s="144">
        <f>+AK24/AI24</f>
        <v>0</v>
      </c>
      <c r="AK24" s="158">
        <f>+SUM(AK25:AK28)</f>
        <v>0</v>
      </c>
      <c r="AL24" s="171">
        <f>+SUM(AL25:AL28)</f>
        <v>3972</v>
      </c>
      <c r="AM24" s="144">
        <f>+AN24/AL24</f>
        <v>40.069234642497484</v>
      </c>
      <c r="AN24" s="172">
        <f>+SUM(AN25:AN28)</f>
        <v>159155</v>
      </c>
    </row>
    <row r="25" spans="1:40" ht="13.5" thickTop="1" x14ac:dyDescent="0.2">
      <c r="A25" s="184" t="str">
        <f>+A15</f>
        <v>Cattle Feed</v>
      </c>
      <c r="B25" s="168">
        <f>+B15</f>
        <v>477</v>
      </c>
      <c r="C25" s="146"/>
      <c r="D25" s="170">
        <f>+D40</f>
        <v>28585</v>
      </c>
      <c r="E25" s="11">
        <f>+E15</f>
        <v>421</v>
      </c>
      <c r="F25" s="146"/>
      <c r="G25" s="12">
        <f>+G40</f>
        <v>23155</v>
      </c>
      <c r="H25" s="11">
        <f>+H15</f>
        <v>327</v>
      </c>
      <c r="I25" s="146"/>
      <c r="J25" s="12">
        <f>+J40</f>
        <v>17985</v>
      </c>
      <c r="K25" s="11">
        <f>+K15</f>
        <v>205</v>
      </c>
      <c r="L25" s="146"/>
      <c r="M25" s="12">
        <f>+M40</f>
        <v>11275</v>
      </c>
      <c r="N25" s="11">
        <f>+N15</f>
        <v>260</v>
      </c>
      <c r="O25" s="146"/>
      <c r="P25" s="12">
        <f>+P40</f>
        <v>14300</v>
      </c>
      <c r="Q25" s="11">
        <f>+Q15</f>
        <v>235</v>
      </c>
      <c r="R25" s="146"/>
      <c r="S25" s="12">
        <f>+S40</f>
        <v>12925</v>
      </c>
      <c r="T25" s="11">
        <f>+T15</f>
        <v>420</v>
      </c>
      <c r="U25" s="146"/>
      <c r="V25" s="12">
        <f>+V40</f>
        <v>20790</v>
      </c>
      <c r="W25" s="11">
        <f>+W15</f>
        <v>171</v>
      </c>
      <c r="X25" s="146"/>
      <c r="Y25" s="12">
        <f>+Y40</f>
        <v>0</v>
      </c>
      <c r="Z25" s="11">
        <f>+Z15</f>
        <v>548</v>
      </c>
      <c r="AA25" s="146"/>
      <c r="AB25" s="12">
        <f>+AB40</f>
        <v>30140</v>
      </c>
      <c r="AC25" s="11">
        <f>+AC15</f>
        <v>201</v>
      </c>
      <c r="AD25" s="146"/>
      <c r="AE25" s="12">
        <f>+AE40</f>
        <v>0</v>
      </c>
      <c r="AF25" s="11">
        <f>+AF15</f>
        <v>261</v>
      </c>
      <c r="AG25" s="146"/>
      <c r="AH25" s="12">
        <f>+AH40</f>
        <v>0</v>
      </c>
      <c r="AI25" s="11">
        <f>+AI15</f>
        <v>446</v>
      </c>
      <c r="AJ25" s="146"/>
      <c r="AK25" s="157">
        <f>+AK40</f>
        <v>0</v>
      </c>
      <c r="AL25" s="168">
        <f>+AI25+AF25+AC25+Z25+W25+T25+Q25+N25+K25+H25+E25+B25</f>
        <v>3972</v>
      </c>
      <c r="AM25" s="146"/>
      <c r="AN25" s="173">
        <f>+AK25+AH25+AE25+AB25+Y25+V25+S25+P25+M25+J25+G25+D25</f>
        <v>159155</v>
      </c>
    </row>
    <row r="26" spans="1:40" x14ac:dyDescent="0.2">
      <c r="A26" s="184">
        <f>+A16</f>
        <v>0</v>
      </c>
      <c r="B26" s="168">
        <f>+B21</f>
        <v>0</v>
      </c>
      <c r="C26" s="146"/>
      <c r="D26" s="170">
        <v>0</v>
      </c>
      <c r="E26" s="11">
        <f>+E21</f>
        <v>0</v>
      </c>
      <c r="F26" s="146"/>
      <c r="G26" s="12">
        <v>0</v>
      </c>
      <c r="H26" s="11">
        <f>+H21</f>
        <v>0</v>
      </c>
      <c r="I26" s="146"/>
      <c r="J26" s="12">
        <v>0</v>
      </c>
      <c r="K26" s="11">
        <f>+K21</f>
        <v>0</v>
      </c>
      <c r="L26" s="146"/>
      <c r="M26" s="12">
        <v>0</v>
      </c>
      <c r="N26" s="11">
        <f>+N21</f>
        <v>0</v>
      </c>
      <c r="O26" s="146"/>
      <c r="P26" s="12">
        <v>0</v>
      </c>
      <c r="Q26" s="11">
        <f>+Q21</f>
        <v>0</v>
      </c>
      <c r="R26" s="146"/>
      <c r="S26" s="12">
        <v>0</v>
      </c>
      <c r="T26" s="11">
        <f>+T21</f>
        <v>0</v>
      </c>
      <c r="U26" s="146"/>
      <c r="V26" s="12">
        <v>0</v>
      </c>
      <c r="W26" s="11">
        <f>+W21</f>
        <v>0</v>
      </c>
      <c r="X26" s="146"/>
      <c r="Y26" s="12">
        <v>0</v>
      </c>
      <c r="Z26" s="11">
        <f>+Z21</f>
        <v>0</v>
      </c>
      <c r="AA26" s="146"/>
      <c r="AB26" s="12">
        <v>0</v>
      </c>
      <c r="AC26" s="11">
        <f>+AC21</f>
        <v>0</v>
      </c>
      <c r="AD26" s="146"/>
      <c r="AE26" s="12">
        <v>0</v>
      </c>
      <c r="AF26" s="11">
        <f>+AF21</f>
        <v>0</v>
      </c>
      <c r="AG26" s="146"/>
      <c r="AH26" s="12">
        <v>0</v>
      </c>
      <c r="AI26" s="11">
        <f>+AI21</f>
        <v>0</v>
      </c>
      <c r="AJ26" s="146"/>
      <c r="AK26" s="157">
        <v>0</v>
      </c>
      <c r="AL26" s="168"/>
      <c r="AM26" s="11"/>
      <c r="AN26" s="173">
        <f>+AK26+AH26+AE26+AB26+Y26+V26+S26+P26+M26+J26+G26+D26</f>
        <v>0</v>
      </c>
    </row>
    <row r="27" spans="1:40" x14ac:dyDescent="0.2">
      <c r="A27" s="184"/>
      <c r="B27" s="168"/>
      <c r="C27" s="146"/>
      <c r="D27" s="170"/>
      <c r="E27" s="11"/>
      <c r="F27" s="146"/>
      <c r="G27" s="12"/>
      <c r="H27" s="11"/>
      <c r="I27" s="146"/>
      <c r="J27" s="12"/>
      <c r="K27" s="11"/>
      <c r="L27" s="146"/>
      <c r="M27" s="12"/>
      <c r="N27" s="11"/>
      <c r="O27" s="146"/>
      <c r="P27" s="12"/>
      <c r="Q27" s="11"/>
      <c r="R27" s="146"/>
      <c r="S27" s="12"/>
      <c r="T27" s="11"/>
      <c r="U27" s="146"/>
      <c r="V27" s="12"/>
      <c r="W27" s="11"/>
      <c r="X27" s="146"/>
      <c r="Y27" s="12"/>
      <c r="Z27" s="11"/>
      <c r="AA27" s="146"/>
      <c r="AB27" s="12"/>
      <c r="AC27" s="11"/>
      <c r="AD27" s="146"/>
      <c r="AE27" s="12"/>
      <c r="AF27" s="11"/>
      <c r="AG27" s="146"/>
      <c r="AH27" s="12"/>
      <c r="AI27" s="11"/>
      <c r="AJ27" s="146"/>
      <c r="AK27" s="157"/>
      <c r="AL27" s="168"/>
      <c r="AM27" s="146"/>
      <c r="AN27" s="170"/>
    </row>
    <row r="28" spans="1:40" x14ac:dyDescent="0.2">
      <c r="A28" s="184"/>
      <c r="B28" s="168"/>
      <c r="C28" s="146"/>
      <c r="D28" s="170"/>
      <c r="E28" s="11"/>
      <c r="F28" s="146"/>
      <c r="G28" s="12"/>
      <c r="H28" s="11"/>
      <c r="I28" s="146"/>
      <c r="J28" s="12"/>
      <c r="K28" s="11"/>
      <c r="L28" s="146"/>
      <c r="M28" s="12"/>
      <c r="N28" s="11"/>
      <c r="O28" s="146"/>
      <c r="P28" s="12"/>
      <c r="Q28" s="11"/>
      <c r="R28" s="146"/>
      <c r="S28" s="12"/>
      <c r="T28" s="11"/>
      <c r="U28" s="146"/>
      <c r="V28" s="12"/>
      <c r="W28" s="11"/>
      <c r="X28" s="146"/>
      <c r="Y28" s="12"/>
      <c r="Z28" s="11"/>
      <c r="AA28" s="146"/>
      <c r="AB28" s="12"/>
      <c r="AC28" s="11"/>
      <c r="AD28" s="146"/>
      <c r="AE28" s="12"/>
      <c r="AF28" s="11"/>
      <c r="AG28" s="146"/>
      <c r="AH28" s="12"/>
      <c r="AI28" s="11"/>
      <c r="AJ28" s="146"/>
      <c r="AK28" s="157"/>
      <c r="AL28" s="168"/>
      <c r="AM28" s="146"/>
      <c r="AN28" s="170"/>
    </row>
    <row r="29" spans="1:40" ht="15.75" thickBot="1" x14ac:dyDescent="0.25">
      <c r="A29" s="185" t="s">
        <v>115</v>
      </c>
      <c r="B29" s="171">
        <f>+SUM(B30:B33)</f>
        <v>477</v>
      </c>
      <c r="C29" s="144">
        <f>+D29/B29</f>
        <v>114.35010482180293</v>
      </c>
      <c r="D29" s="172">
        <f>+SUM(D30:D33)</f>
        <v>54545</v>
      </c>
      <c r="E29" s="13">
        <f>+SUM(E30:E33)</f>
        <v>421</v>
      </c>
      <c r="F29" s="144">
        <f>+G29/E29</f>
        <v>135</v>
      </c>
      <c r="G29" s="145">
        <f>+SUM(G30:G33)</f>
        <v>56835</v>
      </c>
      <c r="H29" s="13">
        <f>+SUM(H30:H33)</f>
        <v>327</v>
      </c>
      <c r="I29" s="144">
        <f>+J29/H29</f>
        <v>135</v>
      </c>
      <c r="J29" s="145">
        <f>+SUM(J30:J33)</f>
        <v>44145</v>
      </c>
      <c r="K29" s="13">
        <f>+SUM(K30:K33)</f>
        <v>205</v>
      </c>
      <c r="L29" s="144">
        <f>+M29/K29</f>
        <v>135</v>
      </c>
      <c r="M29" s="145">
        <f>+SUM(M30:M33)</f>
        <v>27675</v>
      </c>
      <c r="N29" s="13">
        <f>+SUM(N30:N33)</f>
        <v>260</v>
      </c>
      <c r="O29" s="144">
        <f>+P29/N29</f>
        <v>118.76923076923077</v>
      </c>
      <c r="P29" s="145">
        <f>+SUM(P30:P33)</f>
        <v>30880</v>
      </c>
      <c r="Q29" s="13">
        <f>+SUM(Q30:Q33)</f>
        <v>235</v>
      </c>
      <c r="R29" s="144">
        <f>+S29/Q29</f>
        <v>155</v>
      </c>
      <c r="S29" s="145">
        <f>+SUM(S30:S33)</f>
        <v>36425</v>
      </c>
      <c r="T29" s="13">
        <f>+SUM(T30:T33)</f>
        <v>420</v>
      </c>
      <c r="U29" s="144">
        <f>+V29/T29</f>
        <v>139.5</v>
      </c>
      <c r="V29" s="145">
        <f>+SUM(V30:V33)</f>
        <v>58590</v>
      </c>
      <c r="W29" s="13">
        <f>+SUM(W30:W33)</f>
        <v>171</v>
      </c>
      <c r="X29" s="144">
        <f>+Y29/W29</f>
        <v>210</v>
      </c>
      <c r="Y29" s="145">
        <f>+SUM(Y30:Y33)</f>
        <v>35910</v>
      </c>
      <c r="Z29" s="13">
        <f>+SUM(Z30:Z33)</f>
        <v>548</v>
      </c>
      <c r="AA29" s="144">
        <f>+AB29/Z29</f>
        <v>155</v>
      </c>
      <c r="AB29" s="145">
        <f>+SUM(AB30:AB33)</f>
        <v>84940</v>
      </c>
      <c r="AC29" s="13">
        <f>+SUM(AC30:AC33)</f>
        <v>201</v>
      </c>
      <c r="AD29" s="144">
        <f>+AE29/AC29</f>
        <v>210</v>
      </c>
      <c r="AE29" s="145">
        <f>+SUM(AE30:AE33)</f>
        <v>42210</v>
      </c>
      <c r="AF29" s="13">
        <f>+SUM(AF30:AF33)</f>
        <v>261</v>
      </c>
      <c r="AG29" s="144">
        <f>+AH29/AF29</f>
        <v>116.74329501915709</v>
      </c>
      <c r="AH29" s="145">
        <f>+SUM(AH30:AH33)</f>
        <v>30470</v>
      </c>
      <c r="AI29" s="13">
        <f>+SUM(AI30:AI33)</f>
        <v>446</v>
      </c>
      <c r="AJ29" s="144">
        <f>+AK29/AI29</f>
        <v>192.24215246636771</v>
      </c>
      <c r="AK29" s="158">
        <f>+SUM(AK30:AK33)</f>
        <v>85740</v>
      </c>
      <c r="AL29" s="171">
        <f>+SUM(AL30:AL33)</f>
        <v>3972</v>
      </c>
      <c r="AM29" s="144">
        <f>+AN29/AL29</f>
        <v>143.47054380664653</v>
      </c>
      <c r="AN29" s="172">
        <f>+SUM(AN30:AN33)</f>
        <v>569865</v>
      </c>
    </row>
    <row r="30" spans="1:40" ht="13.5" thickTop="1" x14ac:dyDescent="0.2">
      <c r="A30" s="184" t="str">
        <f>+A25</f>
        <v>Cattle Feed</v>
      </c>
      <c r="B30" s="168">
        <f>+B15</f>
        <v>477</v>
      </c>
      <c r="C30" s="146">
        <f>+D30/B30</f>
        <v>114.35010482180293</v>
      </c>
      <c r="D30" s="170">
        <f>+D15+D20-D5-D10-D25</f>
        <v>54545</v>
      </c>
      <c r="E30" s="11">
        <f>+E15</f>
        <v>421</v>
      </c>
      <c r="F30" s="146">
        <f>+G30/E30</f>
        <v>135</v>
      </c>
      <c r="G30" s="12">
        <f>+G15+G20-G5-G10-G25</f>
        <v>56835</v>
      </c>
      <c r="H30" s="11">
        <f>+H15</f>
        <v>327</v>
      </c>
      <c r="I30" s="146">
        <f>+J30/H30</f>
        <v>135</v>
      </c>
      <c r="J30" s="12">
        <f>+J15+J20-J5-J10-J25</f>
        <v>44145</v>
      </c>
      <c r="K30" s="11">
        <f>+K15</f>
        <v>205</v>
      </c>
      <c r="L30" s="146">
        <f>+M30/K30</f>
        <v>135</v>
      </c>
      <c r="M30" s="12">
        <f>+M15+M20-M5-M10-M25</f>
        <v>27675</v>
      </c>
      <c r="N30" s="11">
        <f>+N15</f>
        <v>260</v>
      </c>
      <c r="O30" s="146">
        <f>+P30/N30</f>
        <v>118.76923076923077</v>
      </c>
      <c r="P30" s="12">
        <f>+P15+P20-P5-P10-P25</f>
        <v>30880</v>
      </c>
      <c r="Q30" s="11">
        <f>+Q15</f>
        <v>235</v>
      </c>
      <c r="R30" s="146">
        <f>+S30/Q30</f>
        <v>155</v>
      </c>
      <c r="S30" s="12">
        <f>+S15+S20-S5-S10-S25</f>
        <v>36425</v>
      </c>
      <c r="T30" s="11">
        <f>+T15</f>
        <v>420</v>
      </c>
      <c r="U30" s="146">
        <f>+V30/T30</f>
        <v>139.5</v>
      </c>
      <c r="V30" s="12">
        <f>+V15+V20-V5-V10-V25</f>
        <v>58590</v>
      </c>
      <c r="W30" s="11">
        <f>+W15</f>
        <v>171</v>
      </c>
      <c r="X30" s="146">
        <f>+Y30/W30</f>
        <v>210</v>
      </c>
      <c r="Y30" s="12">
        <f>+Y15+Y20-Y5-Y10-Y25</f>
        <v>35910</v>
      </c>
      <c r="Z30" s="11">
        <f>+Z15</f>
        <v>548</v>
      </c>
      <c r="AA30" s="146">
        <f>+AB30/Z30</f>
        <v>155</v>
      </c>
      <c r="AB30" s="12">
        <f>+AB15+AB20-AB5-AB10-AB25</f>
        <v>84940</v>
      </c>
      <c r="AC30" s="11">
        <f>+AC15</f>
        <v>201</v>
      </c>
      <c r="AD30" s="146">
        <f>+AE30/AC30</f>
        <v>210</v>
      </c>
      <c r="AE30" s="12">
        <f>+AE15+AE20-AE5-AE10-AE25</f>
        <v>42210</v>
      </c>
      <c r="AF30" s="11">
        <f>+AF15</f>
        <v>261</v>
      </c>
      <c r="AG30" s="146">
        <f>+AH30/AF30</f>
        <v>116.74329501915709</v>
      </c>
      <c r="AH30" s="12">
        <f>+AH15+AH20-AH5-AH10-AH25</f>
        <v>30470</v>
      </c>
      <c r="AI30" s="11">
        <f>+AI15</f>
        <v>446</v>
      </c>
      <c r="AJ30" s="146">
        <f>+AK30/AI30</f>
        <v>192.24215246636771</v>
      </c>
      <c r="AK30" s="157">
        <f>+AK15+AK20-AK5-AK10-AK25</f>
        <v>85740</v>
      </c>
      <c r="AL30" s="168">
        <f>+AL15</f>
        <v>3972</v>
      </c>
      <c r="AM30" s="146">
        <f>+AN30/AL30</f>
        <v>143.47054380664653</v>
      </c>
      <c r="AN30" s="170">
        <f>+AN15+AN20-AN5-AN10-AN25</f>
        <v>569865</v>
      </c>
    </row>
    <row r="31" spans="1:40" x14ac:dyDescent="0.2">
      <c r="A31" s="184">
        <f>+A26</f>
        <v>0</v>
      </c>
      <c r="B31" s="168">
        <f>+B26</f>
        <v>0</v>
      </c>
      <c r="C31" s="146" t="e">
        <f>+D31/B31</f>
        <v>#DIV/0!</v>
      </c>
      <c r="D31" s="170">
        <f>+D16+D21-D6-D11-D26</f>
        <v>0</v>
      </c>
      <c r="E31" s="11">
        <f>+E26</f>
        <v>0</v>
      </c>
      <c r="F31" s="146" t="e">
        <f>+G31/E31</f>
        <v>#DIV/0!</v>
      </c>
      <c r="G31" s="12">
        <f>+G16+G21-G6-G11-G26</f>
        <v>0</v>
      </c>
      <c r="H31" s="11">
        <f>+H26</f>
        <v>0</v>
      </c>
      <c r="I31" s="146" t="e">
        <f>+J31/H31</f>
        <v>#DIV/0!</v>
      </c>
      <c r="J31" s="12">
        <f>+J16+J21-J6-J11-J26</f>
        <v>0</v>
      </c>
      <c r="K31" s="11">
        <f>+K26</f>
        <v>0</v>
      </c>
      <c r="L31" s="146" t="e">
        <f>+M31/K31</f>
        <v>#DIV/0!</v>
      </c>
      <c r="M31" s="12">
        <f>+M16+M21-M6-M11-M26</f>
        <v>0</v>
      </c>
      <c r="N31" s="11">
        <f>+N26</f>
        <v>0</v>
      </c>
      <c r="O31" s="146" t="e">
        <f>+P31/N31</f>
        <v>#DIV/0!</v>
      </c>
      <c r="P31" s="12">
        <f>+P16+P21-P6-P11-P26</f>
        <v>0</v>
      </c>
      <c r="Q31" s="11">
        <f>+Q26</f>
        <v>0</v>
      </c>
      <c r="R31" s="146" t="e">
        <f>+S31/Q31</f>
        <v>#DIV/0!</v>
      </c>
      <c r="S31" s="12">
        <f>+S16+S21-S6-S11-S26</f>
        <v>0</v>
      </c>
      <c r="T31" s="11">
        <f>+T26</f>
        <v>0</v>
      </c>
      <c r="U31" s="146" t="e">
        <f>+V31/T31</f>
        <v>#DIV/0!</v>
      </c>
      <c r="V31" s="12">
        <f>+V16+V21-V6-V11-V26</f>
        <v>0</v>
      </c>
      <c r="W31" s="11">
        <f>+W26</f>
        <v>0</v>
      </c>
      <c r="X31" s="146" t="e">
        <f>+Y31/W31</f>
        <v>#DIV/0!</v>
      </c>
      <c r="Y31" s="12">
        <f>+Y16+Y21-Y6-Y11-Y26</f>
        <v>0</v>
      </c>
      <c r="Z31" s="11">
        <f>+Z26</f>
        <v>0</v>
      </c>
      <c r="AA31" s="146" t="e">
        <f>+AB31/Z31</f>
        <v>#DIV/0!</v>
      </c>
      <c r="AB31" s="12">
        <f>+AB16+AB21-AB6-AB11-AB26</f>
        <v>0</v>
      </c>
      <c r="AC31" s="11">
        <f>+AC26</f>
        <v>0</v>
      </c>
      <c r="AD31" s="146" t="e">
        <f>+AE31/AC31</f>
        <v>#DIV/0!</v>
      </c>
      <c r="AE31" s="12">
        <f>+AE16+AE21-AE6-AE11-AE26</f>
        <v>0</v>
      </c>
      <c r="AF31" s="11">
        <f>+AF26</f>
        <v>0</v>
      </c>
      <c r="AG31" s="146" t="e">
        <f>+AH31/AF31</f>
        <v>#DIV/0!</v>
      </c>
      <c r="AH31" s="12">
        <f>+AH16+AH21-AH6-AH11-AH26</f>
        <v>0</v>
      </c>
      <c r="AI31" s="11">
        <f>+AI26</f>
        <v>0</v>
      </c>
      <c r="AJ31" s="146" t="e">
        <f>+AK31/AI31</f>
        <v>#DIV/0!</v>
      </c>
      <c r="AK31" s="157">
        <f>+AK16+AK21-AK6-AK11-AK26</f>
        <v>0</v>
      </c>
      <c r="AL31" s="168">
        <f>+AL26</f>
        <v>0</v>
      </c>
      <c r="AM31" s="146" t="e">
        <f>+AN31/AL31</f>
        <v>#DIV/0!</v>
      </c>
      <c r="AN31" s="170">
        <f>+AN16+AN21-AN6-AN11-AN26</f>
        <v>0</v>
      </c>
    </row>
    <row r="32" spans="1:40" x14ac:dyDescent="0.2">
      <c r="A32" s="183"/>
      <c r="B32" s="166"/>
      <c r="C32" s="150"/>
      <c r="D32" s="176"/>
      <c r="E32" s="61"/>
      <c r="F32" s="150"/>
      <c r="G32" s="142"/>
      <c r="H32" s="61"/>
      <c r="I32" s="150"/>
      <c r="J32" s="142"/>
      <c r="K32" s="61"/>
      <c r="L32" s="150"/>
      <c r="M32" s="142"/>
      <c r="N32" s="61"/>
      <c r="O32" s="150"/>
      <c r="P32" s="142"/>
      <c r="Q32" s="61"/>
      <c r="R32" s="150"/>
      <c r="S32" s="142"/>
      <c r="T32" s="61"/>
      <c r="U32" s="150"/>
      <c r="V32" s="142"/>
      <c r="W32" s="61"/>
      <c r="X32" s="150"/>
      <c r="Y32" s="142"/>
      <c r="Z32" s="61"/>
      <c r="AA32" s="150"/>
      <c r="AB32" s="142"/>
      <c r="AC32" s="61"/>
      <c r="AD32" s="150"/>
      <c r="AE32" s="142"/>
      <c r="AF32" s="61"/>
      <c r="AG32" s="150"/>
      <c r="AH32" s="142"/>
      <c r="AI32" s="61"/>
      <c r="AJ32" s="150"/>
      <c r="AK32" s="160"/>
      <c r="AL32" s="166"/>
      <c r="AM32" s="150"/>
      <c r="AN32" s="176"/>
    </row>
    <row r="33" spans="1:40" ht="13.5" thickBot="1" x14ac:dyDescent="0.25">
      <c r="A33" s="187"/>
      <c r="B33" s="177"/>
      <c r="C33" s="178"/>
      <c r="D33" s="179"/>
      <c r="E33" s="151"/>
      <c r="F33" s="152"/>
      <c r="G33" s="153"/>
      <c r="H33" s="151"/>
      <c r="I33" s="152"/>
      <c r="J33" s="153"/>
      <c r="K33" s="151"/>
      <c r="L33" s="152"/>
      <c r="M33" s="153"/>
      <c r="N33" s="151"/>
      <c r="O33" s="152"/>
      <c r="P33" s="153"/>
      <c r="Q33" s="151"/>
      <c r="R33" s="152"/>
      <c r="S33" s="153"/>
      <c r="T33" s="151"/>
      <c r="U33" s="152"/>
      <c r="V33" s="153"/>
      <c r="W33" s="151"/>
      <c r="X33" s="152"/>
      <c r="Y33" s="153"/>
      <c r="Z33" s="151"/>
      <c r="AA33" s="152"/>
      <c r="AB33" s="153"/>
      <c r="AC33" s="151"/>
      <c r="AD33" s="152"/>
      <c r="AE33" s="153"/>
      <c r="AF33" s="151"/>
      <c r="AG33" s="152"/>
      <c r="AH33" s="153"/>
      <c r="AI33" s="151"/>
      <c r="AJ33" s="152"/>
      <c r="AK33" s="161"/>
      <c r="AL33" s="177"/>
      <c r="AM33" s="178"/>
      <c r="AN33" s="179"/>
    </row>
    <row r="36" spans="1:40" x14ac:dyDescent="0.2">
      <c r="A36" t="s">
        <v>116</v>
      </c>
      <c r="D36" s="154">
        <f>477*25</f>
        <v>11925</v>
      </c>
      <c r="G36" s="154">
        <v>10525</v>
      </c>
      <c r="J36" s="154">
        <v>8175</v>
      </c>
      <c r="M36" s="154">
        <v>5125</v>
      </c>
      <c r="P36" s="154">
        <v>6500</v>
      </c>
      <c r="S36" s="154">
        <v>5875</v>
      </c>
      <c r="V36" s="154">
        <v>9450</v>
      </c>
      <c r="Y36" s="154"/>
      <c r="AB36" s="154">
        <v>13700</v>
      </c>
      <c r="AE36" s="154">
        <v>0</v>
      </c>
      <c r="AH36" s="154">
        <v>0</v>
      </c>
      <c r="AK36" s="154">
        <v>0</v>
      </c>
      <c r="AN36" s="154">
        <f>+AK36+AH36+AE36+AB36+Y36+V36+S36+P36+M36+J36+G36+D36</f>
        <v>71275</v>
      </c>
    </row>
    <row r="37" spans="1:40" x14ac:dyDescent="0.2">
      <c r="A37" s="155" t="s">
        <v>117</v>
      </c>
      <c r="D37" s="154">
        <v>0</v>
      </c>
      <c r="G37" s="154">
        <v>0</v>
      </c>
      <c r="J37" s="154">
        <v>0</v>
      </c>
      <c r="M37" s="154">
        <v>0</v>
      </c>
      <c r="P37" s="154">
        <v>0</v>
      </c>
      <c r="S37" s="154">
        <v>0</v>
      </c>
      <c r="V37" s="154">
        <v>0</v>
      </c>
      <c r="Y37" s="154"/>
      <c r="AB37" s="154">
        <v>0</v>
      </c>
      <c r="AE37" s="154">
        <v>0</v>
      </c>
      <c r="AH37" s="154">
        <v>0</v>
      </c>
      <c r="AK37" s="154">
        <v>0</v>
      </c>
      <c r="AN37" s="154">
        <f t="shared" ref="AN37:AN39" si="0">+AK37+AH37+AE37+AB37+Y37+V37+S37+P37+M37+J37+G37+D37</f>
        <v>0</v>
      </c>
    </row>
    <row r="38" spans="1:40" x14ac:dyDescent="0.2">
      <c r="A38" t="s">
        <v>118</v>
      </c>
      <c r="D38" s="154">
        <f>477*5</f>
        <v>2385</v>
      </c>
      <c r="G38" s="154">
        <f>421*5</f>
        <v>2105</v>
      </c>
      <c r="J38" s="154">
        <v>0</v>
      </c>
      <c r="M38" s="154">
        <v>0</v>
      </c>
      <c r="P38" s="154">
        <v>0</v>
      </c>
      <c r="S38" s="154">
        <v>0</v>
      </c>
      <c r="V38" s="154">
        <v>0</v>
      </c>
      <c r="Y38" s="154"/>
      <c r="AB38" s="154">
        <v>0</v>
      </c>
      <c r="AE38" s="154">
        <v>0</v>
      </c>
      <c r="AH38" s="154">
        <v>0</v>
      </c>
      <c r="AK38" s="154">
        <v>0</v>
      </c>
      <c r="AN38" s="154">
        <f t="shared" si="0"/>
        <v>4490</v>
      </c>
    </row>
    <row r="39" spans="1:40" x14ac:dyDescent="0.2">
      <c r="A39" t="s">
        <v>119</v>
      </c>
      <c r="D39" s="154">
        <f>477*25+2350</f>
        <v>14275</v>
      </c>
      <c r="G39" s="154">
        <f>421*25</f>
        <v>10525</v>
      </c>
      <c r="J39" s="154">
        <v>9810</v>
      </c>
      <c r="M39" s="154">
        <v>6150</v>
      </c>
      <c r="P39" s="154">
        <v>7800</v>
      </c>
      <c r="S39" s="154">
        <v>7050</v>
      </c>
      <c r="V39" s="154">
        <v>11340</v>
      </c>
      <c r="Y39" s="154"/>
      <c r="AB39" s="154">
        <v>16440</v>
      </c>
      <c r="AE39" s="154">
        <v>0</v>
      </c>
      <c r="AH39" s="154">
        <v>0</v>
      </c>
      <c r="AK39" s="154">
        <v>0</v>
      </c>
      <c r="AN39" s="154">
        <f t="shared" si="0"/>
        <v>83390</v>
      </c>
    </row>
    <row r="40" spans="1:40" x14ac:dyDescent="0.2">
      <c r="A40" s="154"/>
      <c r="B40" s="154"/>
      <c r="C40" s="154"/>
      <c r="D40" s="154">
        <f>SUM(D36:D39)</f>
        <v>28585</v>
      </c>
      <c r="E40" s="154"/>
      <c r="F40" s="154"/>
      <c r="G40" s="154">
        <f>SUM(G36:G39)</f>
        <v>23155</v>
      </c>
      <c r="H40" s="154"/>
      <c r="I40" s="154"/>
      <c r="J40" s="154">
        <f>SUM(J36:J39)</f>
        <v>17985</v>
      </c>
      <c r="K40" s="154"/>
      <c r="L40" s="154"/>
      <c r="M40" s="154">
        <f>SUM(M36:M39)</f>
        <v>11275</v>
      </c>
      <c r="N40" s="154"/>
      <c r="O40" s="154"/>
      <c r="P40" s="154">
        <f>SUM(P36:P39)</f>
        <v>14300</v>
      </c>
      <c r="Q40" s="154"/>
      <c r="R40" s="154"/>
      <c r="S40" s="154">
        <f>SUM(S36:S39)</f>
        <v>12925</v>
      </c>
      <c r="T40" s="154"/>
      <c r="U40" s="154"/>
      <c r="V40" s="154">
        <f>SUM(V36:V39)</f>
        <v>20790</v>
      </c>
      <c r="W40" s="154"/>
      <c r="X40" s="154"/>
      <c r="Y40" s="154">
        <f>SUM(Y36:Y39)</f>
        <v>0</v>
      </c>
      <c r="Z40" s="154"/>
      <c r="AA40" s="154"/>
      <c r="AB40" s="154">
        <f>SUM(AB36:AB39)</f>
        <v>30140</v>
      </c>
      <c r="AC40" s="154"/>
      <c r="AD40" s="154"/>
      <c r="AE40" s="154">
        <f>SUM(AE36:AE39)</f>
        <v>0</v>
      </c>
      <c r="AF40" s="154"/>
      <c r="AG40" s="154"/>
      <c r="AH40" s="154">
        <f>SUM(AH36:AH39)</f>
        <v>0</v>
      </c>
      <c r="AI40" s="154"/>
      <c r="AJ40" s="154"/>
      <c r="AK40" s="154">
        <f>SUM(AK36:AK39)</f>
        <v>0</v>
      </c>
      <c r="AL40" s="154"/>
      <c r="AM40" s="154"/>
      <c r="AN40" s="154">
        <f>SUM(AN36:AN39)</f>
        <v>159155</v>
      </c>
    </row>
  </sheetData>
  <mergeCells count="13">
    <mergeCell ref="AF2:AH2"/>
    <mergeCell ref="AI2:AK2"/>
    <mergeCell ref="AL2:AN2"/>
    <mergeCell ref="N2:P2"/>
    <mergeCell ref="Q2:S2"/>
    <mergeCell ref="T2:V2"/>
    <mergeCell ref="W2:Y2"/>
    <mergeCell ref="Z2:AB2"/>
    <mergeCell ref="B2:D2"/>
    <mergeCell ref="E2:G2"/>
    <mergeCell ref="H2:J2"/>
    <mergeCell ref="K2:M2"/>
    <mergeCell ref="AC2:A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BB51-A648-49B4-8459-11E07DC513B7}">
  <dimension ref="A1:B4"/>
  <sheetViews>
    <sheetView workbookViewId="0">
      <selection activeCell="A3" sqref="A3"/>
    </sheetView>
  </sheetViews>
  <sheetFormatPr defaultRowHeight="12.75" x14ac:dyDescent="0.2"/>
  <cols>
    <col min="1" max="1" width="15.28515625" bestFit="1" customWidth="1"/>
    <col min="2" max="2" width="9" bestFit="1" customWidth="1"/>
  </cols>
  <sheetData>
    <row r="1" spans="1:2" x14ac:dyDescent="0.2">
      <c r="A1" s="2" t="s">
        <v>15</v>
      </c>
      <c r="B1" t="s">
        <v>127</v>
      </c>
    </row>
    <row r="3" spans="1:2" x14ac:dyDescent="0.2">
      <c r="A3" t="s">
        <v>72</v>
      </c>
    </row>
    <row r="4" spans="1:2" x14ac:dyDescent="0.2">
      <c r="A4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21"/>
  <sheetViews>
    <sheetView workbookViewId="0">
      <pane ySplit="1" topLeftCell="A2" activePane="bottomLeft" state="frozen"/>
      <selection pane="bottomLeft" activeCell="L10" sqref="L10"/>
    </sheetView>
  </sheetViews>
  <sheetFormatPr defaultColWidth="12.7109375" defaultRowHeight="15.75" customHeight="1" x14ac:dyDescent="0.2"/>
  <cols>
    <col min="1" max="1" width="19.42578125" customWidth="1"/>
    <col min="2" max="2" width="11.7109375" bestFit="1" customWidth="1"/>
    <col min="3" max="3" width="14.5703125" customWidth="1"/>
    <col min="4" max="4" width="13.7109375" bestFit="1" customWidth="1"/>
    <col min="5" max="5" width="12.7109375" customWidth="1"/>
    <col min="6" max="6" width="9.7109375" bestFit="1" customWidth="1"/>
    <col min="7" max="7" width="18.28515625" bestFit="1" customWidth="1"/>
    <col min="8" max="8" width="9.85546875" customWidth="1"/>
    <col min="9" max="9" width="6.5703125" customWidth="1"/>
    <col min="10" max="10" width="10.28515625" customWidth="1"/>
    <col min="11" max="11" width="14.5703125" bestFit="1" customWidth="1"/>
    <col min="12" max="12" width="18.28515625" bestFit="1" customWidth="1"/>
    <col min="13" max="13" width="13.85546875" customWidth="1"/>
    <col min="14" max="14" width="21.42578125" style="9" customWidth="1"/>
    <col min="15" max="15" width="22.140625" customWidth="1"/>
    <col min="16" max="16" width="14.5703125" customWidth="1"/>
    <col min="17" max="17" width="8.28515625" bestFit="1" customWidth="1"/>
    <col min="18" max="18" width="16.7109375" customWidth="1"/>
    <col min="19" max="19" width="14.140625" customWidth="1"/>
    <col min="20" max="20" width="9" customWidth="1"/>
  </cols>
  <sheetData>
    <row r="1" spans="1:20" ht="15.75" customHeight="1" x14ac:dyDescent="0.2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5" t="s">
        <v>7</v>
      </c>
    </row>
    <row r="2" spans="1:20" ht="15.75" customHeight="1" x14ac:dyDescent="0.2">
      <c r="A2" s="20"/>
      <c r="B2" s="27"/>
      <c r="C2" s="28" t="s">
        <v>152</v>
      </c>
      <c r="D2" s="28"/>
      <c r="E2" s="191">
        <v>46081</v>
      </c>
      <c r="F2" s="130">
        <v>46054</v>
      </c>
      <c r="G2" s="1" t="s">
        <v>29</v>
      </c>
      <c r="H2" s="28">
        <v>50</v>
      </c>
      <c r="I2" s="28">
        <v>0</v>
      </c>
      <c r="J2" s="28">
        <f>Table2[[#This Row],[Qty]]*Table2[[#This Row],[Rate]]</f>
        <v>0</v>
      </c>
      <c r="K2" s="28" t="s">
        <v>99</v>
      </c>
      <c r="L2" s="1" t="s">
        <v>29</v>
      </c>
      <c r="M2" s="28">
        <v>50</v>
      </c>
      <c r="N2" s="28"/>
      <c r="O2" s="28"/>
      <c r="P2" s="193"/>
      <c r="Q2" s="1">
        <f t="shared" ref="Q2:Q7" si="0">ROUND(J2*0.1/100,0)</f>
        <v>0</v>
      </c>
      <c r="R2" s="1"/>
      <c r="S2" s="29"/>
      <c r="T2" s="192">
        <f t="shared" ref="T2:T7" si="1">J2-R2-Q2</f>
        <v>0</v>
      </c>
    </row>
    <row r="3" spans="1:20" ht="15.75" customHeight="1" x14ac:dyDescent="0.2">
      <c r="A3" s="20"/>
      <c r="B3" s="27"/>
      <c r="C3" s="28" t="s">
        <v>152</v>
      </c>
      <c r="D3" s="28"/>
      <c r="E3" s="191">
        <v>46081</v>
      </c>
      <c r="F3" s="130">
        <v>46054</v>
      </c>
      <c r="G3" s="1" t="s">
        <v>29</v>
      </c>
      <c r="H3" s="28">
        <v>-50</v>
      </c>
      <c r="I3" s="28">
        <v>0</v>
      </c>
      <c r="J3" s="28">
        <f>Table2[[#This Row],[Qty]]*Table2[[#This Row],[Rate]]</f>
        <v>0</v>
      </c>
      <c r="K3" s="28" t="s">
        <v>88</v>
      </c>
      <c r="L3" s="1" t="s">
        <v>29</v>
      </c>
      <c r="M3" s="28">
        <v>-50</v>
      </c>
      <c r="N3" s="28"/>
      <c r="O3" s="28"/>
      <c r="P3" s="193"/>
      <c r="Q3" s="1">
        <f t="shared" si="0"/>
        <v>0</v>
      </c>
      <c r="R3" s="1"/>
      <c r="S3" s="29"/>
      <c r="T3" s="192">
        <f t="shared" si="1"/>
        <v>0</v>
      </c>
    </row>
    <row r="4" spans="1:20" ht="15.75" customHeight="1" x14ac:dyDescent="0.2">
      <c r="A4" s="20"/>
      <c r="B4" s="27"/>
      <c r="C4" s="28" t="s">
        <v>152</v>
      </c>
      <c r="D4" s="28"/>
      <c r="E4" s="191">
        <v>46081</v>
      </c>
      <c r="F4" s="130">
        <v>46054</v>
      </c>
      <c r="G4" s="1" t="s">
        <v>29</v>
      </c>
      <c r="H4" s="28">
        <v>25</v>
      </c>
      <c r="I4" s="28">
        <v>0</v>
      </c>
      <c r="J4" s="28">
        <f>Table2[[#This Row],[Qty]]*Table2[[#This Row],[Rate]]</f>
        <v>0</v>
      </c>
      <c r="K4" s="28" t="s">
        <v>89</v>
      </c>
      <c r="L4" s="1" t="s">
        <v>29</v>
      </c>
      <c r="M4" s="28">
        <v>25</v>
      </c>
      <c r="N4" s="28"/>
      <c r="O4" s="28"/>
      <c r="P4" s="193"/>
      <c r="Q4" s="1">
        <f t="shared" si="0"/>
        <v>0</v>
      </c>
      <c r="R4" s="1"/>
      <c r="S4" s="29"/>
      <c r="T4" s="192">
        <f t="shared" si="1"/>
        <v>0</v>
      </c>
    </row>
    <row r="5" spans="1:20" ht="15.75" customHeight="1" x14ac:dyDescent="0.2">
      <c r="A5" s="20"/>
      <c r="B5" s="27"/>
      <c r="C5" s="28" t="s">
        <v>152</v>
      </c>
      <c r="D5" s="28"/>
      <c r="E5" s="191">
        <v>46081</v>
      </c>
      <c r="F5" s="130">
        <v>46054</v>
      </c>
      <c r="G5" s="1" t="s">
        <v>29</v>
      </c>
      <c r="H5" s="28">
        <v>-25</v>
      </c>
      <c r="I5" s="28">
        <v>0</v>
      </c>
      <c r="J5" s="28">
        <f>Table2[[#This Row],[Qty]]*Table2[[#This Row],[Rate]]</f>
        <v>0</v>
      </c>
      <c r="K5" s="28" t="s">
        <v>88</v>
      </c>
      <c r="L5" s="1" t="s">
        <v>29</v>
      </c>
      <c r="M5" s="28">
        <v>-25</v>
      </c>
      <c r="N5" s="28"/>
      <c r="O5" s="28"/>
      <c r="P5" s="193"/>
      <c r="Q5" s="1">
        <f t="shared" si="0"/>
        <v>0</v>
      </c>
      <c r="R5" s="1"/>
      <c r="S5" s="29"/>
      <c r="T5" s="192">
        <f t="shared" si="1"/>
        <v>0</v>
      </c>
    </row>
    <row r="6" spans="1:20" ht="15.75" customHeight="1" x14ac:dyDescent="0.2">
      <c r="A6" s="20"/>
      <c r="B6" s="27"/>
      <c r="C6" s="28" t="s">
        <v>152</v>
      </c>
      <c r="D6" s="28"/>
      <c r="E6" s="191">
        <v>46091</v>
      </c>
      <c r="F6" s="130">
        <v>46082</v>
      </c>
      <c r="G6" s="1" t="s">
        <v>29</v>
      </c>
      <c r="H6" s="28">
        <v>50</v>
      </c>
      <c r="I6" s="28">
        <v>0</v>
      </c>
      <c r="J6" s="28">
        <f>Table2[[#This Row],[Qty]]*Table2[[#This Row],[Rate]]</f>
        <v>0</v>
      </c>
      <c r="K6" s="28" t="s">
        <v>98</v>
      </c>
      <c r="L6" s="1" t="s">
        <v>29</v>
      </c>
      <c r="M6" s="28">
        <v>50</v>
      </c>
      <c r="N6" s="28"/>
      <c r="O6" s="28"/>
      <c r="P6" s="193"/>
      <c r="Q6" s="1">
        <f t="shared" si="0"/>
        <v>0</v>
      </c>
      <c r="R6" s="1"/>
      <c r="S6" s="29"/>
      <c r="T6" s="192">
        <f t="shared" si="1"/>
        <v>0</v>
      </c>
    </row>
    <row r="7" spans="1:20" ht="15.75" customHeight="1" x14ac:dyDescent="0.2">
      <c r="A7" s="20"/>
      <c r="B7" s="27"/>
      <c r="C7" s="28" t="s">
        <v>152</v>
      </c>
      <c r="D7" s="28"/>
      <c r="E7" s="191">
        <v>46091</v>
      </c>
      <c r="F7" s="130">
        <v>46082</v>
      </c>
      <c r="G7" s="1" t="s">
        <v>29</v>
      </c>
      <c r="H7" s="28">
        <v>-50</v>
      </c>
      <c r="I7" s="28">
        <v>0</v>
      </c>
      <c r="J7" s="28">
        <f>Table2[[#This Row],[Qty]]*Table2[[#This Row],[Rate]]</f>
        <v>0</v>
      </c>
      <c r="K7" s="28" t="s">
        <v>95</v>
      </c>
      <c r="L7" s="1" t="s">
        <v>29</v>
      </c>
      <c r="M7" s="28">
        <v>-50</v>
      </c>
      <c r="N7" s="28"/>
      <c r="O7" s="28"/>
      <c r="P7" s="193"/>
      <c r="Q7" s="1">
        <f t="shared" si="0"/>
        <v>0</v>
      </c>
      <c r="R7" s="1"/>
      <c r="S7" s="29"/>
      <c r="T7" s="192">
        <f t="shared" si="1"/>
        <v>0</v>
      </c>
    </row>
    <row r="8" spans="1:20" ht="15.75" customHeight="1" x14ac:dyDescent="0.2">
      <c r="A8" s="20"/>
      <c r="B8" s="27"/>
      <c r="C8" s="28" t="s">
        <v>152</v>
      </c>
      <c r="D8" s="28"/>
      <c r="E8" s="191">
        <v>46142</v>
      </c>
      <c r="F8" s="130">
        <v>46113</v>
      </c>
      <c r="G8" s="1" t="s">
        <v>29</v>
      </c>
      <c r="H8" s="28">
        <v>38</v>
      </c>
      <c r="I8" s="28">
        <v>0</v>
      </c>
      <c r="J8" s="28">
        <f>Table2[[#This Row],[Qty]]*Table2[[#This Row],[Rate]]</f>
        <v>0</v>
      </c>
      <c r="K8" s="28" t="s">
        <v>95</v>
      </c>
      <c r="L8" s="1" t="s">
        <v>29</v>
      </c>
      <c r="M8" s="28">
        <v>38</v>
      </c>
      <c r="N8" s="28"/>
      <c r="O8" s="28"/>
      <c r="P8" s="193"/>
      <c r="Q8" s="1">
        <f>ROUND(J8*0.1/100,0)</f>
        <v>0</v>
      </c>
      <c r="R8" s="1"/>
      <c r="S8" s="29"/>
      <c r="T8" s="192">
        <f>J8-R8-Q8</f>
        <v>0</v>
      </c>
    </row>
    <row r="9" spans="1:20" ht="15.75" customHeight="1" x14ac:dyDescent="0.2">
      <c r="A9" s="20"/>
      <c r="B9" s="27"/>
      <c r="C9" s="28" t="s">
        <v>152</v>
      </c>
      <c r="D9" s="28"/>
      <c r="E9" s="191">
        <v>46142</v>
      </c>
      <c r="F9" s="130">
        <v>46113</v>
      </c>
      <c r="G9" s="1" t="s">
        <v>29</v>
      </c>
      <c r="H9" s="28">
        <v>-38</v>
      </c>
      <c r="I9" s="28">
        <v>0</v>
      </c>
      <c r="J9" s="28">
        <f>Table2[[#This Row],[Qty]]*Table2[[#This Row],[Rate]]</f>
        <v>0</v>
      </c>
      <c r="K9" s="28" t="s">
        <v>91</v>
      </c>
      <c r="L9" s="1" t="s">
        <v>29</v>
      </c>
      <c r="M9" s="28">
        <v>-38</v>
      </c>
      <c r="N9" s="28"/>
      <c r="O9" s="28"/>
      <c r="P9" s="193"/>
      <c r="Q9" s="1">
        <f>ROUND(J9*0.1/100,0)</f>
        <v>0</v>
      </c>
      <c r="R9" s="1"/>
      <c r="S9" s="29"/>
      <c r="T9" s="192">
        <f>J9-R9-Q9</f>
        <v>0</v>
      </c>
    </row>
    <row r="10" spans="1:20" ht="15.75" customHeight="1" x14ac:dyDescent="0.2">
      <c r="A10" s="20"/>
      <c r="B10" s="27"/>
      <c r="C10" s="28" t="s">
        <v>152</v>
      </c>
      <c r="D10" s="28"/>
      <c r="E10" s="191">
        <v>46146</v>
      </c>
      <c r="F10" s="130">
        <v>46113</v>
      </c>
      <c r="G10" s="1" t="s">
        <v>29</v>
      </c>
      <c r="H10" s="28">
        <v>20</v>
      </c>
      <c r="I10" s="28">
        <v>0</v>
      </c>
      <c r="J10" s="28">
        <f>Table2[[#This Row],[Qty]]*Table2[[#This Row],[Rate]]</f>
        <v>0</v>
      </c>
      <c r="K10" s="28" t="s">
        <v>124</v>
      </c>
      <c r="L10" s="1" t="s">
        <v>29</v>
      </c>
      <c r="M10" s="28">
        <v>20</v>
      </c>
      <c r="N10" s="28"/>
      <c r="O10" s="28"/>
      <c r="P10" s="193"/>
      <c r="Q10" s="1">
        <f>ROUND(J10*0.1/100,0)</f>
        <v>0</v>
      </c>
      <c r="R10" s="1"/>
      <c r="S10" s="29"/>
      <c r="T10" s="192">
        <f>J10-R10-Q10</f>
        <v>0</v>
      </c>
    </row>
    <row r="11" spans="1:20" ht="15.75" customHeight="1" x14ac:dyDescent="0.2">
      <c r="A11" s="20"/>
      <c r="B11" s="27"/>
      <c r="C11" s="28" t="s">
        <v>152</v>
      </c>
      <c r="D11" s="28"/>
      <c r="E11" s="191">
        <v>46146</v>
      </c>
      <c r="F11" s="130">
        <v>46113</v>
      </c>
      <c r="G11" s="1" t="s">
        <v>29</v>
      </c>
      <c r="H11" s="28">
        <v>-20</v>
      </c>
      <c r="I11" s="28">
        <v>0</v>
      </c>
      <c r="J11" s="28">
        <f>Table2[[#This Row],[Qty]]*Table2[[#This Row],[Rate]]</f>
        <v>0</v>
      </c>
      <c r="K11" s="28" t="s">
        <v>88</v>
      </c>
      <c r="L11" s="1" t="s">
        <v>29</v>
      </c>
      <c r="M11" s="28">
        <v>-20</v>
      </c>
      <c r="N11" s="28"/>
      <c r="O11" s="28"/>
      <c r="P11" s="193"/>
      <c r="Q11" s="1">
        <f>ROUND(J11*0.1/100,0)</f>
        <v>0</v>
      </c>
      <c r="R11" s="1"/>
      <c r="S11" s="29"/>
      <c r="T11" s="192">
        <f>J11-R11-Q11</f>
        <v>0</v>
      </c>
    </row>
    <row r="12" spans="1:20" ht="15.75" customHeight="1" x14ac:dyDescent="0.2">
      <c r="A12" s="20" t="s">
        <v>125</v>
      </c>
      <c r="B12" s="27">
        <v>46058</v>
      </c>
      <c r="C12" s="28" t="s">
        <v>100</v>
      </c>
      <c r="D12" s="28">
        <v>1282532245</v>
      </c>
      <c r="E12" s="191">
        <v>46063</v>
      </c>
      <c r="F12" s="130">
        <v>46054</v>
      </c>
      <c r="G12" s="1" t="s">
        <v>29</v>
      </c>
      <c r="H12" s="28">
        <v>150</v>
      </c>
      <c r="I12" s="28">
        <v>1060</v>
      </c>
      <c r="J12" s="28">
        <f>Table2[[#This Row],[Qty]]*Table2[[#This Row],[Rate]]</f>
        <v>159000</v>
      </c>
      <c r="K12" s="28" t="s">
        <v>95</v>
      </c>
      <c r="L12" s="1" t="s">
        <v>29</v>
      </c>
      <c r="M12" s="28">
        <v>200</v>
      </c>
      <c r="N12" s="28">
        <v>8003564894</v>
      </c>
      <c r="O12" s="28" t="s">
        <v>122</v>
      </c>
      <c r="P12" s="193">
        <v>46066</v>
      </c>
      <c r="Q12" s="1">
        <f t="shared" ref="Q12:Q17" si="2">ROUND(J12*0.1/100,0)</f>
        <v>159</v>
      </c>
      <c r="R12" s="1">
        <v>158841</v>
      </c>
      <c r="S12" s="29">
        <v>46083</v>
      </c>
      <c r="T12" s="192">
        <f t="shared" ref="T12:T17" si="3">J12-R12-Q12</f>
        <v>0</v>
      </c>
    </row>
    <row r="13" spans="1:20" ht="15.75" customHeight="1" x14ac:dyDescent="0.2">
      <c r="A13" s="20" t="s">
        <v>125</v>
      </c>
      <c r="B13" s="27">
        <v>46058</v>
      </c>
      <c r="C13" s="28" t="s">
        <v>100</v>
      </c>
      <c r="D13" s="28">
        <v>1282532246</v>
      </c>
      <c r="E13" s="191">
        <v>46063</v>
      </c>
      <c r="F13" s="130">
        <v>46054</v>
      </c>
      <c r="G13" s="1" t="s">
        <v>29</v>
      </c>
      <c r="H13" s="28">
        <v>200</v>
      </c>
      <c r="I13" s="28">
        <v>1060</v>
      </c>
      <c r="J13" s="28">
        <f>Table2[[#This Row],[Qty]]*Table2[[#This Row],[Rate]]</f>
        <v>212000</v>
      </c>
      <c r="K13" s="28" t="s">
        <v>88</v>
      </c>
      <c r="L13" s="1" t="s">
        <v>29</v>
      </c>
      <c r="M13" s="28">
        <v>200</v>
      </c>
      <c r="N13" s="28">
        <v>8003564898</v>
      </c>
      <c r="O13" s="28" t="s">
        <v>122</v>
      </c>
      <c r="P13" s="193">
        <v>46066</v>
      </c>
      <c r="Q13" s="1">
        <f t="shared" si="2"/>
        <v>212</v>
      </c>
      <c r="R13" s="1">
        <v>211788</v>
      </c>
      <c r="S13" s="29">
        <v>46083</v>
      </c>
      <c r="T13" s="192">
        <f t="shared" si="3"/>
        <v>0</v>
      </c>
    </row>
    <row r="14" spans="1:20" ht="15.75" customHeight="1" x14ac:dyDescent="0.2">
      <c r="A14" s="20" t="s">
        <v>125</v>
      </c>
      <c r="B14" s="27">
        <v>46058</v>
      </c>
      <c r="C14" s="28" t="s">
        <v>100</v>
      </c>
      <c r="D14" s="28">
        <v>1282532247</v>
      </c>
      <c r="E14" s="191">
        <v>46063</v>
      </c>
      <c r="F14" s="130">
        <v>46054</v>
      </c>
      <c r="G14" s="1" t="s">
        <v>29</v>
      </c>
      <c r="H14" s="28">
        <v>150</v>
      </c>
      <c r="I14" s="28">
        <v>1060</v>
      </c>
      <c r="J14" s="28">
        <f>Table2[[#This Row],[Qty]]*Table2[[#This Row],[Rate]]</f>
        <v>159000</v>
      </c>
      <c r="K14" s="28" t="s">
        <v>124</v>
      </c>
      <c r="L14" s="1" t="s">
        <v>29</v>
      </c>
      <c r="M14" s="28">
        <v>100</v>
      </c>
      <c r="N14" s="28">
        <v>8003564900</v>
      </c>
      <c r="O14" s="28" t="s">
        <v>122</v>
      </c>
      <c r="P14" s="193">
        <v>46065</v>
      </c>
      <c r="Q14" s="1">
        <f t="shared" si="2"/>
        <v>159</v>
      </c>
      <c r="R14" s="1">
        <v>158841</v>
      </c>
      <c r="S14" s="29">
        <v>46083</v>
      </c>
      <c r="T14" s="192">
        <f t="shared" si="3"/>
        <v>0</v>
      </c>
    </row>
    <row r="15" spans="1:20" ht="15.75" customHeight="1" x14ac:dyDescent="0.2">
      <c r="A15" s="20" t="s">
        <v>128</v>
      </c>
      <c r="B15" s="27">
        <v>46070</v>
      </c>
      <c r="C15" s="28" t="s">
        <v>100</v>
      </c>
      <c r="D15" s="28">
        <v>1282532303</v>
      </c>
      <c r="E15" s="191">
        <v>46072</v>
      </c>
      <c r="F15" s="130">
        <v>46054</v>
      </c>
      <c r="G15" s="1" t="s">
        <v>29</v>
      </c>
      <c r="H15" s="28">
        <v>196</v>
      </c>
      <c r="I15" s="28">
        <v>1060</v>
      </c>
      <c r="J15" s="28">
        <f>Table2[[#This Row],[Qty]]*Table2[[#This Row],[Rate]]</f>
        <v>207760</v>
      </c>
      <c r="K15" s="28" t="s">
        <v>92</v>
      </c>
      <c r="L15" s="1" t="s">
        <v>29</v>
      </c>
      <c r="M15" s="28">
        <v>96</v>
      </c>
      <c r="N15" s="28">
        <v>8003571870</v>
      </c>
      <c r="O15" s="28" t="s">
        <v>122</v>
      </c>
      <c r="P15" s="193">
        <v>46074</v>
      </c>
      <c r="Q15" s="1">
        <f t="shared" si="2"/>
        <v>208</v>
      </c>
      <c r="R15" s="1">
        <v>207552</v>
      </c>
      <c r="S15" s="29">
        <v>46088</v>
      </c>
      <c r="T15" s="192">
        <f t="shared" si="3"/>
        <v>0</v>
      </c>
    </row>
    <row r="16" spans="1:20" ht="15.75" customHeight="1" x14ac:dyDescent="0.2">
      <c r="A16" s="20" t="s">
        <v>128</v>
      </c>
      <c r="B16" s="27">
        <v>46070</v>
      </c>
      <c r="C16" s="28" t="s">
        <v>100</v>
      </c>
      <c r="D16" s="28">
        <v>1282532304</v>
      </c>
      <c r="E16" s="191">
        <v>46072</v>
      </c>
      <c r="F16" s="130">
        <v>46054</v>
      </c>
      <c r="G16" s="1" t="s">
        <v>29</v>
      </c>
      <c r="H16" s="28">
        <v>200</v>
      </c>
      <c r="I16" s="28">
        <v>1060</v>
      </c>
      <c r="J16" s="28">
        <f>Table2[[#This Row],[Qty]]*Table2[[#This Row],[Rate]]</f>
        <v>212000</v>
      </c>
      <c r="K16" s="28" t="s">
        <v>93</v>
      </c>
      <c r="L16" s="1" t="s">
        <v>29</v>
      </c>
      <c r="M16" s="28">
        <v>250</v>
      </c>
      <c r="N16" s="28">
        <v>8003571876</v>
      </c>
      <c r="O16" s="28" t="s">
        <v>122</v>
      </c>
      <c r="P16" s="193">
        <v>46074</v>
      </c>
      <c r="Q16" s="1">
        <f t="shared" si="2"/>
        <v>212</v>
      </c>
      <c r="R16" s="1">
        <v>211788</v>
      </c>
      <c r="S16" s="29">
        <v>46088</v>
      </c>
      <c r="T16" s="192">
        <f t="shared" si="3"/>
        <v>0</v>
      </c>
    </row>
    <row r="17" spans="1:20" ht="15.75" customHeight="1" x14ac:dyDescent="0.2">
      <c r="A17" s="20" t="s">
        <v>128</v>
      </c>
      <c r="B17" s="27">
        <v>46070</v>
      </c>
      <c r="C17" s="28" t="s">
        <v>100</v>
      </c>
      <c r="D17" s="28">
        <v>1282532305</v>
      </c>
      <c r="E17" s="191">
        <v>46072</v>
      </c>
      <c r="F17" s="130">
        <v>46054</v>
      </c>
      <c r="G17" s="1" t="s">
        <v>29</v>
      </c>
      <c r="H17" s="28">
        <v>100</v>
      </c>
      <c r="I17" s="28">
        <v>1060</v>
      </c>
      <c r="J17" s="28">
        <f>Table2[[#This Row],[Qty]]*Table2[[#This Row],[Rate]]</f>
        <v>106000</v>
      </c>
      <c r="K17" s="28" t="s">
        <v>91</v>
      </c>
      <c r="L17" s="1" t="s">
        <v>29</v>
      </c>
      <c r="M17" s="28">
        <v>150</v>
      </c>
      <c r="N17" s="28">
        <v>8003571882</v>
      </c>
      <c r="O17" s="28" t="s">
        <v>122</v>
      </c>
      <c r="P17" s="193">
        <v>46074</v>
      </c>
      <c r="Q17" s="1">
        <f t="shared" si="2"/>
        <v>106</v>
      </c>
      <c r="R17" s="1">
        <v>105894</v>
      </c>
      <c r="S17" s="29">
        <v>46088</v>
      </c>
      <c r="T17" s="192">
        <f t="shared" si="3"/>
        <v>0</v>
      </c>
    </row>
    <row r="18" spans="1:20" ht="15.75" customHeight="1" x14ac:dyDescent="0.2">
      <c r="A18" s="20" t="s">
        <v>173</v>
      </c>
      <c r="B18" s="27">
        <v>46083</v>
      </c>
      <c r="C18" s="28" t="s">
        <v>100</v>
      </c>
      <c r="D18" s="28">
        <v>1282532428</v>
      </c>
      <c r="E18" s="191">
        <v>46091</v>
      </c>
      <c r="F18" s="130">
        <v>46082</v>
      </c>
      <c r="G18" s="1" t="s">
        <v>29</v>
      </c>
      <c r="H18" s="28">
        <v>300</v>
      </c>
      <c r="I18" s="28">
        <v>1080</v>
      </c>
      <c r="J18" s="28">
        <f>Table2[[#This Row],[Qty]]*Table2[[#This Row],[Rate]]</f>
        <v>324000</v>
      </c>
      <c r="K18" s="28" t="s">
        <v>98</v>
      </c>
      <c r="L18" s="1" t="s">
        <v>29</v>
      </c>
      <c r="M18" s="28">
        <v>300</v>
      </c>
      <c r="N18" s="28">
        <v>8003585791</v>
      </c>
      <c r="O18" s="28" t="s">
        <v>122</v>
      </c>
      <c r="P18" s="193">
        <v>46092</v>
      </c>
      <c r="Q18" s="1">
        <f>ROUND(J18*0.1/100,0)</f>
        <v>324</v>
      </c>
      <c r="R18" s="1">
        <v>323676</v>
      </c>
      <c r="S18" s="29">
        <v>46104</v>
      </c>
      <c r="T18" s="192">
        <f>J18-R18-Q18</f>
        <v>0</v>
      </c>
    </row>
    <row r="19" spans="1:20" ht="15.75" customHeight="1" x14ac:dyDescent="0.2">
      <c r="A19" s="20" t="s">
        <v>173</v>
      </c>
      <c r="B19" s="27">
        <v>46083</v>
      </c>
      <c r="C19" s="28" t="s">
        <v>100</v>
      </c>
      <c r="D19" s="28">
        <v>1282532429</v>
      </c>
      <c r="E19" s="191">
        <v>46091</v>
      </c>
      <c r="F19" s="130">
        <v>46082</v>
      </c>
      <c r="G19" s="1" t="s">
        <v>29</v>
      </c>
      <c r="H19" s="28">
        <v>100</v>
      </c>
      <c r="I19" s="28">
        <v>1080</v>
      </c>
      <c r="J19" s="28">
        <f>Table2[[#This Row],[Qty]]*Table2[[#This Row],[Rate]]</f>
        <v>108000</v>
      </c>
      <c r="K19" s="28" t="s">
        <v>88</v>
      </c>
      <c r="L19" s="1" t="s">
        <v>29</v>
      </c>
      <c r="M19" s="28">
        <v>100</v>
      </c>
      <c r="N19" s="28">
        <v>8003585799</v>
      </c>
      <c r="O19" s="28" t="s">
        <v>122</v>
      </c>
      <c r="P19" s="193">
        <v>46093</v>
      </c>
      <c r="Q19" s="1">
        <f>ROUND(J19*0.1/100,0)</f>
        <v>108</v>
      </c>
      <c r="R19" s="1">
        <v>107892</v>
      </c>
      <c r="S19" s="29">
        <v>46104</v>
      </c>
      <c r="T19" s="192">
        <f>J19-R19-Q19</f>
        <v>0</v>
      </c>
    </row>
    <row r="20" spans="1:20" ht="15.75" customHeight="1" x14ac:dyDescent="0.2">
      <c r="A20" s="20" t="s">
        <v>173</v>
      </c>
      <c r="B20" s="27">
        <v>46083</v>
      </c>
      <c r="C20" s="28" t="s">
        <v>100</v>
      </c>
      <c r="D20" s="28">
        <v>1282532430</v>
      </c>
      <c r="E20" s="191">
        <v>46091</v>
      </c>
      <c r="F20" s="130">
        <v>46082</v>
      </c>
      <c r="G20" s="1" t="s">
        <v>29</v>
      </c>
      <c r="H20" s="28">
        <v>100</v>
      </c>
      <c r="I20" s="28">
        <v>1080</v>
      </c>
      <c r="J20" s="28">
        <f>Table2[[#This Row],[Qty]]*Table2[[#This Row],[Rate]]</f>
        <v>108000</v>
      </c>
      <c r="K20" s="28" t="s">
        <v>88</v>
      </c>
      <c r="L20" s="1" t="s">
        <v>29</v>
      </c>
      <c r="M20" s="28">
        <v>100</v>
      </c>
      <c r="N20" s="28">
        <v>8003585814</v>
      </c>
      <c r="O20" s="28" t="s">
        <v>122</v>
      </c>
      <c r="P20" s="193">
        <v>46093</v>
      </c>
      <c r="Q20" s="1">
        <f>ROUND(J20*0.1/100,0)</f>
        <v>108</v>
      </c>
      <c r="R20" s="1">
        <v>107892</v>
      </c>
      <c r="S20" s="29">
        <v>46104</v>
      </c>
      <c r="T20" s="192">
        <f>J20-R20-Q20</f>
        <v>0</v>
      </c>
    </row>
    <row r="21" spans="1:20" ht="15.75" customHeight="1" x14ac:dyDescent="0.2">
      <c r="A21" s="131"/>
      <c r="B21" s="132"/>
      <c r="C21" s="133"/>
      <c r="D21" s="133"/>
      <c r="E21" s="132"/>
      <c r="F21" s="134"/>
      <c r="G21" s="133"/>
      <c r="H21" s="135">
        <f>SUBTOTAL(109,Table2[Qty])</f>
        <v>1496</v>
      </c>
      <c r="I21" s="133"/>
      <c r="J21" s="133">
        <f>SUBTOTAL(109,Table2[AMOUNT])</f>
        <v>1595760</v>
      </c>
      <c r="K21" s="133"/>
      <c r="L21" s="133"/>
      <c r="M21" s="133"/>
      <c r="N21" s="135"/>
      <c r="O21" s="133"/>
      <c r="P21" s="136"/>
      <c r="Q21" s="133"/>
      <c r="R21" s="133"/>
      <c r="S21" s="133"/>
      <c r="T21" s="137">
        <f>SUBTOTAL(109,Table2[Balance])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55"/>
  <sheetViews>
    <sheetView zoomScaleNormal="100" workbookViewId="0">
      <pane ySplit="1" topLeftCell="A24" activePane="bottomLeft" state="frozen"/>
      <selection activeCell="B3445" sqref="B3445"/>
      <selection pane="bottomLeft" sqref="A1:S127"/>
    </sheetView>
  </sheetViews>
  <sheetFormatPr defaultColWidth="12.7109375" defaultRowHeight="15.75" customHeight="1" x14ac:dyDescent="0.2"/>
  <cols>
    <col min="1" max="1" width="11.42578125" customWidth="1"/>
    <col min="2" max="2" width="14.5703125" bestFit="1" customWidth="1"/>
    <col min="3" max="3" width="25.7109375" customWidth="1"/>
    <col min="4" max="4" width="13.5703125" style="33" customWidth="1"/>
    <col min="5" max="5" width="19.140625" customWidth="1"/>
    <col min="6" max="6" width="9.7109375" style="9" customWidth="1"/>
    <col min="7" max="7" width="6.5703125" customWidth="1"/>
    <col min="8" max="8" width="14.42578125" customWidth="1"/>
    <col min="9" max="9" width="25.140625" hidden="1" customWidth="1"/>
    <col min="10" max="10" width="14.42578125" hidden="1" customWidth="1"/>
    <col min="11" max="11" width="14.42578125" style="33" hidden="1" customWidth="1"/>
    <col min="12" max="13" width="14.42578125" hidden="1" customWidth="1"/>
    <col min="14" max="14" width="21.140625" hidden="1" customWidth="1"/>
    <col min="15" max="15" width="22.140625" style="33" hidden="1" customWidth="1"/>
    <col min="16" max="16" width="14.42578125" hidden="1" customWidth="1"/>
    <col min="17" max="17" width="7.140625" customWidth="1"/>
    <col min="18" max="18" width="31.7109375" customWidth="1"/>
    <col min="19" max="19" width="8.5703125" customWidth="1"/>
  </cols>
  <sheetData>
    <row r="1" spans="1:19" ht="25.5" x14ac:dyDescent="0.2">
      <c r="A1" s="124" t="s">
        <v>30</v>
      </c>
      <c r="B1" s="124" t="s">
        <v>0</v>
      </c>
      <c r="C1" s="124" t="s">
        <v>31</v>
      </c>
      <c r="D1" s="124" t="s">
        <v>75</v>
      </c>
      <c r="E1" s="124" t="s">
        <v>33</v>
      </c>
      <c r="F1" s="124" t="s">
        <v>34</v>
      </c>
      <c r="G1" s="124" t="s">
        <v>18</v>
      </c>
      <c r="H1" s="124" t="s">
        <v>1</v>
      </c>
      <c r="I1" s="124" t="s">
        <v>35</v>
      </c>
      <c r="J1" s="125" t="s">
        <v>36</v>
      </c>
      <c r="K1" s="125" t="s">
        <v>37</v>
      </c>
      <c r="L1" s="124" t="s">
        <v>15</v>
      </c>
      <c r="M1" s="124" t="s">
        <v>38</v>
      </c>
      <c r="N1" s="124" t="s">
        <v>39</v>
      </c>
      <c r="O1" s="124" t="s">
        <v>132</v>
      </c>
      <c r="P1" s="124" t="s">
        <v>2</v>
      </c>
      <c r="Q1" s="124" t="s">
        <v>81</v>
      </c>
      <c r="R1" s="124" t="s">
        <v>40</v>
      </c>
      <c r="S1" s="126" t="s">
        <v>41</v>
      </c>
    </row>
    <row r="2" spans="1:19" ht="15.75" hidden="1" customHeight="1" x14ac:dyDescent="0.2">
      <c r="A2" s="195">
        <v>46072</v>
      </c>
      <c r="B2" s="196" t="s">
        <v>88</v>
      </c>
      <c r="C2" s="197" t="s">
        <v>126</v>
      </c>
      <c r="D2" s="198">
        <v>20020020</v>
      </c>
      <c r="E2" s="199" t="s">
        <v>29</v>
      </c>
      <c r="F2" s="200">
        <v>5</v>
      </c>
      <c r="G2" s="201">
        <v>1250</v>
      </c>
      <c r="H2" s="15">
        <f>Table1[[#This Row],[Qty Sold]]*Table1[[#This Row],[Rate]]</f>
        <v>6250</v>
      </c>
      <c r="I2" s="77" t="s">
        <v>42</v>
      </c>
      <c r="J2" s="77"/>
      <c r="K2" s="78"/>
      <c r="L2" s="77" t="str">
        <f t="shared" ref="L2:L4" si="0">TEXT(A2,"mmm-yy")</f>
        <v>Feb-26</v>
      </c>
      <c r="M2" s="19" t="s">
        <v>76</v>
      </c>
      <c r="N2" s="19" t="s">
        <v>164</v>
      </c>
      <c r="O2" s="205">
        <v>46072</v>
      </c>
      <c r="P2" s="6">
        <f>4494+1756</f>
        <v>6250</v>
      </c>
      <c r="Q2" s="77">
        <f t="shared" ref="Q2:Q6" si="1">H2-P2</f>
        <v>0</v>
      </c>
      <c r="R2" s="77"/>
      <c r="S2" s="77">
        <f t="shared" ref="S2:S4" ca="1" si="2">IF(Q2&lt;=0,0,(TODAY()-A2))</f>
        <v>0</v>
      </c>
    </row>
    <row r="3" spans="1:19" ht="15.75" hidden="1" customHeight="1" x14ac:dyDescent="0.2">
      <c r="A3" s="127">
        <v>46075</v>
      </c>
      <c r="B3" s="25" t="s">
        <v>124</v>
      </c>
      <c r="C3" s="22" t="s">
        <v>129</v>
      </c>
      <c r="D3" s="32">
        <v>20090017</v>
      </c>
      <c r="E3" s="199" t="s">
        <v>29</v>
      </c>
      <c r="F3" s="234">
        <v>2</v>
      </c>
      <c r="G3" s="201">
        <v>1250</v>
      </c>
      <c r="H3" s="15">
        <f>Table1[[#This Row],[Qty Sold]]*Table1[[#This Row],[Rate]]</f>
        <v>2500</v>
      </c>
      <c r="I3" s="77" t="s">
        <v>42</v>
      </c>
      <c r="J3" s="77"/>
      <c r="K3" s="78">
        <v>4844</v>
      </c>
      <c r="L3" s="77" t="str">
        <f>TEXT(A3,"mmm-yy")</f>
        <v>Feb-26</v>
      </c>
      <c r="M3" s="19" t="s">
        <v>76</v>
      </c>
      <c r="N3" s="19" t="s">
        <v>163</v>
      </c>
      <c r="O3" s="205">
        <v>46079</v>
      </c>
      <c r="P3" s="6">
        <v>2500</v>
      </c>
      <c r="Q3" s="77">
        <f t="shared" si="1"/>
        <v>0</v>
      </c>
      <c r="R3" s="77"/>
      <c r="S3" s="77">
        <f ca="1">IF(Q3&lt;=0,0,(TODAY()-A3))</f>
        <v>0</v>
      </c>
    </row>
    <row r="4" spans="1:19" ht="15.75" hidden="1" customHeight="1" x14ac:dyDescent="0.2">
      <c r="A4" s="127">
        <v>46075</v>
      </c>
      <c r="B4" s="25" t="s">
        <v>124</v>
      </c>
      <c r="C4" s="22" t="s">
        <v>130</v>
      </c>
      <c r="D4" s="32">
        <v>20010053</v>
      </c>
      <c r="E4" s="199" t="s">
        <v>29</v>
      </c>
      <c r="F4" s="234">
        <v>1</v>
      </c>
      <c r="G4" s="201">
        <v>1250</v>
      </c>
      <c r="H4" s="15">
        <f>Table1[[#This Row],[Qty Sold]]*Table1[[#This Row],[Rate]]</f>
        <v>1250</v>
      </c>
      <c r="I4" s="77" t="s">
        <v>42</v>
      </c>
      <c r="J4" s="77"/>
      <c r="K4" s="78">
        <v>4845</v>
      </c>
      <c r="L4" s="77" t="str">
        <f t="shared" si="0"/>
        <v>Feb-26</v>
      </c>
      <c r="M4" s="19" t="s">
        <v>145</v>
      </c>
      <c r="N4" s="19"/>
      <c r="O4" s="205">
        <v>46080</v>
      </c>
      <c r="P4" s="6">
        <v>1250</v>
      </c>
      <c r="Q4" s="77">
        <f t="shared" si="1"/>
        <v>0</v>
      </c>
      <c r="R4" s="77"/>
      <c r="S4" s="77">
        <f t="shared" ca="1" si="2"/>
        <v>0</v>
      </c>
    </row>
    <row r="5" spans="1:19" ht="15.75" hidden="1" customHeight="1" x14ac:dyDescent="0.2">
      <c r="A5" s="127">
        <v>46075</v>
      </c>
      <c r="B5" s="25" t="s">
        <v>124</v>
      </c>
      <c r="C5" s="22" t="s">
        <v>130</v>
      </c>
      <c r="D5" s="32">
        <v>20010053</v>
      </c>
      <c r="E5" s="199" t="s">
        <v>29</v>
      </c>
      <c r="F5" s="234">
        <v>3</v>
      </c>
      <c r="G5" s="201">
        <v>1250</v>
      </c>
      <c r="H5" s="15">
        <f>Table1[[#This Row],[Qty Sold]]*Table1[[#This Row],[Rate]]</f>
        <v>3750</v>
      </c>
      <c r="I5" s="77" t="s">
        <v>42</v>
      </c>
      <c r="J5" s="77"/>
      <c r="K5" s="78">
        <v>4845</v>
      </c>
      <c r="L5" s="77" t="str">
        <f t="shared" ref="L5:L10" si="3">TEXT(A5,"mmm-yy")</f>
        <v>Feb-26</v>
      </c>
      <c r="M5" s="19" t="s">
        <v>76</v>
      </c>
      <c r="N5" s="19" t="s">
        <v>163</v>
      </c>
      <c r="O5" s="205">
        <v>46079</v>
      </c>
      <c r="P5" s="6">
        <v>3750</v>
      </c>
      <c r="Q5" s="77">
        <f>H5-P5</f>
        <v>0</v>
      </c>
      <c r="R5" s="77"/>
      <c r="S5" s="77">
        <f t="shared" ref="S5:S10" ca="1" si="4">IF(Q5&lt;=0,0,(TODAY()-A5))</f>
        <v>0</v>
      </c>
    </row>
    <row r="6" spans="1:19" ht="15.75" hidden="1" customHeight="1" x14ac:dyDescent="0.2">
      <c r="A6" s="127">
        <v>46075</v>
      </c>
      <c r="B6" s="25" t="s">
        <v>124</v>
      </c>
      <c r="C6" s="22" t="s">
        <v>131</v>
      </c>
      <c r="D6" s="32">
        <v>20090011</v>
      </c>
      <c r="E6" s="199" t="s">
        <v>29</v>
      </c>
      <c r="F6" s="234">
        <v>2</v>
      </c>
      <c r="G6" s="201">
        <v>1250</v>
      </c>
      <c r="H6" s="15">
        <f>Table1[[#This Row],[Qty Sold]]*Table1[[#This Row],[Rate]]</f>
        <v>2500</v>
      </c>
      <c r="I6" s="77" t="s">
        <v>42</v>
      </c>
      <c r="J6" s="77"/>
      <c r="K6" s="78">
        <v>4846</v>
      </c>
      <c r="L6" s="77" t="str">
        <f t="shared" si="3"/>
        <v>Feb-26</v>
      </c>
      <c r="M6" s="19" t="s">
        <v>76</v>
      </c>
      <c r="N6" s="19" t="s">
        <v>163</v>
      </c>
      <c r="O6" s="205">
        <v>46079</v>
      </c>
      <c r="P6" s="6">
        <v>2500</v>
      </c>
      <c r="Q6" s="77">
        <f t="shared" si="1"/>
        <v>0</v>
      </c>
      <c r="R6" s="77"/>
      <c r="S6" s="77">
        <f t="shared" ca="1" si="4"/>
        <v>0</v>
      </c>
    </row>
    <row r="7" spans="1:19" ht="15.75" hidden="1" customHeight="1" x14ac:dyDescent="0.2">
      <c r="A7" s="127">
        <v>46075</v>
      </c>
      <c r="B7" s="25" t="s">
        <v>124</v>
      </c>
      <c r="C7" s="22" t="s">
        <v>130</v>
      </c>
      <c r="D7" s="32">
        <v>20010053</v>
      </c>
      <c r="E7" s="199" t="s">
        <v>29</v>
      </c>
      <c r="F7" s="200">
        <v>2</v>
      </c>
      <c r="G7" s="201">
        <v>1250</v>
      </c>
      <c r="H7" s="202">
        <f>Table1[[#This Row],[Qty Sold]]*Table1[[#This Row],[Rate]]</f>
        <v>2500</v>
      </c>
      <c r="I7" s="77" t="s">
        <v>42</v>
      </c>
      <c r="J7" s="201"/>
      <c r="K7" s="203"/>
      <c r="L7" s="201" t="str">
        <f t="shared" si="3"/>
        <v>Feb-26</v>
      </c>
      <c r="M7" s="26" t="s">
        <v>76</v>
      </c>
      <c r="N7" s="26" t="s">
        <v>189</v>
      </c>
      <c r="O7" s="205">
        <v>46079</v>
      </c>
      <c r="P7" s="26">
        <f>1591+909</f>
        <v>2500</v>
      </c>
      <c r="Q7" s="201">
        <f t="shared" ref="Q7:Q18" si="5">H7-P7</f>
        <v>0</v>
      </c>
      <c r="R7" s="201"/>
      <c r="S7" s="201">
        <f t="shared" ca="1" si="4"/>
        <v>0</v>
      </c>
    </row>
    <row r="8" spans="1:19" ht="15.75" hidden="1" customHeight="1" x14ac:dyDescent="0.2">
      <c r="A8" s="127">
        <v>46075</v>
      </c>
      <c r="B8" s="25" t="s">
        <v>124</v>
      </c>
      <c r="C8" s="197" t="s">
        <v>124</v>
      </c>
      <c r="D8" s="198">
        <v>20090001</v>
      </c>
      <c r="E8" s="199" t="s">
        <v>29</v>
      </c>
      <c r="F8" s="200">
        <v>1</v>
      </c>
      <c r="G8" s="201">
        <v>1250</v>
      </c>
      <c r="H8" s="202">
        <f>Table1[[#This Row],[Qty Sold]]*Table1[[#This Row],[Rate]]</f>
        <v>1250</v>
      </c>
      <c r="I8" s="77" t="s">
        <v>42</v>
      </c>
      <c r="J8" s="201"/>
      <c r="K8" s="203">
        <v>4848</v>
      </c>
      <c r="L8" s="201" t="str">
        <f t="shared" si="3"/>
        <v>Feb-26</v>
      </c>
      <c r="M8" s="26" t="s">
        <v>76</v>
      </c>
      <c r="N8" s="19" t="s">
        <v>163</v>
      </c>
      <c r="O8" s="205">
        <v>46079</v>
      </c>
      <c r="P8" s="26">
        <v>1250</v>
      </c>
      <c r="Q8" s="201">
        <f t="shared" si="5"/>
        <v>0</v>
      </c>
      <c r="R8" s="201"/>
      <c r="S8" s="201">
        <f t="shared" ca="1" si="4"/>
        <v>0</v>
      </c>
    </row>
    <row r="9" spans="1:19" ht="15.75" hidden="1" customHeight="1" x14ac:dyDescent="0.2">
      <c r="A9" s="195">
        <v>46079</v>
      </c>
      <c r="B9" s="196" t="s">
        <v>88</v>
      </c>
      <c r="C9" s="197" t="s">
        <v>142</v>
      </c>
      <c r="D9" s="198">
        <v>20020003</v>
      </c>
      <c r="E9" s="199" t="s">
        <v>29</v>
      </c>
      <c r="F9" s="200">
        <v>5</v>
      </c>
      <c r="G9" s="201">
        <v>1250</v>
      </c>
      <c r="H9" s="202">
        <f>Table1[[#This Row],[Qty Sold]]*Table1[[#This Row],[Rate]]</f>
        <v>6250</v>
      </c>
      <c r="I9" s="201" t="s">
        <v>42</v>
      </c>
      <c r="J9" s="201"/>
      <c r="K9" s="203"/>
      <c r="L9" s="201" t="str">
        <f t="shared" si="3"/>
        <v>Feb-26</v>
      </c>
      <c r="M9" s="26" t="s">
        <v>76</v>
      </c>
      <c r="N9" s="26" t="s">
        <v>163</v>
      </c>
      <c r="O9" s="205">
        <v>46079</v>
      </c>
      <c r="P9" s="26">
        <v>6250</v>
      </c>
      <c r="Q9" s="201">
        <f t="shared" si="5"/>
        <v>0</v>
      </c>
      <c r="R9" s="201"/>
      <c r="S9" s="201">
        <f t="shared" ca="1" si="4"/>
        <v>0</v>
      </c>
    </row>
    <row r="10" spans="1:19" ht="15.75" hidden="1" customHeight="1" x14ac:dyDescent="0.2">
      <c r="A10" s="195">
        <v>46079</v>
      </c>
      <c r="B10" s="196" t="s">
        <v>88</v>
      </c>
      <c r="C10" s="197" t="s">
        <v>88</v>
      </c>
      <c r="D10" s="198">
        <v>20020001</v>
      </c>
      <c r="E10" s="199" t="s">
        <v>29</v>
      </c>
      <c r="F10" s="200">
        <v>10</v>
      </c>
      <c r="G10" s="201">
        <v>1250</v>
      </c>
      <c r="H10" s="202">
        <f>Table1[[#This Row],[Qty Sold]]*Table1[[#This Row],[Rate]]</f>
        <v>12500</v>
      </c>
      <c r="I10" s="201" t="s">
        <v>42</v>
      </c>
      <c r="J10" s="201"/>
      <c r="K10" s="203"/>
      <c r="L10" s="201" t="str">
        <f t="shared" si="3"/>
        <v>Feb-26</v>
      </c>
      <c r="M10" s="26" t="s">
        <v>76</v>
      </c>
      <c r="N10" s="26" t="s">
        <v>207</v>
      </c>
      <c r="O10" s="205">
        <v>46086</v>
      </c>
      <c r="P10" s="26">
        <f>12468+32</f>
        <v>12500</v>
      </c>
      <c r="Q10" s="201">
        <f t="shared" si="5"/>
        <v>0</v>
      </c>
      <c r="R10" s="201"/>
      <c r="S10" s="201">
        <f t="shared" ca="1" si="4"/>
        <v>0</v>
      </c>
    </row>
    <row r="11" spans="1:19" ht="15.75" hidden="1" customHeight="1" x14ac:dyDescent="0.2">
      <c r="A11" s="195">
        <v>46081</v>
      </c>
      <c r="B11" s="196" t="s">
        <v>93</v>
      </c>
      <c r="C11" s="196" t="s">
        <v>93</v>
      </c>
      <c r="D11" s="198">
        <v>20060003</v>
      </c>
      <c r="E11" s="199" t="s">
        <v>29</v>
      </c>
      <c r="F11" s="200">
        <v>20</v>
      </c>
      <c r="G11" s="201">
        <v>1250</v>
      </c>
      <c r="H11" s="202">
        <f>Table1[[#This Row],[Qty Sold]]*Table1[[#This Row],[Rate]]</f>
        <v>25000</v>
      </c>
      <c r="I11" s="201" t="s">
        <v>42</v>
      </c>
      <c r="J11" s="201"/>
      <c r="K11" s="203">
        <v>4736</v>
      </c>
      <c r="L11" s="201" t="str">
        <f t="shared" ref="L11:L18" si="6">TEXT(A11,"mmm-yy")</f>
        <v>Feb-26</v>
      </c>
      <c r="M11" s="26" t="s">
        <v>76</v>
      </c>
      <c r="N11" s="26" t="s">
        <v>190</v>
      </c>
      <c r="O11" s="205">
        <v>46086</v>
      </c>
      <c r="P11" s="26">
        <v>25000</v>
      </c>
      <c r="Q11" s="201">
        <f t="shared" si="5"/>
        <v>0</v>
      </c>
      <c r="R11" s="201"/>
      <c r="S11" s="201">
        <f t="shared" ref="S11:S18" ca="1" si="7">IF(Q11&lt;=0,0,(TODAY()-A11))</f>
        <v>0</v>
      </c>
    </row>
    <row r="12" spans="1:19" ht="15.75" hidden="1" customHeight="1" x14ac:dyDescent="0.2">
      <c r="A12" s="195">
        <v>46080</v>
      </c>
      <c r="B12" s="196" t="s">
        <v>91</v>
      </c>
      <c r="C12" s="197" t="s">
        <v>147</v>
      </c>
      <c r="D12" s="198">
        <v>20060008</v>
      </c>
      <c r="E12" s="199" t="s">
        <v>29</v>
      </c>
      <c r="F12" s="200">
        <v>20</v>
      </c>
      <c r="G12" s="201">
        <v>1250</v>
      </c>
      <c r="H12" s="202">
        <f>Table1[[#This Row],[Qty Sold]]*Table1[[#This Row],[Rate]]</f>
        <v>25000</v>
      </c>
      <c r="I12" s="201" t="s">
        <v>42</v>
      </c>
      <c r="J12" s="201"/>
      <c r="K12" s="203">
        <v>4730</v>
      </c>
      <c r="L12" s="201" t="str">
        <f t="shared" si="6"/>
        <v>Feb-26</v>
      </c>
      <c r="M12" s="26" t="s">
        <v>76</v>
      </c>
      <c r="N12" s="26" t="s">
        <v>222</v>
      </c>
      <c r="O12" s="205">
        <v>46093</v>
      </c>
      <c r="P12" s="26">
        <f>12500+12500</f>
        <v>25000</v>
      </c>
      <c r="Q12" s="201">
        <f t="shared" si="5"/>
        <v>0</v>
      </c>
      <c r="R12" s="201"/>
      <c r="S12" s="201">
        <f t="shared" ca="1" si="7"/>
        <v>0</v>
      </c>
    </row>
    <row r="13" spans="1:19" ht="15.75" hidden="1" customHeight="1" x14ac:dyDescent="0.2">
      <c r="A13" s="195">
        <v>46081</v>
      </c>
      <c r="B13" s="196" t="s">
        <v>95</v>
      </c>
      <c r="C13" s="197" t="s">
        <v>148</v>
      </c>
      <c r="D13" s="198">
        <v>20010015</v>
      </c>
      <c r="E13" s="199" t="s">
        <v>29</v>
      </c>
      <c r="F13" s="200">
        <v>0</v>
      </c>
      <c r="G13" s="201">
        <v>0</v>
      </c>
      <c r="H13" s="202">
        <v>11000</v>
      </c>
      <c r="I13" s="201" t="s">
        <v>42</v>
      </c>
      <c r="J13" s="201"/>
      <c r="K13" s="203"/>
      <c r="L13" s="201" t="str">
        <f>TEXT(A13,"mmm-yy")</f>
        <v>Feb-26</v>
      </c>
      <c r="M13" s="26" t="s">
        <v>145</v>
      </c>
      <c r="N13" s="26"/>
      <c r="O13" s="205">
        <v>46139</v>
      </c>
      <c r="P13" s="26">
        <v>11000</v>
      </c>
      <c r="Q13" s="201">
        <f>H13-P13</f>
        <v>0</v>
      </c>
      <c r="R13" s="201"/>
      <c r="S13" s="201">
        <f ca="1">IF(Q13&lt;=0,0,(TODAY()-A13))</f>
        <v>0</v>
      </c>
    </row>
    <row r="14" spans="1:19" ht="15.75" hidden="1" customHeight="1" x14ac:dyDescent="0.2">
      <c r="A14" s="195">
        <v>46081</v>
      </c>
      <c r="B14" s="196" t="s">
        <v>95</v>
      </c>
      <c r="C14" s="197" t="s">
        <v>148</v>
      </c>
      <c r="D14" s="198">
        <v>20010015</v>
      </c>
      <c r="E14" s="199" t="s">
        <v>29</v>
      </c>
      <c r="F14" s="200">
        <v>22</v>
      </c>
      <c r="G14" s="201">
        <v>1250</v>
      </c>
      <c r="H14" s="202">
        <f>Table1[[#This Row],[Qty Sold]]*Table1[[#This Row],[Rate]]-11000</f>
        <v>16500</v>
      </c>
      <c r="I14" s="201" t="s">
        <v>42</v>
      </c>
      <c r="J14" s="201"/>
      <c r="K14" s="203">
        <v>4731</v>
      </c>
      <c r="L14" s="201" t="str">
        <f t="shared" si="6"/>
        <v>Feb-26</v>
      </c>
      <c r="M14" s="26" t="s">
        <v>76</v>
      </c>
      <c r="N14" s="26" t="s">
        <v>290</v>
      </c>
      <c r="O14" s="205">
        <v>46107</v>
      </c>
      <c r="P14" s="26">
        <f>12500+2000+2000</f>
        <v>16500</v>
      </c>
      <c r="Q14" s="201">
        <f t="shared" si="5"/>
        <v>0</v>
      </c>
      <c r="R14" s="201"/>
      <c r="S14" s="201">
        <f t="shared" ca="1" si="7"/>
        <v>0</v>
      </c>
    </row>
    <row r="15" spans="1:19" ht="15.75" hidden="1" customHeight="1" x14ac:dyDescent="0.2">
      <c r="A15" s="195">
        <v>46081</v>
      </c>
      <c r="B15" s="196" t="s">
        <v>95</v>
      </c>
      <c r="C15" s="197" t="s">
        <v>149</v>
      </c>
      <c r="D15" s="198">
        <v>20010008</v>
      </c>
      <c r="E15" s="199" t="s">
        <v>29</v>
      </c>
      <c r="F15" s="200">
        <v>5</v>
      </c>
      <c r="G15" s="201">
        <v>1250</v>
      </c>
      <c r="H15" s="202">
        <f>Table1[[#This Row],[Qty Sold]]*Table1[[#This Row],[Rate]]</f>
        <v>6250</v>
      </c>
      <c r="I15" s="201" t="s">
        <v>42</v>
      </c>
      <c r="J15" s="201"/>
      <c r="K15" s="203">
        <v>4732</v>
      </c>
      <c r="L15" s="201" t="str">
        <f>TEXT(A15,"mmm-yy")</f>
        <v>Feb-26</v>
      </c>
      <c r="M15" s="26" t="s">
        <v>76</v>
      </c>
      <c r="N15" s="26" t="s">
        <v>190</v>
      </c>
      <c r="O15" s="205">
        <v>46086</v>
      </c>
      <c r="P15" s="26">
        <v>6250</v>
      </c>
      <c r="Q15" s="201">
        <f>H15-P15</f>
        <v>0</v>
      </c>
      <c r="R15" s="201"/>
      <c r="S15" s="201">
        <f ca="1">IF(Q15&lt;=0,0,(TODAY()-A15))</f>
        <v>0</v>
      </c>
    </row>
    <row r="16" spans="1:19" ht="15.75" hidden="1" customHeight="1" x14ac:dyDescent="0.2">
      <c r="A16" s="195">
        <v>46081</v>
      </c>
      <c r="B16" s="196" t="s">
        <v>95</v>
      </c>
      <c r="C16" s="197" t="s">
        <v>149</v>
      </c>
      <c r="D16" s="198">
        <v>20010008</v>
      </c>
      <c r="E16" s="199" t="s">
        <v>29</v>
      </c>
      <c r="F16" s="200">
        <v>20</v>
      </c>
      <c r="G16" s="201">
        <v>1250</v>
      </c>
      <c r="H16" s="202">
        <f>Table1[[#This Row],[Qty Sold]]*Table1[[#This Row],[Rate]]</f>
        <v>25000</v>
      </c>
      <c r="I16" s="201" t="s">
        <v>42</v>
      </c>
      <c r="J16" s="201"/>
      <c r="K16" s="203">
        <v>4732</v>
      </c>
      <c r="L16" s="201" t="str">
        <f t="shared" si="6"/>
        <v>Feb-26</v>
      </c>
      <c r="M16" s="26" t="s">
        <v>76</v>
      </c>
      <c r="N16" s="249" t="s">
        <v>252</v>
      </c>
      <c r="O16" s="205">
        <v>46093</v>
      </c>
      <c r="P16" s="26">
        <f>6250+6250+6250+6250</f>
        <v>25000</v>
      </c>
      <c r="Q16" s="201">
        <f t="shared" si="5"/>
        <v>0</v>
      </c>
      <c r="R16" s="201"/>
      <c r="S16" s="201">
        <f t="shared" ca="1" si="7"/>
        <v>0</v>
      </c>
    </row>
    <row r="17" spans="1:19" ht="15.75" hidden="1" customHeight="1" x14ac:dyDescent="0.2">
      <c r="A17" s="195">
        <v>46081</v>
      </c>
      <c r="B17" s="196" t="s">
        <v>95</v>
      </c>
      <c r="C17" s="197" t="s">
        <v>150</v>
      </c>
      <c r="D17" s="198">
        <v>20010016</v>
      </c>
      <c r="E17" s="199" t="s">
        <v>29</v>
      </c>
      <c r="F17" s="200">
        <v>1</v>
      </c>
      <c r="G17" s="201">
        <v>1250</v>
      </c>
      <c r="H17" s="202">
        <f>Table1[[#This Row],[Qty Sold]]*Table1[[#This Row],[Rate]]</f>
        <v>1250</v>
      </c>
      <c r="I17" s="201" t="s">
        <v>42</v>
      </c>
      <c r="J17" s="201"/>
      <c r="K17" s="203">
        <v>4733</v>
      </c>
      <c r="L17" s="201" t="str">
        <f t="shared" si="6"/>
        <v>Feb-26</v>
      </c>
      <c r="M17" s="26" t="s">
        <v>76</v>
      </c>
      <c r="N17" s="26" t="s">
        <v>156</v>
      </c>
      <c r="O17" s="205">
        <v>45995</v>
      </c>
      <c r="P17" s="26">
        <v>1250</v>
      </c>
      <c r="Q17" s="201">
        <f t="shared" si="5"/>
        <v>0</v>
      </c>
      <c r="R17" s="201"/>
      <c r="S17" s="201">
        <f t="shared" ca="1" si="7"/>
        <v>0</v>
      </c>
    </row>
    <row r="18" spans="1:19" ht="15.75" hidden="1" customHeight="1" x14ac:dyDescent="0.2">
      <c r="A18" s="195">
        <v>46081</v>
      </c>
      <c r="B18" s="196" t="s">
        <v>95</v>
      </c>
      <c r="C18" s="197" t="s">
        <v>151</v>
      </c>
      <c r="D18" s="198">
        <v>20010055</v>
      </c>
      <c r="E18" s="199" t="s">
        <v>29</v>
      </c>
      <c r="F18" s="200">
        <v>1</v>
      </c>
      <c r="G18" s="201">
        <v>1250</v>
      </c>
      <c r="H18" s="202">
        <f>Table1[[#This Row],[Qty Sold]]*Table1[[#This Row],[Rate]]</f>
        <v>1250</v>
      </c>
      <c r="I18" s="201" t="s">
        <v>42</v>
      </c>
      <c r="J18" s="201"/>
      <c r="K18" s="203">
        <v>4734</v>
      </c>
      <c r="L18" s="201" t="str">
        <f t="shared" si="6"/>
        <v>Feb-26</v>
      </c>
      <c r="M18" s="26" t="s">
        <v>145</v>
      </c>
      <c r="N18" s="26"/>
      <c r="O18" s="205">
        <v>46095</v>
      </c>
      <c r="P18" s="26">
        <v>1250</v>
      </c>
      <c r="Q18" s="201">
        <f t="shared" si="5"/>
        <v>0</v>
      </c>
      <c r="R18" s="201"/>
      <c r="S18" s="201">
        <f t="shared" ca="1" si="7"/>
        <v>0</v>
      </c>
    </row>
    <row r="19" spans="1:19" ht="15.75" hidden="1" customHeight="1" x14ac:dyDescent="0.2">
      <c r="A19" s="195">
        <v>46081</v>
      </c>
      <c r="B19" s="196" t="s">
        <v>88</v>
      </c>
      <c r="C19" s="197" t="s">
        <v>126</v>
      </c>
      <c r="D19" s="198">
        <v>20020020</v>
      </c>
      <c r="E19" s="199" t="s">
        <v>29</v>
      </c>
      <c r="F19" s="200">
        <v>5</v>
      </c>
      <c r="G19" s="201">
        <v>1250</v>
      </c>
      <c r="H19" s="202">
        <f>Table1[[#This Row],[Qty Sold]]*Table1[[#This Row],[Rate]]</f>
        <v>6250</v>
      </c>
      <c r="I19" s="201" t="s">
        <v>42</v>
      </c>
      <c r="J19" s="201"/>
      <c r="K19" s="203"/>
      <c r="L19" s="201" t="str">
        <f t="shared" ref="L19:L27" si="8">TEXT(A19,"mmm-yy")</f>
        <v>Feb-26</v>
      </c>
      <c r="M19" s="26" t="s">
        <v>76</v>
      </c>
      <c r="N19" s="26" t="s">
        <v>223</v>
      </c>
      <c r="O19" s="205">
        <v>46086</v>
      </c>
      <c r="P19" s="26">
        <f>4473+1777</f>
        <v>6250</v>
      </c>
      <c r="Q19" s="201">
        <f t="shared" ref="Q19:Q27" si="9">H19-P19</f>
        <v>0</v>
      </c>
      <c r="R19" s="201"/>
      <c r="S19" s="201">
        <f t="shared" ref="S19:S27" ca="1" si="10">IF(Q19&lt;=0,0,(TODAY()-A19))</f>
        <v>0</v>
      </c>
    </row>
    <row r="20" spans="1:19" ht="15.75" hidden="1" customHeight="1" x14ac:dyDescent="0.2">
      <c r="A20" s="206">
        <v>46086</v>
      </c>
      <c r="B20" s="207" t="s">
        <v>88</v>
      </c>
      <c r="C20" s="197" t="s">
        <v>142</v>
      </c>
      <c r="D20" s="198">
        <v>20020003</v>
      </c>
      <c r="E20" s="199" t="s">
        <v>29</v>
      </c>
      <c r="F20" s="208">
        <v>5</v>
      </c>
      <c r="G20" s="201">
        <v>1250</v>
      </c>
      <c r="H20" s="202">
        <f>Table1[[#This Row],[Qty Sold]]*Table1[[#This Row],[Rate]]</f>
        <v>6250</v>
      </c>
      <c r="I20" s="209" t="s">
        <v>42</v>
      </c>
      <c r="J20" s="209"/>
      <c r="K20" s="210"/>
      <c r="L20" s="209" t="str">
        <f t="shared" si="8"/>
        <v>Mar-26</v>
      </c>
      <c r="M20" s="26" t="s">
        <v>76</v>
      </c>
      <c r="N20" s="26" t="s">
        <v>190</v>
      </c>
      <c r="O20" s="205">
        <v>46086</v>
      </c>
      <c r="P20" s="26">
        <v>6250</v>
      </c>
      <c r="Q20" s="209">
        <f t="shared" si="9"/>
        <v>0</v>
      </c>
      <c r="R20" s="209"/>
      <c r="S20" s="209">
        <f t="shared" ca="1" si="10"/>
        <v>0</v>
      </c>
    </row>
    <row r="21" spans="1:19" ht="15.75" hidden="1" customHeight="1" x14ac:dyDescent="0.2">
      <c r="A21" s="206">
        <v>46086</v>
      </c>
      <c r="B21" s="207" t="s">
        <v>88</v>
      </c>
      <c r="C21" s="197" t="s">
        <v>165</v>
      </c>
      <c r="D21" s="198">
        <v>20020011</v>
      </c>
      <c r="E21" s="199" t="s">
        <v>29</v>
      </c>
      <c r="F21" s="208">
        <v>3</v>
      </c>
      <c r="G21" s="201">
        <v>1250</v>
      </c>
      <c r="H21" s="202">
        <f>Table1[[#This Row],[Qty Sold]]*Table1[[#This Row],[Rate]]</f>
        <v>3750</v>
      </c>
      <c r="I21" s="209" t="s">
        <v>42</v>
      </c>
      <c r="J21" s="209"/>
      <c r="K21" s="210"/>
      <c r="L21" s="209" t="str">
        <f t="shared" si="8"/>
        <v>Mar-26</v>
      </c>
      <c r="M21" s="26" t="s">
        <v>76</v>
      </c>
      <c r="N21" s="26" t="s">
        <v>223</v>
      </c>
      <c r="O21" s="205">
        <v>46086</v>
      </c>
      <c r="P21" s="26">
        <f>2500+1250</f>
        <v>3750</v>
      </c>
      <c r="Q21" s="209">
        <f t="shared" si="9"/>
        <v>0</v>
      </c>
      <c r="R21" s="209"/>
      <c r="S21" s="209">
        <f t="shared" ca="1" si="10"/>
        <v>0</v>
      </c>
    </row>
    <row r="22" spans="1:19" ht="15.75" hidden="1" customHeight="1" x14ac:dyDescent="0.2">
      <c r="A22" s="206">
        <v>46086</v>
      </c>
      <c r="B22" s="207" t="s">
        <v>99</v>
      </c>
      <c r="C22" s="197" t="s">
        <v>166</v>
      </c>
      <c r="D22" s="198">
        <v>20070002</v>
      </c>
      <c r="E22" s="199" t="s">
        <v>29</v>
      </c>
      <c r="F22" s="208">
        <v>4</v>
      </c>
      <c r="G22" s="209">
        <v>1250</v>
      </c>
      <c r="H22" s="202">
        <f>Table1[[#This Row],[Qty Sold]]*Table1[[#This Row],[Rate]]</f>
        <v>5000</v>
      </c>
      <c r="I22" s="209" t="s">
        <v>42</v>
      </c>
      <c r="J22" s="209"/>
      <c r="K22" s="210"/>
      <c r="L22" s="209" t="str">
        <f t="shared" si="8"/>
        <v>Mar-26</v>
      </c>
      <c r="M22" s="26" t="s">
        <v>76</v>
      </c>
      <c r="N22" s="26" t="s">
        <v>190</v>
      </c>
      <c r="O22" s="205">
        <v>46086</v>
      </c>
      <c r="P22" s="26">
        <v>5000</v>
      </c>
      <c r="Q22" s="209">
        <f t="shared" si="9"/>
        <v>0</v>
      </c>
      <c r="R22" s="209"/>
      <c r="S22" s="209">
        <f t="shared" ca="1" si="10"/>
        <v>0</v>
      </c>
    </row>
    <row r="23" spans="1:19" ht="15.75" hidden="1" customHeight="1" x14ac:dyDescent="0.2">
      <c r="A23" s="206">
        <v>46087</v>
      </c>
      <c r="B23" s="207" t="s">
        <v>124</v>
      </c>
      <c r="C23" s="197" t="s">
        <v>168</v>
      </c>
      <c r="D23" s="198">
        <v>20090020</v>
      </c>
      <c r="E23" s="199" t="s">
        <v>29</v>
      </c>
      <c r="F23" s="208">
        <v>2</v>
      </c>
      <c r="G23" s="209">
        <v>1250</v>
      </c>
      <c r="H23" s="202">
        <f>Table1[[#This Row],[Qty Sold]]*Table1[[#This Row],[Rate]]</f>
        <v>2500</v>
      </c>
      <c r="I23" s="209" t="s">
        <v>42</v>
      </c>
      <c r="J23" s="209"/>
      <c r="K23" s="210"/>
      <c r="L23" s="209" t="str">
        <f t="shared" si="8"/>
        <v>Mar-26</v>
      </c>
      <c r="M23" s="26" t="s">
        <v>76</v>
      </c>
      <c r="N23" s="26" t="s">
        <v>190</v>
      </c>
      <c r="O23" s="205">
        <v>46086</v>
      </c>
      <c r="P23" s="26">
        <v>2500</v>
      </c>
      <c r="Q23" s="209">
        <f t="shared" si="9"/>
        <v>0</v>
      </c>
      <c r="R23" s="209"/>
      <c r="S23" s="209">
        <f t="shared" ca="1" si="10"/>
        <v>0</v>
      </c>
    </row>
    <row r="24" spans="1:19" ht="15.75" customHeight="1" x14ac:dyDescent="0.2">
      <c r="A24" s="206">
        <v>46087</v>
      </c>
      <c r="B24" s="207" t="s">
        <v>124</v>
      </c>
      <c r="C24" s="197" t="s">
        <v>169</v>
      </c>
      <c r="D24" s="198">
        <v>20090003</v>
      </c>
      <c r="E24" s="199" t="s">
        <v>29</v>
      </c>
      <c r="F24" s="208">
        <v>10</v>
      </c>
      <c r="G24" s="209">
        <v>1250</v>
      </c>
      <c r="H24" s="202">
        <f>Table1[[#This Row],[Qty Sold]]*Table1[[#This Row],[Rate]]</f>
        <v>12500</v>
      </c>
      <c r="I24" s="209" t="s">
        <v>42</v>
      </c>
      <c r="J24" s="209"/>
      <c r="K24" s="210"/>
      <c r="L24" s="209" t="str">
        <f t="shared" si="8"/>
        <v>Mar-26</v>
      </c>
      <c r="M24" s="26" t="s">
        <v>76</v>
      </c>
      <c r="N24" s="249" t="s">
        <v>329</v>
      </c>
      <c r="O24" s="205">
        <v>46086</v>
      </c>
      <c r="P24" s="26">
        <f>4798+2598+1910+391+259</f>
        <v>9956</v>
      </c>
      <c r="Q24" s="209">
        <f t="shared" si="9"/>
        <v>2544</v>
      </c>
      <c r="R24" s="209"/>
      <c r="S24" s="209">
        <f t="shared" ca="1" si="10"/>
        <v>74</v>
      </c>
    </row>
    <row r="25" spans="1:19" ht="15.75" hidden="1" customHeight="1" x14ac:dyDescent="0.2">
      <c r="A25" s="206">
        <v>46087</v>
      </c>
      <c r="B25" s="207" t="s">
        <v>124</v>
      </c>
      <c r="C25" s="197" t="s">
        <v>170</v>
      </c>
      <c r="D25" s="198">
        <v>20010054</v>
      </c>
      <c r="E25" s="199" t="s">
        <v>29</v>
      </c>
      <c r="F25" s="208">
        <v>2</v>
      </c>
      <c r="G25" s="209">
        <v>1250</v>
      </c>
      <c r="H25" s="202">
        <f>Table1[[#This Row],[Qty Sold]]*Table1[[#This Row],[Rate]]</f>
        <v>2500</v>
      </c>
      <c r="I25" s="209" t="s">
        <v>42</v>
      </c>
      <c r="J25" s="209"/>
      <c r="K25" s="210"/>
      <c r="L25" s="209" t="str">
        <f t="shared" si="8"/>
        <v>Mar-26</v>
      </c>
      <c r="M25" s="26" t="s">
        <v>76</v>
      </c>
      <c r="N25" s="26" t="s">
        <v>221</v>
      </c>
      <c r="O25" s="205">
        <v>46100</v>
      </c>
      <c r="P25" s="26">
        <v>2500</v>
      </c>
      <c r="Q25" s="209">
        <f t="shared" si="9"/>
        <v>0</v>
      </c>
      <c r="R25" s="209"/>
      <c r="S25" s="209">
        <f t="shared" ca="1" si="10"/>
        <v>0</v>
      </c>
    </row>
    <row r="26" spans="1:19" ht="15.75" hidden="1" customHeight="1" x14ac:dyDescent="0.2">
      <c r="A26" s="206">
        <v>46087</v>
      </c>
      <c r="B26" s="207" t="s">
        <v>124</v>
      </c>
      <c r="C26" s="197" t="s">
        <v>171</v>
      </c>
      <c r="D26" s="198">
        <v>20090015</v>
      </c>
      <c r="E26" s="199" t="s">
        <v>29</v>
      </c>
      <c r="F26" s="208">
        <v>3</v>
      </c>
      <c r="G26" s="209">
        <v>1250</v>
      </c>
      <c r="H26" s="202">
        <f>Table1[[#This Row],[Qty Sold]]*Table1[[#This Row],[Rate]]</f>
        <v>3750</v>
      </c>
      <c r="I26" s="209" t="s">
        <v>42</v>
      </c>
      <c r="J26" s="209"/>
      <c r="K26" s="210"/>
      <c r="L26" s="209" t="str">
        <f t="shared" si="8"/>
        <v>Mar-26</v>
      </c>
      <c r="M26" s="26" t="s">
        <v>76</v>
      </c>
      <c r="N26" s="26" t="s">
        <v>207</v>
      </c>
      <c r="O26" s="205">
        <v>46086</v>
      </c>
      <c r="P26" s="26">
        <f>2500+1250</f>
        <v>3750</v>
      </c>
      <c r="Q26" s="209">
        <f t="shared" si="9"/>
        <v>0</v>
      </c>
      <c r="R26" s="209"/>
      <c r="S26" s="209">
        <f t="shared" ca="1" si="10"/>
        <v>0</v>
      </c>
    </row>
    <row r="27" spans="1:19" ht="15.75" hidden="1" customHeight="1" x14ac:dyDescent="0.2">
      <c r="A27" s="206">
        <v>46087</v>
      </c>
      <c r="B27" s="207" t="s">
        <v>124</v>
      </c>
      <c r="C27" s="197" t="s">
        <v>129</v>
      </c>
      <c r="D27" s="198">
        <v>20090017</v>
      </c>
      <c r="E27" s="199" t="s">
        <v>29</v>
      </c>
      <c r="F27" s="208">
        <v>5</v>
      </c>
      <c r="G27" s="209">
        <v>1250</v>
      </c>
      <c r="H27" s="202">
        <f>Table1[[#This Row],[Qty Sold]]*Table1[[#This Row],[Rate]]</f>
        <v>6250</v>
      </c>
      <c r="I27" s="209" t="s">
        <v>42</v>
      </c>
      <c r="J27" s="209"/>
      <c r="K27" s="210"/>
      <c r="L27" s="209" t="str">
        <f t="shared" si="8"/>
        <v>Mar-26</v>
      </c>
      <c r="M27" s="26" t="s">
        <v>76</v>
      </c>
      <c r="N27" s="26" t="s">
        <v>207</v>
      </c>
      <c r="O27" s="205">
        <v>46086</v>
      </c>
      <c r="P27" s="26">
        <f>3750+2500</f>
        <v>6250</v>
      </c>
      <c r="Q27" s="209">
        <f t="shared" si="9"/>
        <v>0</v>
      </c>
      <c r="R27" s="209"/>
      <c r="S27" s="209">
        <f t="shared" ca="1" si="10"/>
        <v>0</v>
      </c>
    </row>
    <row r="28" spans="1:19" ht="15.75" hidden="1" customHeight="1" x14ac:dyDescent="0.2">
      <c r="A28" s="206">
        <v>46088</v>
      </c>
      <c r="B28" s="207" t="s">
        <v>92</v>
      </c>
      <c r="C28" s="197" t="s">
        <v>92</v>
      </c>
      <c r="D28" s="198">
        <v>20060004</v>
      </c>
      <c r="E28" s="199" t="s">
        <v>29</v>
      </c>
      <c r="F28" s="208">
        <v>10</v>
      </c>
      <c r="G28" s="209">
        <v>1250</v>
      </c>
      <c r="H28" s="202">
        <f>Table1[[#This Row],[Qty Sold]]*Table1[[#This Row],[Rate]]</f>
        <v>12500</v>
      </c>
      <c r="I28" s="209" t="s">
        <v>42</v>
      </c>
      <c r="J28" s="209"/>
      <c r="K28" s="210">
        <v>4738</v>
      </c>
      <c r="L28" s="209" t="str">
        <f t="shared" ref="L28:L34" si="11">TEXT(A28,"mmm-yy")</f>
        <v>Mar-26</v>
      </c>
      <c r="M28" s="26" t="s">
        <v>76</v>
      </c>
      <c r="N28" s="26" t="s">
        <v>224</v>
      </c>
      <c r="O28" s="205">
        <v>46086</v>
      </c>
      <c r="P28" s="26">
        <f>3750+2500+6250</f>
        <v>12500</v>
      </c>
      <c r="Q28" s="209">
        <f t="shared" ref="Q28:Q34" si="12">H28-P28</f>
        <v>0</v>
      </c>
      <c r="R28" s="202" t="s">
        <v>209</v>
      </c>
      <c r="S28" s="209">
        <f t="shared" ref="S28:S34" ca="1" si="13">IF(Q28&lt;=0,0,(TODAY()-A28))</f>
        <v>0</v>
      </c>
    </row>
    <row r="29" spans="1:19" ht="15.75" hidden="1" customHeight="1" x14ac:dyDescent="0.2">
      <c r="A29" s="206">
        <v>46091</v>
      </c>
      <c r="B29" s="207" t="s">
        <v>93</v>
      </c>
      <c r="C29" s="196" t="s">
        <v>93</v>
      </c>
      <c r="D29" s="198">
        <v>20060003</v>
      </c>
      <c r="E29" s="199" t="s">
        <v>29</v>
      </c>
      <c r="F29" s="208">
        <v>20</v>
      </c>
      <c r="G29" s="209">
        <v>1250</v>
      </c>
      <c r="H29" s="202">
        <f>Table1[[#This Row],[Qty Sold]]*Table1[[#This Row],[Rate]]</f>
        <v>25000</v>
      </c>
      <c r="I29" s="209" t="s">
        <v>42</v>
      </c>
      <c r="J29" s="209"/>
      <c r="K29" s="210">
        <v>4737</v>
      </c>
      <c r="L29" s="209" t="str">
        <f t="shared" si="11"/>
        <v>Mar-26</v>
      </c>
      <c r="M29" s="26" t="s">
        <v>76</v>
      </c>
      <c r="N29" s="26" t="s">
        <v>206</v>
      </c>
      <c r="O29" s="205">
        <v>46093</v>
      </c>
      <c r="P29" s="26">
        <v>25000</v>
      </c>
      <c r="Q29" s="209">
        <f t="shared" si="12"/>
        <v>0</v>
      </c>
      <c r="R29" s="209"/>
      <c r="S29" s="209">
        <f t="shared" ca="1" si="13"/>
        <v>0</v>
      </c>
    </row>
    <row r="30" spans="1:19" ht="15.75" hidden="1" customHeight="1" x14ac:dyDescent="0.2">
      <c r="A30" s="206">
        <v>46088</v>
      </c>
      <c r="B30" s="207" t="s">
        <v>95</v>
      </c>
      <c r="C30" s="197" t="s">
        <v>95</v>
      </c>
      <c r="D30" s="198">
        <v>20010003</v>
      </c>
      <c r="E30" s="199" t="s">
        <v>29</v>
      </c>
      <c r="F30" s="208">
        <v>15</v>
      </c>
      <c r="G30" s="209">
        <v>1250</v>
      </c>
      <c r="H30" s="202">
        <f>Table1[[#This Row],[Qty Sold]]*Table1[[#This Row],[Rate]]</f>
        <v>18750</v>
      </c>
      <c r="I30" s="209" t="s">
        <v>42</v>
      </c>
      <c r="J30" s="209"/>
      <c r="K30" s="210">
        <v>4735</v>
      </c>
      <c r="L30" s="209" t="str">
        <f t="shared" si="11"/>
        <v>Mar-26</v>
      </c>
      <c r="M30" s="26" t="s">
        <v>76</v>
      </c>
      <c r="N30" s="26" t="s">
        <v>205</v>
      </c>
      <c r="O30" s="205">
        <v>46079</v>
      </c>
      <c r="P30" s="26">
        <f>4418+7500+6832</f>
        <v>18750</v>
      </c>
      <c r="Q30" s="209">
        <f t="shared" si="12"/>
        <v>0</v>
      </c>
      <c r="R30" s="209"/>
      <c r="S30" s="209">
        <f t="shared" ca="1" si="13"/>
        <v>0</v>
      </c>
    </row>
    <row r="31" spans="1:19" ht="15.75" hidden="1" customHeight="1" x14ac:dyDescent="0.2">
      <c r="A31" s="216">
        <v>46095</v>
      </c>
      <c r="B31" s="217" t="s">
        <v>124</v>
      </c>
      <c r="C31" s="22" t="s">
        <v>130</v>
      </c>
      <c r="D31" s="32">
        <v>20010053</v>
      </c>
      <c r="E31" s="199" t="s">
        <v>29</v>
      </c>
      <c r="F31" s="218">
        <v>2</v>
      </c>
      <c r="G31" s="219">
        <v>1250</v>
      </c>
      <c r="H31" s="202">
        <f>Table1[[#This Row],[Qty Sold]]*Table1[[#This Row],[Rate]]</f>
        <v>2500</v>
      </c>
      <c r="I31" s="219" t="s">
        <v>42</v>
      </c>
      <c r="J31" s="219"/>
      <c r="K31" s="220"/>
      <c r="L31" s="219" t="str">
        <f t="shared" si="11"/>
        <v>Mar-26</v>
      </c>
      <c r="M31" s="26" t="s">
        <v>76</v>
      </c>
      <c r="N31" s="26" t="s">
        <v>222</v>
      </c>
      <c r="O31" s="205">
        <v>46093</v>
      </c>
      <c r="P31" s="26">
        <f>2209+291</f>
        <v>2500</v>
      </c>
      <c r="Q31" s="219">
        <f t="shared" si="12"/>
        <v>0</v>
      </c>
      <c r="R31" s="219"/>
      <c r="S31" s="219">
        <f t="shared" ca="1" si="13"/>
        <v>0</v>
      </c>
    </row>
    <row r="32" spans="1:19" ht="15.75" hidden="1" customHeight="1" x14ac:dyDescent="0.2">
      <c r="A32" s="216">
        <v>46099</v>
      </c>
      <c r="B32" s="217" t="s">
        <v>89</v>
      </c>
      <c r="C32" s="197" t="s">
        <v>89</v>
      </c>
      <c r="D32" s="198">
        <v>20030001</v>
      </c>
      <c r="E32" s="199" t="s">
        <v>29</v>
      </c>
      <c r="F32" s="218">
        <v>5</v>
      </c>
      <c r="G32" s="219">
        <v>1250</v>
      </c>
      <c r="H32" s="202">
        <f>Table1[[#This Row],[Qty Sold]]*Table1[[#This Row],[Rate]]</f>
        <v>6250</v>
      </c>
      <c r="I32" s="219" t="s">
        <v>42</v>
      </c>
      <c r="J32" s="219"/>
      <c r="K32" s="220"/>
      <c r="L32" s="219" t="str">
        <f t="shared" si="11"/>
        <v>Mar-26</v>
      </c>
      <c r="M32" s="26" t="s">
        <v>145</v>
      </c>
      <c r="N32" s="26"/>
      <c r="O32" s="205">
        <v>46099</v>
      </c>
      <c r="P32" s="26">
        <v>6250</v>
      </c>
      <c r="Q32" s="219">
        <f t="shared" si="12"/>
        <v>0</v>
      </c>
      <c r="R32" s="219"/>
      <c r="S32" s="219">
        <f t="shared" ca="1" si="13"/>
        <v>0</v>
      </c>
    </row>
    <row r="33" spans="1:19" ht="15.75" hidden="1" customHeight="1" x14ac:dyDescent="0.2">
      <c r="A33" s="216">
        <v>46098</v>
      </c>
      <c r="B33" s="217" t="s">
        <v>93</v>
      </c>
      <c r="C33" s="196" t="s">
        <v>93</v>
      </c>
      <c r="D33" s="198">
        <v>20060003</v>
      </c>
      <c r="E33" s="199" t="s">
        <v>29</v>
      </c>
      <c r="F33" s="218">
        <v>20</v>
      </c>
      <c r="G33" s="219">
        <v>1250</v>
      </c>
      <c r="H33" s="202">
        <f>Table1[[#This Row],[Qty Sold]]*Table1[[#This Row],[Rate]]</f>
        <v>25000</v>
      </c>
      <c r="I33" s="219" t="s">
        <v>42</v>
      </c>
      <c r="J33" s="219"/>
      <c r="K33" s="220">
        <v>4740</v>
      </c>
      <c r="L33" s="219" t="str">
        <f t="shared" si="11"/>
        <v>Mar-26</v>
      </c>
      <c r="M33" s="26" t="s">
        <v>76</v>
      </c>
      <c r="N33" s="26" t="s">
        <v>221</v>
      </c>
      <c r="O33" s="205">
        <v>46100</v>
      </c>
      <c r="P33" s="26">
        <v>25000</v>
      </c>
      <c r="Q33" s="219">
        <f t="shared" si="12"/>
        <v>0</v>
      </c>
      <c r="R33" s="219"/>
      <c r="S33" s="219">
        <f t="shared" ca="1" si="13"/>
        <v>0</v>
      </c>
    </row>
    <row r="34" spans="1:19" ht="15.75" hidden="1" customHeight="1" x14ac:dyDescent="0.2">
      <c r="A34" s="216">
        <v>46098</v>
      </c>
      <c r="B34" s="217" t="s">
        <v>91</v>
      </c>
      <c r="C34" s="197" t="s">
        <v>91</v>
      </c>
      <c r="D34" s="198">
        <v>20060001</v>
      </c>
      <c r="E34" s="199" t="s">
        <v>29</v>
      </c>
      <c r="F34" s="218">
        <v>1</v>
      </c>
      <c r="G34" s="219">
        <v>1250</v>
      </c>
      <c r="H34" s="202">
        <f>Table1[[#This Row],[Qty Sold]]*Table1[[#This Row],[Rate]]</f>
        <v>1250</v>
      </c>
      <c r="I34" s="219" t="s">
        <v>42</v>
      </c>
      <c r="J34" s="219"/>
      <c r="K34" s="220">
        <v>4739</v>
      </c>
      <c r="L34" s="219" t="str">
        <f t="shared" si="11"/>
        <v>Mar-26</v>
      </c>
      <c r="M34" s="26" t="s">
        <v>76</v>
      </c>
      <c r="N34" s="26" t="s">
        <v>194</v>
      </c>
      <c r="O34" s="205">
        <v>46065</v>
      </c>
      <c r="P34" s="26">
        <v>1250</v>
      </c>
      <c r="Q34" s="219">
        <f t="shared" si="12"/>
        <v>0</v>
      </c>
      <c r="R34" s="219"/>
      <c r="S34" s="219">
        <f t="shared" ca="1" si="13"/>
        <v>0</v>
      </c>
    </row>
    <row r="35" spans="1:19" ht="15.75" hidden="1" customHeight="1" x14ac:dyDescent="0.2">
      <c r="A35" s="216">
        <v>46096</v>
      </c>
      <c r="B35" s="217" t="s">
        <v>88</v>
      </c>
      <c r="C35" s="197" t="s">
        <v>142</v>
      </c>
      <c r="D35" s="198">
        <v>20020003</v>
      </c>
      <c r="E35" s="199" t="s">
        <v>29</v>
      </c>
      <c r="F35" s="218">
        <v>15</v>
      </c>
      <c r="G35" s="219">
        <v>1250</v>
      </c>
      <c r="H35" s="202">
        <f>Table1[[#This Row],[Qty Sold]]*Table1[[#This Row],[Rate]]</f>
        <v>18750</v>
      </c>
      <c r="I35" s="219" t="s">
        <v>42</v>
      </c>
      <c r="J35" s="219"/>
      <c r="K35" s="220"/>
      <c r="L35" s="219" t="str">
        <f t="shared" ref="L35:L41" si="14">TEXT(A35,"mmm-yy")</f>
        <v>Mar-26</v>
      </c>
      <c r="M35" s="26" t="s">
        <v>76</v>
      </c>
      <c r="N35" s="26" t="s">
        <v>235</v>
      </c>
      <c r="O35" s="205">
        <v>46100</v>
      </c>
      <c r="P35" s="26">
        <f>12500+6250</f>
        <v>18750</v>
      </c>
      <c r="Q35" s="219">
        <f t="shared" ref="Q35:Q41" si="15">H35-P35</f>
        <v>0</v>
      </c>
      <c r="R35" s="219"/>
      <c r="S35" s="219">
        <f t="shared" ref="S35:S41" ca="1" si="16">IF(Q35&lt;=0,0,(TODAY()-A35))</f>
        <v>0</v>
      </c>
    </row>
    <row r="36" spans="1:19" ht="15.75" customHeight="1" x14ac:dyDescent="0.2">
      <c r="A36" s="216">
        <v>46098</v>
      </c>
      <c r="B36" s="217" t="s">
        <v>88</v>
      </c>
      <c r="C36" s="197" t="s">
        <v>195</v>
      </c>
      <c r="D36" s="198">
        <v>20020006</v>
      </c>
      <c r="E36" s="199" t="s">
        <v>29</v>
      </c>
      <c r="F36" s="218">
        <v>10</v>
      </c>
      <c r="G36" s="219">
        <v>1250</v>
      </c>
      <c r="H36" s="202">
        <f>Table1[[#This Row],[Qty Sold]]*Table1[[#This Row],[Rate]]</f>
        <v>12500</v>
      </c>
      <c r="I36" s="219" t="s">
        <v>42</v>
      </c>
      <c r="J36" s="219"/>
      <c r="K36" s="220"/>
      <c r="L36" s="219" t="str">
        <f t="shared" si="14"/>
        <v>Mar-26</v>
      </c>
      <c r="M36" s="26" t="s">
        <v>76</v>
      </c>
      <c r="N36" s="26" t="s">
        <v>221</v>
      </c>
      <c r="O36" s="205">
        <v>46100</v>
      </c>
      <c r="P36" s="26">
        <f>3677</f>
        <v>3677</v>
      </c>
      <c r="Q36" s="219">
        <f t="shared" si="15"/>
        <v>8823</v>
      </c>
      <c r="R36" s="219"/>
      <c r="S36" s="219">
        <f t="shared" ca="1" si="16"/>
        <v>63</v>
      </c>
    </row>
    <row r="37" spans="1:19" ht="15.75" hidden="1" customHeight="1" x14ac:dyDescent="0.2">
      <c r="A37" s="216">
        <v>46098</v>
      </c>
      <c r="B37" s="217" t="s">
        <v>88</v>
      </c>
      <c r="C37" s="197" t="s">
        <v>126</v>
      </c>
      <c r="D37" s="198">
        <v>20020020</v>
      </c>
      <c r="E37" s="199" t="s">
        <v>29</v>
      </c>
      <c r="F37" s="218">
        <v>5</v>
      </c>
      <c r="G37" s="219">
        <v>1250</v>
      </c>
      <c r="H37" s="202">
        <f>Table1[[#This Row],[Qty Sold]]*Table1[[#This Row],[Rate]]</f>
        <v>6250</v>
      </c>
      <c r="I37" s="219" t="s">
        <v>42</v>
      </c>
      <c r="J37" s="219"/>
      <c r="K37" s="220"/>
      <c r="L37" s="219" t="str">
        <f t="shared" si="14"/>
        <v>Mar-26</v>
      </c>
      <c r="M37" s="26" t="s">
        <v>76</v>
      </c>
      <c r="N37" s="249" t="s">
        <v>327</v>
      </c>
      <c r="O37" s="205">
        <v>46100</v>
      </c>
      <c r="P37" s="26">
        <f>5303+925+22</f>
        <v>6250</v>
      </c>
      <c r="Q37" s="219">
        <f t="shared" si="15"/>
        <v>0</v>
      </c>
      <c r="R37" s="219"/>
      <c r="S37" s="219">
        <f t="shared" ca="1" si="16"/>
        <v>0</v>
      </c>
    </row>
    <row r="38" spans="1:19" ht="15.75" hidden="1" customHeight="1" x14ac:dyDescent="0.2">
      <c r="A38" s="216">
        <v>46098</v>
      </c>
      <c r="B38" s="217" t="s">
        <v>88</v>
      </c>
      <c r="C38" s="197" t="s">
        <v>88</v>
      </c>
      <c r="D38" s="198">
        <v>20020001</v>
      </c>
      <c r="E38" s="199" t="s">
        <v>29</v>
      </c>
      <c r="F38" s="218">
        <v>5</v>
      </c>
      <c r="G38" s="219">
        <v>1250</v>
      </c>
      <c r="H38" s="202">
        <f>Table1[[#This Row],[Qty Sold]]*Table1[[#This Row],[Rate]]</f>
        <v>6250</v>
      </c>
      <c r="I38" s="219" t="s">
        <v>42</v>
      </c>
      <c r="J38" s="219"/>
      <c r="K38" s="220"/>
      <c r="L38" s="219" t="str">
        <f t="shared" si="14"/>
        <v>Mar-26</v>
      </c>
      <c r="M38" s="26" t="s">
        <v>76</v>
      </c>
      <c r="N38" s="26" t="s">
        <v>221</v>
      </c>
      <c r="O38" s="205">
        <v>46100</v>
      </c>
      <c r="P38" s="26">
        <v>6250</v>
      </c>
      <c r="Q38" s="219">
        <f t="shared" si="15"/>
        <v>0</v>
      </c>
      <c r="R38" s="219"/>
      <c r="S38" s="219">
        <f t="shared" ca="1" si="16"/>
        <v>0</v>
      </c>
    </row>
    <row r="39" spans="1:19" ht="15.75" hidden="1" customHeight="1" x14ac:dyDescent="0.2">
      <c r="A39" s="216">
        <v>46098</v>
      </c>
      <c r="B39" s="217" t="s">
        <v>99</v>
      </c>
      <c r="C39" s="197" t="s">
        <v>166</v>
      </c>
      <c r="D39" s="198">
        <v>20070002</v>
      </c>
      <c r="E39" s="199" t="s">
        <v>29</v>
      </c>
      <c r="F39" s="218">
        <v>2</v>
      </c>
      <c r="G39" s="219">
        <v>1250</v>
      </c>
      <c r="H39" s="202">
        <f>Table1[[#This Row],[Qty Sold]]*Table1[[#This Row],[Rate]]</f>
        <v>2500</v>
      </c>
      <c r="I39" s="219" t="s">
        <v>42</v>
      </c>
      <c r="J39" s="219"/>
      <c r="K39" s="220"/>
      <c r="L39" s="219" t="str">
        <f t="shared" si="14"/>
        <v>Mar-26</v>
      </c>
      <c r="M39" s="26" t="s">
        <v>76</v>
      </c>
      <c r="N39" s="26" t="s">
        <v>221</v>
      </c>
      <c r="O39" s="205">
        <v>46100</v>
      </c>
      <c r="P39" s="26">
        <v>2500</v>
      </c>
      <c r="Q39" s="219">
        <f t="shared" si="15"/>
        <v>0</v>
      </c>
      <c r="R39" s="219"/>
      <c r="S39" s="219">
        <f t="shared" ca="1" si="16"/>
        <v>0</v>
      </c>
    </row>
    <row r="40" spans="1:19" ht="15.75" hidden="1" customHeight="1" x14ac:dyDescent="0.2">
      <c r="A40" s="216">
        <v>46098</v>
      </c>
      <c r="B40" s="217" t="s">
        <v>99</v>
      </c>
      <c r="C40" s="197" t="s">
        <v>99</v>
      </c>
      <c r="D40" s="198">
        <v>20070001</v>
      </c>
      <c r="E40" s="199" t="s">
        <v>29</v>
      </c>
      <c r="F40" s="218">
        <v>3</v>
      </c>
      <c r="G40" s="219">
        <v>1250</v>
      </c>
      <c r="H40" s="202">
        <f>Table1[[#This Row],[Qty Sold]]*Table1[[#This Row],[Rate]]</f>
        <v>3750</v>
      </c>
      <c r="I40" s="219" t="s">
        <v>42</v>
      </c>
      <c r="J40" s="219"/>
      <c r="K40" s="220"/>
      <c r="L40" s="219" t="str">
        <f>TEXT(A40,"mmm-yy")</f>
        <v>Mar-26</v>
      </c>
      <c r="M40" s="26" t="s">
        <v>76</v>
      </c>
      <c r="N40" s="26" t="s">
        <v>221</v>
      </c>
      <c r="O40" s="205">
        <v>46100</v>
      </c>
      <c r="P40" s="26">
        <v>3750</v>
      </c>
      <c r="Q40" s="219">
        <f>H40-P40</f>
        <v>0</v>
      </c>
      <c r="R40" s="219"/>
      <c r="S40" s="219">
        <f ca="1">IF(Q40&lt;=0,0,(TODAY()-A40))</f>
        <v>0</v>
      </c>
    </row>
    <row r="41" spans="1:19" ht="15.75" hidden="1" customHeight="1" x14ac:dyDescent="0.2">
      <c r="A41" s="216">
        <v>46098</v>
      </c>
      <c r="B41" s="217" t="s">
        <v>99</v>
      </c>
      <c r="C41" s="197" t="s">
        <v>99</v>
      </c>
      <c r="D41" s="198">
        <v>20070001</v>
      </c>
      <c r="E41" s="199" t="s">
        <v>29</v>
      </c>
      <c r="F41" s="218">
        <v>2</v>
      </c>
      <c r="G41" s="219">
        <v>1250</v>
      </c>
      <c r="H41" s="202">
        <f>Table1[[#This Row],[Qty Sold]]*Table1[[#This Row],[Rate]]</f>
        <v>2500</v>
      </c>
      <c r="I41" s="219" t="s">
        <v>42</v>
      </c>
      <c r="J41" s="219"/>
      <c r="K41" s="220"/>
      <c r="L41" s="219" t="str">
        <f t="shared" si="14"/>
        <v>Mar-26</v>
      </c>
      <c r="M41" s="26" t="s">
        <v>76</v>
      </c>
      <c r="N41" s="26" t="s">
        <v>234</v>
      </c>
      <c r="O41" s="205">
        <v>46107</v>
      </c>
      <c r="P41" s="26">
        <v>2500</v>
      </c>
      <c r="Q41" s="219">
        <f t="shared" si="15"/>
        <v>0</v>
      </c>
      <c r="R41" s="219"/>
      <c r="S41" s="219">
        <f t="shared" ca="1" si="16"/>
        <v>0</v>
      </c>
    </row>
    <row r="42" spans="1:19" ht="15.75" hidden="1" customHeight="1" x14ac:dyDescent="0.2">
      <c r="A42" s="216">
        <v>46100</v>
      </c>
      <c r="B42" s="217" t="s">
        <v>124</v>
      </c>
      <c r="C42" s="197" t="s">
        <v>124</v>
      </c>
      <c r="D42" s="198">
        <v>20090001</v>
      </c>
      <c r="E42" s="199" t="s">
        <v>29</v>
      </c>
      <c r="F42" s="218">
        <v>4</v>
      </c>
      <c r="G42" s="219">
        <v>1250</v>
      </c>
      <c r="H42" s="202">
        <f>Table1[[#This Row],[Qty Sold]]*Table1[[#This Row],[Rate]]</f>
        <v>5000</v>
      </c>
      <c r="I42" s="219" t="s">
        <v>42</v>
      </c>
      <c r="J42" s="219"/>
      <c r="K42" s="220"/>
      <c r="L42" s="219" t="str">
        <f t="shared" ref="L42:L49" si="17">TEXT(A42,"mmm-yy")</f>
        <v>Mar-26</v>
      </c>
      <c r="M42" s="26" t="s">
        <v>145</v>
      </c>
      <c r="N42" s="26"/>
      <c r="O42" s="205">
        <v>46100</v>
      </c>
      <c r="P42" s="26">
        <v>5000</v>
      </c>
      <c r="Q42" s="219">
        <f t="shared" ref="Q42:Q49" si="18">H42-P42</f>
        <v>0</v>
      </c>
      <c r="R42" s="219"/>
      <c r="S42" s="219">
        <f t="shared" ref="S42:S49" ca="1" si="19">IF(Q42&lt;=0,0,(TODAY()-A42))</f>
        <v>0</v>
      </c>
    </row>
    <row r="43" spans="1:19" ht="15.75" hidden="1" customHeight="1" x14ac:dyDescent="0.2">
      <c r="A43" s="216">
        <v>46100</v>
      </c>
      <c r="B43" s="217" t="s">
        <v>124</v>
      </c>
      <c r="C43" s="197" t="s">
        <v>171</v>
      </c>
      <c r="D43" s="198">
        <v>20090015</v>
      </c>
      <c r="E43" s="199" t="s">
        <v>29</v>
      </c>
      <c r="F43" s="218">
        <v>2</v>
      </c>
      <c r="G43" s="219">
        <v>1250</v>
      </c>
      <c r="H43" s="202">
        <f>Table1[[#This Row],[Qty Sold]]*Table1[[#This Row],[Rate]]</f>
        <v>2500</v>
      </c>
      <c r="I43" s="219" t="s">
        <v>42</v>
      </c>
      <c r="J43" s="219"/>
      <c r="K43" s="220"/>
      <c r="L43" s="219" t="str">
        <f t="shared" si="17"/>
        <v>Mar-26</v>
      </c>
      <c r="M43" s="26" t="s">
        <v>76</v>
      </c>
      <c r="N43" s="26" t="s">
        <v>235</v>
      </c>
      <c r="O43" s="205">
        <v>46100</v>
      </c>
      <c r="P43" s="26">
        <f>1885+615</f>
        <v>2500</v>
      </c>
      <c r="Q43" s="219">
        <f t="shared" si="18"/>
        <v>0</v>
      </c>
      <c r="R43" s="219"/>
      <c r="S43" s="219">
        <f t="shared" ca="1" si="19"/>
        <v>0</v>
      </c>
    </row>
    <row r="44" spans="1:19" ht="15.75" hidden="1" customHeight="1" x14ac:dyDescent="0.2">
      <c r="A44" s="216">
        <v>46100</v>
      </c>
      <c r="B44" s="217" t="s">
        <v>124</v>
      </c>
      <c r="C44" s="22" t="s">
        <v>131</v>
      </c>
      <c r="D44" s="32">
        <v>20090011</v>
      </c>
      <c r="E44" s="199" t="s">
        <v>29</v>
      </c>
      <c r="F44" s="218">
        <v>3</v>
      </c>
      <c r="G44" s="219">
        <v>1250</v>
      </c>
      <c r="H44" s="202">
        <f>Table1[[#This Row],[Qty Sold]]*Table1[[#This Row],[Rate]]</f>
        <v>3750</v>
      </c>
      <c r="I44" s="219" t="s">
        <v>42</v>
      </c>
      <c r="J44" s="219"/>
      <c r="K44" s="220"/>
      <c r="L44" s="219" t="str">
        <f>TEXT(A44,"mmm-yy")</f>
        <v>Mar-26</v>
      </c>
      <c r="M44" s="26" t="s">
        <v>76</v>
      </c>
      <c r="N44" s="26" t="s">
        <v>221</v>
      </c>
      <c r="O44" s="205">
        <v>46100</v>
      </c>
      <c r="P44" s="26">
        <v>3750</v>
      </c>
      <c r="Q44" s="219">
        <f>H44-P44</f>
        <v>0</v>
      </c>
      <c r="R44" s="219"/>
      <c r="S44" s="219">
        <f ca="1">IF(Q44&lt;=0,0,(TODAY()-A44))</f>
        <v>0</v>
      </c>
    </row>
    <row r="45" spans="1:19" ht="15.75" hidden="1" customHeight="1" x14ac:dyDescent="0.2">
      <c r="A45" s="216">
        <v>46100</v>
      </c>
      <c r="B45" s="217" t="s">
        <v>124</v>
      </c>
      <c r="C45" s="22" t="s">
        <v>131</v>
      </c>
      <c r="D45" s="32">
        <v>20090011</v>
      </c>
      <c r="E45" s="199" t="s">
        <v>29</v>
      </c>
      <c r="F45" s="218">
        <v>2</v>
      </c>
      <c r="G45" s="219">
        <v>1250</v>
      </c>
      <c r="H45" s="202">
        <f>Table1[[#This Row],[Qty Sold]]*Table1[[#This Row],[Rate]]</f>
        <v>2500</v>
      </c>
      <c r="I45" s="219" t="s">
        <v>42</v>
      </c>
      <c r="J45" s="219"/>
      <c r="K45" s="220"/>
      <c r="L45" s="219" t="str">
        <f t="shared" si="17"/>
        <v>Mar-26</v>
      </c>
      <c r="M45" s="26" t="s">
        <v>76</v>
      </c>
      <c r="N45" s="26" t="s">
        <v>234</v>
      </c>
      <c r="O45" s="205">
        <v>46107</v>
      </c>
      <c r="P45" s="26">
        <v>2500</v>
      </c>
      <c r="Q45" s="219">
        <f t="shared" si="18"/>
        <v>0</v>
      </c>
      <c r="R45" s="219"/>
      <c r="S45" s="219">
        <f t="shared" ca="1" si="19"/>
        <v>0</v>
      </c>
    </row>
    <row r="46" spans="1:19" ht="15.75" hidden="1" customHeight="1" x14ac:dyDescent="0.2">
      <c r="A46" s="223">
        <v>46101</v>
      </c>
      <c r="B46" s="217" t="s">
        <v>124</v>
      </c>
      <c r="C46" s="197" t="s">
        <v>124</v>
      </c>
      <c r="D46" s="198">
        <v>20090001</v>
      </c>
      <c r="E46" s="199" t="s">
        <v>29</v>
      </c>
      <c r="F46" s="224">
        <v>1</v>
      </c>
      <c r="G46" s="219">
        <v>1250</v>
      </c>
      <c r="H46" s="202">
        <f>Table1[[#This Row],[Qty Sold]]*Table1[[#This Row],[Rate]]</f>
        <v>1250</v>
      </c>
      <c r="I46" s="219" t="s">
        <v>42</v>
      </c>
      <c r="J46" s="219"/>
      <c r="K46" s="220"/>
      <c r="L46" s="219" t="str">
        <f>TEXT(A46,"mmm-yy")</f>
        <v>Mar-26</v>
      </c>
      <c r="M46" s="26" t="s">
        <v>145</v>
      </c>
      <c r="N46" s="26"/>
      <c r="O46" s="205">
        <v>46101</v>
      </c>
      <c r="P46" s="26">
        <v>1250</v>
      </c>
      <c r="Q46" s="219">
        <f>H46-P46</f>
        <v>0</v>
      </c>
      <c r="R46" s="219"/>
      <c r="S46" s="219">
        <f ca="1">IF(Q46&lt;=0,0,(TODAY()-A46))</f>
        <v>0</v>
      </c>
    </row>
    <row r="47" spans="1:19" ht="15.75" hidden="1" customHeight="1" x14ac:dyDescent="0.2">
      <c r="A47" s="223">
        <v>46101</v>
      </c>
      <c r="B47" s="217" t="s">
        <v>124</v>
      </c>
      <c r="C47" s="197" t="s">
        <v>124</v>
      </c>
      <c r="D47" s="198">
        <v>20090001</v>
      </c>
      <c r="E47" s="199" t="s">
        <v>29</v>
      </c>
      <c r="F47" s="224">
        <v>1</v>
      </c>
      <c r="G47" s="219">
        <v>1250</v>
      </c>
      <c r="H47" s="202">
        <f>Table1[[#This Row],[Qty Sold]]*Table1[[#This Row],[Rate]]</f>
        <v>1250</v>
      </c>
      <c r="I47" s="219" t="s">
        <v>42</v>
      </c>
      <c r="J47" s="225"/>
      <c r="K47" s="226"/>
      <c r="L47" s="225" t="str">
        <f t="shared" si="17"/>
        <v>Mar-26</v>
      </c>
      <c r="M47" s="26" t="s">
        <v>76</v>
      </c>
      <c r="N47" s="26" t="s">
        <v>235</v>
      </c>
      <c r="O47" s="205">
        <v>46100</v>
      </c>
      <c r="P47" s="26">
        <f>586+664</f>
        <v>1250</v>
      </c>
      <c r="Q47" s="225">
        <f t="shared" si="18"/>
        <v>0</v>
      </c>
      <c r="R47" s="225"/>
      <c r="S47" s="225">
        <f t="shared" ca="1" si="19"/>
        <v>0</v>
      </c>
    </row>
    <row r="48" spans="1:19" ht="15.75" hidden="1" customHeight="1" x14ac:dyDescent="0.2">
      <c r="A48" s="223">
        <v>46101</v>
      </c>
      <c r="B48" s="217" t="s">
        <v>124</v>
      </c>
      <c r="C48" s="22" t="s">
        <v>130</v>
      </c>
      <c r="D48" s="32">
        <v>20010053</v>
      </c>
      <c r="E48" s="199" t="s">
        <v>29</v>
      </c>
      <c r="F48" s="224">
        <v>2</v>
      </c>
      <c r="G48" s="219">
        <v>1250</v>
      </c>
      <c r="H48" s="202">
        <f>Table1[[#This Row],[Qty Sold]]*Table1[[#This Row],[Rate]]</f>
        <v>2500</v>
      </c>
      <c r="I48" s="219" t="s">
        <v>42</v>
      </c>
      <c r="J48" s="225"/>
      <c r="K48" s="226"/>
      <c r="L48" s="225" t="str">
        <f t="shared" si="17"/>
        <v>Mar-26</v>
      </c>
      <c r="M48" s="26" t="s">
        <v>76</v>
      </c>
      <c r="N48" s="26" t="s">
        <v>235</v>
      </c>
      <c r="O48" s="205">
        <v>46100</v>
      </c>
      <c r="P48" s="26">
        <f>1994+506</f>
        <v>2500</v>
      </c>
      <c r="Q48" s="225">
        <f t="shared" si="18"/>
        <v>0</v>
      </c>
      <c r="R48" s="225"/>
      <c r="S48" s="225">
        <f t="shared" ca="1" si="19"/>
        <v>0</v>
      </c>
    </row>
    <row r="49" spans="1:19" ht="15.75" hidden="1" customHeight="1" x14ac:dyDescent="0.2">
      <c r="A49" s="223">
        <v>46101</v>
      </c>
      <c r="B49" s="217" t="s">
        <v>124</v>
      </c>
      <c r="C49" s="197" t="s">
        <v>210</v>
      </c>
      <c r="D49" s="198">
        <v>20090025</v>
      </c>
      <c r="E49" s="199" t="s">
        <v>29</v>
      </c>
      <c r="F49" s="224">
        <v>3</v>
      </c>
      <c r="G49" s="219">
        <v>1250</v>
      </c>
      <c r="H49" s="202">
        <f>Table1[[#This Row],[Qty Sold]]*Table1[[#This Row],[Rate]]</f>
        <v>3750</v>
      </c>
      <c r="I49" s="219" t="s">
        <v>42</v>
      </c>
      <c r="J49" s="225"/>
      <c r="K49" s="226"/>
      <c r="L49" s="225" t="str">
        <f t="shared" si="17"/>
        <v>Mar-26</v>
      </c>
      <c r="M49" s="26" t="s">
        <v>76</v>
      </c>
      <c r="N49" s="26" t="s">
        <v>221</v>
      </c>
      <c r="O49" s="205">
        <v>46100</v>
      </c>
      <c r="P49" s="26">
        <v>3750</v>
      </c>
      <c r="Q49" s="225">
        <f t="shared" si="18"/>
        <v>0</v>
      </c>
      <c r="R49" s="225"/>
      <c r="S49" s="225">
        <f t="shared" ca="1" si="19"/>
        <v>0</v>
      </c>
    </row>
    <row r="50" spans="1:19" ht="15.75" hidden="1" customHeight="1" x14ac:dyDescent="0.2">
      <c r="A50" s="223">
        <v>46107</v>
      </c>
      <c r="B50" s="233" t="s">
        <v>92</v>
      </c>
      <c r="C50" s="197" t="s">
        <v>92</v>
      </c>
      <c r="D50" s="198">
        <v>20060004</v>
      </c>
      <c r="E50" s="199" t="s">
        <v>29</v>
      </c>
      <c r="F50" s="224">
        <v>2</v>
      </c>
      <c r="G50" s="225">
        <v>1250</v>
      </c>
      <c r="H50" s="202">
        <f>Table1[[#This Row],[Qty Sold]]*Table1[[#This Row],[Rate]]-166</f>
        <v>2334</v>
      </c>
      <c r="I50" s="225" t="s">
        <v>42</v>
      </c>
      <c r="J50" s="225"/>
      <c r="K50" s="226"/>
      <c r="L50" s="225" t="str">
        <f t="shared" ref="L50:L60" si="20">TEXT(A50,"mmm-yy")</f>
        <v>Mar-26</v>
      </c>
      <c r="M50" s="26" t="s">
        <v>76</v>
      </c>
      <c r="N50" s="26" t="s">
        <v>234</v>
      </c>
      <c r="O50" s="205">
        <v>46107</v>
      </c>
      <c r="P50" s="26">
        <v>2334</v>
      </c>
      <c r="Q50" s="225">
        <f t="shared" ref="Q50:Q60" si="21">H50-P50</f>
        <v>0</v>
      </c>
      <c r="R50" s="202" t="s">
        <v>237</v>
      </c>
      <c r="S50" s="225">
        <f t="shared" ref="S50:S60" ca="1" si="22">IF(Q50&lt;=0,0,(TODAY()-A50))</f>
        <v>0</v>
      </c>
    </row>
    <row r="51" spans="1:19" ht="15.75" hidden="1" customHeight="1" x14ac:dyDescent="0.2">
      <c r="A51" s="223">
        <v>46101</v>
      </c>
      <c r="B51" s="233" t="s">
        <v>93</v>
      </c>
      <c r="C51" s="196" t="s">
        <v>93</v>
      </c>
      <c r="D51" s="198">
        <v>20060003</v>
      </c>
      <c r="E51" s="199" t="s">
        <v>29</v>
      </c>
      <c r="F51" s="224">
        <v>20</v>
      </c>
      <c r="G51" s="225">
        <v>1250</v>
      </c>
      <c r="H51" s="202">
        <f>Table1[[#This Row],[Qty Sold]]*Table1[[#This Row],[Rate]]</f>
        <v>25000</v>
      </c>
      <c r="I51" s="225" t="s">
        <v>42</v>
      </c>
      <c r="J51" s="225"/>
      <c r="K51" s="226"/>
      <c r="L51" s="225" t="str">
        <f t="shared" si="20"/>
        <v>Mar-26</v>
      </c>
      <c r="M51" s="249" t="s">
        <v>76</v>
      </c>
      <c r="N51" s="249" t="s">
        <v>316</v>
      </c>
      <c r="O51" s="205">
        <v>46149</v>
      </c>
      <c r="P51" s="26">
        <v>25000</v>
      </c>
      <c r="Q51" s="225">
        <f t="shared" si="21"/>
        <v>0</v>
      </c>
      <c r="R51" s="225"/>
      <c r="S51" s="225">
        <f t="shared" ca="1" si="22"/>
        <v>0</v>
      </c>
    </row>
    <row r="52" spans="1:19" ht="15.75" customHeight="1" x14ac:dyDescent="0.2">
      <c r="A52" s="223">
        <v>46107</v>
      </c>
      <c r="B52" s="233" t="s">
        <v>93</v>
      </c>
      <c r="C52" s="197" t="s">
        <v>93</v>
      </c>
      <c r="D52" s="198">
        <v>20060003</v>
      </c>
      <c r="E52" s="199" t="s">
        <v>29</v>
      </c>
      <c r="F52" s="224">
        <v>20</v>
      </c>
      <c r="G52" s="225">
        <v>1250</v>
      </c>
      <c r="H52" s="202">
        <f>Table1[[#This Row],[Qty Sold]]*Table1[[#This Row],[Rate]]</f>
        <v>25000</v>
      </c>
      <c r="I52" s="225" t="s">
        <v>42</v>
      </c>
      <c r="J52" s="225"/>
      <c r="K52" s="226"/>
      <c r="L52" s="225" t="str">
        <f t="shared" si="20"/>
        <v>Mar-26</v>
      </c>
      <c r="M52" s="26" t="s">
        <v>76</v>
      </c>
      <c r="N52" s="249" t="s">
        <v>289</v>
      </c>
      <c r="O52" s="205">
        <v>46121</v>
      </c>
      <c r="P52" s="26">
        <f>12500</f>
        <v>12500</v>
      </c>
      <c r="Q52" s="225">
        <f t="shared" si="21"/>
        <v>12500</v>
      </c>
      <c r="R52" s="225"/>
      <c r="S52" s="225">
        <f t="shared" ca="1" si="22"/>
        <v>54</v>
      </c>
    </row>
    <row r="53" spans="1:19" ht="15.75" hidden="1" customHeight="1" x14ac:dyDescent="0.2">
      <c r="A53" s="223">
        <v>46101</v>
      </c>
      <c r="B53" s="233" t="s">
        <v>91</v>
      </c>
      <c r="C53" s="197" t="s">
        <v>91</v>
      </c>
      <c r="D53" s="198">
        <v>20060001</v>
      </c>
      <c r="E53" s="199" t="s">
        <v>29</v>
      </c>
      <c r="F53" s="224">
        <v>5</v>
      </c>
      <c r="G53" s="225">
        <v>1250</v>
      </c>
      <c r="H53" s="202">
        <f>Table1[[#This Row],[Qty Sold]]*Table1[[#This Row],[Rate]]</f>
        <v>6250</v>
      </c>
      <c r="I53" s="225" t="s">
        <v>42</v>
      </c>
      <c r="J53" s="225"/>
      <c r="K53" s="226"/>
      <c r="L53" s="225" t="str">
        <f t="shared" si="20"/>
        <v>Mar-26</v>
      </c>
      <c r="M53" s="26" t="s">
        <v>76</v>
      </c>
      <c r="N53" s="26" t="s">
        <v>221</v>
      </c>
      <c r="O53" s="205">
        <v>46100</v>
      </c>
      <c r="P53" s="26">
        <v>6250</v>
      </c>
      <c r="Q53" s="225">
        <f t="shared" si="21"/>
        <v>0</v>
      </c>
      <c r="R53" s="225"/>
      <c r="S53" s="225">
        <f t="shared" ca="1" si="22"/>
        <v>0</v>
      </c>
    </row>
    <row r="54" spans="1:19" ht="15.75" hidden="1" customHeight="1" x14ac:dyDescent="0.2">
      <c r="A54" s="223">
        <v>46107</v>
      </c>
      <c r="B54" s="233" t="s">
        <v>91</v>
      </c>
      <c r="C54" s="197" t="s">
        <v>292</v>
      </c>
      <c r="D54" s="198">
        <v>20060017</v>
      </c>
      <c r="E54" s="199" t="s">
        <v>29</v>
      </c>
      <c r="F54" s="224">
        <v>5</v>
      </c>
      <c r="G54" s="225">
        <v>1250</v>
      </c>
      <c r="H54" s="202">
        <f>Table1[[#This Row],[Qty Sold]]*Table1[[#This Row],[Rate]]</f>
        <v>6250</v>
      </c>
      <c r="I54" s="225" t="s">
        <v>42</v>
      </c>
      <c r="J54" s="225"/>
      <c r="K54" s="226"/>
      <c r="L54" s="225" t="str">
        <f t="shared" si="20"/>
        <v>Mar-26</v>
      </c>
      <c r="M54" s="26" t="s">
        <v>76</v>
      </c>
      <c r="N54" s="249" t="s">
        <v>317</v>
      </c>
      <c r="O54" s="205">
        <v>46142</v>
      </c>
      <c r="P54" s="26">
        <f>3173+3077</f>
        <v>6250</v>
      </c>
      <c r="Q54" s="225">
        <f t="shared" si="21"/>
        <v>0</v>
      </c>
      <c r="R54" s="225"/>
      <c r="S54" s="225">
        <f t="shared" ca="1" si="22"/>
        <v>0</v>
      </c>
    </row>
    <row r="55" spans="1:19" ht="15.75" hidden="1" customHeight="1" x14ac:dyDescent="0.2">
      <c r="A55" s="223">
        <v>46107</v>
      </c>
      <c r="B55" s="233" t="s">
        <v>91</v>
      </c>
      <c r="C55" s="197" t="s">
        <v>291</v>
      </c>
      <c r="D55" s="198">
        <v>20060009</v>
      </c>
      <c r="E55" s="199" t="s">
        <v>29</v>
      </c>
      <c r="F55" s="224">
        <v>5</v>
      </c>
      <c r="G55" s="225">
        <v>1250</v>
      </c>
      <c r="H55" s="202">
        <f>Table1[[#This Row],[Qty Sold]]*Table1[[#This Row],[Rate]]</f>
        <v>6250</v>
      </c>
      <c r="I55" s="225" t="s">
        <v>42</v>
      </c>
      <c r="J55" s="225"/>
      <c r="K55" s="226"/>
      <c r="L55" s="225" t="str">
        <f t="shared" si="20"/>
        <v>Mar-26</v>
      </c>
      <c r="M55" s="249" t="s">
        <v>76</v>
      </c>
      <c r="N55" s="249" t="s">
        <v>302</v>
      </c>
      <c r="O55" s="205">
        <v>46121</v>
      </c>
      <c r="P55" s="26">
        <f>3465+445+2340</f>
        <v>6250</v>
      </c>
      <c r="Q55" s="225">
        <f t="shared" si="21"/>
        <v>0</v>
      </c>
      <c r="R55" s="225"/>
      <c r="S55" s="225">
        <f t="shared" ca="1" si="22"/>
        <v>0</v>
      </c>
    </row>
    <row r="56" spans="1:19" ht="15.75" hidden="1" customHeight="1" x14ac:dyDescent="0.2">
      <c r="A56" s="223">
        <v>46098</v>
      </c>
      <c r="B56" s="233" t="s">
        <v>95</v>
      </c>
      <c r="C56" s="197" t="s">
        <v>95</v>
      </c>
      <c r="D56" s="198">
        <v>20010003</v>
      </c>
      <c r="E56" s="199" t="s">
        <v>29</v>
      </c>
      <c r="F56" s="224">
        <v>6</v>
      </c>
      <c r="G56" s="225">
        <v>1250</v>
      </c>
      <c r="H56" s="202">
        <f>Table1[[#This Row],[Qty Sold]]*Table1[[#This Row],[Rate]]</f>
        <v>7500</v>
      </c>
      <c r="I56" s="225" t="s">
        <v>42</v>
      </c>
      <c r="J56" s="225"/>
      <c r="K56" s="226"/>
      <c r="L56" s="225" t="str">
        <f t="shared" si="20"/>
        <v>Mar-26</v>
      </c>
      <c r="M56" s="26" t="s">
        <v>76</v>
      </c>
      <c r="N56" s="26" t="s">
        <v>221</v>
      </c>
      <c r="O56" s="205">
        <v>46100</v>
      </c>
      <c r="P56" s="26">
        <v>7500</v>
      </c>
      <c r="Q56" s="225">
        <f t="shared" si="21"/>
        <v>0</v>
      </c>
      <c r="R56" s="225"/>
      <c r="S56" s="225">
        <f t="shared" ca="1" si="22"/>
        <v>0</v>
      </c>
    </row>
    <row r="57" spans="1:19" ht="15.75" hidden="1" customHeight="1" x14ac:dyDescent="0.2">
      <c r="A57" s="223">
        <v>46101</v>
      </c>
      <c r="B57" s="233" t="s">
        <v>95</v>
      </c>
      <c r="C57" s="197" t="s">
        <v>95</v>
      </c>
      <c r="D57" s="198">
        <v>20010003</v>
      </c>
      <c r="E57" s="199" t="s">
        <v>29</v>
      </c>
      <c r="F57" s="224">
        <v>6</v>
      </c>
      <c r="G57" s="225">
        <v>1250</v>
      </c>
      <c r="H57" s="202">
        <f>Table1[[#This Row],[Qty Sold]]*Table1[[#This Row],[Rate]]</f>
        <v>7500</v>
      </c>
      <c r="I57" s="225" t="s">
        <v>42</v>
      </c>
      <c r="J57" s="225"/>
      <c r="K57" s="226"/>
      <c r="L57" s="225" t="str">
        <f t="shared" si="20"/>
        <v>Mar-26</v>
      </c>
      <c r="M57" s="26" t="s">
        <v>76</v>
      </c>
      <c r="N57" s="249" t="s">
        <v>251</v>
      </c>
      <c r="O57" s="205">
        <v>46093</v>
      </c>
      <c r="P57" s="26">
        <f>637+5000+1863</f>
        <v>7500</v>
      </c>
      <c r="Q57" s="225">
        <f t="shared" si="21"/>
        <v>0</v>
      </c>
      <c r="R57" s="225"/>
      <c r="S57" s="225">
        <f t="shared" ca="1" si="22"/>
        <v>0</v>
      </c>
    </row>
    <row r="58" spans="1:19" ht="15.75" hidden="1" customHeight="1" x14ac:dyDescent="0.2">
      <c r="A58" s="223">
        <v>46107</v>
      </c>
      <c r="B58" s="233" t="s">
        <v>95</v>
      </c>
      <c r="C58" s="197" t="s">
        <v>150</v>
      </c>
      <c r="D58" s="198">
        <v>20010016</v>
      </c>
      <c r="E58" s="199" t="s">
        <v>29</v>
      </c>
      <c r="F58" s="224">
        <v>2</v>
      </c>
      <c r="G58" s="225">
        <v>1250</v>
      </c>
      <c r="H58" s="202">
        <f>Table1[[#This Row],[Qty Sold]]*Table1[[#This Row],[Rate]]</f>
        <v>2500</v>
      </c>
      <c r="I58" s="225" t="s">
        <v>42</v>
      </c>
      <c r="J58" s="225"/>
      <c r="K58" s="226"/>
      <c r="L58" s="225" t="str">
        <f t="shared" si="20"/>
        <v>Mar-26</v>
      </c>
      <c r="M58" s="26" t="s">
        <v>76</v>
      </c>
      <c r="N58" s="249" t="s">
        <v>318</v>
      </c>
      <c r="O58" s="205">
        <v>46093</v>
      </c>
      <c r="P58" s="26">
        <f>15+665+985+835</f>
        <v>2500</v>
      </c>
      <c r="Q58" s="225">
        <f t="shared" si="21"/>
        <v>0</v>
      </c>
      <c r="R58" s="225"/>
      <c r="S58" s="225">
        <f t="shared" ca="1" si="22"/>
        <v>0</v>
      </c>
    </row>
    <row r="59" spans="1:19" ht="15.75" hidden="1" customHeight="1" x14ac:dyDescent="0.2">
      <c r="A59" s="223">
        <v>46107</v>
      </c>
      <c r="B59" s="233" t="s">
        <v>95</v>
      </c>
      <c r="C59" s="197" t="s">
        <v>95</v>
      </c>
      <c r="D59" s="198">
        <v>20010003</v>
      </c>
      <c r="E59" s="199" t="s">
        <v>29</v>
      </c>
      <c r="F59" s="224">
        <v>12</v>
      </c>
      <c r="G59" s="225">
        <v>1250</v>
      </c>
      <c r="H59" s="202">
        <f>Table1[[#This Row],[Qty Sold]]*Table1[[#This Row],[Rate]]</f>
        <v>15000</v>
      </c>
      <c r="I59" s="225" t="s">
        <v>42</v>
      </c>
      <c r="J59" s="225"/>
      <c r="K59" s="226"/>
      <c r="L59" s="225" t="str">
        <f t="shared" si="20"/>
        <v>Mar-26</v>
      </c>
      <c r="M59" s="249" t="s">
        <v>76</v>
      </c>
      <c r="N59" s="249" t="s">
        <v>267</v>
      </c>
      <c r="O59" s="205">
        <v>46121</v>
      </c>
      <c r="P59" s="26">
        <f>8137+6863</f>
        <v>15000</v>
      </c>
      <c r="Q59" s="225">
        <f t="shared" si="21"/>
        <v>0</v>
      </c>
      <c r="R59" s="225"/>
      <c r="S59" s="225">
        <f t="shared" ca="1" si="22"/>
        <v>0</v>
      </c>
    </row>
    <row r="60" spans="1:19" ht="15.75" hidden="1" customHeight="1" x14ac:dyDescent="0.2">
      <c r="A60" s="223">
        <v>46107</v>
      </c>
      <c r="B60" s="233" t="s">
        <v>87</v>
      </c>
      <c r="C60" s="197" t="s">
        <v>98</v>
      </c>
      <c r="D60" s="198">
        <v>20010001</v>
      </c>
      <c r="E60" s="199" t="s">
        <v>29</v>
      </c>
      <c r="F60" s="224">
        <v>150</v>
      </c>
      <c r="G60" s="225">
        <v>1200</v>
      </c>
      <c r="H60" s="202">
        <f>Table1[[#This Row],[Qty Sold]]*Table1[[#This Row],[Rate]]</f>
        <v>180000</v>
      </c>
      <c r="I60" s="225" t="s">
        <v>42</v>
      </c>
      <c r="J60" s="225"/>
      <c r="K60" s="226"/>
      <c r="L60" s="225" t="str">
        <f t="shared" si="20"/>
        <v>Mar-26</v>
      </c>
      <c r="M60" s="26" t="s">
        <v>76</v>
      </c>
      <c r="N60" s="249" t="s">
        <v>319</v>
      </c>
      <c r="O60" s="205">
        <v>46107</v>
      </c>
      <c r="P60" s="26">
        <f>96000+84000</f>
        <v>180000</v>
      </c>
      <c r="Q60" s="225">
        <f t="shared" si="21"/>
        <v>0</v>
      </c>
      <c r="R60" s="225"/>
      <c r="S60" s="225">
        <f t="shared" ca="1" si="22"/>
        <v>0</v>
      </c>
    </row>
    <row r="61" spans="1:19" ht="15.75" hidden="1" customHeight="1" x14ac:dyDescent="0.2">
      <c r="A61" s="223">
        <v>46107</v>
      </c>
      <c r="B61" s="233" t="s">
        <v>124</v>
      </c>
      <c r="C61" s="197" t="s">
        <v>170</v>
      </c>
      <c r="D61" s="198">
        <v>20010054</v>
      </c>
      <c r="E61" s="199" t="s">
        <v>29</v>
      </c>
      <c r="F61" s="224">
        <v>3</v>
      </c>
      <c r="G61" s="225">
        <v>1250</v>
      </c>
      <c r="H61" s="202">
        <f>Table1[[#This Row],[Qty Sold]]*Table1[[#This Row],[Rate]]</f>
        <v>3750</v>
      </c>
      <c r="I61" s="225" t="s">
        <v>42</v>
      </c>
      <c r="J61" s="225"/>
      <c r="K61" s="226"/>
      <c r="L61" s="225" t="str">
        <f t="shared" ref="L61:L69" si="23">TEXT(A61,"mmm-yy")</f>
        <v>Mar-26</v>
      </c>
      <c r="M61" s="26" t="s">
        <v>76</v>
      </c>
      <c r="N61" s="26" t="s">
        <v>234</v>
      </c>
      <c r="O61" s="205">
        <v>46107</v>
      </c>
      <c r="P61" s="26">
        <v>3750</v>
      </c>
      <c r="Q61" s="225">
        <f t="shared" ref="Q61:Q69" si="24">H61-P61</f>
        <v>0</v>
      </c>
      <c r="R61" s="225"/>
      <c r="S61" s="225">
        <f t="shared" ref="S61:S69" ca="1" si="25">IF(Q61&lt;=0,0,(TODAY()-A61))</f>
        <v>0</v>
      </c>
    </row>
    <row r="62" spans="1:19" ht="15.75" hidden="1" customHeight="1" x14ac:dyDescent="0.2">
      <c r="A62" s="223">
        <v>46107</v>
      </c>
      <c r="B62" s="197" t="s">
        <v>124</v>
      </c>
      <c r="C62" s="197" t="s">
        <v>210</v>
      </c>
      <c r="D62" s="198">
        <v>20090025</v>
      </c>
      <c r="E62" s="199" t="s">
        <v>29</v>
      </c>
      <c r="F62" s="224">
        <v>2</v>
      </c>
      <c r="G62" s="225">
        <v>1250</v>
      </c>
      <c r="H62" s="202">
        <f>Table1[[#This Row],[Qty Sold]]*Table1[[#This Row],[Rate]]</f>
        <v>2500</v>
      </c>
      <c r="I62" s="202" t="s">
        <v>42</v>
      </c>
      <c r="J62" s="225"/>
      <c r="K62" s="226"/>
      <c r="L62" s="225" t="str">
        <f>TEXT(A62,"mmm-yy")</f>
        <v>Mar-26</v>
      </c>
      <c r="M62" s="249" t="s">
        <v>76</v>
      </c>
      <c r="N62" s="249" t="s">
        <v>330</v>
      </c>
      <c r="O62" s="205"/>
      <c r="P62" s="26">
        <v>2500</v>
      </c>
      <c r="Q62" s="225">
        <f>H62-P62</f>
        <v>0</v>
      </c>
      <c r="R62" s="225"/>
      <c r="S62" s="225">
        <f ca="1">IF(Q62&lt;=0,0,(TODAY()-A62))</f>
        <v>0</v>
      </c>
    </row>
    <row r="63" spans="1:19" ht="15.75" hidden="1" customHeight="1" x14ac:dyDescent="0.2">
      <c r="A63" s="223">
        <v>46107</v>
      </c>
      <c r="B63" s="233" t="s">
        <v>124</v>
      </c>
      <c r="C63" s="22" t="s">
        <v>130</v>
      </c>
      <c r="D63" s="32">
        <v>20010053</v>
      </c>
      <c r="E63" s="199" t="s">
        <v>29</v>
      </c>
      <c r="F63" s="224">
        <v>1</v>
      </c>
      <c r="G63" s="225">
        <v>1250</v>
      </c>
      <c r="H63" s="202">
        <f>Table1[[#This Row],[Qty Sold]]*Table1[[#This Row],[Rate]]</f>
        <v>1250</v>
      </c>
      <c r="I63" s="225" t="s">
        <v>42</v>
      </c>
      <c r="J63" s="225"/>
      <c r="K63" s="226"/>
      <c r="L63" s="225" t="str">
        <f t="shared" si="23"/>
        <v>Mar-26</v>
      </c>
      <c r="M63" s="26" t="s">
        <v>76</v>
      </c>
      <c r="N63" s="249" t="s">
        <v>324</v>
      </c>
      <c r="O63" s="205">
        <v>46107</v>
      </c>
      <c r="P63" s="26">
        <f>1235+15</f>
        <v>1250</v>
      </c>
      <c r="Q63" s="225">
        <f t="shared" si="24"/>
        <v>0</v>
      </c>
      <c r="R63" s="225"/>
      <c r="S63" s="225">
        <f t="shared" ca="1" si="25"/>
        <v>0</v>
      </c>
    </row>
    <row r="64" spans="1:19" ht="15.75" hidden="1" customHeight="1" x14ac:dyDescent="0.2">
      <c r="A64" s="223">
        <v>46107</v>
      </c>
      <c r="B64" s="233" t="s">
        <v>124</v>
      </c>
      <c r="C64" s="197" t="s">
        <v>124</v>
      </c>
      <c r="D64" s="198">
        <v>20090001</v>
      </c>
      <c r="E64" s="199" t="s">
        <v>29</v>
      </c>
      <c r="F64" s="224">
        <v>1</v>
      </c>
      <c r="G64" s="225">
        <v>1250</v>
      </c>
      <c r="H64" s="202">
        <f>Table1[[#This Row],[Qty Sold]]*Table1[[#This Row],[Rate]]</f>
        <v>1250</v>
      </c>
      <c r="I64" s="225" t="s">
        <v>42</v>
      </c>
      <c r="J64" s="225"/>
      <c r="K64" s="226"/>
      <c r="L64" s="225" t="str">
        <f t="shared" si="23"/>
        <v>Mar-26</v>
      </c>
      <c r="M64" s="26" t="s">
        <v>76</v>
      </c>
      <c r="N64" s="26" t="s">
        <v>234</v>
      </c>
      <c r="O64" s="205">
        <v>46107</v>
      </c>
      <c r="P64" s="26">
        <v>1250</v>
      </c>
      <c r="Q64" s="225">
        <f t="shared" si="24"/>
        <v>0</v>
      </c>
      <c r="R64" s="225"/>
      <c r="S64" s="225">
        <f t="shared" ca="1" si="25"/>
        <v>0</v>
      </c>
    </row>
    <row r="65" spans="1:19" ht="15.75" customHeight="1" x14ac:dyDescent="0.2">
      <c r="A65" s="223">
        <v>46107</v>
      </c>
      <c r="B65" s="233" t="s">
        <v>124</v>
      </c>
      <c r="C65" s="197" t="s">
        <v>171</v>
      </c>
      <c r="D65" s="198">
        <v>20090015</v>
      </c>
      <c r="E65" s="199" t="s">
        <v>29</v>
      </c>
      <c r="F65" s="224">
        <v>3</v>
      </c>
      <c r="G65" s="225">
        <v>1250</v>
      </c>
      <c r="H65" s="202">
        <f>Table1[[#This Row],[Qty Sold]]*Table1[[#This Row],[Rate]]</f>
        <v>3750</v>
      </c>
      <c r="I65" s="225" t="s">
        <v>42</v>
      </c>
      <c r="J65" s="225"/>
      <c r="K65" s="226"/>
      <c r="L65" s="225" t="str">
        <f t="shared" si="23"/>
        <v>Mar-26</v>
      </c>
      <c r="M65" s="26" t="s">
        <v>76</v>
      </c>
      <c r="N65" s="26" t="s">
        <v>234</v>
      </c>
      <c r="O65" s="205">
        <v>46107</v>
      </c>
      <c r="P65" s="26">
        <f>3159</f>
        <v>3159</v>
      </c>
      <c r="Q65" s="225">
        <f t="shared" si="24"/>
        <v>591</v>
      </c>
      <c r="R65" s="225"/>
      <c r="S65" s="225">
        <f t="shared" ca="1" si="25"/>
        <v>54</v>
      </c>
    </row>
    <row r="66" spans="1:19" ht="15.75" hidden="1" customHeight="1" x14ac:dyDescent="0.2">
      <c r="A66" s="223">
        <v>46107</v>
      </c>
      <c r="B66" s="233" t="s">
        <v>124</v>
      </c>
      <c r="C66" s="197" t="s">
        <v>168</v>
      </c>
      <c r="D66" s="198">
        <v>20090020</v>
      </c>
      <c r="E66" s="199" t="s">
        <v>29</v>
      </c>
      <c r="F66" s="224">
        <v>3</v>
      </c>
      <c r="G66" s="225">
        <v>1250</v>
      </c>
      <c r="H66" s="202">
        <f>Table1[[#This Row],[Qty Sold]]*Table1[[#This Row],[Rate]]</f>
        <v>3750</v>
      </c>
      <c r="I66" s="225" t="s">
        <v>42</v>
      </c>
      <c r="J66" s="225"/>
      <c r="K66" s="226"/>
      <c r="L66" s="225" t="str">
        <f>TEXT(A66,"mmm-yy")</f>
        <v>Mar-26</v>
      </c>
      <c r="M66" s="26" t="s">
        <v>76</v>
      </c>
      <c r="N66" s="26" t="s">
        <v>234</v>
      </c>
      <c r="O66" s="205">
        <v>46107</v>
      </c>
      <c r="P66" s="26">
        <v>3750</v>
      </c>
      <c r="Q66" s="225">
        <f>H66-P66</f>
        <v>0</v>
      </c>
      <c r="R66" s="225"/>
      <c r="S66" s="225">
        <f ca="1">IF(Q66&lt;=0,0,(TODAY()-A66))</f>
        <v>0</v>
      </c>
    </row>
    <row r="67" spans="1:19" ht="15.75" customHeight="1" x14ac:dyDescent="0.2">
      <c r="A67" s="223">
        <v>46107</v>
      </c>
      <c r="B67" s="233" t="s">
        <v>124</v>
      </c>
      <c r="C67" s="197" t="s">
        <v>168</v>
      </c>
      <c r="D67" s="198">
        <v>20090020</v>
      </c>
      <c r="E67" s="199" t="s">
        <v>29</v>
      </c>
      <c r="F67" s="224">
        <v>3</v>
      </c>
      <c r="G67" s="225">
        <v>1250</v>
      </c>
      <c r="H67" s="202">
        <f>Table1[[#This Row],[Qty Sold]]*Table1[[#This Row],[Rate]]</f>
        <v>3750</v>
      </c>
      <c r="I67" s="225" t="s">
        <v>42</v>
      </c>
      <c r="J67" s="225"/>
      <c r="K67" s="226"/>
      <c r="L67" s="225" t="str">
        <f>TEXT(A67,"mmm-yy")</f>
        <v>Mar-26</v>
      </c>
      <c r="M67" s="26"/>
      <c r="N67" s="26"/>
      <c r="O67" s="205"/>
      <c r="P67" s="26"/>
      <c r="Q67" s="225">
        <f>H67-P67</f>
        <v>3750</v>
      </c>
      <c r="R67" s="225"/>
      <c r="S67" s="225">
        <f ca="1">IF(Q67&lt;=0,0,(TODAY()-A67))</f>
        <v>54</v>
      </c>
    </row>
    <row r="68" spans="1:19" ht="15.75" hidden="1" customHeight="1" x14ac:dyDescent="0.2">
      <c r="A68" s="223">
        <v>46107</v>
      </c>
      <c r="B68" s="233" t="s">
        <v>124</v>
      </c>
      <c r="C68" s="197" t="s">
        <v>168</v>
      </c>
      <c r="D68" s="198">
        <v>20090020</v>
      </c>
      <c r="E68" s="199" t="s">
        <v>29</v>
      </c>
      <c r="F68" s="224">
        <v>4</v>
      </c>
      <c r="G68" s="225">
        <v>1250</v>
      </c>
      <c r="H68" s="202">
        <f>Table1[[#This Row],[Qty Sold]]*Table1[[#This Row],[Rate]]</f>
        <v>5000</v>
      </c>
      <c r="I68" s="225" t="s">
        <v>42</v>
      </c>
      <c r="J68" s="225"/>
      <c r="K68" s="226"/>
      <c r="L68" s="225" t="str">
        <f t="shared" si="23"/>
        <v>Mar-26</v>
      </c>
      <c r="M68" s="26" t="s">
        <v>76</v>
      </c>
      <c r="N68" s="26" t="s">
        <v>287</v>
      </c>
      <c r="O68" s="205">
        <v>46128</v>
      </c>
      <c r="P68" s="26">
        <f>3750+1250</f>
        <v>5000</v>
      </c>
      <c r="Q68" s="225">
        <f t="shared" si="24"/>
        <v>0</v>
      </c>
      <c r="R68" s="225"/>
      <c r="S68" s="225">
        <f t="shared" ca="1" si="25"/>
        <v>0</v>
      </c>
    </row>
    <row r="69" spans="1:19" ht="15.75" customHeight="1" x14ac:dyDescent="0.2">
      <c r="A69" s="223">
        <v>46107</v>
      </c>
      <c r="B69" s="233" t="s">
        <v>124</v>
      </c>
      <c r="C69" s="197" t="s">
        <v>131</v>
      </c>
      <c r="D69" s="198">
        <v>20090011</v>
      </c>
      <c r="E69" s="199" t="s">
        <v>29</v>
      </c>
      <c r="F69" s="224">
        <v>3</v>
      </c>
      <c r="G69" s="225">
        <v>1250</v>
      </c>
      <c r="H69" s="202">
        <f>Table1[[#This Row],[Qty Sold]]*Table1[[#This Row],[Rate]]</f>
        <v>3750</v>
      </c>
      <c r="I69" s="225" t="s">
        <v>42</v>
      </c>
      <c r="J69" s="225"/>
      <c r="K69" s="226"/>
      <c r="L69" s="225" t="str">
        <f t="shared" si="23"/>
        <v>Mar-26</v>
      </c>
      <c r="M69" s="26"/>
      <c r="N69" s="26"/>
      <c r="O69" s="205"/>
      <c r="P69" s="26"/>
      <c r="Q69" s="225">
        <f t="shared" si="24"/>
        <v>3750</v>
      </c>
      <c r="R69" s="225"/>
      <c r="S69" s="225">
        <f t="shared" ca="1" si="25"/>
        <v>54</v>
      </c>
    </row>
    <row r="70" spans="1:19" ht="15.75" hidden="1" customHeight="1" x14ac:dyDescent="0.2">
      <c r="A70" s="237">
        <v>46110</v>
      </c>
      <c r="B70" s="238" t="s">
        <v>95</v>
      </c>
      <c r="C70" s="197" t="s">
        <v>95</v>
      </c>
      <c r="D70" s="198">
        <v>20010003</v>
      </c>
      <c r="E70" s="199" t="s">
        <v>29</v>
      </c>
      <c r="F70" s="239">
        <v>4</v>
      </c>
      <c r="G70" s="240">
        <v>1250</v>
      </c>
      <c r="H70" s="202">
        <f>Table1[[#This Row],[Qty Sold]]*Table1[[#This Row],[Rate]]</f>
        <v>5000</v>
      </c>
      <c r="I70" s="240" t="s">
        <v>42</v>
      </c>
      <c r="J70" s="240"/>
      <c r="K70" s="241"/>
      <c r="L70" s="240" t="str">
        <f t="shared" ref="L70:L79" si="26">TEXT(A70,"mmm-yy")</f>
        <v>Mar-26</v>
      </c>
      <c r="M70" s="26" t="s">
        <v>76</v>
      </c>
      <c r="N70" s="26" t="s">
        <v>269</v>
      </c>
      <c r="O70" s="205">
        <v>46128</v>
      </c>
      <c r="P70" s="26">
        <v>5000</v>
      </c>
      <c r="Q70" s="240">
        <f t="shared" ref="Q70:Q79" si="27">H70-P70</f>
        <v>0</v>
      </c>
      <c r="R70" s="240"/>
      <c r="S70" s="240">
        <f t="shared" ref="S70:S79" ca="1" si="28">IF(Q70&lt;=0,0,(TODAY()-A70))</f>
        <v>0</v>
      </c>
    </row>
    <row r="71" spans="1:19" ht="15.75" hidden="1" customHeight="1" x14ac:dyDescent="0.2">
      <c r="A71" s="237">
        <v>46110</v>
      </c>
      <c r="B71" s="238" t="s">
        <v>91</v>
      </c>
      <c r="C71" s="197" t="s">
        <v>91</v>
      </c>
      <c r="D71" s="198">
        <v>20060001</v>
      </c>
      <c r="E71" s="199" t="s">
        <v>29</v>
      </c>
      <c r="F71" s="239">
        <v>1</v>
      </c>
      <c r="G71" s="240">
        <v>1250</v>
      </c>
      <c r="H71" s="202">
        <f>Table1[[#This Row],[Qty Sold]]*Table1[[#This Row],[Rate]]</f>
        <v>1250</v>
      </c>
      <c r="I71" s="240" t="s">
        <v>42</v>
      </c>
      <c r="J71" s="240"/>
      <c r="K71" s="241"/>
      <c r="L71" s="240" t="str">
        <f t="shared" si="26"/>
        <v>Mar-26</v>
      </c>
      <c r="M71" s="26" t="s">
        <v>76</v>
      </c>
      <c r="N71" s="26" t="s">
        <v>236</v>
      </c>
      <c r="O71" s="205">
        <v>46065</v>
      </c>
      <c r="P71" s="26">
        <f>1172+78</f>
        <v>1250</v>
      </c>
      <c r="Q71" s="240">
        <f t="shared" si="27"/>
        <v>0</v>
      </c>
      <c r="R71" s="240"/>
      <c r="S71" s="240">
        <f t="shared" ca="1" si="28"/>
        <v>0</v>
      </c>
    </row>
    <row r="72" spans="1:19" ht="15.75" hidden="1" customHeight="1" x14ac:dyDescent="0.2">
      <c r="A72" s="237">
        <v>46113</v>
      </c>
      <c r="B72" s="238" t="s">
        <v>87</v>
      </c>
      <c r="C72" s="197" t="s">
        <v>98</v>
      </c>
      <c r="D72" s="198">
        <v>20010001</v>
      </c>
      <c r="E72" s="199" t="s">
        <v>29</v>
      </c>
      <c r="F72" s="239">
        <v>200</v>
      </c>
      <c r="G72" s="240">
        <v>1200</v>
      </c>
      <c r="H72" s="202">
        <f>Table1[[#This Row],[Qty Sold]]*Table1[[#This Row],[Rate]]</f>
        <v>240000</v>
      </c>
      <c r="I72" s="240" t="s">
        <v>42</v>
      </c>
      <c r="J72" s="240"/>
      <c r="K72" s="241"/>
      <c r="L72" s="240" t="str">
        <f t="shared" si="26"/>
        <v>Apr-26</v>
      </c>
      <c r="M72" s="26" t="s">
        <v>76</v>
      </c>
      <c r="N72" s="249" t="s">
        <v>320</v>
      </c>
      <c r="O72" s="205">
        <v>46121</v>
      </c>
      <c r="P72" s="26">
        <f>102000+126000+12000</f>
        <v>240000</v>
      </c>
      <c r="Q72" s="240">
        <f t="shared" si="27"/>
        <v>0</v>
      </c>
      <c r="R72" s="240"/>
      <c r="S72" s="240">
        <f t="shared" ca="1" si="28"/>
        <v>0</v>
      </c>
    </row>
    <row r="73" spans="1:19" ht="15.75" hidden="1" customHeight="1" x14ac:dyDescent="0.2">
      <c r="A73" s="237">
        <v>46113</v>
      </c>
      <c r="B73" s="238" t="s">
        <v>93</v>
      </c>
      <c r="C73" s="197" t="s">
        <v>93</v>
      </c>
      <c r="D73" s="198">
        <v>20060003</v>
      </c>
      <c r="E73" s="199" t="s">
        <v>29</v>
      </c>
      <c r="F73" s="239">
        <v>20</v>
      </c>
      <c r="G73" s="240">
        <v>1250</v>
      </c>
      <c r="H73" s="202">
        <f>Table1[[#This Row],[Qty Sold]]*Table1[[#This Row],[Rate]]</f>
        <v>25000</v>
      </c>
      <c r="I73" s="240" t="s">
        <v>42</v>
      </c>
      <c r="J73" s="240"/>
      <c r="K73" s="241"/>
      <c r="L73" s="240" t="str">
        <f t="shared" si="26"/>
        <v>Apr-26</v>
      </c>
      <c r="M73" s="249" t="s">
        <v>76</v>
      </c>
      <c r="N73" s="249" t="s">
        <v>267</v>
      </c>
      <c r="O73" s="205">
        <v>46121</v>
      </c>
      <c r="P73" s="26">
        <f>12500+12500</f>
        <v>25000</v>
      </c>
      <c r="Q73" s="240">
        <f t="shared" si="27"/>
        <v>0</v>
      </c>
      <c r="R73" s="240"/>
      <c r="S73" s="240">
        <f t="shared" ca="1" si="28"/>
        <v>0</v>
      </c>
    </row>
    <row r="74" spans="1:19" ht="15.75" customHeight="1" x14ac:dyDescent="0.2">
      <c r="A74" s="237">
        <v>46114</v>
      </c>
      <c r="B74" s="238" t="s">
        <v>88</v>
      </c>
      <c r="C74" s="197" t="s">
        <v>126</v>
      </c>
      <c r="D74" s="198">
        <v>20020020</v>
      </c>
      <c r="E74" s="199" t="s">
        <v>29</v>
      </c>
      <c r="F74" s="239">
        <v>5</v>
      </c>
      <c r="G74" s="240">
        <v>1250</v>
      </c>
      <c r="H74" s="202">
        <f>Table1[[#This Row],[Qty Sold]]*Table1[[#This Row],[Rate]]</f>
        <v>6250</v>
      </c>
      <c r="I74" s="240" t="s">
        <v>42</v>
      </c>
      <c r="J74" s="240"/>
      <c r="K74" s="241"/>
      <c r="L74" s="240" t="str">
        <f>TEXT(A74,"mmm-yy")</f>
        <v>Apr-26</v>
      </c>
      <c r="M74" s="249"/>
      <c r="N74" s="249"/>
      <c r="O74" s="205"/>
      <c r="P74" s="26"/>
      <c r="Q74" s="240">
        <f>H74-P74</f>
        <v>6250</v>
      </c>
      <c r="R74" s="240"/>
      <c r="S74" s="240">
        <f ca="1">IF(Q74&lt;=0,0,(TODAY()-A74))</f>
        <v>47</v>
      </c>
    </row>
    <row r="75" spans="1:19" ht="15.75" hidden="1" customHeight="1" x14ac:dyDescent="0.2">
      <c r="A75" s="237">
        <v>46114</v>
      </c>
      <c r="B75" s="238" t="s">
        <v>88</v>
      </c>
      <c r="C75" s="197" t="s">
        <v>126</v>
      </c>
      <c r="D75" s="198">
        <v>20020020</v>
      </c>
      <c r="E75" s="199" t="s">
        <v>29</v>
      </c>
      <c r="F75" s="239">
        <v>3</v>
      </c>
      <c r="G75" s="240">
        <v>1250</v>
      </c>
      <c r="H75" s="202">
        <f>Table1[[#This Row],[Qty Sold]]*Table1[[#This Row],[Rate]]</f>
        <v>3750</v>
      </c>
      <c r="I75" s="240" t="s">
        <v>42</v>
      </c>
      <c r="J75" s="240"/>
      <c r="K75" s="241"/>
      <c r="L75" s="240" t="str">
        <f t="shared" si="26"/>
        <v>Apr-26</v>
      </c>
      <c r="M75" s="26" t="s">
        <v>76</v>
      </c>
      <c r="N75" s="249" t="s">
        <v>326</v>
      </c>
      <c r="O75" s="205">
        <v>46121</v>
      </c>
      <c r="P75" s="26">
        <f>1985+1765</f>
        <v>3750</v>
      </c>
      <c r="Q75" s="240">
        <f t="shared" si="27"/>
        <v>0</v>
      </c>
      <c r="R75" s="240"/>
      <c r="S75" s="240">
        <f t="shared" ca="1" si="28"/>
        <v>0</v>
      </c>
    </row>
    <row r="76" spans="1:19" ht="15.75" customHeight="1" x14ac:dyDescent="0.2">
      <c r="A76" s="237">
        <v>46114</v>
      </c>
      <c r="B76" s="238" t="s">
        <v>88</v>
      </c>
      <c r="C76" s="197" t="s">
        <v>142</v>
      </c>
      <c r="D76" s="198">
        <v>20020003</v>
      </c>
      <c r="E76" s="199" t="s">
        <v>29</v>
      </c>
      <c r="F76" s="239">
        <v>10</v>
      </c>
      <c r="G76" s="240">
        <v>1250</v>
      </c>
      <c r="H76" s="202">
        <f>Table1[[#This Row],[Qty Sold]]*Table1[[#This Row],[Rate]]</f>
        <v>12500</v>
      </c>
      <c r="I76" s="240" t="s">
        <v>42</v>
      </c>
      <c r="J76" s="240"/>
      <c r="K76" s="241"/>
      <c r="L76" s="240" t="str">
        <f t="shared" si="26"/>
        <v>Apr-26</v>
      </c>
      <c r="M76" s="249" t="s">
        <v>76</v>
      </c>
      <c r="N76" s="249" t="s">
        <v>316</v>
      </c>
      <c r="O76" s="205">
        <v>46149</v>
      </c>
      <c r="P76" s="26">
        <v>6250</v>
      </c>
      <c r="Q76" s="240">
        <f t="shared" si="27"/>
        <v>6250</v>
      </c>
      <c r="R76" s="240"/>
      <c r="S76" s="240">
        <f t="shared" ca="1" si="28"/>
        <v>47</v>
      </c>
    </row>
    <row r="77" spans="1:19" ht="15.75" hidden="1" customHeight="1" x14ac:dyDescent="0.2">
      <c r="A77" s="237">
        <v>46114</v>
      </c>
      <c r="B77" s="238" t="s">
        <v>88</v>
      </c>
      <c r="C77" s="197" t="s">
        <v>195</v>
      </c>
      <c r="D77" s="198">
        <v>20020006</v>
      </c>
      <c r="E77" s="199" t="s">
        <v>29</v>
      </c>
      <c r="F77" s="239">
        <v>5</v>
      </c>
      <c r="G77" s="240">
        <v>1250</v>
      </c>
      <c r="H77" s="202">
        <f>Table1[[#This Row],[Qty Sold]]*Table1[[#This Row],[Rate]]</f>
        <v>6250</v>
      </c>
      <c r="I77" s="240" t="s">
        <v>42</v>
      </c>
      <c r="J77" s="240"/>
      <c r="K77" s="241"/>
      <c r="L77" s="240" t="str">
        <f t="shared" si="26"/>
        <v>Apr-26</v>
      </c>
      <c r="M77" s="249" t="s">
        <v>76</v>
      </c>
      <c r="N77" s="249" t="s">
        <v>289</v>
      </c>
      <c r="O77" s="205">
        <v>46121</v>
      </c>
      <c r="P77" s="26">
        <v>6250</v>
      </c>
      <c r="Q77" s="240">
        <f t="shared" si="27"/>
        <v>0</v>
      </c>
      <c r="R77" s="240"/>
      <c r="S77" s="240">
        <f t="shared" ca="1" si="28"/>
        <v>0</v>
      </c>
    </row>
    <row r="78" spans="1:19" ht="15.75" hidden="1" customHeight="1" x14ac:dyDescent="0.2">
      <c r="A78" s="237">
        <v>46114</v>
      </c>
      <c r="B78" s="238" t="s">
        <v>99</v>
      </c>
      <c r="C78" s="197" t="s">
        <v>238</v>
      </c>
      <c r="D78" s="198">
        <v>20070024</v>
      </c>
      <c r="E78" s="199" t="s">
        <v>29</v>
      </c>
      <c r="F78" s="239">
        <v>10</v>
      </c>
      <c r="G78" s="240">
        <v>1250</v>
      </c>
      <c r="H78" s="202">
        <f>Table1[[#This Row],[Qty Sold]]*Table1[[#This Row],[Rate]]</f>
        <v>12500</v>
      </c>
      <c r="I78" s="240" t="s">
        <v>42</v>
      </c>
      <c r="J78" s="240"/>
      <c r="K78" s="241"/>
      <c r="L78" s="240" t="str">
        <f t="shared" si="26"/>
        <v>Apr-26</v>
      </c>
      <c r="M78" s="26" t="s">
        <v>76</v>
      </c>
      <c r="N78" s="249" t="s">
        <v>328</v>
      </c>
      <c r="O78" s="205">
        <v>46128</v>
      </c>
      <c r="P78" s="26">
        <f>8844+3656</f>
        <v>12500</v>
      </c>
      <c r="Q78" s="240">
        <f t="shared" si="27"/>
        <v>0</v>
      </c>
      <c r="R78" s="240"/>
      <c r="S78" s="240">
        <f t="shared" ca="1" si="28"/>
        <v>0</v>
      </c>
    </row>
    <row r="79" spans="1:19" ht="15.75" hidden="1" customHeight="1" x14ac:dyDescent="0.2">
      <c r="A79" s="237">
        <v>46114</v>
      </c>
      <c r="B79" s="238" t="s">
        <v>99</v>
      </c>
      <c r="C79" s="197" t="s">
        <v>166</v>
      </c>
      <c r="D79" s="198">
        <v>20070002</v>
      </c>
      <c r="E79" s="199" t="s">
        <v>29</v>
      </c>
      <c r="F79" s="239">
        <v>3</v>
      </c>
      <c r="G79" s="240">
        <v>1250</v>
      </c>
      <c r="H79" s="202">
        <f>Table1[[#This Row],[Qty Sold]]*Table1[[#This Row],[Rate]]</f>
        <v>3750</v>
      </c>
      <c r="I79" s="240" t="s">
        <v>42</v>
      </c>
      <c r="J79" s="240"/>
      <c r="K79" s="241"/>
      <c r="L79" s="240" t="str">
        <f t="shared" si="26"/>
        <v>Apr-26</v>
      </c>
      <c r="M79" s="26" t="s">
        <v>76</v>
      </c>
      <c r="N79" s="249" t="s">
        <v>326</v>
      </c>
      <c r="O79" s="205">
        <v>46121</v>
      </c>
      <c r="P79" s="26">
        <f>162+3588</f>
        <v>3750</v>
      </c>
      <c r="Q79" s="240">
        <f t="shared" si="27"/>
        <v>0</v>
      </c>
      <c r="R79" s="240"/>
      <c r="S79" s="240">
        <f t="shared" ca="1" si="28"/>
        <v>0</v>
      </c>
    </row>
    <row r="80" spans="1:19" ht="15.75" hidden="1" customHeight="1" x14ac:dyDescent="0.2">
      <c r="A80" s="237">
        <v>46118</v>
      </c>
      <c r="B80" s="238" t="s">
        <v>124</v>
      </c>
      <c r="C80" s="22" t="s">
        <v>130</v>
      </c>
      <c r="D80" s="32">
        <v>20010053</v>
      </c>
      <c r="E80" s="199" t="s">
        <v>29</v>
      </c>
      <c r="F80" s="239">
        <v>1</v>
      </c>
      <c r="G80" s="240">
        <v>1250</v>
      </c>
      <c r="H80" s="202">
        <f>Table1[[#This Row],[Qty Sold]]*Table1[[#This Row],[Rate]]</f>
        <v>1250</v>
      </c>
      <c r="I80" s="240" t="s">
        <v>42</v>
      </c>
      <c r="J80" s="240"/>
      <c r="K80" s="241"/>
      <c r="L80" s="240" t="str">
        <f t="shared" ref="L80:L85" si="29">TEXT(A80,"mmm-yy")</f>
        <v>Apr-26</v>
      </c>
      <c r="M80" s="26" t="s">
        <v>76</v>
      </c>
      <c r="N80" s="26" t="s">
        <v>269</v>
      </c>
      <c r="O80" s="205">
        <v>46128</v>
      </c>
      <c r="P80" s="26">
        <v>1250</v>
      </c>
      <c r="Q80" s="240">
        <f t="shared" ref="Q80:Q85" si="30">H80-P80</f>
        <v>0</v>
      </c>
      <c r="R80" s="240"/>
      <c r="S80" s="240">
        <f t="shared" ref="S80:S85" ca="1" si="31">IF(Q80&lt;=0,0,(TODAY()-A80))</f>
        <v>0</v>
      </c>
    </row>
    <row r="81" spans="1:19" ht="15.75" hidden="1" customHeight="1" x14ac:dyDescent="0.2">
      <c r="A81" s="237">
        <v>46118</v>
      </c>
      <c r="B81" s="238" t="s">
        <v>124</v>
      </c>
      <c r="C81" s="197" t="s">
        <v>171</v>
      </c>
      <c r="D81" s="198">
        <v>20090015</v>
      </c>
      <c r="E81" s="199" t="s">
        <v>29</v>
      </c>
      <c r="F81" s="239">
        <v>2</v>
      </c>
      <c r="G81" s="240">
        <v>1250</v>
      </c>
      <c r="H81" s="202">
        <f>Table1[[#This Row],[Qty Sold]]*Table1[[#This Row],[Rate]]</f>
        <v>2500</v>
      </c>
      <c r="I81" s="240" t="s">
        <v>42</v>
      </c>
      <c r="J81" s="240"/>
      <c r="K81" s="241"/>
      <c r="L81" s="240" t="str">
        <f t="shared" si="29"/>
        <v>Apr-26</v>
      </c>
      <c r="M81" s="26" t="s">
        <v>76</v>
      </c>
      <c r="N81" s="26" t="s">
        <v>287</v>
      </c>
      <c r="O81" s="205">
        <v>46128</v>
      </c>
      <c r="P81" s="26">
        <f>1737+763</f>
        <v>2500</v>
      </c>
      <c r="Q81" s="240">
        <f t="shared" si="30"/>
        <v>0</v>
      </c>
      <c r="R81" s="240"/>
      <c r="S81" s="240">
        <f t="shared" ca="1" si="31"/>
        <v>0</v>
      </c>
    </row>
    <row r="82" spans="1:19" ht="15.75" hidden="1" customHeight="1" x14ac:dyDescent="0.2">
      <c r="A82" s="237">
        <v>46118</v>
      </c>
      <c r="B82" s="238" t="s">
        <v>124</v>
      </c>
      <c r="C82" s="197" t="s">
        <v>124</v>
      </c>
      <c r="D82" s="198">
        <v>20090001</v>
      </c>
      <c r="E82" s="199" t="s">
        <v>29</v>
      </c>
      <c r="F82" s="239">
        <v>2</v>
      </c>
      <c r="G82" s="240">
        <v>1250</v>
      </c>
      <c r="H82" s="202">
        <f>Table1[[#This Row],[Qty Sold]]*Table1[[#This Row],[Rate]]</f>
        <v>2500</v>
      </c>
      <c r="I82" s="240" t="s">
        <v>42</v>
      </c>
      <c r="J82" s="240"/>
      <c r="K82" s="241"/>
      <c r="L82" s="240" t="str">
        <f t="shared" si="29"/>
        <v>Apr-26</v>
      </c>
      <c r="M82" s="26" t="s">
        <v>145</v>
      </c>
      <c r="N82" s="26"/>
      <c r="O82" s="205">
        <v>46119</v>
      </c>
      <c r="P82" s="26">
        <v>2500</v>
      </c>
      <c r="Q82" s="240">
        <f t="shared" si="30"/>
        <v>0</v>
      </c>
      <c r="R82" s="240"/>
      <c r="S82" s="240">
        <f t="shared" ca="1" si="31"/>
        <v>0</v>
      </c>
    </row>
    <row r="83" spans="1:19" ht="15.75" hidden="1" customHeight="1" x14ac:dyDescent="0.2">
      <c r="A83" s="237">
        <v>46118</v>
      </c>
      <c r="B83" s="238" t="s">
        <v>124</v>
      </c>
      <c r="C83" s="197" t="s">
        <v>129</v>
      </c>
      <c r="D83" s="198">
        <v>20090017</v>
      </c>
      <c r="E83" s="199" t="s">
        <v>29</v>
      </c>
      <c r="F83" s="239">
        <v>3</v>
      </c>
      <c r="G83" s="240">
        <v>1250</v>
      </c>
      <c r="H83" s="202">
        <f>Table1[[#This Row],[Qty Sold]]*Table1[[#This Row],[Rate]]</f>
        <v>3750</v>
      </c>
      <c r="I83" s="240" t="s">
        <v>42</v>
      </c>
      <c r="J83" s="240"/>
      <c r="K83" s="241"/>
      <c r="L83" s="240" t="str">
        <f t="shared" si="29"/>
        <v>Apr-26</v>
      </c>
      <c r="M83" s="26" t="s">
        <v>76</v>
      </c>
      <c r="N83" s="26" t="s">
        <v>269</v>
      </c>
      <c r="O83" s="205">
        <v>46128</v>
      </c>
      <c r="P83" s="26">
        <f>2500+1250</f>
        <v>3750</v>
      </c>
      <c r="Q83" s="240">
        <f t="shared" si="30"/>
        <v>0</v>
      </c>
      <c r="R83" s="240"/>
      <c r="S83" s="240">
        <f t="shared" ca="1" si="31"/>
        <v>0</v>
      </c>
    </row>
    <row r="84" spans="1:19" ht="15.75" hidden="1" customHeight="1" x14ac:dyDescent="0.2">
      <c r="A84" s="237">
        <v>46118</v>
      </c>
      <c r="B84" s="238" t="s">
        <v>124</v>
      </c>
      <c r="C84" s="22" t="s">
        <v>131</v>
      </c>
      <c r="D84" s="32">
        <v>20090011</v>
      </c>
      <c r="E84" s="199" t="s">
        <v>29</v>
      </c>
      <c r="F84" s="239">
        <v>5</v>
      </c>
      <c r="G84" s="240">
        <v>1250</v>
      </c>
      <c r="H84" s="202">
        <f>Table1[[#This Row],[Qty Sold]]*Table1[[#This Row],[Rate]]</f>
        <v>6250</v>
      </c>
      <c r="I84" s="240" t="s">
        <v>42</v>
      </c>
      <c r="J84" s="240"/>
      <c r="K84" s="241"/>
      <c r="L84" s="240" t="str">
        <f t="shared" si="29"/>
        <v>Apr-26</v>
      </c>
      <c r="M84" s="26" t="s">
        <v>76</v>
      </c>
      <c r="N84" s="26" t="s">
        <v>303</v>
      </c>
      <c r="O84" s="205">
        <v>46128</v>
      </c>
      <c r="P84" s="26">
        <f>3750+1250+1250</f>
        <v>6250</v>
      </c>
      <c r="Q84" s="240">
        <f t="shared" si="30"/>
        <v>0</v>
      </c>
      <c r="R84" s="240"/>
      <c r="S84" s="240">
        <f t="shared" ca="1" si="31"/>
        <v>0</v>
      </c>
    </row>
    <row r="85" spans="1:19" ht="15.75" hidden="1" customHeight="1" x14ac:dyDescent="0.2">
      <c r="A85" s="237">
        <v>46118</v>
      </c>
      <c r="B85" s="238" t="s">
        <v>124</v>
      </c>
      <c r="C85" s="197" t="s">
        <v>243</v>
      </c>
      <c r="D85" s="198">
        <v>20090023</v>
      </c>
      <c r="E85" s="199" t="s">
        <v>29</v>
      </c>
      <c r="F85" s="239">
        <v>5</v>
      </c>
      <c r="G85" s="240">
        <v>1250</v>
      </c>
      <c r="H85" s="202">
        <f>Table1[[#This Row],[Qty Sold]]*Table1[[#This Row],[Rate]]</f>
        <v>6250</v>
      </c>
      <c r="I85" s="240" t="s">
        <v>42</v>
      </c>
      <c r="J85" s="240"/>
      <c r="K85" s="241"/>
      <c r="L85" s="240" t="str">
        <f t="shared" si="29"/>
        <v>Apr-26</v>
      </c>
      <c r="M85" s="26" t="s">
        <v>76</v>
      </c>
      <c r="N85" s="26" t="s">
        <v>287</v>
      </c>
      <c r="O85" s="205">
        <v>46128</v>
      </c>
      <c r="P85" s="26">
        <f>35+6215</f>
        <v>6250</v>
      </c>
      <c r="Q85" s="240">
        <f t="shared" si="30"/>
        <v>0</v>
      </c>
      <c r="R85" s="240"/>
      <c r="S85" s="240">
        <f t="shared" ca="1" si="31"/>
        <v>0</v>
      </c>
    </row>
    <row r="86" spans="1:19" ht="15.75" hidden="1" customHeight="1" x14ac:dyDescent="0.2">
      <c r="A86" s="250">
        <v>46121</v>
      </c>
      <c r="B86" s="197" t="s">
        <v>88</v>
      </c>
      <c r="C86" s="197" t="s">
        <v>262</v>
      </c>
      <c r="D86" s="198">
        <v>20020025</v>
      </c>
      <c r="E86" s="199" t="s">
        <v>29</v>
      </c>
      <c r="F86" s="251">
        <v>11</v>
      </c>
      <c r="G86" s="202">
        <v>1250</v>
      </c>
      <c r="H86" s="202">
        <f>Table1[[#This Row],[Qty Sold]]*Table1[[#This Row],[Rate]]</f>
        <v>13750</v>
      </c>
      <c r="I86" s="240" t="s">
        <v>42</v>
      </c>
      <c r="J86" s="202"/>
      <c r="K86" s="198"/>
      <c r="L86" s="202" t="str">
        <f t="shared" ref="L86:L100" si="32">TEXT(A86,"mmm-yy")</f>
        <v>Apr-26</v>
      </c>
      <c r="M86" s="249" t="s">
        <v>76</v>
      </c>
      <c r="N86" s="249" t="s">
        <v>288</v>
      </c>
      <c r="O86" s="205">
        <v>46121</v>
      </c>
      <c r="P86" s="26">
        <f>6250+5782+1718</f>
        <v>13750</v>
      </c>
      <c r="Q86" s="202">
        <f t="shared" ref="Q86:Q100" si="33">H86-P86</f>
        <v>0</v>
      </c>
      <c r="R86" s="202"/>
      <c r="S86" s="202">
        <f t="shared" ref="S86:S100" ca="1" si="34">IF(Q86&lt;=0,0,(TODAY()-A86))</f>
        <v>0</v>
      </c>
    </row>
    <row r="87" spans="1:19" ht="15.75" hidden="1" customHeight="1" x14ac:dyDescent="0.2">
      <c r="A87" s="250">
        <v>46121</v>
      </c>
      <c r="B87" s="197" t="s">
        <v>88</v>
      </c>
      <c r="C87" s="197" t="s">
        <v>126</v>
      </c>
      <c r="D87" s="198">
        <v>20020020</v>
      </c>
      <c r="E87" s="199" t="s">
        <v>29</v>
      </c>
      <c r="F87" s="251">
        <v>5</v>
      </c>
      <c r="G87" s="202">
        <v>1250</v>
      </c>
      <c r="H87" s="202">
        <f>Table1[[#This Row],[Qty Sold]]*Table1[[#This Row],[Rate]]</f>
        <v>6250</v>
      </c>
      <c r="I87" s="240" t="s">
        <v>42</v>
      </c>
      <c r="J87" s="202"/>
      <c r="K87" s="198"/>
      <c r="L87" s="202" t="str">
        <f t="shared" si="32"/>
        <v>Apr-26</v>
      </c>
      <c r="M87" s="249" t="s">
        <v>76</v>
      </c>
      <c r="N87" s="249" t="s">
        <v>267</v>
      </c>
      <c r="O87" s="205">
        <v>46121</v>
      </c>
      <c r="P87" s="26">
        <f>5000+1250</f>
        <v>6250</v>
      </c>
      <c r="Q87" s="202">
        <f t="shared" si="33"/>
        <v>0</v>
      </c>
      <c r="R87" s="202"/>
      <c r="S87" s="202">
        <f t="shared" ca="1" si="34"/>
        <v>0</v>
      </c>
    </row>
    <row r="88" spans="1:19" ht="15.75" hidden="1" customHeight="1" x14ac:dyDescent="0.2">
      <c r="A88" s="250">
        <v>46121</v>
      </c>
      <c r="B88" s="197" t="s">
        <v>88</v>
      </c>
      <c r="C88" s="197" t="s">
        <v>142</v>
      </c>
      <c r="D88" s="198">
        <v>20020003</v>
      </c>
      <c r="E88" s="199" t="s">
        <v>29</v>
      </c>
      <c r="F88" s="251">
        <v>10</v>
      </c>
      <c r="G88" s="202">
        <v>1250</v>
      </c>
      <c r="H88" s="202">
        <f>Table1[[#This Row],[Qty Sold]]*Table1[[#This Row],[Rate]]</f>
        <v>12500</v>
      </c>
      <c r="I88" s="240" t="s">
        <v>42</v>
      </c>
      <c r="J88" s="202"/>
      <c r="K88" s="198"/>
      <c r="L88" s="202" t="str">
        <f t="shared" si="32"/>
        <v>Apr-26</v>
      </c>
      <c r="M88" s="249" t="s">
        <v>76</v>
      </c>
      <c r="N88" s="249" t="s">
        <v>289</v>
      </c>
      <c r="O88" s="205">
        <v>46121</v>
      </c>
      <c r="P88" s="26">
        <v>12500</v>
      </c>
      <c r="Q88" s="202">
        <f t="shared" si="33"/>
        <v>0</v>
      </c>
      <c r="R88" s="202"/>
      <c r="S88" s="202">
        <f t="shared" ca="1" si="34"/>
        <v>0</v>
      </c>
    </row>
    <row r="89" spans="1:19" ht="15.75" hidden="1" customHeight="1" x14ac:dyDescent="0.2">
      <c r="A89" s="250">
        <v>46121</v>
      </c>
      <c r="B89" s="197" t="s">
        <v>88</v>
      </c>
      <c r="C89" s="197" t="s">
        <v>88</v>
      </c>
      <c r="D89" s="198">
        <v>20020001</v>
      </c>
      <c r="E89" s="199" t="s">
        <v>29</v>
      </c>
      <c r="F89" s="251">
        <v>8</v>
      </c>
      <c r="G89" s="202">
        <v>1250</v>
      </c>
      <c r="H89" s="202">
        <f>Table1[[#This Row],[Qty Sold]]*Table1[[#This Row],[Rate]]</f>
        <v>10000</v>
      </c>
      <c r="I89" s="240" t="s">
        <v>42</v>
      </c>
      <c r="J89" s="202"/>
      <c r="K89" s="198"/>
      <c r="L89" s="202" t="str">
        <f t="shared" si="32"/>
        <v>Apr-26</v>
      </c>
      <c r="M89" s="249" t="s">
        <v>76</v>
      </c>
      <c r="N89" s="249" t="s">
        <v>267</v>
      </c>
      <c r="O89" s="205">
        <v>46121</v>
      </c>
      <c r="P89" s="26">
        <f>9343+657</f>
        <v>10000</v>
      </c>
      <c r="Q89" s="202">
        <f t="shared" si="33"/>
        <v>0</v>
      </c>
      <c r="R89" s="202"/>
      <c r="S89" s="202">
        <f t="shared" ca="1" si="34"/>
        <v>0</v>
      </c>
    </row>
    <row r="90" spans="1:19" ht="15.75" hidden="1" customHeight="1" x14ac:dyDescent="0.2">
      <c r="A90" s="223">
        <v>46107</v>
      </c>
      <c r="B90" s="233" t="s">
        <v>92</v>
      </c>
      <c r="C90" s="197" t="s">
        <v>92</v>
      </c>
      <c r="D90" s="198">
        <v>20060004</v>
      </c>
      <c r="E90" s="199" t="s">
        <v>29</v>
      </c>
      <c r="F90" s="224">
        <v>18</v>
      </c>
      <c r="G90" s="225">
        <v>1250</v>
      </c>
      <c r="H90" s="202">
        <f>Table1[[#This Row],[Qty Sold]]*Table1[[#This Row],[Rate]]+166</f>
        <v>22666</v>
      </c>
      <c r="I90" s="225" t="s">
        <v>42</v>
      </c>
      <c r="J90" s="225"/>
      <c r="K90" s="198"/>
      <c r="L90" s="202" t="str">
        <f>TEXT(A90,"mmm-yy")</f>
        <v>Mar-26</v>
      </c>
      <c r="M90" s="249" t="s">
        <v>145</v>
      </c>
      <c r="N90" s="249"/>
      <c r="O90" s="205">
        <v>46122</v>
      </c>
      <c r="P90" s="26">
        <v>22666</v>
      </c>
      <c r="Q90" s="202">
        <f>H90-P90</f>
        <v>0</v>
      </c>
      <c r="R90" s="202"/>
      <c r="S90" s="202">
        <f ca="1">IF(Q90&lt;=0,0,(TODAY()-A90))</f>
        <v>0</v>
      </c>
    </row>
    <row r="91" spans="1:19" ht="15.75" hidden="1" customHeight="1" x14ac:dyDescent="0.2">
      <c r="A91" s="252">
        <v>46130</v>
      </c>
      <c r="B91" s="253" t="s">
        <v>92</v>
      </c>
      <c r="C91" s="197" t="s">
        <v>92</v>
      </c>
      <c r="D91" s="198">
        <v>20060004</v>
      </c>
      <c r="E91" s="199" t="s">
        <v>29</v>
      </c>
      <c r="F91" s="254">
        <v>10</v>
      </c>
      <c r="G91" s="255">
        <v>1250</v>
      </c>
      <c r="H91" s="202">
        <f>Table1[[#This Row],[Qty Sold]]*Table1[[#This Row],[Rate]]</f>
        <v>12500</v>
      </c>
      <c r="I91" s="255" t="s">
        <v>42</v>
      </c>
      <c r="J91" s="255"/>
      <c r="K91" s="256"/>
      <c r="L91" s="255" t="str">
        <f t="shared" si="32"/>
        <v>Apr-26</v>
      </c>
      <c r="M91" s="26" t="s">
        <v>76</v>
      </c>
      <c r="N91" s="26" t="s">
        <v>299</v>
      </c>
      <c r="O91" s="205">
        <v>46142</v>
      </c>
      <c r="P91" s="26">
        <v>12500</v>
      </c>
      <c r="Q91" s="255">
        <f t="shared" si="33"/>
        <v>0</v>
      </c>
      <c r="R91" s="255"/>
      <c r="S91" s="255">
        <f t="shared" ca="1" si="34"/>
        <v>0</v>
      </c>
    </row>
    <row r="92" spans="1:19" ht="15.75" hidden="1" customHeight="1" x14ac:dyDescent="0.2">
      <c r="A92" s="252">
        <v>46123</v>
      </c>
      <c r="B92" s="253" t="s">
        <v>93</v>
      </c>
      <c r="C92" s="197" t="s">
        <v>93</v>
      </c>
      <c r="D92" s="198">
        <v>20060003</v>
      </c>
      <c r="E92" s="199" t="s">
        <v>29</v>
      </c>
      <c r="F92" s="254">
        <v>20</v>
      </c>
      <c r="G92" s="255">
        <v>1250</v>
      </c>
      <c r="H92" s="202">
        <f>Table1[[#This Row],[Qty Sold]]*Table1[[#This Row],[Rate]]</f>
        <v>25000</v>
      </c>
      <c r="I92" s="255" t="s">
        <v>42</v>
      </c>
      <c r="J92" s="255"/>
      <c r="K92" s="256"/>
      <c r="L92" s="255" t="str">
        <f t="shared" si="32"/>
        <v>Apr-26</v>
      </c>
      <c r="M92" s="26" t="s">
        <v>76</v>
      </c>
      <c r="N92" s="26" t="s">
        <v>287</v>
      </c>
      <c r="O92" s="205">
        <v>46128</v>
      </c>
      <c r="P92" s="26">
        <f>12500+12500</f>
        <v>25000</v>
      </c>
      <c r="Q92" s="255">
        <f t="shared" si="33"/>
        <v>0</v>
      </c>
      <c r="R92" s="255"/>
      <c r="S92" s="255">
        <f t="shared" ca="1" si="34"/>
        <v>0</v>
      </c>
    </row>
    <row r="93" spans="1:19" ht="15.75" hidden="1" customHeight="1" x14ac:dyDescent="0.2">
      <c r="A93" s="252">
        <v>46130</v>
      </c>
      <c r="B93" s="253" t="s">
        <v>93</v>
      </c>
      <c r="C93" s="197" t="s">
        <v>93</v>
      </c>
      <c r="D93" s="198">
        <v>20060003</v>
      </c>
      <c r="E93" s="199" t="s">
        <v>29</v>
      </c>
      <c r="F93" s="254">
        <v>20</v>
      </c>
      <c r="G93" s="255">
        <v>1250</v>
      </c>
      <c r="H93" s="202">
        <f>Table1[[#This Row],[Qty Sold]]*Table1[[#This Row],[Rate]]</f>
        <v>25000</v>
      </c>
      <c r="I93" s="255" t="s">
        <v>42</v>
      </c>
      <c r="J93" s="255"/>
      <c r="K93" s="256"/>
      <c r="L93" s="255" t="str">
        <f t="shared" si="32"/>
        <v>Apr-26</v>
      </c>
      <c r="M93" s="26" t="s">
        <v>76</v>
      </c>
      <c r="N93" s="26" t="s">
        <v>300</v>
      </c>
      <c r="O93" s="205">
        <v>46135</v>
      </c>
      <c r="P93" s="26">
        <f>12500+12500</f>
        <v>25000</v>
      </c>
      <c r="Q93" s="255">
        <f t="shared" si="33"/>
        <v>0</v>
      </c>
      <c r="R93" s="255"/>
      <c r="S93" s="255">
        <f t="shared" ca="1" si="34"/>
        <v>0</v>
      </c>
    </row>
    <row r="94" spans="1:19" ht="15.75" hidden="1" customHeight="1" x14ac:dyDescent="0.2">
      <c r="A94" s="252">
        <v>46130</v>
      </c>
      <c r="B94" s="253" t="s">
        <v>91</v>
      </c>
      <c r="C94" s="197" t="s">
        <v>253</v>
      </c>
      <c r="D94" s="198">
        <v>20060005</v>
      </c>
      <c r="E94" s="199" t="s">
        <v>29</v>
      </c>
      <c r="F94" s="254">
        <v>2</v>
      </c>
      <c r="G94" s="255">
        <v>1250</v>
      </c>
      <c r="H94" s="202">
        <f>Table1[[#This Row],[Qty Sold]]*Table1[[#This Row],[Rate]]</f>
        <v>2500</v>
      </c>
      <c r="I94" s="255" t="s">
        <v>42</v>
      </c>
      <c r="J94" s="255"/>
      <c r="K94" s="256"/>
      <c r="L94" s="255" t="str">
        <f t="shared" si="32"/>
        <v>Apr-26</v>
      </c>
      <c r="M94" s="249" t="s">
        <v>76</v>
      </c>
      <c r="N94" s="249" t="s">
        <v>316</v>
      </c>
      <c r="O94" s="205">
        <v>46149</v>
      </c>
      <c r="P94" s="26">
        <v>2500</v>
      </c>
      <c r="Q94" s="255">
        <f t="shared" si="33"/>
        <v>0</v>
      </c>
      <c r="R94" s="255"/>
      <c r="S94" s="255">
        <f t="shared" ca="1" si="34"/>
        <v>0</v>
      </c>
    </row>
    <row r="95" spans="1:19" ht="15.75" hidden="1" customHeight="1" x14ac:dyDescent="0.2">
      <c r="A95" s="252">
        <v>46130</v>
      </c>
      <c r="B95" s="253" t="s">
        <v>91</v>
      </c>
      <c r="C95" s="197" t="s">
        <v>91</v>
      </c>
      <c r="D95" s="198">
        <v>20060001</v>
      </c>
      <c r="E95" s="199" t="s">
        <v>29</v>
      </c>
      <c r="F95" s="254">
        <v>7</v>
      </c>
      <c r="G95" s="255">
        <v>1250</v>
      </c>
      <c r="H95" s="202">
        <f>Table1[[#This Row],[Qty Sold]]*Table1[[#This Row],[Rate]]</f>
        <v>8750</v>
      </c>
      <c r="I95" s="255" t="s">
        <v>42</v>
      </c>
      <c r="J95" s="255"/>
      <c r="K95" s="256"/>
      <c r="L95" s="255" t="str">
        <f t="shared" si="32"/>
        <v>Apr-26</v>
      </c>
      <c r="M95" s="26" t="s">
        <v>76</v>
      </c>
      <c r="N95" s="26" t="s">
        <v>301</v>
      </c>
      <c r="O95" s="205">
        <v>46128</v>
      </c>
      <c r="P95" s="26">
        <f>7955+795</f>
        <v>8750</v>
      </c>
      <c r="Q95" s="255">
        <f t="shared" si="33"/>
        <v>0</v>
      </c>
      <c r="R95" s="255"/>
      <c r="S95" s="255">
        <f t="shared" ca="1" si="34"/>
        <v>0</v>
      </c>
    </row>
    <row r="96" spans="1:19" ht="15.75" customHeight="1" x14ac:dyDescent="0.2">
      <c r="A96" s="252">
        <v>46115</v>
      </c>
      <c r="B96" s="253" t="s">
        <v>95</v>
      </c>
      <c r="C96" s="197" t="s">
        <v>150</v>
      </c>
      <c r="D96" s="198">
        <v>20010016</v>
      </c>
      <c r="E96" s="199" t="s">
        <v>29</v>
      </c>
      <c r="F96" s="254">
        <v>2</v>
      </c>
      <c r="G96" s="255">
        <v>1250</v>
      </c>
      <c r="H96" s="202">
        <f>Table1[[#This Row],[Qty Sold]]*Table1[[#This Row],[Rate]]</f>
        <v>2500</v>
      </c>
      <c r="I96" s="255" t="s">
        <v>42</v>
      </c>
      <c r="J96" s="255"/>
      <c r="K96" s="256"/>
      <c r="L96" s="255" t="str">
        <f t="shared" si="32"/>
        <v>Apr-26</v>
      </c>
      <c r="M96" s="26" t="s">
        <v>76</v>
      </c>
      <c r="N96" s="249" t="s">
        <v>323</v>
      </c>
      <c r="O96" s="205">
        <v>46128</v>
      </c>
      <c r="P96" s="26">
        <f>490+1108+835</f>
        <v>2433</v>
      </c>
      <c r="Q96" s="255">
        <f t="shared" si="33"/>
        <v>67</v>
      </c>
      <c r="R96" s="255"/>
      <c r="S96" s="255">
        <f t="shared" ca="1" si="34"/>
        <v>46</v>
      </c>
    </row>
    <row r="97" spans="1:19" ht="15.75" hidden="1" customHeight="1" x14ac:dyDescent="0.2">
      <c r="A97" s="252">
        <v>46123</v>
      </c>
      <c r="B97" s="253" t="s">
        <v>95</v>
      </c>
      <c r="C97" s="197" t="s">
        <v>95</v>
      </c>
      <c r="D97" s="198">
        <v>20010003</v>
      </c>
      <c r="E97" s="199" t="s">
        <v>29</v>
      </c>
      <c r="F97" s="254">
        <v>8</v>
      </c>
      <c r="G97" s="255">
        <v>1250</v>
      </c>
      <c r="H97" s="202">
        <f>Table1[[#This Row],[Qty Sold]]*Table1[[#This Row],[Rate]]</f>
        <v>10000</v>
      </c>
      <c r="I97" s="255" t="s">
        <v>42</v>
      </c>
      <c r="J97" s="255"/>
      <c r="K97" s="256"/>
      <c r="L97" s="255" t="str">
        <f t="shared" si="32"/>
        <v>Apr-26</v>
      </c>
      <c r="M97" s="26" t="s">
        <v>76</v>
      </c>
      <c r="N97" s="26" t="s">
        <v>286</v>
      </c>
      <c r="O97" s="205">
        <v>46135</v>
      </c>
      <c r="P97" s="26">
        <v>10000</v>
      </c>
      <c r="Q97" s="255">
        <f t="shared" si="33"/>
        <v>0</v>
      </c>
      <c r="R97" s="255"/>
      <c r="S97" s="255">
        <f t="shared" ca="1" si="34"/>
        <v>0</v>
      </c>
    </row>
    <row r="98" spans="1:19" ht="15.75" hidden="1" customHeight="1" x14ac:dyDescent="0.2">
      <c r="A98" s="252">
        <v>46130</v>
      </c>
      <c r="B98" s="253" t="s">
        <v>95</v>
      </c>
      <c r="C98" s="197" t="s">
        <v>149</v>
      </c>
      <c r="D98" s="198">
        <v>20010008</v>
      </c>
      <c r="E98" s="199" t="s">
        <v>29</v>
      </c>
      <c r="F98" s="254">
        <v>20</v>
      </c>
      <c r="G98" s="255">
        <v>1250</v>
      </c>
      <c r="H98" s="202">
        <f>Table1[[#This Row],[Qty Sold]]*Table1[[#This Row],[Rate]]</f>
        <v>25000</v>
      </c>
      <c r="I98" s="255" t="s">
        <v>42</v>
      </c>
      <c r="J98" s="255"/>
      <c r="K98" s="256"/>
      <c r="L98" s="255" t="str">
        <f t="shared" si="32"/>
        <v>Apr-26</v>
      </c>
      <c r="M98" s="26" t="s">
        <v>76</v>
      </c>
      <c r="N98" s="26" t="s">
        <v>287</v>
      </c>
      <c r="O98" s="205">
        <v>46128</v>
      </c>
      <c r="P98" s="26">
        <f>12500+12500</f>
        <v>25000</v>
      </c>
      <c r="Q98" s="255">
        <f t="shared" si="33"/>
        <v>0</v>
      </c>
      <c r="R98" s="255"/>
      <c r="S98" s="255">
        <f t="shared" ca="1" si="34"/>
        <v>0</v>
      </c>
    </row>
    <row r="99" spans="1:19" ht="15.75" hidden="1" customHeight="1" x14ac:dyDescent="0.2">
      <c r="A99" s="252">
        <v>46130</v>
      </c>
      <c r="B99" s="253" t="s">
        <v>95</v>
      </c>
      <c r="C99" s="197" t="s">
        <v>95</v>
      </c>
      <c r="D99" s="198">
        <v>20010003</v>
      </c>
      <c r="E99" s="199" t="s">
        <v>29</v>
      </c>
      <c r="F99" s="254">
        <v>2</v>
      </c>
      <c r="G99" s="255">
        <v>1250</v>
      </c>
      <c r="H99" s="202">
        <f>Table1[[#This Row],[Qty Sold]]*Table1[[#This Row],[Rate]]</f>
        <v>2500</v>
      </c>
      <c r="I99" s="255" t="s">
        <v>42</v>
      </c>
      <c r="J99" s="255"/>
      <c r="K99" s="256"/>
      <c r="L99" s="255" t="str">
        <f>TEXT(A99,"mmm-yy")</f>
        <v>Apr-26</v>
      </c>
      <c r="M99" s="26" t="s">
        <v>76</v>
      </c>
      <c r="N99" s="26" t="s">
        <v>286</v>
      </c>
      <c r="O99" s="205">
        <v>46135</v>
      </c>
      <c r="P99" s="26">
        <v>2500</v>
      </c>
      <c r="Q99" s="255">
        <f>H99-P99</f>
        <v>0</v>
      </c>
      <c r="R99" s="255"/>
      <c r="S99" s="255">
        <f ca="1">IF(Q99&lt;=0,0,(TODAY()-A99))</f>
        <v>0</v>
      </c>
    </row>
    <row r="100" spans="1:19" ht="15.75" hidden="1" customHeight="1" x14ac:dyDescent="0.2">
      <c r="A100" s="252">
        <v>46130</v>
      </c>
      <c r="B100" s="253" t="s">
        <v>95</v>
      </c>
      <c r="C100" s="197" t="s">
        <v>95</v>
      </c>
      <c r="D100" s="198">
        <v>20010003</v>
      </c>
      <c r="E100" s="199" t="s">
        <v>29</v>
      </c>
      <c r="F100" s="254">
        <v>8</v>
      </c>
      <c r="G100" s="255">
        <v>1250</v>
      </c>
      <c r="H100" s="202">
        <f>Table1[[#This Row],[Qty Sold]]*Table1[[#This Row],[Rate]]</f>
        <v>10000</v>
      </c>
      <c r="I100" s="255" t="s">
        <v>42</v>
      </c>
      <c r="J100" s="255"/>
      <c r="K100" s="256"/>
      <c r="L100" s="255" t="str">
        <f t="shared" si="32"/>
        <v>Apr-26</v>
      </c>
      <c r="M100" s="26" t="s">
        <v>76</v>
      </c>
      <c r="N100" s="26" t="s">
        <v>299</v>
      </c>
      <c r="O100" s="205">
        <v>46142</v>
      </c>
      <c r="P100" s="26">
        <v>10000</v>
      </c>
      <c r="Q100" s="255">
        <f t="shared" si="33"/>
        <v>0</v>
      </c>
      <c r="R100" s="255"/>
      <c r="S100" s="255">
        <f t="shared" ca="1" si="34"/>
        <v>0</v>
      </c>
    </row>
    <row r="101" spans="1:19" ht="15.75" hidden="1" customHeight="1" x14ac:dyDescent="0.2">
      <c r="A101" s="252">
        <v>46134</v>
      </c>
      <c r="B101" s="253" t="s">
        <v>124</v>
      </c>
      <c r="C101" s="197" t="s">
        <v>171</v>
      </c>
      <c r="D101" s="198">
        <v>20090015</v>
      </c>
      <c r="E101" s="199" t="s">
        <v>29</v>
      </c>
      <c r="F101" s="254">
        <v>1</v>
      </c>
      <c r="G101" s="255">
        <v>1250</v>
      </c>
      <c r="H101" s="202">
        <f>Table1[[#This Row],[Qty Sold]]*Table1[[#This Row],[Rate]]</f>
        <v>1250</v>
      </c>
      <c r="I101" s="255" t="s">
        <v>42</v>
      </c>
      <c r="J101" s="255"/>
      <c r="K101" s="256"/>
      <c r="L101" s="255" t="str">
        <f t="shared" ref="L101:L106" si="35">TEXT(A101,"mmm-yy")</f>
        <v>Apr-26</v>
      </c>
      <c r="M101" s="26" t="s">
        <v>76</v>
      </c>
      <c r="N101" s="26" t="s">
        <v>300</v>
      </c>
      <c r="O101" s="205">
        <v>46135</v>
      </c>
      <c r="P101" s="26">
        <f>1158+92</f>
        <v>1250</v>
      </c>
      <c r="Q101" s="255">
        <f t="shared" ref="Q101:Q106" si="36">H101-P101</f>
        <v>0</v>
      </c>
      <c r="R101" s="255"/>
      <c r="S101" s="255">
        <f t="shared" ref="S101:S106" ca="1" si="37">IF(Q101&lt;=0,0,(TODAY()-A101))</f>
        <v>0</v>
      </c>
    </row>
    <row r="102" spans="1:19" ht="15.75" hidden="1" customHeight="1" x14ac:dyDescent="0.2">
      <c r="A102" s="252">
        <v>46134</v>
      </c>
      <c r="B102" s="253" t="s">
        <v>124</v>
      </c>
      <c r="C102" s="197" t="s">
        <v>254</v>
      </c>
      <c r="D102" s="198">
        <v>20090026</v>
      </c>
      <c r="E102" s="199" t="s">
        <v>29</v>
      </c>
      <c r="F102" s="254">
        <v>1</v>
      </c>
      <c r="G102" s="255">
        <v>1250</v>
      </c>
      <c r="H102" s="202">
        <f>Table1[[#This Row],[Qty Sold]]*Table1[[#This Row],[Rate]]</f>
        <v>1250</v>
      </c>
      <c r="I102" s="255" t="s">
        <v>42</v>
      </c>
      <c r="J102" s="255"/>
      <c r="K102" s="256"/>
      <c r="L102" s="255" t="str">
        <f t="shared" si="35"/>
        <v>Apr-26</v>
      </c>
      <c r="M102" s="26" t="s">
        <v>76</v>
      </c>
      <c r="N102" s="26" t="s">
        <v>286</v>
      </c>
      <c r="O102" s="205">
        <v>46135</v>
      </c>
      <c r="P102" s="26">
        <v>1250</v>
      </c>
      <c r="Q102" s="255">
        <f t="shared" si="36"/>
        <v>0</v>
      </c>
      <c r="R102" s="255"/>
      <c r="S102" s="255">
        <f t="shared" ca="1" si="37"/>
        <v>0</v>
      </c>
    </row>
    <row r="103" spans="1:19" ht="15.75" hidden="1" customHeight="1" x14ac:dyDescent="0.2">
      <c r="A103" s="252">
        <v>46134</v>
      </c>
      <c r="B103" s="253" t="s">
        <v>124</v>
      </c>
      <c r="C103" s="197" t="s">
        <v>124</v>
      </c>
      <c r="D103" s="198">
        <v>20090001</v>
      </c>
      <c r="E103" s="199" t="s">
        <v>29</v>
      </c>
      <c r="F103" s="254">
        <v>1</v>
      </c>
      <c r="G103" s="255">
        <v>1250</v>
      </c>
      <c r="H103" s="202">
        <f>Table1[[#This Row],[Qty Sold]]*Table1[[#This Row],[Rate]]</f>
        <v>1250</v>
      </c>
      <c r="I103" s="255" t="s">
        <v>42</v>
      </c>
      <c r="J103" s="255"/>
      <c r="K103" s="256"/>
      <c r="L103" s="255" t="str">
        <f t="shared" si="35"/>
        <v>Apr-26</v>
      </c>
      <c r="M103" s="26" t="s">
        <v>76</v>
      </c>
      <c r="N103" s="26" t="s">
        <v>286</v>
      </c>
      <c r="O103" s="205">
        <v>46135</v>
      </c>
      <c r="P103" s="26">
        <v>1250</v>
      </c>
      <c r="Q103" s="255">
        <f t="shared" si="36"/>
        <v>0</v>
      </c>
      <c r="R103" s="255"/>
      <c r="S103" s="255">
        <f t="shared" ca="1" si="37"/>
        <v>0</v>
      </c>
    </row>
    <row r="104" spans="1:19" ht="15.75" hidden="1" customHeight="1" x14ac:dyDescent="0.2">
      <c r="A104" s="252">
        <v>46134</v>
      </c>
      <c r="B104" s="253" t="s">
        <v>124</v>
      </c>
      <c r="C104" s="22" t="s">
        <v>130</v>
      </c>
      <c r="D104" s="32">
        <v>20010053</v>
      </c>
      <c r="E104" s="199" t="s">
        <v>29</v>
      </c>
      <c r="F104" s="254">
        <v>1</v>
      </c>
      <c r="G104" s="255">
        <v>1250</v>
      </c>
      <c r="H104" s="202">
        <f>Table1[[#This Row],[Qty Sold]]*Table1[[#This Row],[Rate]]</f>
        <v>1250</v>
      </c>
      <c r="I104" s="255" t="s">
        <v>42</v>
      </c>
      <c r="J104" s="255"/>
      <c r="K104" s="256"/>
      <c r="L104" s="255" t="str">
        <f t="shared" si="35"/>
        <v>Apr-26</v>
      </c>
      <c r="M104" s="26" t="s">
        <v>76</v>
      </c>
      <c r="N104" s="249" t="s">
        <v>323</v>
      </c>
      <c r="O104" s="205">
        <v>46128</v>
      </c>
      <c r="P104" s="26">
        <f>585+665</f>
        <v>1250</v>
      </c>
      <c r="Q104" s="255">
        <f t="shared" si="36"/>
        <v>0</v>
      </c>
      <c r="R104" s="255"/>
      <c r="S104" s="255">
        <f t="shared" ca="1" si="37"/>
        <v>0</v>
      </c>
    </row>
    <row r="105" spans="1:19" ht="15.75" hidden="1" customHeight="1" x14ac:dyDescent="0.2">
      <c r="A105" s="252">
        <v>46141</v>
      </c>
      <c r="B105" s="253" t="s">
        <v>124</v>
      </c>
      <c r="C105" s="197" t="s">
        <v>168</v>
      </c>
      <c r="D105" s="198">
        <v>20090020</v>
      </c>
      <c r="E105" s="199" t="s">
        <v>29</v>
      </c>
      <c r="F105" s="254">
        <v>1</v>
      </c>
      <c r="G105" s="255">
        <v>1250</v>
      </c>
      <c r="H105" s="202">
        <f>Table1[[#This Row],[Qty Sold]]*Table1[[#This Row],[Rate]]</f>
        <v>1250</v>
      </c>
      <c r="I105" s="255" t="s">
        <v>42</v>
      </c>
      <c r="J105" s="255"/>
      <c r="K105" s="256"/>
      <c r="L105" s="255" t="str">
        <f t="shared" si="35"/>
        <v>Apr-26</v>
      </c>
      <c r="M105" s="26" t="s">
        <v>76</v>
      </c>
      <c r="N105" s="26" t="s">
        <v>300</v>
      </c>
      <c r="O105" s="205">
        <v>46135</v>
      </c>
      <c r="P105" s="26">
        <f>625+625</f>
        <v>1250</v>
      </c>
      <c r="Q105" s="255">
        <f t="shared" si="36"/>
        <v>0</v>
      </c>
      <c r="R105" s="255"/>
      <c r="S105" s="255">
        <f t="shared" ca="1" si="37"/>
        <v>0</v>
      </c>
    </row>
    <row r="106" spans="1:19" ht="15.75" hidden="1" customHeight="1" x14ac:dyDescent="0.2">
      <c r="A106" s="252">
        <v>46141</v>
      </c>
      <c r="B106" s="253" t="s">
        <v>124</v>
      </c>
      <c r="C106" s="197" t="s">
        <v>274</v>
      </c>
      <c r="D106" s="198">
        <v>20090008</v>
      </c>
      <c r="E106" s="199" t="s">
        <v>29</v>
      </c>
      <c r="F106" s="254">
        <v>1</v>
      </c>
      <c r="G106" s="255">
        <v>1250</v>
      </c>
      <c r="H106" s="202">
        <f>Table1[[#This Row],[Qty Sold]]*Table1[[#This Row],[Rate]]</f>
        <v>1250</v>
      </c>
      <c r="I106" s="255" t="s">
        <v>42</v>
      </c>
      <c r="J106" s="255"/>
      <c r="K106" s="256"/>
      <c r="L106" s="255" t="str">
        <f t="shared" si="35"/>
        <v>Apr-26</v>
      </c>
      <c r="M106" s="26" t="s">
        <v>76</v>
      </c>
      <c r="N106" s="249" t="s">
        <v>321</v>
      </c>
      <c r="O106" s="272" t="s">
        <v>322</v>
      </c>
      <c r="P106" s="26">
        <f>625+625</f>
        <v>1250</v>
      </c>
      <c r="Q106" s="255">
        <f t="shared" si="36"/>
        <v>0</v>
      </c>
      <c r="R106" s="255"/>
      <c r="S106" s="255">
        <f t="shared" ca="1" si="37"/>
        <v>0</v>
      </c>
    </row>
    <row r="107" spans="1:19" ht="15.75" hidden="1" customHeight="1" x14ac:dyDescent="0.2">
      <c r="A107" s="252">
        <v>46128</v>
      </c>
      <c r="B107" s="253" t="s">
        <v>88</v>
      </c>
      <c r="C107" s="197" t="s">
        <v>142</v>
      </c>
      <c r="D107" s="198">
        <v>20020003</v>
      </c>
      <c r="E107" s="199" t="s">
        <v>29</v>
      </c>
      <c r="F107" s="254">
        <v>10</v>
      </c>
      <c r="G107" s="255">
        <v>1250</v>
      </c>
      <c r="H107" s="202">
        <f>Table1[[#This Row],[Qty Sold]]*Table1[[#This Row],[Rate]]</f>
        <v>12500</v>
      </c>
      <c r="I107" s="255" t="s">
        <v>42</v>
      </c>
      <c r="J107" s="255"/>
      <c r="K107" s="256"/>
      <c r="L107" s="255" t="str">
        <f t="shared" ref="L107:L127" si="38">TEXT(A107,"mmm-yy")</f>
        <v>Apr-26</v>
      </c>
      <c r="M107" s="26" t="s">
        <v>76</v>
      </c>
      <c r="N107" s="26" t="s">
        <v>300</v>
      </c>
      <c r="O107" s="205">
        <v>46135</v>
      </c>
      <c r="P107" s="26">
        <f>6250+6250</f>
        <v>12500</v>
      </c>
      <c r="Q107" s="255">
        <f t="shared" ref="Q107:Q127" si="39">H107-P107</f>
        <v>0</v>
      </c>
      <c r="R107" s="255"/>
      <c r="S107" s="255">
        <f t="shared" ref="S107:S127" ca="1" si="40">IF(Q107&lt;=0,0,(TODAY()-A107))</f>
        <v>0</v>
      </c>
    </row>
    <row r="108" spans="1:19" ht="15.75" hidden="1" customHeight="1" x14ac:dyDescent="0.2">
      <c r="A108" s="252">
        <v>46128</v>
      </c>
      <c r="B108" s="253" t="s">
        <v>88</v>
      </c>
      <c r="C108" s="197" t="s">
        <v>195</v>
      </c>
      <c r="D108" s="198">
        <v>20020006</v>
      </c>
      <c r="E108" s="199" t="s">
        <v>29</v>
      </c>
      <c r="F108" s="254">
        <v>5</v>
      </c>
      <c r="G108" s="255">
        <v>1250</v>
      </c>
      <c r="H108" s="202">
        <f>Table1[[#This Row],[Qty Sold]]*Table1[[#This Row],[Rate]]</f>
        <v>6250</v>
      </c>
      <c r="I108" s="255" t="s">
        <v>42</v>
      </c>
      <c r="J108" s="255"/>
      <c r="K108" s="256"/>
      <c r="L108" s="255" t="str">
        <f t="shared" si="38"/>
        <v>Apr-26</v>
      </c>
      <c r="M108" s="26" t="s">
        <v>76</v>
      </c>
      <c r="N108" s="26" t="s">
        <v>299</v>
      </c>
      <c r="O108" s="205">
        <v>46142</v>
      </c>
      <c r="P108" s="26">
        <v>6250</v>
      </c>
      <c r="Q108" s="255">
        <f t="shared" si="39"/>
        <v>0</v>
      </c>
      <c r="R108" s="255"/>
      <c r="S108" s="255">
        <f t="shared" ca="1" si="40"/>
        <v>0</v>
      </c>
    </row>
    <row r="109" spans="1:19" ht="15.75" hidden="1" customHeight="1" x14ac:dyDescent="0.2">
      <c r="A109" s="252">
        <v>46128</v>
      </c>
      <c r="B109" s="253" t="s">
        <v>88</v>
      </c>
      <c r="C109" s="197" t="s">
        <v>88</v>
      </c>
      <c r="D109" s="198">
        <v>20020001</v>
      </c>
      <c r="E109" s="199" t="s">
        <v>29</v>
      </c>
      <c r="F109" s="254">
        <v>5</v>
      </c>
      <c r="G109" s="255">
        <v>1250</v>
      </c>
      <c r="H109" s="202">
        <f>Table1[[#This Row],[Qty Sold]]*Table1[[#This Row],[Rate]]</f>
        <v>6250</v>
      </c>
      <c r="I109" s="255" t="s">
        <v>42</v>
      </c>
      <c r="J109" s="255"/>
      <c r="K109" s="256"/>
      <c r="L109" s="255" t="str">
        <f t="shared" si="38"/>
        <v>Apr-26</v>
      </c>
      <c r="M109" s="26" t="s">
        <v>76</v>
      </c>
      <c r="N109" s="26" t="s">
        <v>269</v>
      </c>
      <c r="O109" s="205">
        <v>46128</v>
      </c>
      <c r="P109" s="26">
        <v>6250</v>
      </c>
      <c r="Q109" s="255">
        <f t="shared" si="39"/>
        <v>0</v>
      </c>
      <c r="R109" s="255"/>
      <c r="S109" s="255">
        <f t="shared" ca="1" si="40"/>
        <v>0</v>
      </c>
    </row>
    <row r="110" spans="1:19" ht="15.75" hidden="1" customHeight="1" x14ac:dyDescent="0.2">
      <c r="A110" s="252">
        <v>46128</v>
      </c>
      <c r="B110" s="253" t="s">
        <v>88</v>
      </c>
      <c r="C110" s="197" t="s">
        <v>126</v>
      </c>
      <c r="D110" s="198">
        <v>20020020</v>
      </c>
      <c r="E110" s="199" t="s">
        <v>29</v>
      </c>
      <c r="F110" s="254">
        <v>5</v>
      </c>
      <c r="G110" s="255">
        <v>1250</v>
      </c>
      <c r="H110" s="202">
        <f>Table1[[#This Row],[Qty Sold]]*Table1[[#This Row],[Rate]]</f>
        <v>6250</v>
      </c>
      <c r="I110" s="255" t="s">
        <v>42</v>
      </c>
      <c r="J110" s="255"/>
      <c r="K110" s="256"/>
      <c r="L110" s="255" t="str">
        <f t="shared" si="38"/>
        <v>Apr-26</v>
      </c>
      <c r="M110" s="26" t="s">
        <v>76</v>
      </c>
      <c r="N110" s="26" t="s">
        <v>301</v>
      </c>
      <c r="O110" s="205">
        <v>46128</v>
      </c>
      <c r="P110" s="26">
        <f>5100+1150</f>
        <v>6250</v>
      </c>
      <c r="Q110" s="255">
        <f t="shared" si="39"/>
        <v>0</v>
      </c>
      <c r="R110" s="255"/>
      <c r="S110" s="255">
        <f t="shared" ca="1" si="40"/>
        <v>0</v>
      </c>
    </row>
    <row r="111" spans="1:19" ht="15.75" hidden="1" customHeight="1" x14ac:dyDescent="0.2">
      <c r="A111" s="252">
        <v>46128</v>
      </c>
      <c r="B111" s="253" t="s">
        <v>88</v>
      </c>
      <c r="C111" s="197" t="s">
        <v>263</v>
      </c>
      <c r="D111" s="198">
        <v>20050001</v>
      </c>
      <c r="E111" s="199" t="s">
        <v>29</v>
      </c>
      <c r="F111" s="254">
        <v>2</v>
      </c>
      <c r="G111" s="255">
        <v>1250</v>
      </c>
      <c r="H111" s="202">
        <f>Table1[[#This Row],[Qty Sold]]*Table1[[#This Row],[Rate]]</f>
        <v>2500</v>
      </c>
      <c r="I111" s="255" t="s">
        <v>42</v>
      </c>
      <c r="J111" s="255"/>
      <c r="K111" s="256"/>
      <c r="L111" s="255" t="str">
        <f t="shared" si="38"/>
        <v>Apr-26</v>
      </c>
      <c r="M111" s="26" t="s">
        <v>76</v>
      </c>
      <c r="N111" s="26" t="s">
        <v>269</v>
      </c>
      <c r="O111" s="205">
        <v>46128</v>
      </c>
      <c r="P111" s="26">
        <v>2500</v>
      </c>
      <c r="Q111" s="255">
        <f t="shared" si="39"/>
        <v>0</v>
      </c>
      <c r="R111" s="255"/>
      <c r="S111" s="255">
        <f t="shared" ca="1" si="40"/>
        <v>0</v>
      </c>
    </row>
    <row r="112" spans="1:19" ht="15.75" hidden="1" customHeight="1" x14ac:dyDescent="0.2">
      <c r="A112" s="252">
        <v>46128</v>
      </c>
      <c r="B112" s="253" t="s">
        <v>88</v>
      </c>
      <c r="C112" s="197" t="s">
        <v>265</v>
      </c>
      <c r="D112" s="198">
        <v>20050003</v>
      </c>
      <c r="E112" s="199" t="s">
        <v>29</v>
      </c>
      <c r="F112" s="254">
        <v>3</v>
      </c>
      <c r="G112" s="255">
        <v>1250</v>
      </c>
      <c r="H112" s="202">
        <f>Table1[[#This Row],[Qty Sold]]*Table1[[#This Row],[Rate]]</f>
        <v>3750</v>
      </c>
      <c r="I112" s="255" t="s">
        <v>42</v>
      </c>
      <c r="J112" s="255"/>
      <c r="K112" s="256"/>
      <c r="L112" s="255" t="str">
        <f t="shared" si="38"/>
        <v>Apr-26</v>
      </c>
      <c r="M112" s="26" t="s">
        <v>76</v>
      </c>
      <c r="N112" s="26" t="s">
        <v>269</v>
      </c>
      <c r="O112" s="205">
        <v>46128</v>
      </c>
      <c r="P112" s="26">
        <v>3750</v>
      </c>
      <c r="Q112" s="255">
        <f t="shared" si="39"/>
        <v>0</v>
      </c>
      <c r="R112" s="255"/>
      <c r="S112" s="255">
        <f t="shared" ca="1" si="40"/>
        <v>0</v>
      </c>
    </row>
    <row r="113" spans="1:19" ht="15.75" hidden="1" customHeight="1" x14ac:dyDescent="0.2">
      <c r="A113" s="252">
        <v>46128</v>
      </c>
      <c r="B113" s="253" t="s">
        <v>88</v>
      </c>
      <c r="C113" s="197" t="s">
        <v>259</v>
      </c>
      <c r="D113" s="198">
        <v>20020002</v>
      </c>
      <c r="E113" s="199" t="s">
        <v>29</v>
      </c>
      <c r="F113" s="254">
        <v>3</v>
      </c>
      <c r="G113" s="255">
        <v>1250</v>
      </c>
      <c r="H113" s="202">
        <f>Table1[[#This Row],[Qty Sold]]*Table1[[#This Row],[Rate]]</f>
        <v>3750</v>
      </c>
      <c r="I113" s="255" t="s">
        <v>42</v>
      </c>
      <c r="J113" s="255"/>
      <c r="K113" s="256"/>
      <c r="L113" s="255" t="str">
        <f t="shared" si="38"/>
        <v>Apr-26</v>
      </c>
      <c r="M113" s="26" t="s">
        <v>76</v>
      </c>
      <c r="N113" s="26" t="s">
        <v>269</v>
      </c>
      <c r="O113" s="205">
        <v>46128</v>
      </c>
      <c r="P113" s="26">
        <v>3750</v>
      </c>
      <c r="Q113" s="255">
        <f t="shared" si="39"/>
        <v>0</v>
      </c>
      <c r="R113" s="255"/>
      <c r="S113" s="255">
        <f t="shared" ca="1" si="40"/>
        <v>0</v>
      </c>
    </row>
    <row r="114" spans="1:19" ht="15.75" customHeight="1" x14ac:dyDescent="0.2">
      <c r="A114" s="252">
        <v>46137</v>
      </c>
      <c r="B114" s="253" t="s">
        <v>88</v>
      </c>
      <c r="C114" s="197" t="s">
        <v>142</v>
      </c>
      <c r="D114" s="198">
        <v>20020003</v>
      </c>
      <c r="E114" s="199" t="s">
        <v>29</v>
      </c>
      <c r="F114" s="254">
        <v>10</v>
      </c>
      <c r="G114" s="255">
        <v>1250</v>
      </c>
      <c r="H114" s="202">
        <f>Table1[[#This Row],[Qty Sold]]*Table1[[#This Row],[Rate]]</f>
        <v>12500</v>
      </c>
      <c r="I114" s="255" t="s">
        <v>42</v>
      </c>
      <c r="J114" s="255"/>
      <c r="K114" s="256"/>
      <c r="L114" s="255" t="str">
        <f t="shared" si="38"/>
        <v>Apr-26</v>
      </c>
      <c r="M114" s="26" t="s">
        <v>76</v>
      </c>
      <c r="N114" s="26" t="s">
        <v>299</v>
      </c>
      <c r="O114" s="205">
        <v>46142</v>
      </c>
      <c r="P114" s="26">
        <v>6250</v>
      </c>
      <c r="Q114" s="255">
        <f t="shared" si="39"/>
        <v>6250</v>
      </c>
      <c r="R114" s="255"/>
      <c r="S114" s="255">
        <f t="shared" ca="1" si="40"/>
        <v>24</v>
      </c>
    </row>
    <row r="115" spans="1:19" ht="15.75" hidden="1" customHeight="1" x14ac:dyDescent="0.2">
      <c r="A115" s="252">
        <v>46137</v>
      </c>
      <c r="B115" s="253" t="s">
        <v>88</v>
      </c>
      <c r="C115" s="197" t="s">
        <v>262</v>
      </c>
      <c r="D115" s="198">
        <v>20020025</v>
      </c>
      <c r="E115" s="199" t="s">
        <v>29</v>
      </c>
      <c r="F115" s="254">
        <v>8</v>
      </c>
      <c r="G115" s="255">
        <v>1250</v>
      </c>
      <c r="H115" s="202">
        <f>Table1[[#This Row],[Qty Sold]]*Table1[[#This Row],[Rate]]</f>
        <v>10000</v>
      </c>
      <c r="I115" s="255" t="s">
        <v>42</v>
      </c>
      <c r="J115" s="255"/>
      <c r="K115" s="256"/>
      <c r="L115" s="255" t="str">
        <f t="shared" si="38"/>
        <v>Apr-26</v>
      </c>
      <c r="M115" s="26" t="s">
        <v>145</v>
      </c>
      <c r="N115" s="26"/>
      <c r="O115" s="205">
        <v>46146</v>
      </c>
      <c r="P115" s="26">
        <v>10000</v>
      </c>
      <c r="Q115" s="255">
        <f t="shared" si="39"/>
        <v>0</v>
      </c>
      <c r="R115" s="255"/>
      <c r="S115" s="255">
        <f t="shared" ca="1" si="40"/>
        <v>0</v>
      </c>
    </row>
    <row r="116" spans="1:19" ht="15.75" customHeight="1" x14ac:dyDescent="0.2">
      <c r="A116" s="252">
        <v>46142</v>
      </c>
      <c r="B116" s="253" t="s">
        <v>88</v>
      </c>
      <c r="C116" s="197" t="s">
        <v>142</v>
      </c>
      <c r="D116" s="198">
        <v>20020003</v>
      </c>
      <c r="E116" s="199" t="s">
        <v>29</v>
      </c>
      <c r="F116" s="254">
        <v>5</v>
      </c>
      <c r="G116" s="255">
        <v>1250</v>
      </c>
      <c r="H116" s="202">
        <f>Table1[[#This Row],[Qty Sold]]*Table1[[#This Row],[Rate]]</f>
        <v>6250</v>
      </c>
      <c r="I116" s="255" t="s">
        <v>42</v>
      </c>
      <c r="J116" s="255"/>
      <c r="K116" s="256"/>
      <c r="L116" s="255" t="str">
        <f t="shared" si="38"/>
        <v>Apr-26</v>
      </c>
      <c r="M116" s="26"/>
      <c r="N116" s="26"/>
      <c r="O116" s="205"/>
      <c r="P116" s="26"/>
      <c r="Q116" s="255">
        <f t="shared" si="39"/>
        <v>6250</v>
      </c>
      <c r="R116" s="255"/>
      <c r="S116" s="255">
        <f t="shared" ca="1" si="40"/>
        <v>19</v>
      </c>
    </row>
    <row r="117" spans="1:19" ht="15.75" hidden="1" customHeight="1" x14ac:dyDescent="0.2">
      <c r="A117" s="252">
        <v>46137</v>
      </c>
      <c r="B117" s="253" t="s">
        <v>88</v>
      </c>
      <c r="C117" s="197" t="s">
        <v>262</v>
      </c>
      <c r="D117" s="198">
        <v>20020025</v>
      </c>
      <c r="E117" s="199" t="s">
        <v>29</v>
      </c>
      <c r="F117" s="254">
        <v>2</v>
      </c>
      <c r="G117" s="255">
        <v>1250</v>
      </c>
      <c r="H117" s="202">
        <f>Table1[[#This Row],[Qty Sold]]*Table1[[#This Row],[Rate]]</f>
        <v>2500</v>
      </c>
      <c r="I117" s="255" t="s">
        <v>42</v>
      </c>
      <c r="J117" s="255"/>
      <c r="K117" s="256"/>
      <c r="L117" s="255" t="str">
        <f t="shared" si="38"/>
        <v>Apr-26</v>
      </c>
      <c r="M117" s="26" t="s">
        <v>76</v>
      </c>
      <c r="N117" s="26" t="s">
        <v>286</v>
      </c>
      <c r="O117" s="205">
        <v>46135</v>
      </c>
      <c r="P117" s="26">
        <v>2500</v>
      </c>
      <c r="Q117" s="255">
        <f t="shared" si="39"/>
        <v>0</v>
      </c>
      <c r="R117" s="255"/>
      <c r="S117" s="255">
        <f t="shared" ca="1" si="40"/>
        <v>0</v>
      </c>
    </row>
    <row r="118" spans="1:19" ht="15.75" customHeight="1" x14ac:dyDescent="0.2">
      <c r="A118" s="252">
        <v>46142</v>
      </c>
      <c r="B118" s="253" t="s">
        <v>88</v>
      </c>
      <c r="C118" s="197" t="s">
        <v>262</v>
      </c>
      <c r="D118" s="198">
        <v>20020025</v>
      </c>
      <c r="E118" s="199" t="s">
        <v>29</v>
      </c>
      <c r="F118" s="254">
        <v>13</v>
      </c>
      <c r="G118" s="255">
        <v>1250</v>
      </c>
      <c r="H118" s="202">
        <f>Table1[[#This Row],[Qty Sold]]*Table1[[#This Row],[Rate]]</f>
        <v>16250</v>
      </c>
      <c r="I118" s="255" t="s">
        <v>42</v>
      </c>
      <c r="J118" s="255"/>
      <c r="K118" s="256"/>
      <c r="L118" s="255" t="str">
        <f t="shared" si="38"/>
        <v>Apr-26</v>
      </c>
      <c r="M118" s="26" t="s">
        <v>76</v>
      </c>
      <c r="N118" s="26" t="s">
        <v>300</v>
      </c>
      <c r="O118" s="205">
        <v>46135</v>
      </c>
      <c r="P118" s="26">
        <f>623+3750</f>
        <v>4373</v>
      </c>
      <c r="Q118" s="255">
        <f t="shared" si="39"/>
        <v>11877</v>
      </c>
      <c r="R118" s="255"/>
      <c r="S118" s="255">
        <f t="shared" ca="1" si="40"/>
        <v>19</v>
      </c>
    </row>
    <row r="119" spans="1:19" ht="15.75" customHeight="1" x14ac:dyDescent="0.2">
      <c r="A119" s="252">
        <v>46142</v>
      </c>
      <c r="B119" s="253" t="s">
        <v>88</v>
      </c>
      <c r="C119" s="197" t="s">
        <v>263</v>
      </c>
      <c r="D119" s="198">
        <v>20050001</v>
      </c>
      <c r="E119" s="199" t="s">
        <v>29</v>
      </c>
      <c r="F119" s="254">
        <v>5</v>
      </c>
      <c r="G119" s="255">
        <v>1250</v>
      </c>
      <c r="H119" s="202">
        <f>Table1[[#This Row],[Qty Sold]]*Table1[[#This Row],[Rate]]</f>
        <v>6250</v>
      </c>
      <c r="I119" s="255" t="s">
        <v>42</v>
      </c>
      <c r="J119" s="255"/>
      <c r="K119" s="256"/>
      <c r="L119" s="255" t="str">
        <f t="shared" si="38"/>
        <v>Apr-26</v>
      </c>
      <c r="M119" s="26" t="s">
        <v>76</v>
      </c>
      <c r="N119" s="26" t="s">
        <v>299</v>
      </c>
      <c r="O119" s="205">
        <v>46142</v>
      </c>
      <c r="P119" s="26">
        <v>5990</v>
      </c>
      <c r="Q119" s="255">
        <f t="shared" si="39"/>
        <v>260</v>
      </c>
      <c r="R119" s="255"/>
      <c r="S119" s="255">
        <f t="shared" ca="1" si="40"/>
        <v>19</v>
      </c>
    </row>
    <row r="120" spans="1:19" ht="15.75" customHeight="1" x14ac:dyDescent="0.2">
      <c r="A120" s="252">
        <v>46142</v>
      </c>
      <c r="B120" s="253" t="s">
        <v>88</v>
      </c>
      <c r="C120" s="197" t="s">
        <v>126</v>
      </c>
      <c r="D120" s="198">
        <v>20020020</v>
      </c>
      <c r="E120" s="199" t="s">
        <v>29</v>
      </c>
      <c r="F120" s="254">
        <v>6</v>
      </c>
      <c r="G120" s="255">
        <v>1250</v>
      </c>
      <c r="H120" s="202">
        <f>Table1[[#This Row],[Qty Sold]]*Table1[[#This Row],[Rate]]</f>
        <v>7500</v>
      </c>
      <c r="I120" s="255" t="s">
        <v>42</v>
      </c>
      <c r="J120" s="255"/>
      <c r="K120" s="256"/>
      <c r="L120" s="255" t="str">
        <f t="shared" si="38"/>
        <v>Apr-26</v>
      </c>
      <c r="M120" s="26" t="s">
        <v>76</v>
      </c>
      <c r="N120" s="26" t="s">
        <v>299</v>
      </c>
      <c r="O120" s="205">
        <v>46142</v>
      </c>
      <c r="P120" s="26">
        <v>5548</v>
      </c>
      <c r="Q120" s="255">
        <f t="shared" si="39"/>
        <v>1952</v>
      </c>
      <c r="R120" s="255"/>
      <c r="S120" s="255">
        <f t="shared" ca="1" si="40"/>
        <v>19</v>
      </c>
    </row>
    <row r="121" spans="1:19" ht="15.75" customHeight="1" x14ac:dyDescent="0.2">
      <c r="A121" s="252">
        <v>46142</v>
      </c>
      <c r="B121" s="253" t="s">
        <v>88</v>
      </c>
      <c r="C121" s="197" t="s">
        <v>195</v>
      </c>
      <c r="D121" s="198">
        <v>20020006</v>
      </c>
      <c r="E121" s="199" t="s">
        <v>29</v>
      </c>
      <c r="F121" s="254">
        <v>4</v>
      </c>
      <c r="G121" s="255">
        <v>1250</v>
      </c>
      <c r="H121" s="202">
        <f>Table1[[#This Row],[Qty Sold]]*Table1[[#This Row],[Rate]]</f>
        <v>5000</v>
      </c>
      <c r="I121" s="255" t="s">
        <v>42</v>
      </c>
      <c r="J121" s="255"/>
      <c r="K121" s="256"/>
      <c r="L121" s="255" t="str">
        <f t="shared" si="38"/>
        <v>Apr-26</v>
      </c>
      <c r="M121" s="26"/>
      <c r="N121" s="26"/>
      <c r="O121" s="205"/>
      <c r="P121" s="26"/>
      <c r="Q121" s="255">
        <f t="shared" si="39"/>
        <v>5000</v>
      </c>
      <c r="R121" s="255"/>
      <c r="S121" s="255">
        <f t="shared" ca="1" si="40"/>
        <v>19</v>
      </c>
    </row>
    <row r="122" spans="1:19" ht="15.75" customHeight="1" x14ac:dyDescent="0.2">
      <c r="A122" s="252">
        <v>46139</v>
      </c>
      <c r="B122" s="253" t="s">
        <v>91</v>
      </c>
      <c r="C122" s="197" t="s">
        <v>91</v>
      </c>
      <c r="D122" s="198">
        <v>20060001</v>
      </c>
      <c r="E122" s="199" t="s">
        <v>29</v>
      </c>
      <c r="F122" s="254">
        <v>3</v>
      </c>
      <c r="G122" s="255">
        <v>1250</v>
      </c>
      <c r="H122" s="202">
        <f>Table1[[#This Row],[Qty Sold]]*Table1[[#This Row],[Rate]]</f>
        <v>3750</v>
      </c>
      <c r="I122" s="255" t="s">
        <v>42</v>
      </c>
      <c r="J122" s="255"/>
      <c r="K122" s="256"/>
      <c r="L122" s="255" t="str">
        <f t="shared" si="38"/>
        <v>Apr-26</v>
      </c>
      <c r="M122" s="26" t="s">
        <v>76</v>
      </c>
      <c r="N122" s="26" t="s">
        <v>299</v>
      </c>
      <c r="O122" s="205">
        <v>46142</v>
      </c>
      <c r="P122" s="26">
        <v>2955</v>
      </c>
      <c r="Q122" s="255">
        <f t="shared" si="39"/>
        <v>795</v>
      </c>
      <c r="R122" s="255"/>
      <c r="S122" s="255">
        <f t="shared" ca="1" si="40"/>
        <v>22</v>
      </c>
    </row>
    <row r="123" spans="1:19" ht="15.75" customHeight="1" x14ac:dyDescent="0.2">
      <c r="A123" s="252">
        <v>46139</v>
      </c>
      <c r="B123" s="253" t="s">
        <v>91</v>
      </c>
      <c r="C123" s="197" t="s">
        <v>253</v>
      </c>
      <c r="D123" s="198">
        <v>20060005</v>
      </c>
      <c r="E123" s="199" t="s">
        <v>29</v>
      </c>
      <c r="F123" s="254">
        <v>2</v>
      </c>
      <c r="G123" s="255">
        <v>1250</v>
      </c>
      <c r="H123" s="202">
        <f>Table1[[#This Row],[Qty Sold]]*Table1[[#This Row],[Rate]]</f>
        <v>2500</v>
      </c>
      <c r="I123" s="255" t="s">
        <v>42</v>
      </c>
      <c r="J123" s="255"/>
      <c r="K123" s="256"/>
      <c r="L123" s="255" t="str">
        <f t="shared" si="38"/>
        <v>Apr-26</v>
      </c>
      <c r="M123" s="26"/>
      <c r="N123" s="26"/>
      <c r="O123" s="205"/>
      <c r="P123" s="26"/>
      <c r="Q123" s="255">
        <f t="shared" si="39"/>
        <v>2500</v>
      </c>
      <c r="R123" s="255"/>
      <c r="S123" s="255">
        <f t="shared" ca="1" si="40"/>
        <v>22</v>
      </c>
    </row>
    <row r="124" spans="1:19" ht="15.75" hidden="1" customHeight="1" x14ac:dyDescent="0.2">
      <c r="A124" s="252">
        <v>46134</v>
      </c>
      <c r="B124" s="253" t="s">
        <v>89</v>
      </c>
      <c r="C124" s="197" t="s">
        <v>275</v>
      </c>
      <c r="D124" s="198">
        <v>20030002</v>
      </c>
      <c r="E124" s="199" t="s">
        <v>29</v>
      </c>
      <c r="F124" s="254">
        <v>2</v>
      </c>
      <c r="G124" s="255">
        <v>1250</v>
      </c>
      <c r="H124" s="202">
        <f>Table1[[#This Row],[Qty Sold]]*Table1[[#This Row],[Rate]]</f>
        <v>2500</v>
      </c>
      <c r="I124" s="255" t="s">
        <v>42</v>
      </c>
      <c r="J124" s="255"/>
      <c r="K124" s="256"/>
      <c r="L124" s="255" t="str">
        <f t="shared" si="38"/>
        <v>Apr-26</v>
      </c>
      <c r="M124" s="26" t="s">
        <v>145</v>
      </c>
      <c r="N124" s="26"/>
      <c r="O124" s="205">
        <v>46134</v>
      </c>
      <c r="P124" s="26">
        <v>2500</v>
      </c>
      <c r="Q124" s="255">
        <f t="shared" si="39"/>
        <v>0</v>
      </c>
      <c r="R124" s="255"/>
      <c r="S124" s="255">
        <f t="shared" ca="1" si="40"/>
        <v>0</v>
      </c>
    </row>
    <row r="125" spans="1:19" ht="15.75" hidden="1" customHeight="1" x14ac:dyDescent="0.2">
      <c r="A125" s="252">
        <v>46142</v>
      </c>
      <c r="B125" s="253" t="s">
        <v>89</v>
      </c>
      <c r="C125" s="197" t="s">
        <v>89</v>
      </c>
      <c r="D125" s="198">
        <v>20030001</v>
      </c>
      <c r="E125" s="199" t="s">
        <v>29</v>
      </c>
      <c r="F125" s="254">
        <v>4</v>
      </c>
      <c r="G125" s="255">
        <v>1250</v>
      </c>
      <c r="H125" s="202">
        <f>Table1[[#This Row],[Qty Sold]]*Table1[[#This Row],[Rate]]</f>
        <v>5000</v>
      </c>
      <c r="I125" s="255" t="s">
        <v>42</v>
      </c>
      <c r="J125" s="255"/>
      <c r="K125" s="256"/>
      <c r="L125" s="255" t="str">
        <f t="shared" si="38"/>
        <v>Apr-26</v>
      </c>
      <c r="M125" s="26" t="s">
        <v>76</v>
      </c>
      <c r="N125" s="26" t="s">
        <v>299</v>
      </c>
      <c r="O125" s="205">
        <v>46142</v>
      </c>
      <c r="P125" s="26">
        <v>5000</v>
      </c>
      <c r="Q125" s="255">
        <f t="shared" si="39"/>
        <v>0</v>
      </c>
      <c r="R125" s="255"/>
      <c r="S125" s="255">
        <f t="shared" ca="1" si="40"/>
        <v>0</v>
      </c>
    </row>
    <row r="126" spans="1:19" ht="15.75" customHeight="1" x14ac:dyDescent="0.2">
      <c r="A126" s="252">
        <v>46139</v>
      </c>
      <c r="B126" s="253" t="s">
        <v>93</v>
      </c>
      <c r="C126" s="197" t="s">
        <v>93</v>
      </c>
      <c r="D126" s="198">
        <v>20060003</v>
      </c>
      <c r="E126" s="199" t="s">
        <v>29</v>
      </c>
      <c r="F126" s="254">
        <v>20</v>
      </c>
      <c r="G126" s="255">
        <v>1250</v>
      </c>
      <c r="H126" s="202">
        <f>Table1[[#This Row],[Qty Sold]]*Table1[[#This Row],[Rate]]</f>
        <v>25000</v>
      </c>
      <c r="I126" s="255" t="s">
        <v>42</v>
      </c>
      <c r="J126" s="255"/>
      <c r="K126" s="256"/>
      <c r="L126" s="255" t="str">
        <f t="shared" si="38"/>
        <v>Apr-26</v>
      </c>
      <c r="M126" s="26" t="s">
        <v>76</v>
      </c>
      <c r="N126" s="26" t="s">
        <v>299</v>
      </c>
      <c r="O126" s="205">
        <v>46142</v>
      </c>
      <c r="P126" s="26">
        <v>12500</v>
      </c>
      <c r="Q126" s="255">
        <f t="shared" si="39"/>
        <v>12500</v>
      </c>
      <c r="R126" s="255"/>
      <c r="S126" s="255">
        <f t="shared" ca="1" si="40"/>
        <v>22</v>
      </c>
    </row>
    <row r="127" spans="1:19" ht="15.75" customHeight="1" x14ac:dyDescent="0.2">
      <c r="A127" s="252">
        <v>46139</v>
      </c>
      <c r="B127" s="253" t="s">
        <v>95</v>
      </c>
      <c r="C127" s="197" t="s">
        <v>95</v>
      </c>
      <c r="D127" s="198">
        <v>20010003</v>
      </c>
      <c r="E127" s="199" t="s">
        <v>29</v>
      </c>
      <c r="F127" s="254">
        <v>10</v>
      </c>
      <c r="G127" s="255">
        <v>1250</v>
      </c>
      <c r="H127" s="202">
        <f>Table1[[#This Row],[Qty Sold]]*Table1[[#This Row],[Rate]]</f>
        <v>12500</v>
      </c>
      <c r="I127" s="255" t="s">
        <v>42</v>
      </c>
      <c r="J127" s="255"/>
      <c r="K127" s="256"/>
      <c r="L127" s="255" t="str">
        <f t="shared" si="38"/>
        <v>Apr-26</v>
      </c>
      <c r="M127" s="249" t="s">
        <v>76</v>
      </c>
      <c r="N127" s="249" t="s">
        <v>316</v>
      </c>
      <c r="O127" s="205">
        <v>46149</v>
      </c>
      <c r="P127" s="26">
        <v>10000</v>
      </c>
      <c r="Q127" s="255">
        <f t="shared" si="39"/>
        <v>2500</v>
      </c>
      <c r="R127" s="255"/>
      <c r="S127" s="255">
        <f t="shared" ca="1" si="40"/>
        <v>22</v>
      </c>
    </row>
    <row r="128" spans="1:19" ht="15.75" hidden="1" customHeight="1" x14ac:dyDescent="0.2">
      <c r="A128" s="252">
        <v>46128</v>
      </c>
      <c r="B128" s="253" t="s">
        <v>99</v>
      </c>
      <c r="C128" s="197" t="s">
        <v>293</v>
      </c>
      <c r="D128" s="198">
        <v>20070010</v>
      </c>
      <c r="E128" s="199" t="s">
        <v>29</v>
      </c>
      <c r="F128" s="254">
        <v>2</v>
      </c>
      <c r="G128" s="255">
        <v>1250</v>
      </c>
      <c r="H128" s="202">
        <f>Table1[[#This Row],[Qty Sold]]*Table1[[#This Row],[Rate]]</f>
        <v>2500</v>
      </c>
      <c r="I128" s="255" t="s">
        <v>42</v>
      </c>
      <c r="J128" s="255"/>
      <c r="K128" s="256"/>
      <c r="L128" s="255" t="str">
        <f t="shared" ref="L128:L135" si="41">TEXT(A128,"mmm-yy")</f>
        <v>Apr-26</v>
      </c>
      <c r="M128" s="26" t="s">
        <v>76</v>
      </c>
      <c r="N128" s="249" t="s">
        <v>315</v>
      </c>
      <c r="O128" s="205">
        <v>46128</v>
      </c>
      <c r="P128" s="26">
        <f>2490+10</f>
        <v>2500</v>
      </c>
      <c r="Q128" s="255">
        <f t="shared" ref="Q128:Q135" si="42">H128-P128</f>
        <v>0</v>
      </c>
      <c r="R128" s="255"/>
      <c r="S128" s="255">
        <f t="shared" ref="S128:S135" ca="1" si="43">IF(Q128&lt;=0,0,(TODAY()-A128))</f>
        <v>0</v>
      </c>
    </row>
    <row r="129" spans="1:19" ht="15.75" hidden="1" customHeight="1" x14ac:dyDescent="0.2">
      <c r="A129" s="252">
        <v>46128</v>
      </c>
      <c r="B129" s="253" t="s">
        <v>99</v>
      </c>
      <c r="C129" s="197" t="s">
        <v>294</v>
      </c>
      <c r="D129" s="198">
        <v>20070009</v>
      </c>
      <c r="E129" s="199" t="s">
        <v>29</v>
      </c>
      <c r="F129" s="254">
        <v>2</v>
      </c>
      <c r="G129" s="255">
        <v>1250</v>
      </c>
      <c r="H129" s="202">
        <f>Table1[[#This Row],[Qty Sold]]*Table1[[#This Row],[Rate]]</f>
        <v>2500</v>
      </c>
      <c r="I129" s="255" t="s">
        <v>42</v>
      </c>
      <c r="J129" s="255"/>
      <c r="K129" s="256"/>
      <c r="L129" s="255" t="str">
        <f t="shared" si="41"/>
        <v>Apr-26</v>
      </c>
      <c r="M129" s="26" t="s">
        <v>76</v>
      </c>
      <c r="N129" s="26" t="s">
        <v>269</v>
      </c>
      <c r="O129" s="205">
        <v>46128</v>
      </c>
      <c r="P129" s="26">
        <v>2500</v>
      </c>
      <c r="Q129" s="255">
        <f t="shared" si="42"/>
        <v>0</v>
      </c>
      <c r="R129" s="255"/>
      <c r="S129" s="255">
        <f t="shared" ca="1" si="43"/>
        <v>0</v>
      </c>
    </row>
    <row r="130" spans="1:19" ht="15.75" hidden="1" customHeight="1" x14ac:dyDescent="0.2">
      <c r="A130" s="252">
        <v>46137</v>
      </c>
      <c r="B130" s="253" t="s">
        <v>99</v>
      </c>
      <c r="C130" s="197" t="s">
        <v>99</v>
      </c>
      <c r="D130" s="198">
        <v>20070001</v>
      </c>
      <c r="E130" s="199" t="s">
        <v>29</v>
      </c>
      <c r="F130" s="254">
        <v>7</v>
      </c>
      <c r="G130" s="255">
        <v>1250</v>
      </c>
      <c r="H130" s="202">
        <f>Table1[[#This Row],[Qty Sold]]*Table1[[#This Row],[Rate]]</f>
        <v>8750</v>
      </c>
      <c r="I130" s="255" t="s">
        <v>42</v>
      </c>
      <c r="J130" s="255"/>
      <c r="K130" s="256"/>
      <c r="L130" s="255" t="str">
        <f t="shared" si="41"/>
        <v>Apr-26</v>
      </c>
      <c r="M130" s="26" t="s">
        <v>76</v>
      </c>
      <c r="N130" s="26" t="s">
        <v>286</v>
      </c>
      <c r="O130" s="205">
        <v>46135</v>
      </c>
      <c r="P130" s="26">
        <v>8750</v>
      </c>
      <c r="Q130" s="255">
        <f t="shared" si="42"/>
        <v>0</v>
      </c>
      <c r="R130" s="255"/>
      <c r="S130" s="255">
        <f t="shared" ca="1" si="43"/>
        <v>0</v>
      </c>
    </row>
    <row r="131" spans="1:19" ht="15.75" hidden="1" customHeight="1" x14ac:dyDescent="0.2">
      <c r="A131" s="252">
        <v>46137</v>
      </c>
      <c r="B131" s="253" t="s">
        <v>99</v>
      </c>
      <c r="C131" s="197" t="s">
        <v>99</v>
      </c>
      <c r="D131" s="198">
        <v>20070001</v>
      </c>
      <c r="E131" s="199" t="s">
        <v>29</v>
      </c>
      <c r="F131" s="254">
        <v>5</v>
      </c>
      <c r="G131" s="255">
        <v>1250</v>
      </c>
      <c r="H131" s="202">
        <f>Table1[[#This Row],[Qty Sold]]*Table1[[#This Row],[Rate]]</f>
        <v>6250</v>
      </c>
      <c r="I131" s="255" t="s">
        <v>42</v>
      </c>
      <c r="J131" s="255"/>
      <c r="K131" s="256"/>
      <c r="L131" s="255" t="str">
        <f>TEXT(A131,"mmm-yy")</f>
        <v>Apr-26</v>
      </c>
      <c r="M131" s="249" t="s">
        <v>76</v>
      </c>
      <c r="N131" s="249" t="s">
        <v>316</v>
      </c>
      <c r="O131" s="205">
        <v>46149</v>
      </c>
      <c r="P131" s="26">
        <v>6250</v>
      </c>
      <c r="Q131" s="255">
        <f>H131-P131</f>
        <v>0</v>
      </c>
      <c r="R131" s="255"/>
      <c r="S131" s="255">
        <f ca="1">IF(Q131&lt;=0,0,(TODAY()-A131))</f>
        <v>0</v>
      </c>
    </row>
    <row r="132" spans="1:19" ht="15.75" hidden="1" customHeight="1" x14ac:dyDescent="0.2">
      <c r="A132" s="252">
        <v>46147</v>
      </c>
      <c r="B132" s="253" t="s">
        <v>124</v>
      </c>
      <c r="C132" s="22" t="s">
        <v>129</v>
      </c>
      <c r="D132" s="32">
        <v>20090017</v>
      </c>
      <c r="E132" s="199" t="s">
        <v>29</v>
      </c>
      <c r="F132" s="254">
        <v>1</v>
      </c>
      <c r="G132" s="255">
        <v>1250</v>
      </c>
      <c r="H132" s="202">
        <f>Table1[[#This Row],[Qty Sold]]*Table1[[#This Row],[Rate]]</f>
        <v>1250</v>
      </c>
      <c r="I132" s="255" t="s">
        <v>42</v>
      </c>
      <c r="J132" s="255"/>
      <c r="K132" s="256"/>
      <c r="L132" s="255" t="str">
        <f t="shared" si="41"/>
        <v>May-26</v>
      </c>
      <c r="M132" s="26" t="s">
        <v>76</v>
      </c>
      <c r="N132" s="26" t="s">
        <v>286</v>
      </c>
      <c r="O132" s="205">
        <v>46135</v>
      </c>
      <c r="P132" s="26">
        <v>1250</v>
      </c>
      <c r="Q132" s="255">
        <f t="shared" si="42"/>
        <v>0</v>
      </c>
      <c r="R132" s="255"/>
      <c r="S132" s="255">
        <f t="shared" ca="1" si="43"/>
        <v>0</v>
      </c>
    </row>
    <row r="133" spans="1:19" ht="15.75" hidden="1" customHeight="1" x14ac:dyDescent="0.2">
      <c r="A133" s="252">
        <v>46147</v>
      </c>
      <c r="B133" s="253" t="s">
        <v>124</v>
      </c>
      <c r="C133" s="22" t="s">
        <v>129</v>
      </c>
      <c r="D133" s="32">
        <v>20090017</v>
      </c>
      <c r="E133" s="199" t="s">
        <v>29</v>
      </c>
      <c r="F133" s="254">
        <v>7</v>
      </c>
      <c r="G133" s="255">
        <v>1250</v>
      </c>
      <c r="H133" s="202">
        <f>Table1[[#This Row],[Qty Sold]]*Table1[[#This Row],[Rate]]</f>
        <v>8750</v>
      </c>
      <c r="I133" s="255" t="s">
        <v>42</v>
      </c>
      <c r="J133" s="255"/>
      <c r="K133" s="256"/>
      <c r="L133" s="255" t="str">
        <f t="shared" si="41"/>
        <v>May-26</v>
      </c>
      <c r="M133" s="249" t="s">
        <v>76</v>
      </c>
      <c r="N133" s="249" t="s">
        <v>316</v>
      </c>
      <c r="O133" s="205">
        <v>46149</v>
      </c>
      <c r="P133" s="26">
        <v>2500</v>
      </c>
      <c r="Q133" s="255">
        <f t="shared" si="42"/>
        <v>6250</v>
      </c>
      <c r="R133" s="255"/>
      <c r="S133" s="255">
        <f t="shared" ca="1" si="43"/>
        <v>14</v>
      </c>
    </row>
    <row r="134" spans="1:19" ht="15.75" hidden="1" customHeight="1" x14ac:dyDescent="0.2">
      <c r="A134" s="252">
        <v>46147</v>
      </c>
      <c r="B134" s="253" t="s">
        <v>124</v>
      </c>
      <c r="C134" s="22" t="s">
        <v>130</v>
      </c>
      <c r="D134" s="32">
        <v>20010053</v>
      </c>
      <c r="E134" s="199" t="s">
        <v>29</v>
      </c>
      <c r="F134" s="254">
        <v>2</v>
      </c>
      <c r="G134" s="255">
        <v>1250</v>
      </c>
      <c r="H134" s="202">
        <f>Table1[[#This Row],[Qty Sold]]*Table1[[#This Row],[Rate]]</f>
        <v>2500</v>
      </c>
      <c r="I134" s="255" t="s">
        <v>42</v>
      </c>
      <c r="J134" s="255"/>
      <c r="K134" s="256"/>
      <c r="L134" s="255" t="str">
        <f t="shared" si="41"/>
        <v>May-26</v>
      </c>
      <c r="M134" s="26" t="s">
        <v>76</v>
      </c>
      <c r="N134" s="249" t="s">
        <v>325</v>
      </c>
      <c r="O134" s="205">
        <v>46135</v>
      </c>
      <c r="P134" s="26">
        <f>443+2057</f>
        <v>2500</v>
      </c>
      <c r="Q134" s="255">
        <f t="shared" si="42"/>
        <v>0</v>
      </c>
      <c r="R134" s="255"/>
      <c r="S134" s="255">
        <f t="shared" ca="1" si="43"/>
        <v>0</v>
      </c>
    </row>
    <row r="135" spans="1:19" ht="15.75" hidden="1" customHeight="1" x14ac:dyDescent="0.2">
      <c r="A135" s="252">
        <v>46147</v>
      </c>
      <c r="B135" s="253" t="s">
        <v>124</v>
      </c>
      <c r="C135" s="197" t="s">
        <v>171</v>
      </c>
      <c r="D135" s="198">
        <v>20090015</v>
      </c>
      <c r="E135" s="199" t="s">
        <v>29</v>
      </c>
      <c r="F135" s="254">
        <v>5</v>
      </c>
      <c r="G135" s="255">
        <v>1250</v>
      </c>
      <c r="H135" s="202">
        <f>Table1[[#This Row],[Qty Sold]]*Table1[[#This Row],[Rate]]</f>
        <v>6250</v>
      </c>
      <c r="I135" s="255" t="s">
        <v>42</v>
      </c>
      <c r="J135" s="255"/>
      <c r="K135" s="256"/>
      <c r="L135" s="255" t="str">
        <f t="shared" si="41"/>
        <v>May-26</v>
      </c>
      <c r="M135" s="249" t="s">
        <v>76</v>
      </c>
      <c r="N135" s="249" t="s">
        <v>316</v>
      </c>
      <c r="O135" s="205">
        <v>46149</v>
      </c>
      <c r="P135" s="26">
        <f>1250+2226</f>
        <v>3476</v>
      </c>
      <c r="Q135" s="255">
        <f t="shared" si="42"/>
        <v>2774</v>
      </c>
      <c r="R135" s="255"/>
      <c r="S135" s="255">
        <f t="shared" ca="1" si="43"/>
        <v>14</v>
      </c>
    </row>
    <row r="136" spans="1:19" ht="15.75" hidden="1" customHeight="1" x14ac:dyDescent="0.2">
      <c r="A136" s="264">
        <v>46150</v>
      </c>
      <c r="B136" s="265" t="s">
        <v>88</v>
      </c>
      <c r="C136" s="197" t="s">
        <v>88</v>
      </c>
      <c r="D136" s="198">
        <v>20020001</v>
      </c>
      <c r="E136" s="199" t="s">
        <v>29</v>
      </c>
      <c r="F136" s="266">
        <v>16</v>
      </c>
      <c r="G136" s="255">
        <v>1250</v>
      </c>
      <c r="H136" s="202">
        <f>Table1[[#This Row],[Qty Sold]]*Table1[[#This Row],[Rate]]</f>
        <v>20000</v>
      </c>
      <c r="I136" s="267" t="s">
        <v>42</v>
      </c>
      <c r="J136" s="267"/>
      <c r="K136" s="268"/>
      <c r="L136" s="267" t="str">
        <f>TEXT(A136,"mmm-yy")</f>
        <v>May-26</v>
      </c>
      <c r="M136" s="249" t="s">
        <v>76</v>
      </c>
      <c r="N136" s="249" t="s">
        <v>316</v>
      </c>
      <c r="O136" s="205">
        <v>46149</v>
      </c>
      <c r="P136" s="26">
        <v>17961</v>
      </c>
      <c r="Q136" s="267">
        <f>H136-P136</f>
        <v>2039</v>
      </c>
      <c r="R136" s="267"/>
      <c r="S136" s="267">
        <f ca="1">IF(Q136&lt;=0,0,(TODAY()-A136))</f>
        <v>11</v>
      </c>
    </row>
    <row r="137" spans="1:19" ht="15.75" hidden="1" customHeight="1" x14ac:dyDescent="0.2">
      <c r="A137" s="264">
        <v>46150</v>
      </c>
      <c r="B137" s="265" t="s">
        <v>88</v>
      </c>
      <c r="C137" s="197" t="s">
        <v>259</v>
      </c>
      <c r="D137" s="198">
        <v>20020002</v>
      </c>
      <c r="E137" s="199" t="s">
        <v>29</v>
      </c>
      <c r="F137" s="266">
        <v>2</v>
      </c>
      <c r="G137" s="255">
        <v>1250</v>
      </c>
      <c r="H137" s="202">
        <f>Table1[[#This Row],[Qty Sold]]*Table1[[#This Row],[Rate]]</f>
        <v>2500</v>
      </c>
      <c r="I137" s="267" t="s">
        <v>42</v>
      </c>
      <c r="J137" s="267"/>
      <c r="K137" s="268"/>
      <c r="L137" s="267" t="str">
        <f>TEXT(A137,"mmm-yy")</f>
        <v>May-26</v>
      </c>
      <c r="M137" s="249" t="s">
        <v>76</v>
      </c>
      <c r="N137" s="249" t="s">
        <v>316</v>
      </c>
      <c r="O137" s="205">
        <v>46149</v>
      </c>
      <c r="P137" s="26">
        <v>2500</v>
      </c>
      <c r="Q137" s="267">
        <f>H137-P137</f>
        <v>0</v>
      </c>
      <c r="R137" s="267"/>
      <c r="S137" s="267">
        <f ca="1">IF(Q137&lt;=0,0,(TODAY()-A137))</f>
        <v>0</v>
      </c>
    </row>
    <row r="143" spans="1:19" ht="15.75" customHeight="1" x14ac:dyDescent="0.2">
      <c r="Q143">
        <v>8037</v>
      </c>
    </row>
    <row r="144" spans="1:19" ht="15.75" customHeight="1" x14ac:dyDescent="0.2">
      <c r="Q144">
        <v>1787</v>
      </c>
    </row>
    <row r="145" spans="16:17" ht="15.75" customHeight="1" x14ac:dyDescent="0.2">
      <c r="Q145">
        <f>+Q143-Q144</f>
        <v>6250</v>
      </c>
    </row>
    <row r="153" spans="16:17" ht="15.75" customHeight="1" x14ac:dyDescent="0.2">
      <c r="P153">
        <v>1943</v>
      </c>
    </row>
    <row r="154" spans="16:17" ht="15.75" customHeight="1" x14ac:dyDescent="0.2">
      <c r="P154">
        <v>835</v>
      </c>
    </row>
    <row r="155" spans="16:17" ht="15.75" customHeight="1" x14ac:dyDescent="0.2">
      <c r="P155">
        <f>+P153-P154</f>
        <v>1108</v>
      </c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403F-272C-4EFF-A333-9255CEB52283}">
  <dimension ref="A1:K20"/>
  <sheetViews>
    <sheetView tabSelected="1" workbookViewId="0">
      <selection activeCell="Q31" sqref="Q31"/>
    </sheetView>
  </sheetViews>
  <sheetFormatPr defaultRowHeight="12.75" x14ac:dyDescent="0.2"/>
  <sheetData>
    <row r="1" spans="1:11" x14ac:dyDescent="0.2">
      <c r="A1" s="6" t="s">
        <v>30</v>
      </c>
      <c r="B1" s="6" t="s">
        <v>0</v>
      </c>
      <c r="C1" s="6" t="s">
        <v>31</v>
      </c>
      <c r="D1" s="6" t="s">
        <v>75</v>
      </c>
      <c r="E1" s="6" t="s">
        <v>33</v>
      </c>
      <c r="F1" s="6" t="s">
        <v>34</v>
      </c>
      <c r="G1" s="6" t="s">
        <v>18</v>
      </c>
      <c r="H1" s="6" t="s">
        <v>1</v>
      </c>
      <c r="I1" s="6" t="s">
        <v>81</v>
      </c>
      <c r="J1" s="6" t="s">
        <v>40</v>
      </c>
      <c r="K1" s="6" t="s">
        <v>41</v>
      </c>
    </row>
    <row r="2" spans="1:11" x14ac:dyDescent="0.2">
      <c r="A2" s="290">
        <v>46087</v>
      </c>
      <c r="B2" s="6" t="s">
        <v>124</v>
      </c>
      <c r="C2" s="6" t="s">
        <v>169</v>
      </c>
      <c r="D2" s="6">
        <v>20090003</v>
      </c>
      <c r="E2" s="6" t="s">
        <v>29</v>
      </c>
      <c r="F2" s="6">
        <v>10</v>
      </c>
      <c r="G2" s="6">
        <v>1250</v>
      </c>
      <c r="H2" s="6">
        <v>12500</v>
      </c>
      <c r="I2" s="6">
        <v>2544</v>
      </c>
      <c r="J2" s="6"/>
      <c r="K2" s="6">
        <v>74</v>
      </c>
    </row>
    <row r="3" spans="1:11" x14ac:dyDescent="0.2">
      <c r="A3" s="290">
        <v>46098</v>
      </c>
      <c r="B3" s="6" t="s">
        <v>88</v>
      </c>
      <c r="C3" s="6" t="s">
        <v>195</v>
      </c>
      <c r="D3" s="6">
        <v>20020006</v>
      </c>
      <c r="E3" s="6" t="s">
        <v>29</v>
      </c>
      <c r="F3" s="6">
        <v>10</v>
      </c>
      <c r="G3" s="6">
        <v>1250</v>
      </c>
      <c r="H3" s="6">
        <v>12500</v>
      </c>
      <c r="I3" s="6">
        <v>8823</v>
      </c>
      <c r="J3" s="6"/>
      <c r="K3" s="6">
        <v>63</v>
      </c>
    </row>
    <row r="4" spans="1:11" x14ac:dyDescent="0.2">
      <c r="A4" s="290">
        <v>46107</v>
      </c>
      <c r="B4" s="6" t="s">
        <v>93</v>
      </c>
      <c r="C4" s="6" t="s">
        <v>93</v>
      </c>
      <c r="D4" s="6">
        <v>20060003</v>
      </c>
      <c r="E4" s="6" t="s">
        <v>29</v>
      </c>
      <c r="F4" s="6">
        <v>20</v>
      </c>
      <c r="G4" s="6">
        <v>1250</v>
      </c>
      <c r="H4" s="6">
        <v>25000</v>
      </c>
      <c r="I4" s="6">
        <v>12500</v>
      </c>
      <c r="J4" s="6"/>
      <c r="K4" s="6">
        <v>54</v>
      </c>
    </row>
    <row r="5" spans="1:11" x14ac:dyDescent="0.2">
      <c r="A5" s="290">
        <v>46107</v>
      </c>
      <c r="B5" s="6" t="s">
        <v>124</v>
      </c>
      <c r="C5" s="6" t="s">
        <v>171</v>
      </c>
      <c r="D5" s="6">
        <v>20090015</v>
      </c>
      <c r="E5" s="6" t="s">
        <v>29</v>
      </c>
      <c r="F5" s="6">
        <v>3</v>
      </c>
      <c r="G5" s="6">
        <v>1250</v>
      </c>
      <c r="H5" s="6">
        <v>3750</v>
      </c>
      <c r="I5" s="6">
        <v>591</v>
      </c>
      <c r="J5" s="6"/>
      <c r="K5" s="6">
        <v>54</v>
      </c>
    </row>
    <row r="6" spans="1:11" x14ac:dyDescent="0.2">
      <c r="A6" s="290">
        <v>46107</v>
      </c>
      <c r="B6" s="6" t="s">
        <v>124</v>
      </c>
      <c r="C6" s="6" t="s">
        <v>168</v>
      </c>
      <c r="D6" s="6">
        <v>20090020</v>
      </c>
      <c r="E6" s="6" t="s">
        <v>29</v>
      </c>
      <c r="F6" s="6">
        <v>3</v>
      </c>
      <c r="G6" s="6">
        <v>1250</v>
      </c>
      <c r="H6" s="6">
        <v>3750</v>
      </c>
      <c r="I6" s="6">
        <v>3750</v>
      </c>
      <c r="J6" s="6"/>
      <c r="K6" s="6">
        <v>54</v>
      </c>
    </row>
    <row r="7" spans="1:11" x14ac:dyDescent="0.2">
      <c r="A7" s="290">
        <v>46107</v>
      </c>
      <c r="B7" s="6" t="s">
        <v>124</v>
      </c>
      <c r="C7" s="6" t="s">
        <v>131</v>
      </c>
      <c r="D7" s="6">
        <v>20090011</v>
      </c>
      <c r="E7" s="6" t="s">
        <v>29</v>
      </c>
      <c r="F7" s="6">
        <v>3</v>
      </c>
      <c r="G7" s="6">
        <v>1250</v>
      </c>
      <c r="H7" s="6">
        <v>3750</v>
      </c>
      <c r="I7" s="6">
        <v>3750</v>
      </c>
      <c r="J7" s="6"/>
      <c r="K7" s="6">
        <v>54</v>
      </c>
    </row>
    <row r="8" spans="1:11" x14ac:dyDescent="0.2">
      <c r="A8" s="290">
        <v>46114</v>
      </c>
      <c r="B8" s="6" t="s">
        <v>88</v>
      </c>
      <c r="C8" s="6" t="s">
        <v>126</v>
      </c>
      <c r="D8" s="6">
        <v>20020020</v>
      </c>
      <c r="E8" s="6" t="s">
        <v>29</v>
      </c>
      <c r="F8" s="6">
        <v>5</v>
      </c>
      <c r="G8" s="6">
        <v>1250</v>
      </c>
      <c r="H8" s="6">
        <v>6250</v>
      </c>
      <c r="I8" s="6">
        <v>6250</v>
      </c>
      <c r="J8" s="6"/>
      <c r="K8" s="6">
        <v>47</v>
      </c>
    </row>
    <row r="9" spans="1:11" x14ac:dyDescent="0.2">
      <c r="A9" s="290">
        <v>46114</v>
      </c>
      <c r="B9" s="6" t="s">
        <v>88</v>
      </c>
      <c r="C9" s="6" t="s">
        <v>142</v>
      </c>
      <c r="D9" s="6">
        <v>20020003</v>
      </c>
      <c r="E9" s="6" t="s">
        <v>29</v>
      </c>
      <c r="F9" s="6">
        <v>10</v>
      </c>
      <c r="G9" s="6">
        <v>1250</v>
      </c>
      <c r="H9" s="6">
        <v>12500</v>
      </c>
      <c r="I9" s="6">
        <v>6250</v>
      </c>
      <c r="J9" s="6"/>
      <c r="K9" s="6">
        <v>47</v>
      </c>
    </row>
    <row r="10" spans="1:11" x14ac:dyDescent="0.2">
      <c r="A10" s="290">
        <v>46115</v>
      </c>
      <c r="B10" s="6" t="s">
        <v>95</v>
      </c>
      <c r="C10" s="6" t="s">
        <v>150</v>
      </c>
      <c r="D10" s="6">
        <v>20010016</v>
      </c>
      <c r="E10" s="6" t="s">
        <v>29</v>
      </c>
      <c r="F10" s="6">
        <v>2</v>
      </c>
      <c r="G10" s="6">
        <v>1250</v>
      </c>
      <c r="H10" s="6">
        <v>2500</v>
      </c>
      <c r="I10" s="6">
        <v>67</v>
      </c>
      <c r="J10" s="6"/>
      <c r="K10" s="6">
        <v>46</v>
      </c>
    </row>
    <row r="11" spans="1:11" x14ac:dyDescent="0.2">
      <c r="A11" s="290">
        <v>46137</v>
      </c>
      <c r="B11" s="6" t="s">
        <v>88</v>
      </c>
      <c r="C11" s="6" t="s">
        <v>142</v>
      </c>
      <c r="D11" s="6">
        <v>20020003</v>
      </c>
      <c r="E11" s="6" t="s">
        <v>29</v>
      </c>
      <c r="F11" s="6">
        <v>10</v>
      </c>
      <c r="G11" s="6">
        <v>1250</v>
      </c>
      <c r="H11" s="6">
        <v>12500</v>
      </c>
      <c r="I11" s="6">
        <v>6250</v>
      </c>
      <c r="J11" s="6"/>
      <c r="K11" s="6">
        <v>24</v>
      </c>
    </row>
    <row r="12" spans="1:11" x14ac:dyDescent="0.2">
      <c r="A12" s="290">
        <v>46142</v>
      </c>
      <c r="B12" s="6" t="s">
        <v>88</v>
      </c>
      <c r="C12" s="6" t="s">
        <v>142</v>
      </c>
      <c r="D12" s="6">
        <v>20020003</v>
      </c>
      <c r="E12" s="6" t="s">
        <v>29</v>
      </c>
      <c r="F12" s="6">
        <v>5</v>
      </c>
      <c r="G12" s="6">
        <v>1250</v>
      </c>
      <c r="H12" s="6">
        <v>6250</v>
      </c>
      <c r="I12" s="6">
        <v>6250</v>
      </c>
      <c r="J12" s="6"/>
      <c r="K12" s="6">
        <v>19</v>
      </c>
    </row>
    <row r="13" spans="1:11" x14ac:dyDescent="0.2">
      <c r="A13" s="290">
        <v>46142</v>
      </c>
      <c r="B13" s="6" t="s">
        <v>88</v>
      </c>
      <c r="C13" s="6" t="s">
        <v>262</v>
      </c>
      <c r="D13" s="6">
        <v>20020025</v>
      </c>
      <c r="E13" s="6" t="s">
        <v>29</v>
      </c>
      <c r="F13" s="6">
        <v>13</v>
      </c>
      <c r="G13" s="6">
        <v>1250</v>
      </c>
      <c r="H13" s="6">
        <v>16250</v>
      </c>
      <c r="I13" s="6">
        <v>11877</v>
      </c>
      <c r="J13" s="6"/>
      <c r="K13" s="6">
        <v>19</v>
      </c>
    </row>
    <row r="14" spans="1:11" x14ac:dyDescent="0.2">
      <c r="A14" s="290">
        <v>46142</v>
      </c>
      <c r="B14" s="6" t="s">
        <v>88</v>
      </c>
      <c r="C14" s="6" t="s">
        <v>263</v>
      </c>
      <c r="D14" s="6">
        <v>20050001</v>
      </c>
      <c r="E14" s="6" t="s">
        <v>29</v>
      </c>
      <c r="F14" s="6">
        <v>5</v>
      </c>
      <c r="G14" s="6">
        <v>1250</v>
      </c>
      <c r="H14" s="6">
        <v>6250</v>
      </c>
      <c r="I14" s="6">
        <v>260</v>
      </c>
      <c r="J14" s="6"/>
      <c r="K14" s="6">
        <v>19</v>
      </c>
    </row>
    <row r="15" spans="1:11" x14ac:dyDescent="0.2">
      <c r="A15" s="290">
        <v>46142</v>
      </c>
      <c r="B15" s="6" t="s">
        <v>88</v>
      </c>
      <c r="C15" s="6" t="s">
        <v>126</v>
      </c>
      <c r="D15" s="6">
        <v>20020020</v>
      </c>
      <c r="E15" s="6" t="s">
        <v>29</v>
      </c>
      <c r="F15" s="6">
        <v>6</v>
      </c>
      <c r="G15" s="6">
        <v>1250</v>
      </c>
      <c r="H15" s="6">
        <v>7500</v>
      </c>
      <c r="I15" s="6">
        <v>1952</v>
      </c>
      <c r="J15" s="6"/>
      <c r="K15" s="6">
        <v>19</v>
      </c>
    </row>
    <row r="16" spans="1:11" x14ac:dyDescent="0.2">
      <c r="A16" s="290">
        <v>46142</v>
      </c>
      <c r="B16" s="6" t="s">
        <v>88</v>
      </c>
      <c r="C16" s="6" t="s">
        <v>195</v>
      </c>
      <c r="D16" s="6">
        <v>20020006</v>
      </c>
      <c r="E16" s="6" t="s">
        <v>29</v>
      </c>
      <c r="F16" s="6">
        <v>4</v>
      </c>
      <c r="G16" s="6">
        <v>1250</v>
      </c>
      <c r="H16" s="6">
        <v>5000</v>
      </c>
      <c r="I16" s="6">
        <v>5000</v>
      </c>
      <c r="J16" s="6"/>
      <c r="K16" s="6">
        <v>19</v>
      </c>
    </row>
    <row r="17" spans="1:11" x14ac:dyDescent="0.2">
      <c r="A17" s="290">
        <v>46139</v>
      </c>
      <c r="B17" s="6" t="s">
        <v>91</v>
      </c>
      <c r="C17" s="6" t="s">
        <v>91</v>
      </c>
      <c r="D17" s="6">
        <v>20060001</v>
      </c>
      <c r="E17" s="6" t="s">
        <v>29</v>
      </c>
      <c r="F17" s="6">
        <v>3</v>
      </c>
      <c r="G17" s="6">
        <v>1250</v>
      </c>
      <c r="H17" s="6">
        <v>3750</v>
      </c>
      <c r="I17" s="6">
        <v>795</v>
      </c>
      <c r="J17" s="6"/>
      <c r="K17" s="6">
        <v>22</v>
      </c>
    </row>
    <row r="18" spans="1:11" x14ac:dyDescent="0.2">
      <c r="A18" s="290">
        <v>46139</v>
      </c>
      <c r="B18" s="6" t="s">
        <v>91</v>
      </c>
      <c r="C18" s="6" t="s">
        <v>253</v>
      </c>
      <c r="D18" s="6">
        <v>20060005</v>
      </c>
      <c r="E18" s="6" t="s">
        <v>29</v>
      </c>
      <c r="F18" s="6">
        <v>2</v>
      </c>
      <c r="G18" s="6">
        <v>1250</v>
      </c>
      <c r="H18" s="6">
        <v>2500</v>
      </c>
      <c r="I18" s="6">
        <v>2500</v>
      </c>
      <c r="J18" s="6"/>
      <c r="K18" s="6">
        <v>22</v>
      </c>
    </row>
    <row r="19" spans="1:11" x14ac:dyDescent="0.2">
      <c r="A19" s="290">
        <v>46139</v>
      </c>
      <c r="B19" s="6" t="s">
        <v>93</v>
      </c>
      <c r="C19" s="6" t="s">
        <v>93</v>
      </c>
      <c r="D19" s="6">
        <v>20060003</v>
      </c>
      <c r="E19" s="6" t="s">
        <v>29</v>
      </c>
      <c r="F19" s="6">
        <v>20</v>
      </c>
      <c r="G19" s="6">
        <v>1250</v>
      </c>
      <c r="H19" s="6">
        <v>25000</v>
      </c>
      <c r="I19" s="6">
        <v>12500</v>
      </c>
      <c r="J19" s="6"/>
      <c r="K19" s="6">
        <v>22</v>
      </c>
    </row>
    <row r="20" spans="1:11" x14ac:dyDescent="0.2">
      <c r="A20" s="290">
        <v>46139</v>
      </c>
      <c r="B20" s="6" t="s">
        <v>95</v>
      </c>
      <c r="C20" s="6" t="s">
        <v>95</v>
      </c>
      <c r="D20" s="6">
        <v>20010003</v>
      </c>
      <c r="E20" s="6" t="s">
        <v>29</v>
      </c>
      <c r="F20" s="6">
        <v>10</v>
      </c>
      <c r="G20" s="6">
        <v>1250</v>
      </c>
      <c r="H20" s="6">
        <v>12500</v>
      </c>
      <c r="I20" s="6">
        <v>2500</v>
      </c>
      <c r="J20" s="6"/>
      <c r="K20" s="6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0545-3630-4727-BE0F-66797DF92F2C}">
  <dimension ref="A1:J17"/>
  <sheetViews>
    <sheetView workbookViewId="0">
      <selection activeCell="A8" sqref="A8"/>
    </sheetView>
  </sheetViews>
  <sheetFormatPr defaultRowHeight="12.75" x14ac:dyDescent="0.2"/>
  <sheetData>
    <row r="1" spans="1:10" x14ac:dyDescent="0.2">
      <c r="B1" t="s">
        <v>59</v>
      </c>
    </row>
    <row r="2" spans="1:10" x14ac:dyDescent="0.2">
      <c r="A2" t="s">
        <v>79</v>
      </c>
      <c r="B2">
        <f ca="1">SUMIF('Farmer Deduction'!O:O,Check!B1,Table3[[#All],[Deliver Value]])</f>
        <v>1263362</v>
      </c>
    </row>
    <row r="3" spans="1:10" x14ac:dyDescent="0.2">
      <c r="A3" t="s">
        <v>76</v>
      </c>
      <c r="B3">
        <f>SUMIF(Table1[[#All],[Mode]],Check!A3,Table1[[#All],[Payment Amt]])</f>
        <v>1263362</v>
      </c>
    </row>
    <row r="4" spans="1:10" x14ac:dyDescent="0.2">
      <c r="A4" t="s">
        <v>77</v>
      </c>
      <c r="B4">
        <f>SUMIF(Table1[[#All],[Cycle]],Check!A4,Table1[[#All],[Payment Amt]])</f>
        <v>0</v>
      </c>
    </row>
    <row r="5" spans="1:10" x14ac:dyDescent="0.2">
      <c r="A5" t="s">
        <v>80</v>
      </c>
      <c r="B5">
        <f>+B3-B4</f>
        <v>1263362</v>
      </c>
    </row>
    <row r="6" spans="1:10" x14ac:dyDescent="0.2">
      <c r="B6" s="35">
        <f ca="1">+B2-B5</f>
        <v>0</v>
      </c>
    </row>
    <row r="15" spans="1:10" x14ac:dyDescent="0.2">
      <c r="J15" s="9"/>
    </row>
    <row r="16" spans="1:10" x14ac:dyDescent="0.2">
      <c r="J16" s="9"/>
    </row>
    <row r="17" spans="10:10" x14ac:dyDescent="0.2">
      <c r="J17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517"/>
  <sheetViews>
    <sheetView workbookViewId="0">
      <pane ySplit="1" topLeftCell="A2" activePane="bottomLeft" state="frozen"/>
      <selection activeCell="B3445" sqref="B3445"/>
      <selection pane="bottomLeft" activeCell="H5" sqref="H5"/>
    </sheetView>
  </sheetViews>
  <sheetFormatPr defaultColWidth="12.7109375" defaultRowHeight="15.75" customHeight="1" x14ac:dyDescent="0.2"/>
  <cols>
    <col min="1" max="1" width="18.85546875" style="9" customWidth="1"/>
    <col min="2" max="2" width="16.28515625" style="9" customWidth="1"/>
    <col min="3" max="3" width="18.28515625" style="9" bestFit="1" customWidth="1"/>
    <col min="4" max="4" width="19.28515625" style="9" customWidth="1"/>
    <col min="5" max="5" width="16.28515625" style="9" customWidth="1"/>
    <col min="6" max="6" width="30.7109375" style="37" bestFit="1" customWidth="1"/>
    <col min="7" max="7" width="20.140625" style="9" customWidth="1"/>
    <col min="8" max="8" width="18.85546875" style="9" customWidth="1"/>
    <col min="9" max="9" width="23.42578125" style="9" customWidth="1"/>
    <col min="10" max="10" width="45.28515625" style="9" customWidth="1"/>
    <col min="11" max="16384" width="12.7109375" style="9"/>
  </cols>
  <sheetData>
    <row r="1" spans="1:10" ht="12.75" x14ac:dyDescent="0.2">
      <c r="A1" s="42" t="s">
        <v>43</v>
      </c>
      <c r="B1" s="43" t="s">
        <v>44</v>
      </c>
      <c r="C1" s="43" t="s">
        <v>6</v>
      </c>
      <c r="D1" s="43" t="s">
        <v>45</v>
      </c>
      <c r="E1" s="43" t="s">
        <v>32</v>
      </c>
      <c r="F1" s="44" t="s">
        <v>46</v>
      </c>
      <c r="G1" s="43" t="s">
        <v>40</v>
      </c>
      <c r="H1" s="43" t="s">
        <v>47</v>
      </c>
      <c r="I1" s="43" t="s">
        <v>48</v>
      </c>
      <c r="J1" s="45" t="s">
        <v>78</v>
      </c>
    </row>
    <row r="2" spans="1:10" ht="15.75" customHeight="1" x14ac:dyDescent="0.2">
      <c r="A2" s="117">
        <v>46080</v>
      </c>
      <c r="B2" s="118">
        <v>1250</v>
      </c>
      <c r="C2" s="18" t="s">
        <v>124</v>
      </c>
      <c r="D2" s="119" t="s">
        <v>143</v>
      </c>
      <c r="E2" s="122">
        <v>20010053</v>
      </c>
      <c r="F2" s="25" t="s">
        <v>130</v>
      </c>
      <c r="G2" s="120"/>
      <c r="H2" s="23" t="s">
        <v>144</v>
      </c>
      <c r="I2" s="23"/>
      <c r="J2" s="121"/>
    </row>
    <row r="3" spans="1:10" ht="15.75" customHeight="1" x14ac:dyDescent="0.2">
      <c r="A3" s="117">
        <v>46095</v>
      </c>
      <c r="B3" s="21">
        <v>1250</v>
      </c>
      <c r="C3" s="21" t="s">
        <v>95</v>
      </c>
      <c r="D3" s="24" t="s">
        <v>191</v>
      </c>
      <c r="E3" s="123">
        <v>20010055</v>
      </c>
      <c r="F3" s="47" t="s">
        <v>151</v>
      </c>
      <c r="G3" s="21"/>
      <c r="H3" s="23" t="s">
        <v>144</v>
      </c>
      <c r="I3" s="21"/>
      <c r="J3" s="48"/>
    </row>
    <row r="4" spans="1:10" ht="15.75" customHeight="1" x14ac:dyDescent="0.2">
      <c r="A4" s="117">
        <v>46099</v>
      </c>
      <c r="B4" s="21">
        <v>6250</v>
      </c>
      <c r="C4" s="21" t="s">
        <v>89</v>
      </c>
      <c r="D4" s="34" t="s">
        <v>192</v>
      </c>
      <c r="E4" s="30">
        <v>20030001</v>
      </c>
      <c r="F4" s="47" t="s">
        <v>89</v>
      </c>
      <c r="G4" s="21"/>
      <c r="H4" s="23" t="s">
        <v>144</v>
      </c>
      <c r="I4" s="21"/>
      <c r="J4" s="48"/>
    </row>
    <row r="5" spans="1:10" ht="15.75" customHeight="1" x14ac:dyDescent="0.2">
      <c r="A5" s="117">
        <v>46100</v>
      </c>
      <c r="B5" s="21">
        <v>5000</v>
      </c>
      <c r="C5" s="21" t="s">
        <v>124</v>
      </c>
      <c r="D5" s="24" t="s">
        <v>196</v>
      </c>
      <c r="E5" s="30">
        <v>20090001</v>
      </c>
      <c r="F5" s="47" t="s">
        <v>124</v>
      </c>
      <c r="G5" s="21"/>
      <c r="H5" s="23" t="s">
        <v>144</v>
      </c>
      <c r="I5" s="21"/>
      <c r="J5" s="48"/>
    </row>
    <row r="6" spans="1:10" ht="15.75" customHeight="1" x14ac:dyDescent="0.2">
      <c r="A6" s="117">
        <v>46101</v>
      </c>
      <c r="B6" s="21">
        <v>1250</v>
      </c>
      <c r="C6" s="23" t="s">
        <v>124</v>
      </c>
      <c r="D6" s="34" t="s">
        <v>208</v>
      </c>
      <c r="E6" s="30">
        <v>20090001</v>
      </c>
      <c r="F6" s="47" t="s">
        <v>124</v>
      </c>
      <c r="G6" s="21"/>
      <c r="H6" s="23" t="s">
        <v>144</v>
      </c>
      <c r="I6" s="21"/>
      <c r="J6" s="48"/>
    </row>
    <row r="7" spans="1:10" ht="15.75" customHeight="1" x14ac:dyDescent="0.2">
      <c r="A7" s="46">
        <v>46119</v>
      </c>
      <c r="B7" s="21">
        <v>2500</v>
      </c>
      <c r="C7" s="21" t="s">
        <v>124</v>
      </c>
      <c r="D7" s="24" t="s">
        <v>242</v>
      </c>
      <c r="E7" s="30">
        <v>20090001</v>
      </c>
      <c r="F7" s="47" t="s">
        <v>124</v>
      </c>
      <c r="G7" s="21"/>
      <c r="H7" s="23" t="s">
        <v>144</v>
      </c>
      <c r="I7" s="21"/>
      <c r="J7" s="48"/>
    </row>
    <row r="8" spans="1:10" ht="15.75" customHeight="1" x14ac:dyDescent="0.2">
      <c r="A8" s="46">
        <v>46122</v>
      </c>
      <c r="B8" s="21">
        <v>22666</v>
      </c>
      <c r="C8" s="21" t="s">
        <v>92</v>
      </c>
      <c r="D8" s="24" t="s">
        <v>271</v>
      </c>
      <c r="E8" s="30">
        <v>20060004</v>
      </c>
      <c r="F8" s="47" t="s">
        <v>92</v>
      </c>
      <c r="G8" s="21"/>
      <c r="H8" s="23" t="s">
        <v>144</v>
      </c>
      <c r="I8" s="21"/>
      <c r="J8" s="48"/>
    </row>
    <row r="9" spans="1:10" ht="15.75" customHeight="1" x14ac:dyDescent="0.2">
      <c r="A9" s="46">
        <v>46139</v>
      </c>
      <c r="B9" s="21">
        <v>11000</v>
      </c>
      <c r="C9" s="21"/>
      <c r="D9" s="24" t="s">
        <v>272</v>
      </c>
      <c r="E9" s="30">
        <v>20010015</v>
      </c>
      <c r="F9" s="47" t="s">
        <v>273</v>
      </c>
      <c r="G9" s="21"/>
      <c r="H9" s="23" t="s">
        <v>144</v>
      </c>
      <c r="I9" s="21"/>
      <c r="J9" s="48"/>
    </row>
    <row r="10" spans="1:10" ht="15.75" customHeight="1" x14ac:dyDescent="0.2">
      <c r="A10" s="46">
        <v>46134</v>
      </c>
      <c r="B10" s="21">
        <v>2500</v>
      </c>
      <c r="C10" s="21" t="s">
        <v>89</v>
      </c>
      <c r="D10" s="24"/>
      <c r="E10" s="30"/>
      <c r="F10" s="47" t="s">
        <v>275</v>
      </c>
      <c r="G10" s="21"/>
      <c r="H10" s="23" t="s">
        <v>144</v>
      </c>
      <c r="I10" s="21"/>
      <c r="J10" s="48"/>
    </row>
    <row r="11" spans="1:10" ht="15.75" customHeight="1" x14ac:dyDescent="0.2">
      <c r="A11" s="46">
        <v>46146</v>
      </c>
      <c r="B11" s="21">
        <v>10000</v>
      </c>
      <c r="C11" s="21" t="s">
        <v>88</v>
      </c>
      <c r="D11" s="24" t="s">
        <v>277</v>
      </c>
      <c r="E11" s="30">
        <v>20020025</v>
      </c>
      <c r="F11" s="47" t="s">
        <v>262</v>
      </c>
      <c r="G11" s="21"/>
      <c r="H11" s="23" t="s">
        <v>144</v>
      </c>
      <c r="I11" s="21"/>
      <c r="J11" s="48"/>
    </row>
    <row r="12" spans="1:10" ht="15.75" customHeight="1" x14ac:dyDescent="0.2">
      <c r="A12" s="46"/>
      <c r="B12" s="21"/>
      <c r="C12" s="21"/>
      <c r="D12" s="24"/>
      <c r="E12" s="30"/>
      <c r="F12" s="47"/>
      <c r="G12" s="21"/>
      <c r="H12" s="21"/>
      <c r="I12" s="21"/>
      <c r="J12" s="48"/>
    </row>
    <row r="13" spans="1:10" ht="15.75" customHeight="1" x14ac:dyDescent="0.2">
      <c r="A13" s="46"/>
      <c r="B13" s="21"/>
      <c r="C13" s="21"/>
      <c r="D13" s="24"/>
      <c r="E13" s="30"/>
      <c r="F13" s="47"/>
      <c r="G13" s="21"/>
      <c r="H13" s="21"/>
      <c r="I13" s="21"/>
      <c r="J13" s="48"/>
    </row>
    <row r="14" spans="1:10" ht="15.75" customHeight="1" x14ac:dyDescent="0.2">
      <c r="A14" s="46"/>
      <c r="B14" s="21"/>
      <c r="C14" s="189"/>
      <c r="D14" s="24"/>
      <c r="E14" s="30"/>
      <c r="F14" s="47"/>
      <c r="G14" s="21"/>
      <c r="H14" s="21"/>
      <c r="I14" s="21"/>
      <c r="J14" s="48"/>
    </row>
    <row r="15" spans="1:10" ht="15.75" customHeight="1" x14ac:dyDescent="0.2">
      <c r="A15" s="46"/>
      <c r="B15" s="21"/>
      <c r="C15" s="21"/>
      <c r="D15" s="24"/>
      <c r="E15" s="30"/>
      <c r="F15" s="47"/>
      <c r="G15" s="21"/>
      <c r="H15" s="21"/>
      <c r="I15" s="21"/>
      <c r="J15" s="48"/>
    </row>
    <row r="16" spans="1:10" ht="15.75" customHeight="1" x14ac:dyDescent="0.2">
      <c r="A16" s="46"/>
      <c r="B16" s="21"/>
      <c r="C16" s="21"/>
      <c r="D16" s="24"/>
      <c r="E16" s="30"/>
      <c r="F16" s="47"/>
      <c r="G16" s="21"/>
      <c r="H16" s="21"/>
      <c r="I16" s="21"/>
      <c r="J16" s="48"/>
    </row>
    <row r="17" spans="1:11" ht="15.75" customHeight="1" x14ac:dyDescent="0.2">
      <c r="A17" s="46"/>
      <c r="B17" s="21"/>
      <c r="C17" s="21"/>
      <c r="D17" s="24"/>
      <c r="E17" s="30"/>
      <c r="F17" s="47"/>
      <c r="G17" s="21"/>
      <c r="H17" s="21"/>
      <c r="I17" s="21"/>
      <c r="J17" s="48"/>
    </row>
    <row r="18" spans="1:11" s="31" customFormat="1" ht="15.75" customHeight="1" x14ac:dyDescent="0.2">
      <c r="A18" s="46"/>
      <c r="B18" s="21"/>
      <c r="C18" s="21"/>
      <c r="D18" s="24"/>
      <c r="E18" s="30"/>
      <c r="F18" s="47"/>
      <c r="G18" s="21"/>
      <c r="H18" s="21"/>
      <c r="I18" s="21"/>
      <c r="J18" s="48"/>
      <c r="K18" s="9"/>
    </row>
    <row r="19" spans="1:11" s="31" customFormat="1" ht="15.75" customHeight="1" x14ac:dyDescent="0.2">
      <c r="A19" s="46"/>
      <c r="B19" s="21"/>
      <c r="C19" s="21"/>
      <c r="D19" s="24"/>
      <c r="E19" s="30"/>
      <c r="F19" s="47"/>
      <c r="G19" s="21"/>
      <c r="H19" s="21"/>
      <c r="I19" s="21"/>
      <c r="J19" s="48"/>
      <c r="K19" s="9"/>
    </row>
    <row r="20" spans="1:11" ht="15.75" customHeight="1" x14ac:dyDescent="0.2">
      <c r="A20" s="46"/>
      <c r="B20" s="21"/>
      <c r="C20" s="21"/>
      <c r="D20" s="24"/>
      <c r="E20" s="30"/>
      <c r="F20" s="47"/>
      <c r="G20" s="21"/>
      <c r="H20" s="21"/>
      <c r="I20" s="21"/>
      <c r="J20" s="48"/>
    </row>
    <row r="21" spans="1:11" ht="15.75" customHeight="1" x14ac:dyDescent="0.2">
      <c r="A21" s="46"/>
      <c r="B21" s="21"/>
      <c r="C21" s="21"/>
      <c r="D21" s="24"/>
      <c r="E21" s="30"/>
      <c r="F21" s="47"/>
      <c r="G21" s="21"/>
      <c r="H21" s="21"/>
      <c r="I21" s="21"/>
      <c r="J21" s="48"/>
    </row>
    <row r="22" spans="1:11" ht="15.75" customHeight="1" x14ac:dyDescent="0.2">
      <c r="A22" s="46"/>
      <c r="B22" s="21"/>
      <c r="C22" s="21"/>
      <c r="D22" s="24"/>
      <c r="E22" s="30"/>
      <c r="F22" s="47"/>
      <c r="G22" s="21"/>
      <c r="H22" s="21"/>
      <c r="I22" s="21"/>
      <c r="J22" s="48"/>
    </row>
    <row r="23" spans="1:11" ht="15.75" customHeight="1" x14ac:dyDescent="0.2">
      <c r="A23" s="46"/>
      <c r="B23" s="21"/>
      <c r="C23" s="21"/>
      <c r="D23" s="24"/>
      <c r="E23" s="30"/>
      <c r="F23" s="47"/>
      <c r="G23" s="21"/>
      <c r="H23" s="21"/>
      <c r="I23" s="21"/>
      <c r="J23" s="48"/>
    </row>
    <row r="24" spans="1:11" ht="15.75" customHeight="1" x14ac:dyDescent="0.2">
      <c r="A24" s="46"/>
      <c r="B24" s="21"/>
      <c r="C24" s="21"/>
      <c r="D24" s="24"/>
      <c r="E24" s="30"/>
      <c r="F24" s="47"/>
      <c r="G24" s="21"/>
      <c r="H24" s="21"/>
      <c r="I24" s="21"/>
      <c r="J24" s="48"/>
    </row>
    <row r="25" spans="1:11" ht="15.75" customHeight="1" x14ac:dyDescent="0.2">
      <c r="A25" s="46"/>
      <c r="B25" s="21"/>
      <c r="C25" s="21"/>
      <c r="D25" s="24"/>
      <c r="E25" s="30"/>
      <c r="F25" s="47"/>
      <c r="G25" s="21"/>
      <c r="H25" s="21"/>
      <c r="I25" s="21"/>
      <c r="J25" s="48"/>
    </row>
    <row r="26" spans="1:11" ht="15.75" customHeight="1" x14ac:dyDescent="0.2">
      <c r="A26" s="46"/>
      <c r="B26" s="21"/>
      <c r="C26" s="21"/>
      <c r="D26" s="24"/>
      <c r="E26" s="30"/>
      <c r="F26" s="47"/>
      <c r="G26" s="21"/>
      <c r="H26" s="21"/>
      <c r="I26" s="21"/>
      <c r="J26" s="48"/>
    </row>
    <row r="27" spans="1:11" ht="15.75" customHeight="1" x14ac:dyDescent="0.2">
      <c r="A27" s="46"/>
      <c r="B27" s="21"/>
      <c r="C27" s="21"/>
      <c r="D27" s="24"/>
      <c r="E27" s="30"/>
      <c r="F27" s="47"/>
      <c r="G27" s="21"/>
      <c r="H27" s="21"/>
      <c r="I27" s="21"/>
      <c r="J27" s="48"/>
    </row>
    <row r="28" spans="1:11" ht="15.75" customHeight="1" x14ac:dyDescent="0.2">
      <c r="A28" s="46"/>
      <c r="B28" s="21"/>
      <c r="C28" s="21"/>
      <c r="D28" s="24"/>
      <c r="E28" s="30"/>
      <c r="F28" s="47"/>
      <c r="G28" s="21"/>
      <c r="H28" s="21"/>
      <c r="I28" s="21"/>
      <c r="J28" s="48"/>
    </row>
    <row r="29" spans="1:11" ht="15.75" customHeight="1" x14ac:dyDescent="0.2">
      <c r="A29" s="46"/>
      <c r="B29" s="21"/>
      <c r="C29" s="21"/>
      <c r="D29" s="24"/>
      <c r="E29" s="30"/>
      <c r="F29" s="47"/>
      <c r="G29" s="21"/>
      <c r="H29" s="21"/>
      <c r="I29" s="21"/>
      <c r="J29" s="48"/>
    </row>
    <row r="30" spans="1:11" ht="15.75" customHeight="1" x14ac:dyDescent="0.2">
      <c r="A30" s="46"/>
      <c r="B30" s="21"/>
      <c r="C30" s="21"/>
      <c r="D30" s="24"/>
      <c r="E30" s="30"/>
      <c r="F30" s="47"/>
      <c r="G30" s="21"/>
      <c r="H30" s="21"/>
      <c r="I30" s="21"/>
      <c r="J30" s="48"/>
    </row>
    <row r="31" spans="1:11" ht="15.75" customHeight="1" x14ac:dyDescent="0.2">
      <c r="A31" s="46"/>
      <c r="B31" s="21"/>
      <c r="C31" s="21"/>
      <c r="D31" s="24"/>
      <c r="E31" s="30"/>
      <c r="F31" s="47"/>
      <c r="G31" s="21"/>
      <c r="H31" s="21"/>
      <c r="I31" s="21"/>
      <c r="J31" s="48"/>
    </row>
    <row r="32" spans="1:11" ht="15.75" customHeight="1" x14ac:dyDescent="0.2">
      <c r="A32" s="46"/>
      <c r="B32" s="21"/>
      <c r="C32" s="21"/>
      <c r="D32" s="24"/>
      <c r="E32" s="30"/>
      <c r="F32" s="47"/>
      <c r="G32" s="21"/>
      <c r="H32" s="21"/>
      <c r="I32" s="21"/>
      <c r="J32" s="48"/>
    </row>
    <row r="33" spans="1:10" ht="15.75" customHeight="1" x14ac:dyDescent="0.2">
      <c r="A33" s="46"/>
      <c r="B33" s="21"/>
      <c r="C33" s="23"/>
      <c r="D33" s="24"/>
      <c r="E33" s="30"/>
      <c r="F33" s="47"/>
      <c r="G33" s="21"/>
      <c r="H33" s="21"/>
      <c r="I33" s="21"/>
      <c r="J33" s="48"/>
    </row>
    <row r="34" spans="1:10" ht="15.75" customHeight="1" x14ac:dyDescent="0.2">
      <c r="A34" s="46"/>
      <c r="B34" s="21"/>
      <c r="C34" s="21"/>
      <c r="D34" s="24"/>
      <c r="E34" s="30"/>
      <c r="F34" s="47"/>
      <c r="G34" s="21"/>
      <c r="H34" s="21"/>
      <c r="I34" s="21"/>
      <c r="J34" s="48"/>
    </row>
    <row r="35" spans="1:10" ht="15.75" customHeight="1" x14ac:dyDescent="0.2">
      <c r="A35" s="46"/>
      <c r="B35" s="21"/>
      <c r="C35" s="21"/>
      <c r="D35" s="24"/>
      <c r="E35" s="30"/>
      <c r="F35" s="47"/>
      <c r="G35" s="21"/>
      <c r="H35" s="21"/>
      <c r="I35" s="21"/>
      <c r="J35" s="48"/>
    </row>
    <row r="36" spans="1:10" ht="15.75" customHeight="1" x14ac:dyDescent="0.2">
      <c r="A36" s="46"/>
      <c r="B36" s="21"/>
      <c r="C36" s="21"/>
      <c r="D36" s="24"/>
      <c r="E36" s="59"/>
      <c r="F36" s="47"/>
      <c r="G36" s="21"/>
      <c r="H36" s="21"/>
      <c r="I36" s="21"/>
      <c r="J36" s="48"/>
    </row>
    <row r="37" spans="1:10" ht="15.75" customHeight="1" x14ac:dyDescent="0.2">
      <c r="A37" s="46"/>
      <c r="B37" s="21"/>
      <c r="C37" s="21"/>
      <c r="D37" s="24"/>
      <c r="E37" s="59"/>
      <c r="F37" s="47"/>
      <c r="G37" s="21"/>
      <c r="H37" s="21"/>
      <c r="I37" s="21"/>
      <c r="J37" s="48"/>
    </row>
    <row r="38" spans="1:10" ht="15.75" customHeight="1" x14ac:dyDescent="0.2">
      <c r="A38" s="46"/>
      <c r="B38" s="21"/>
      <c r="C38" s="21"/>
      <c r="D38" s="24"/>
      <c r="E38" s="30"/>
      <c r="F38" s="47"/>
      <c r="G38" s="21"/>
      <c r="H38" s="21"/>
      <c r="I38" s="21"/>
      <c r="J38" s="48"/>
    </row>
    <row r="39" spans="1:10" ht="15.75" customHeight="1" x14ac:dyDescent="0.2">
      <c r="A39" s="46"/>
      <c r="B39" s="21"/>
      <c r="C39" s="21"/>
      <c r="D39" s="24"/>
      <c r="E39" s="30"/>
      <c r="F39" s="47"/>
      <c r="G39" s="21"/>
      <c r="H39" s="21"/>
      <c r="I39" s="21"/>
      <c r="J39" s="48"/>
    </row>
    <row r="40" spans="1:10" ht="15.75" customHeight="1" x14ac:dyDescent="0.2">
      <c r="A40" s="46"/>
      <c r="B40" s="21"/>
      <c r="C40" s="21"/>
      <c r="D40" s="24"/>
      <c r="E40" s="30"/>
      <c r="F40" s="47"/>
      <c r="G40" s="21"/>
      <c r="H40" s="21"/>
      <c r="I40" s="21"/>
      <c r="J40" s="48"/>
    </row>
    <row r="41" spans="1:10" ht="15.75" customHeight="1" x14ac:dyDescent="0.2">
      <c r="A41" s="46"/>
      <c r="B41" s="21"/>
      <c r="C41" s="21"/>
      <c r="D41" s="24"/>
      <c r="E41" s="30"/>
      <c r="F41" s="47"/>
      <c r="G41" s="21"/>
      <c r="H41" s="21"/>
      <c r="I41" s="21"/>
      <c r="J41" s="48"/>
    </row>
    <row r="42" spans="1:10" ht="15.75" customHeight="1" x14ac:dyDescent="0.2">
      <c r="A42" s="46"/>
      <c r="B42" s="21"/>
      <c r="C42" s="21"/>
      <c r="D42" s="24"/>
      <c r="E42" s="30"/>
      <c r="F42" s="47"/>
      <c r="G42" s="21"/>
      <c r="H42" s="21"/>
      <c r="I42" s="21"/>
      <c r="J42" s="48"/>
    </row>
    <row r="43" spans="1:10" ht="15.75" customHeight="1" x14ac:dyDescent="0.2">
      <c r="A43" s="46"/>
      <c r="B43" s="21"/>
      <c r="C43" s="21"/>
      <c r="D43" s="24"/>
      <c r="E43" s="30"/>
      <c r="F43" s="47"/>
      <c r="G43" s="21"/>
      <c r="H43" s="21"/>
      <c r="I43" s="21"/>
      <c r="J43" s="48"/>
    </row>
    <row r="44" spans="1:10" ht="15.75" customHeight="1" x14ac:dyDescent="0.2">
      <c r="A44" s="46"/>
      <c r="B44" s="21"/>
      <c r="C44" s="21"/>
      <c r="D44" s="24"/>
      <c r="E44" s="30"/>
      <c r="F44" s="47"/>
      <c r="G44" s="21"/>
      <c r="H44" s="21"/>
      <c r="I44" s="21"/>
      <c r="J44" s="48"/>
    </row>
    <row r="45" spans="1:10" ht="15.75" customHeight="1" x14ac:dyDescent="0.2">
      <c r="A45" s="46"/>
      <c r="B45" s="21"/>
      <c r="C45" s="21"/>
      <c r="D45" s="24"/>
      <c r="E45" s="30"/>
      <c r="F45" s="47"/>
      <c r="G45" s="21"/>
      <c r="H45" s="21"/>
      <c r="I45" s="21"/>
      <c r="J45" s="48"/>
    </row>
    <row r="46" spans="1:10" ht="15.75" customHeight="1" x14ac:dyDescent="0.2">
      <c r="A46" s="46"/>
      <c r="B46" s="21"/>
      <c r="C46" s="21"/>
      <c r="D46" s="24"/>
      <c r="E46" s="30"/>
      <c r="F46" s="47"/>
      <c r="G46" s="21"/>
      <c r="H46" s="21"/>
      <c r="I46" s="21"/>
      <c r="J46" s="48"/>
    </row>
    <row r="47" spans="1:10" ht="15.75" customHeight="1" x14ac:dyDescent="0.2">
      <c r="A47" s="46"/>
      <c r="B47" s="21"/>
      <c r="C47" s="21"/>
      <c r="D47" s="24"/>
      <c r="E47" s="30"/>
      <c r="F47" s="47"/>
      <c r="G47" s="21"/>
      <c r="H47" s="21"/>
      <c r="I47" s="21"/>
      <c r="J47" s="48"/>
    </row>
    <row r="48" spans="1:10" ht="15.75" customHeight="1" x14ac:dyDescent="0.2">
      <c r="A48" s="46"/>
      <c r="B48" s="21"/>
      <c r="C48" s="189"/>
      <c r="D48" s="24"/>
      <c r="E48" s="30"/>
      <c r="F48" s="47"/>
      <c r="G48" s="21"/>
      <c r="H48" s="21"/>
      <c r="I48" s="21"/>
      <c r="J48" s="48"/>
    </row>
    <row r="49" spans="1:10" ht="15.75" customHeight="1" x14ac:dyDescent="0.2">
      <c r="A49" s="46"/>
      <c r="B49" s="21"/>
      <c r="C49" s="189"/>
      <c r="D49" s="24"/>
      <c r="E49" s="30"/>
      <c r="F49" s="47"/>
      <c r="G49" s="21"/>
      <c r="H49" s="21"/>
      <c r="I49" s="21"/>
      <c r="J49" s="48"/>
    </row>
    <row r="50" spans="1:10" ht="15.75" customHeight="1" x14ac:dyDescent="0.2">
      <c r="A50" s="46"/>
      <c r="B50" s="21"/>
      <c r="C50" s="189"/>
      <c r="D50" s="24"/>
      <c r="E50" s="30"/>
      <c r="F50" s="47"/>
      <c r="G50" s="21"/>
      <c r="H50" s="21"/>
      <c r="I50" s="21"/>
      <c r="J50" s="48"/>
    </row>
    <row r="51" spans="1:10" ht="15.75" customHeight="1" x14ac:dyDescent="0.2">
      <c r="A51" s="46"/>
      <c r="B51" s="21"/>
      <c r="C51" s="189"/>
      <c r="D51" s="24"/>
      <c r="E51" s="30"/>
      <c r="F51" s="47"/>
      <c r="G51" s="21"/>
      <c r="H51" s="21"/>
      <c r="I51" s="21"/>
      <c r="J51" s="48"/>
    </row>
    <row r="52" spans="1:10" ht="15.75" customHeight="1" x14ac:dyDescent="0.2">
      <c r="A52" s="46"/>
      <c r="B52" s="21"/>
      <c r="C52" s="21"/>
      <c r="D52" s="24"/>
      <c r="E52" s="30"/>
      <c r="F52" s="57"/>
      <c r="G52" s="21"/>
      <c r="H52" s="21"/>
      <c r="I52" s="21"/>
      <c r="J52" s="48"/>
    </row>
    <row r="53" spans="1:10" ht="15.75" customHeight="1" x14ac:dyDescent="0.2">
      <c r="A53" s="46"/>
      <c r="B53" s="21"/>
      <c r="C53" s="21"/>
      <c r="D53" s="24"/>
      <c r="E53" s="30"/>
      <c r="F53" s="47"/>
      <c r="G53" s="21"/>
      <c r="H53" s="21"/>
      <c r="I53" s="21"/>
      <c r="J53" s="48"/>
    </row>
    <row r="54" spans="1:10" ht="15.75" customHeight="1" x14ac:dyDescent="0.2">
      <c r="A54" s="46"/>
      <c r="B54" s="21"/>
      <c r="C54" s="21"/>
      <c r="D54" s="24"/>
      <c r="E54" s="30"/>
      <c r="F54" s="47"/>
      <c r="G54" s="21"/>
      <c r="H54" s="21"/>
      <c r="I54" s="21"/>
      <c r="J54" s="48"/>
    </row>
    <row r="55" spans="1:10" ht="15.75" customHeight="1" x14ac:dyDescent="0.2">
      <c r="A55" s="46"/>
      <c r="B55" s="21"/>
      <c r="C55" s="21"/>
      <c r="D55" s="24"/>
      <c r="E55" s="30"/>
      <c r="F55" s="47"/>
      <c r="G55" s="21"/>
      <c r="H55" s="21"/>
      <c r="I55" s="21"/>
      <c r="J55" s="48"/>
    </row>
    <row r="56" spans="1:10" ht="15.75" customHeight="1" x14ac:dyDescent="0.2">
      <c r="A56" s="46"/>
      <c r="B56" s="21"/>
      <c r="C56" s="21"/>
      <c r="D56" s="24"/>
      <c r="E56" s="30"/>
      <c r="F56" s="47"/>
      <c r="G56" s="21"/>
      <c r="H56" s="21"/>
      <c r="I56" s="21"/>
      <c r="J56" s="48"/>
    </row>
    <row r="57" spans="1:10" ht="15.75" customHeight="1" x14ac:dyDescent="0.2">
      <c r="A57" s="46"/>
      <c r="B57" s="21"/>
      <c r="C57" s="21"/>
      <c r="D57" s="24"/>
      <c r="E57" s="30"/>
      <c r="F57" s="47"/>
      <c r="G57" s="21"/>
      <c r="H57" s="21"/>
      <c r="I57" s="21"/>
      <c r="J57" s="48"/>
    </row>
    <row r="58" spans="1:10" ht="15.75" customHeight="1" x14ac:dyDescent="0.2">
      <c r="A58" s="46"/>
      <c r="B58" s="21"/>
      <c r="C58" s="21"/>
      <c r="D58" s="24"/>
      <c r="E58" s="30"/>
      <c r="F58" s="47"/>
      <c r="G58" s="21"/>
      <c r="H58" s="21"/>
      <c r="I58" s="21"/>
      <c r="J58" s="48"/>
    </row>
    <row r="59" spans="1:10" ht="15.75" customHeight="1" x14ac:dyDescent="0.2">
      <c r="A59" s="46"/>
      <c r="B59" s="21"/>
      <c r="C59" s="21"/>
      <c r="D59" s="24"/>
      <c r="E59" s="30"/>
      <c r="F59" s="47"/>
      <c r="G59" s="21"/>
      <c r="H59" s="21"/>
      <c r="I59" s="21"/>
      <c r="J59" s="48"/>
    </row>
    <row r="60" spans="1:10" ht="15.75" customHeight="1" x14ac:dyDescent="0.2">
      <c r="A60" s="46"/>
      <c r="B60" s="21"/>
      <c r="C60" s="21"/>
      <c r="D60" s="24"/>
      <c r="E60" s="30"/>
      <c r="F60" s="47"/>
      <c r="G60" s="21"/>
      <c r="H60" s="21"/>
      <c r="I60" s="21"/>
      <c r="J60" s="48"/>
    </row>
    <row r="61" spans="1:10" ht="15.75" customHeight="1" x14ac:dyDescent="0.2">
      <c r="A61" s="46"/>
      <c r="B61" s="21"/>
      <c r="C61" s="21"/>
      <c r="D61" s="24"/>
      <c r="E61" s="30"/>
      <c r="F61" s="47"/>
      <c r="G61" s="21"/>
      <c r="H61" s="21"/>
      <c r="I61" s="21"/>
      <c r="J61" s="48"/>
    </row>
    <row r="62" spans="1:10" ht="15.75" customHeight="1" x14ac:dyDescent="0.2">
      <c r="A62" s="46"/>
      <c r="B62" s="21"/>
      <c r="C62" s="21"/>
      <c r="D62" s="24"/>
      <c r="E62" s="30"/>
      <c r="F62" s="47"/>
      <c r="G62" s="21"/>
      <c r="H62" s="21"/>
      <c r="I62" s="21"/>
      <c r="J62" s="48"/>
    </row>
    <row r="63" spans="1:10" ht="15.75" customHeight="1" x14ac:dyDescent="0.2">
      <c r="A63" s="46"/>
      <c r="B63" s="21"/>
      <c r="C63" s="21"/>
      <c r="D63" s="24"/>
      <c r="E63" s="30"/>
      <c r="F63" s="47"/>
      <c r="G63" s="21"/>
      <c r="H63" s="21"/>
      <c r="I63" s="21"/>
      <c r="J63" s="48"/>
    </row>
    <row r="64" spans="1:10" ht="15.75" customHeight="1" x14ac:dyDescent="0.2">
      <c r="A64" s="46"/>
      <c r="B64" s="21"/>
      <c r="C64" s="21"/>
      <c r="D64" s="24"/>
      <c r="E64" s="30"/>
      <c r="F64" s="47"/>
      <c r="G64" s="21"/>
      <c r="H64" s="21"/>
      <c r="I64" s="21"/>
      <c r="J64" s="48"/>
    </row>
    <row r="65" spans="1:10" ht="15.75" customHeight="1" x14ac:dyDescent="0.2">
      <c r="A65" s="46"/>
      <c r="B65" s="21"/>
      <c r="C65" s="21"/>
      <c r="D65" s="24"/>
      <c r="E65" s="30"/>
      <c r="F65" s="47"/>
      <c r="G65" s="21"/>
      <c r="H65" s="21"/>
      <c r="I65" s="21"/>
      <c r="J65" s="48"/>
    </row>
    <row r="66" spans="1:10" ht="15.75" customHeight="1" x14ac:dyDescent="0.2">
      <c r="A66" s="46"/>
      <c r="B66" s="21"/>
      <c r="C66" s="21"/>
      <c r="D66" s="24"/>
      <c r="E66" s="30"/>
      <c r="F66" s="47"/>
      <c r="G66" s="21"/>
      <c r="H66" s="21"/>
      <c r="I66" s="21"/>
      <c r="J66" s="48"/>
    </row>
    <row r="67" spans="1:10" ht="15.75" customHeight="1" x14ac:dyDescent="0.2">
      <c r="A67" s="46"/>
      <c r="B67" s="21"/>
      <c r="C67" s="21"/>
      <c r="D67" s="24"/>
      <c r="E67" s="30"/>
      <c r="F67" s="47"/>
      <c r="G67" s="21"/>
      <c r="H67" s="21"/>
      <c r="I67" s="21"/>
      <c r="J67" s="48"/>
    </row>
    <row r="68" spans="1:10" ht="15.75" customHeight="1" x14ac:dyDescent="0.2">
      <c r="A68" s="46"/>
      <c r="B68" s="21"/>
      <c r="C68" s="21"/>
      <c r="D68" s="24"/>
      <c r="E68" s="30"/>
      <c r="F68" s="47"/>
      <c r="G68" s="21"/>
      <c r="H68" s="21"/>
      <c r="I68" s="21"/>
      <c r="J68" s="48"/>
    </row>
    <row r="69" spans="1:10" ht="15.75" customHeight="1" x14ac:dyDescent="0.2">
      <c r="A69" s="46"/>
      <c r="B69" s="21"/>
      <c r="C69" s="21"/>
      <c r="D69" s="24"/>
      <c r="E69" s="30"/>
      <c r="F69" s="57"/>
      <c r="G69" s="21"/>
      <c r="H69" s="21"/>
      <c r="I69" s="21"/>
      <c r="J69" s="48"/>
    </row>
    <row r="70" spans="1:10" ht="15.75" customHeight="1" x14ac:dyDescent="0.2">
      <c r="A70" s="46"/>
      <c r="B70" s="21"/>
      <c r="C70" s="21"/>
      <c r="D70" s="24"/>
      <c r="E70" s="30"/>
      <c r="F70" s="47"/>
      <c r="G70" s="21"/>
      <c r="H70" s="21"/>
      <c r="I70" s="21"/>
      <c r="J70" s="48"/>
    </row>
    <row r="71" spans="1:10" ht="15.75" customHeight="1" x14ac:dyDescent="0.2">
      <c r="A71" s="46"/>
      <c r="B71" s="21"/>
      <c r="C71" s="21"/>
      <c r="D71" s="24"/>
      <c r="E71" s="30"/>
      <c r="F71" s="47"/>
      <c r="G71" s="21"/>
      <c r="H71" s="21"/>
      <c r="I71" s="21"/>
      <c r="J71" s="48"/>
    </row>
    <row r="72" spans="1:10" ht="15.75" customHeight="1" x14ac:dyDescent="0.2">
      <c r="A72" s="46"/>
      <c r="B72" s="21"/>
      <c r="C72" s="21"/>
      <c r="D72" s="24"/>
      <c r="E72" s="30"/>
      <c r="F72" s="47"/>
      <c r="G72" s="21"/>
      <c r="H72" s="21"/>
      <c r="I72" s="21"/>
      <c r="J72" s="48"/>
    </row>
    <row r="73" spans="1:10" ht="15.75" customHeight="1" x14ac:dyDescent="0.2">
      <c r="A73" s="46"/>
      <c r="B73" s="21"/>
      <c r="C73" s="21"/>
      <c r="D73" s="24"/>
      <c r="E73" s="30"/>
      <c r="F73" s="47"/>
      <c r="G73" s="21"/>
      <c r="H73" s="21"/>
      <c r="I73" s="21"/>
      <c r="J73" s="48"/>
    </row>
    <row r="74" spans="1:10" ht="15.75" customHeight="1" x14ac:dyDescent="0.2">
      <c r="A74" s="46"/>
      <c r="B74" s="21"/>
      <c r="C74" s="21"/>
      <c r="D74" s="24"/>
      <c r="E74" s="30"/>
      <c r="F74" s="47"/>
      <c r="G74" s="21"/>
      <c r="H74" s="21"/>
      <c r="I74" s="21"/>
      <c r="J74" s="48"/>
    </row>
    <row r="75" spans="1:10" ht="15.75" customHeight="1" x14ac:dyDescent="0.2">
      <c r="A75" s="46"/>
      <c r="B75" s="21"/>
      <c r="C75" s="21"/>
      <c r="D75" s="24"/>
      <c r="E75" s="30"/>
      <c r="F75" s="47"/>
      <c r="G75" s="21"/>
      <c r="H75" s="21"/>
      <c r="I75" s="21"/>
      <c r="J75" s="48"/>
    </row>
    <row r="76" spans="1:10" ht="15.75" customHeight="1" x14ac:dyDescent="0.2">
      <c r="A76" s="46"/>
      <c r="B76" s="21"/>
      <c r="C76" s="21"/>
      <c r="D76" s="24"/>
      <c r="E76" s="30"/>
      <c r="F76" s="47"/>
      <c r="G76" s="21"/>
      <c r="H76" s="21"/>
      <c r="I76" s="21"/>
      <c r="J76" s="48"/>
    </row>
    <row r="77" spans="1:10" ht="15.75" customHeight="1" x14ac:dyDescent="0.2">
      <c r="A77" s="46"/>
      <c r="B77" s="21"/>
      <c r="C77" s="21"/>
      <c r="D77" s="24"/>
      <c r="E77" s="30"/>
      <c r="F77" s="47"/>
      <c r="G77" s="21"/>
      <c r="H77" s="21"/>
      <c r="I77" s="21"/>
      <c r="J77" s="48"/>
    </row>
    <row r="78" spans="1:10" ht="15.75" customHeight="1" x14ac:dyDescent="0.2">
      <c r="A78" s="46"/>
      <c r="B78" s="21"/>
      <c r="C78" s="21"/>
      <c r="D78" s="24"/>
      <c r="E78" s="30"/>
      <c r="F78" s="47"/>
      <c r="G78" s="21"/>
      <c r="H78" s="21"/>
      <c r="I78" s="21"/>
      <c r="J78" s="48"/>
    </row>
    <row r="79" spans="1:10" ht="15.75" customHeight="1" x14ac:dyDescent="0.2">
      <c r="A79" s="46"/>
      <c r="B79" s="21"/>
      <c r="C79" s="21"/>
      <c r="D79" s="24"/>
      <c r="E79" s="30"/>
      <c r="F79" s="47"/>
      <c r="G79" s="21"/>
      <c r="H79" s="21"/>
      <c r="I79" s="21"/>
      <c r="J79" s="48"/>
    </row>
    <row r="80" spans="1:10" ht="15.75" customHeight="1" x14ac:dyDescent="0.2">
      <c r="A80" s="46"/>
      <c r="B80" s="21"/>
      <c r="C80" s="21"/>
      <c r="D80" s="24"/>
      <c r="E80" s="30"/>
      <c r="F80" s="47"/>
      <c r="G80" s="21"/>
      <c r="H80" s="23"/>
      <c r="I80" s="21"/>
      <c r="J80" s="48"/>
    </row>
    <row r="81" spans="1:10" ht="15.75" customHeight="1" x14ac:dyDescent="0.2">
      <c r="A81" s="46"/>
      <c r="B81" s="21"/>
      <c r="C81" s="21"/>
      <c r="D81" s="24"/>
      <c r="E81" s="30"/>
      <c r="F81" s="47"/>
      <c r="G81" s="21"/>
      <c r="H81" s="23"/>
      <c r="I81" s="21"/>
      <c r="J81" s="48"/>
    </row>
    <row r="82" spans="1:10" ht="15.75" customHeight="1" x14ac:dyDescent="0.2">
      <c r="A82" s="46"/>
      <c r="B82" s="21"/>
      <c r="C82" s="21"/>
      <c r="D82" s="24"/>
      <c r="E82" s="30"/>
      <c r="F82" s="47"/>
      <c r="G82" s="21"/>
      <c r="H82" s="23"/>
      <c r="I82" s="21"/>
      <c r="J82" s="48"/>
    </row>
    <row r="83" spans="1:10" ht="15.75" customHeight="1" x14ac:dyDescent="0.2">
      <c r="A83" s="46"/>
      <c r="B83" s="21"/>
      <c r="C83" s="21"/>
      <c r="D83" s="24"/>
      <c r="E83" s="30"/>
      <c r="F83" s="47"/>
      <c r="G83" s="21"/>
      <c r="H83" s="23"/>
      <c r="I83" s="21"/>
      <c r="J83" s="48"/>
    </row>
    <row r="84" spans="1:10" ht="15.75" customHeight="1" x14ac:dyDescent="0.2">
      <c r="A84" s="49"/>
      <c r="B84" s="50"/>
      <c r="C84" s="50"/>
      <c r="D84" s="51"/>
      <c r="E84" s="52"/>
      <c r="F84" s="53"/>
      <c r="G84" s="50"/>
      <c r="H84" s="54"/>
      <c r="I84" s="21"/>
      <c r="J84" s="55"/>
    </row>
    <row r="85" spans="1:10" ht="15.75" customHeight="1" x14ac:dyDescent="0.2">
      <c r="A85" s="49"/>
      <c r="B85" s="50"/>
      <c r="C85" s="50"/>
      <c r="D85" s="51"/>
      <c r="E85" s="52"/>
      <c r="F85" s="53"/>
      <c r="G85" s="50"/>
      <c r="H85" s="50"/>
      <c r="I85" s="21"/>
      <c r="J85" s="55"/>
    </row>
    <row r="86" spans="1:10" ht="15.75" customHeight="1" x14ac:dyDescent="0.2">
      <c r="A86" s="49"/>
      <c r="B86" s="50"/>
      <c r="C86" s="50"/>
      <c r="D86" s="51"/>
      <c r="E86" s="52"/>
      <c r="F86" s="53"/>
      <c r="G86" s="50"/>
      <c r="H86" s="50"/>
      <c r="I86" s="21"/>
      <c r="J86" s="55"/>
    </row>
    <row r="87" spans="1:10" ht="15.75" customHeight="1" x14ac:dyDescent="0.2">
      <c r="A87" s="56"/>
      <c r="B87" s="24"/>
      <c r="C87" s="21"/>
      <c r="D87" s="24"/>
      <c r="E87" s="30"/>
      <c r="F87" s="47"/>
      <c r="G87" s="21"/>
      <c r="H87" s="21"/>
      <c r="I87" s="21"/>
      <c r="J87" s="21"/>
    </row>
    <row r="88" spans="1:10" ht="15.75" customHeight="1" x14ac:dyDescent="0.2">
      <c r="A88" s="56"/>
      <c r="B88" s="24"/>
      <c r="C88" s="21"/>
      <c r="D88" s="24"/>
      <c r="E88" s="21"/>
      <c r="F88" s="47"/>
      <c r="G88" s="21"/>
      <c r="H88" s="21"/>
      <c r="I88" s="21"/>
      <c r="J88" s="21"/>
    </row>
    <row r="89" spans="1:10" ht="15.75" customHeight="1" x14ac:dyDescent="0.2">
      <c r="A89" s="56"/>
      <c r="B89" s="21"/>
      <c r="C89" s="21"/>
      <c r="D89" s="24"/>
      <c r="E89" s="30"/>
      <c r="F89" s="47"/>
      <c r="G89" s="21"/>
      <c r="H89" s="23"/>
      <c r="I89" s="23"/>
      <c r="J89" s="21"/>
    </row>
    <row r="90" spans="1:10" ht="15.75" customHeight="1" x14ac:dyDescent="0.2">
      <c r="A90" s="56"/>
      <c r="B90" s="21"/>
      <c r="C90" s="21"/>
      <c r="D90" s="24"/>
      <c r="E90" s="30"/>
      <c r="F90" s="47"/>
      <c r="G90" s="21"/>
      <c r="H90" s="23"/>
      <c r="I90" s="23"/>
      <c r="J90" s="21"/>
    </row>
    <row r="91" spans="1:10" ht="15.75" customHeight="1" x14ac:dyDescent="0.2">
      <c r="A91" s="56"/>
      <c r="B91" s="21"/>
      <c r="C91" s="21"/>
      <c r="D91" s="24"/>
      <c r="E91" s="30"/>
      <c r="F91" s="47"/>
      <c r="G91" s="21"/>
      <c r="H91" s="21"/>
      <c r="I91" s="23"/>
      <c r="J91" s="21"/>
    </row>
    <row r="92" spans="1:10" ht="15.75" customHeight="1" x14ac:dyDescent="0.2">
      <c r="A92" s="56"/>
      <c r="B92" s="21"/>
      <c r="C92" s="21"/>
      <c r="D92" s="24"/>
      <c r="E92" s="30"/>
      <c r="F92" s="47"/>
      <c r="G92" s="21"/>
      <c r="H92" s="21"/>
      <c r="I92" s="23"/>
      <c r="J92" s="21"/>
    </row>
    <row r="93" spans="1:10" ht="15.75" customHeight="1" x14ac:dyDescent="0.2">
      <c r="A93" s="56"/>
      <c r="B93" s="21"/>
      <c r="C93" s="21"/>
      <c r="D93" s="24"/>
      <c r="E93" s="30"/>
      <c r="F93" s="47"/>
      <c r="G93" s="21"/>
      <c r="H93" s="23"/>
      <c r="I93" s="23"/>
      <c r="J93" s="21"/>
    </row>
    <row r="94" spans="1:10" ht="15.75" customHeight="1" x14ac:dyDescent="0.2">
      <c r="A94" s="56"/>
      <c r="B94" s="21"/>
      <c r="C94" s="21"/>
      <c r="D94" s="24"/>
      <c r="E94" s="30"/>
      <c r="F94" s="47"/>
      <c r="G94" s="21"/>
      <c r="H94" s="21"/>
      <c r="I94" s="23"/>
      <c r="J94" s="21"/>
    </row>
    <row r="95" spans="1:10" ht="15.75" customHeight="1" x14ac:dyDescent="0.2">
      <c r="A95" s="56"/>
      <c r="B95" s="21"/>
      <c r="C95" s="21"/>
      <c r="D95" s="34"/>
      <c r="E95" s="30"/>
      <c r="F95" s="47"/>
      <c r="G95" s="21"/>
      <c r="H95" s="21"/>
      <c r="I95" s="23"/>
      <c r="J95" s="21"/>
    </row>
    <row r="96" spans="1:10" ht="15.75" customHeight="1" x14ac:dyDescent="0.2">
      <c r="A96" s="56"/>
      <c r="B96" s="21"/>
      <c r="C96" s="21"/>
      <c r="D96" s="24"/>
      <c r="E96" s="30"/>
      <c r="F96" s="47"/>
      <c r="G96" s="21"/>
      <c r="H96" s="23"/>
      <c r="I96" s="23"/>
      <c r="J96" s="21"/>
    </row>
    <row r="97" spans="1:10" ht="15.75" customHeight="1" x14ac:dyDescent="0.2">
      <c r="A97" s="56"/>
      <c r="B97" s="21"/>
      <c r="C97" s="23"/>
      <c r="D97" s="34"/>
      <c r="E97" s="30"/>
      <c r="F97" s="57"/>
      <c r="G97" s="21"/>
      <c r="H97" s="21"/>
      <c r="I97" s="23"/>
      <c r="J97" s="21"/>
    </row>
    <row r="98" spans="1:10" ht="15.75" customHeight="1" x14ac:dyDescent="0.2">
      <c r="A98" s="56"/>
      <c r="B98" s="21"/>
      <c r="C98" s="21"/>
      <c r="D98" s="24"/>
      <c r="E98" s="30"/>
      <c r="F98" s="47"/>
      <c r="G98" s="21"/>
      <c r="H98" s="23"/>
      <c r="I98" s="23"/>
      <c r="J98" s="21"/>
    </row>
    <row r="99" spans="1:10" ht="15.75" customHeight="1" x14ac:dyDescent="0.2">
      <c r="A99" s="56"/>
      <c r="B99" s="21"/>
      <c r="C99" s="21"/>
      <c r="D99" s="24"/>
      <c r="E99" s="30"/>
      <c r="F99" s="57"/>
      <c r="G99" s="21"/>
      <c r="H99" s="23"/>
      <c r="I99" s="23"/>
      <c r="J99" s="21"/>
    </row>
    <row r="100" spans="1:10" ht="15.75" customHeight="1" x14ac:dyDescent="0.2">
      <c r="A100" s="56"/>
      <c r="B100" s="21"/>
      <c r="C100" s="21"/>
      <c r="D100" s="34"/>
      <c r="E100" s="30"/>
      <c r="F100" s="57"/>
      <c r="G100" s="21"/>
      <c r="H100" s="23"/>
      <c r="I100" s="23"/>
      <c r="J100" s="21"/>
    </row>
    <row r="101" spans="1:10" ht="15.75" customHeight="1" x14ac:dyDescent="0.2">
      <c r="A101" s="56"/>
      <c r="B101" s="21"/>
      <c r="C101" s="21"/>
      <c r="D101" s="24"/>
      <c r="E101" s="30"/>
      <c r="F101" s="47"/>
      <c r="G101" s="21"/>
      <c r="H101" s="23"/>
      <c r="I101" s="23"/>
      <c r="J101" s="21"/>
    </row>
    <row r="102" spans="1:10" ht="15.75" customHeight="1" x14ac:dyDescent="0.2">
      <c r="A102" s="56"/>
      <c r="B102" s="21"/>
      <c r="C102" s="21"/>
      <c r="D102" s="24"/>
      <c r="E102" s="21"/>
      <c r="F102" s="47"/>
      <c r="G102" s="21"/>
      <c r="H102" s="21"/>
      <c r="I102" s="23"/>
      <c r="J102" s="21"/>
    </row>
    <row r="103" spans="1:10" ht="15.75" customHeight="1" x14ac:dyDescent="0.2">
      <c r="A103" s="56"/>
      <c r="B103" s="21"/>
      <c r="C103" s="23"/>
      <c r="D103" s="34"/>
      <c r="E103" s="30"/>
      <c r="F103" s="57"/>
      <c r="G103" s="21"/>
      <c r="H103" s="23"/>
      <c r="I103" s="23"/>
      <c r="J103" s="21"/>
    </row>
    <row r="104" spans="1:10" ht="15.75" customHeight="1" x14ac:dyDescent="0.2">
      <c r="A104" s="56"/>
      <c r="B104" s="21"/>
      <c r="C104" s="21"/>
      <c r="D104" s="24"/>
      <c r="E104" s="30"/>
      <c r="F104" s="57"/>
      <c r="G104" s="21"/>
      <c r="H104" s="23"/>
      <c r="I104" s="23"/>
      <c r="J104" s="21"/>
    </row>
    <row r="105" spans="1:10" ht="15.75" customHeight="1" x14ac:dyDescent="0.2">
      <c r="A105" s="56"/>
      <c r="B105" s="21"/>
      <c r="C105" s="23"/>
      <c r="D105" s="34"/>
      <c r="E105" s="30"/>
      <c r="F105" s="57"/>
      <c r="G105" s="21"/>
      <c r="H105" s="23"/>
      <c r="I105" s="23"/>
      <c r="J105" s="21"/>
    </row>
    <row r="106" spans="1:10" ht="15.75" customHeight="1" x14ac:dyDescent="0.2">
      <c r="A106" s="56"/>
      <c r="B106" s="21"/>
      <c r="C106" s="21"/>
      <c r="D106" s="24"/>
      <c r="E106" s="21"/>
      <c r="F106" s="47"/>
      <c r="G106" s="21"/>
      <c r="H106" s="21"/>
      <c r="I106" s="23"/>
      <c r="J106" s="21"/>
    </row>
    <row r="107" spans="1:10" ht="15.75" customHeight="1" x14ac:dyDescent="0.2">
      <c r="A107" s="56"/>
      <c r="B107" s="21"/>
      <c r="C107" s="21"/>
      <c r="D107" s="24"/>
      <c r="E107" s="30"/>
      <c r="F107" s="47"/>
      <c r="G107" s="21"/>
      <c r="H107" s="21"/>
      <c r="I107" s="23"/>
      <c r="J107" s="21"/>
    </row>
    <row r="108" spans="1:10" ht="15.75" customHeight="1" x14ac:dyDescent="0.2">
      <c r="A108" s="56"/>
      <c r="B108" s="21"/>
      <c r="C108" s="21"/>
      <c r="D108" s="24"/>
      <c r="E108" s="30"/>
      <c r="F108" s="47"/>
      <c r="G108" s="21"/>
      <c r="H108" s="21"/>
      <c r="I108" s="23"/>
      <c r="J108" s="21"/>
    </row>
    <row r="109" spans="1:10" ht="15.75" customHeight="1" x14ac:dyDescent="0.2">
      <c r="A109" s="56"/>
      <c r="B109" s="21"/>
      <c r="C109" s="21"/>
      <c r="D109" s="24"/>
      <c r="E109" s="30"/>
      <c r="F109" s="47"/>
      <c r="G109" s="21"/>
      <c r="H109" s="21"/>
      <c r="I109" s="23"/>
      <c r="J109" s="21"/>
    </row>
    <row r="110" spans="1:10" ht="15.75" customHeight="1" x14ac:dyDescent="0.2">
      <c r="A110" s="56"/>
      <c r="B110" s="21"/>
      <c r="C110" s="21"/>
      <c r="D110" s="24"/>
      <c r="E110" s="30"/>
      <c r="F110" s="47"/>
      <c r="G110" s="21"/>
      <c r="H110" s="23"/>
      <c r="I110" s="23"/>
      <c r="J110" s="21"/>
    </row>
    <row r="111" spans="1:10" ht="15.75" customHeight="1" x14ac:dyDescent="0.2">
      <c r="A111" s="56"/>
      <c r="B111" s="21"/>
      <c r="C111" s="21"/>
      <c r="D111" s="24"/>
      <c r="E111" s="30"/>
      <c r="F111" s="57"/>
      <c r="G111" s="21"/>
      <c r="H111" s="23"/>
      <c r="I111" s="23"/>
      <c r="J111" s="21"/>
    </row>
    <row r="112" spans="1:10" ht="15.75" customHeight="1" x14ac:dyDescent="0.2">
      <c r="A112" s="56"/>
      <c r="B112" s="21"/>
      <c r="C112" s="23"/>
      <c r="D112" s="34"/>
      <c r="E112" s="30"/>
      <c r="F112" s="57"/>
      <c r="G112" s="21"/>
      <c r="H112" s="23"/>
      <c r="I112" s="23"/>
      <c r="J112" s="21"/>
    </row>
    <row r="113" spans="1:10" ht="15.75" customHeight="1" x14ac:dyDescent="0.2">
      <c r="A113" s="56"/>
      <c r="B113" s="21"/>
      <c r="C113" s="23"/>
      <c r="D113" s="34"/>
      <c r="E113" s="30"/>
      <c r="F113" s="47"/>
      <c r="G113" s="21"/>
      <c r="H113" s="23"/>
      <c r="I113" s="23"/>
      <c r="J113" s="21"/>
    </row>
    <row r="114" spans="1:10" ht="15.75" customHeight="1" x14ac:dyDescent="0.2">
      <c r="A114" s="56"/>
      <c r="B114" s="21"/>
      <c r="C114" s="21"/>
      <c r="D114" s="24"/>
      <c r="E114" s="30"/>
      <c r="F114" s="47"/>
      <c r="G114" s="21"/>
      <c r="H114" s="21"/>
      <c r="I114" s="23"/>
      <c r="J114" s="21"/>
    </row>
    <row r="115" spans="1:10" ht="15.75" customHeight="1" x14ac:dyDescent="0.2">
      <c r="A115" s="56"/>
      <c r="B115" s="21"/>
      <c r="C115" s="21"/>
      <c r="D115" s="34"/>
      <c r="E115" s="30"/>
      <c r="F115" s="47"/>
      <c r="G115" s="21"/>
      <c r="H115" s="21"/>
      <c r="I115" s="23"/>
      <c r="J115" s="21"/>
    </row>
    <row r="116" spans="1:10" ht="15.75" customHeight="1" x14ac:dyDescent="0.2">
      <c r="A116" s="56"/>
      <c r="B116" s="21"/>
      <c r="C116" s="23"/>
      <c r="D116" s="34"/>
      <c r="E116" s="30"/>
      <c r="F116" s="57"/>
      <c r="G116" s="21"/>
      <c r="H116" s="23"/>
      <c r="I116" s="23"/>
      <c r="J116" s="21"/>
    </row>
    <row r="117" spans="1:10" ht="15.75" customHeight="1" x14ac:dyDescent="0.2">
      <c r="A117" s="56"/>
      <c r="B117" s="21"/>
      <c r="C117" s="21"/>
      <c r="D117" s="24"/>
      <c r="E117" s="30"/>
      <c r="F117" s="47"/>
      <c r="G117" s="21"/>
      <c r="H117" s="21"/>
      <c r="I117" s="23"/>
      <c r="J117" s="21"/>
    </row>
    <row r="118" spans="1:10" ht="15.75" customHeight="1" x14ac:dyDescent="0.2">
      <c r="A118" s="56"/>
      <c r="B118" s="21"/>
      <c r="C118" s="23"/>
      <c r="D118" s="34"/>
      <c r="E118" s="30"/>
      <c r="F118" s="57"/>
      <c r="G118" s="21"/>
      <c r="H118" s="23"/>
      <c r="I118" s="23"/>
      <c r="J118" s="21"/>
    </row>
    <row r="119" spans="1:10" ht="15.75" customHeight="1" x14ac:dyDescent="0.2">
      <c r="A119" s="56"/>
      <c r="B119" s="21"/>
      <c r="C119" s="21"/>
      <c r="D119" s="24"/>
      <c r="E119" s="30"/>
      <c r="F119" s="47"/>
      <c r="G119" s="21"/>
      <c r="H119" s="21"/>
      <c r="I119" s="23"/>
      <c r="J119" s="21"/>
    </row>
    <row r="120" spans="1:10" ht="15.75" customHeight="1" x14ac:dyDescent="0.2">
      <c r="A120" s="56"/>
      <c r="B120" s="21"/>
      <c r="C120" s="21"/>
      <c r="D120" s="24"/>
      <c r="E120" s="30"/>
      <c r="F120" s="47"/>
      <c r="G120" s="21"/>
      <c r="H120" s="21"/>
      <c r="I120" s="23"/>
      <c r="J120" s="21"/>
    </row>
    <row r="121" spans="1:10" ht="15.75" customHeight="1" x14ac:dyDescent="0.2">
      <c r="A121" s="56"/>
      <c r="B121" s="21"/>
      <c r="C121" s="21"/>
      <c r="D121" s="24"/>
      <c r="E121" s="30"/>
      <c r="F121" s="47"/>
      <c r="G121" s="21"/>
      <c r="H121" s="23"/>
      <c r="I121" s="23"/>
      <c r="J121" s="21"/>
    </row>
    <row r="122" spans="1:10" ht="15.75" customHeight="1" x14ac:dyDescent="0.2">
      <c r="A122" s="56"/>
      <c r="B122" s="21"/>
      <c r="C122" s="23"/>
      <c r="D122" s="34"/>
      <c r="E122" s="30"/>
      <c r="F122" s="57"/>
      <c r="G122" s="21"/>
      <c r="H122" s="23"/>
      <c r="I122" s="23"/>
      <c r="J122" s="21"/>
    </row>
    <row r="123" spans="1:10" ht="15.75" customHeight="1" x14ac:dyDescent="0.2">
      <c r="A123" s="56"/>
      <c r="B123" s="21"/>
      <c r="C123" s="21"/>
      <c r="D123" s="24"/>
      <c r="E123" s="30"/>
      <c r="F123" s="47"/>
      <c r="G123" s="21"/>
      <c r="H123" s="21"/>
      <c r="I123" s="23"/>
      <c r="J123" s="21"/>
    </row>
    <row r="124" spans="1:10" ht="15.75" customHeight="1" x14ac:dyDescent="0.2">
      <c r="A124" s="56"/>
      <c r="B124" s="21"/>
      <c r="C124" s="21"/>
      <c r="D124" s="24"/>
      <c r="E124" s="30"/>
      <c r="F124" s="47"/>
      <c r="G124" s="21"/>
      <c r="H124" s="21"/>
      <c r="I124" s="23"/>
      <c r="J124" s="21"/>
    </row>
    <row r="125" spans="1:10" ht="15.75" customHeight="1" x14ac:dyDescent="0.2">
      <c r="A125" s="56"/>
      <c r="B125" s="21"/>
      <c r="C125" s="23"/>
      <c r="D125" s="34"/>
      <c r="E125" s="30"/>
      <c r="F125" s="57"/>
      <c r="G125" s="21"/>
      <c r="H125" s="23"/>
      <c r="I125" s="23"/>
      <c r="J125" s="21"/>
    </row>
    <row r="126" spans="1:10" ht="15.75" customHeight="1" x14ac:dyDescent="0.2">
      <c r="A126" s="56"/>
      <c r="B126" s="21"/>
      <c r="C126" s="21"/>
      <c r="D126" s="24"/>
      <c r="E126" s="30"/>
      <c r="F126" s="47"/>
      <c r="G126" s="21"/>
      <c r="H126" s="23"/>
      <c r="I126" s="23"/>
      <c r="J126" s="21"/>
    </row>
    <row r="127" spans="1:10" ht="15.75" customHeight="1" x14ac:dyDescent="0.2">
      <c r="A127" s="56"/>
      <c r="B127" s="21"/>
      <c r="C127" s="21"/>
      <c r="D127" s="24"/>
      <c r="E127" s="30"/>
      <c r="F127" s="47"/>
      <c r="G127" s="21"/>
      <c r="H127" s="23"/>
      <c r="I127" s="23"/>
      <c r="J127" s="21"/>
    </row>
    <row r="128" spans="1:10" ht="15.75" customHeight="1" x14ac:dyDescent="0.2">
      <c r="A128" s="56"/>
      <c r="B128" s="21"/>
      <c r="C128" s="24"/>
      <c r="D128" s="24"/>
      <c r="E128" s="30"/>
      <c r="F128" s="47"/>
      <c r="G128" s="21"/>
      <c r="H128" s="21"/>
      <c r="I128" s="23"/>
      <c r="J128" s="21"/>
    </row>
    <row r="129" spans="1:10" ht="15.75" customHeight="1" x14ac:dyDescent="0.2">
      <c r="A129" s="56"/>
      <c r="B129" s="21"/>
      <c r="C129" s="23"/>
      <c r="D129" s="34"/>
      <c r="E129" s="30"/>
      <c r="F129" s="57"/>
      <c r="G129" s="21"/>
      <c r="H129" s="23"/>
      <c r="I129" s="23"/>
      <c r="J129" s="21"/>
    </row>
    <row r="130" spans="1:10" ht="15.75" customHeight="1" x14ac:dyDescent="0.2">
      <c r="A130" s="56"/>
      <c r="B130" s="21"/>
      <c r="C130" s="23"/>
      <c r="D130" s="34"/>
      <c r="E130" s="30"/>
      <c r="F130" s="57"/>
      <c r="G130" s="21"/>
      <c r="H130" s="23"/>
      <c r="I130" s="23"/>
      <c r="J130" s="21"/>
    </row>
    <row r="131" spans="1:10" ht="15.75" customHeight="1" x14ac:dyDescent="0.2">
      <c r="A131" s="56"/>
      <c r="B131" s="21"/>
      <c r="C131" s="21"/>
      <c r="D131" s="24"/>
      <c r="E131" s="30"/>
      <c r="F131" s="47"/>
      <c r="G131" s="21"/>
      <c r="H131" s="21"/>
      <c r="I131" s="23"/>
      <c r="J131" s="21"/>
    </row>
    <row r="132" spans="1:10" ht="15.75" customHeight="1" x14ac:dyDescent="0.2">
      <c r="A132" s="56"/>
      <c r="B132" s="21"/>
      <c r="C132" s="21"/>
      <c r="D132" s="24"/>
      <c r="E132" s="30"/>
      <c r="F132" s="47"/>
      <c r="G132" s="21"/>
      <c r="H132" s="21"/>
      <c r="I132" s="23"/>
      <c r="J132" s="21"/>
    </row>
    <row r="133" spans="1:10" ht="15.75" customHeight="1" x14ac:dyDescent="0.2">
      <c r="A133" s="56"/>
      <c r="B133" s="21"/>
      <c r="C133" s="21"/>
      <c r="D133" s="24"/>
      <c r="E133" s="21"/>
      <c r="F133" s="47"/>
      <c r="G133" s="21"/>
      <c r="H133" s="21"/>
      <c r="I133" s="23"/>
      <c r="J133" s="21"/>
    </row>
    <row r="134" spans="1:10" ht="15.75" customHeight="1" x14ac:dyDescent="0.2">
      <c r="A134" s="56"/>
      <c r="B134" s="21"/>
      <c r="C134" s="21"/>
      <c r="D134" s="24"/>
      <c r="E134" s="30"/>
      <c r="F134" s="47"/>
      <c r="G134" s="21"/>
      <c r="H134" s="23"/>
      <c r="I134" s="23"/>
      <c r="J134" s="21"/>
    </row>
    <row r="135" spans="1:10" ht="15.75" customHeight="1" x14ac:dyDescent="0.2">
      <c r="A135" s="56"/>
      <c r="B135" s="21"/>
      <c r="C135" s="21"/>
      <c r="D135" s="24"/>
      <c r="E135" s="30"/>
      <c r="F135" s="47"/>
      <c r="G135" s="21"/>
      <c r="H135" s="23"/>
      <c r="I135" s="23"/>
      <c r="J135" s="21"/>
    </row>
    <row r="136" spans="1:10" ht="15.75" customHeight="1" x14ac:dyDescent="0.2">
      <c r="A136" s="56"/>
      <c r="B136" s="21"/>
      <c r="C136" s="23"/>
      <c r="D136" s="34"/>
      <c r="E136" s="30"/>
      <c r="F136" s="47"/>
      <c r="G136" s="21"/>
      <c r="H136" s="23"/>
      <c r="I136" s="23"/>
      <c r="J136" s="21"/>
    </row>
    <row r="137" spans="1:10" ht="15.75" customHeight="1" x14ac:dyDescent="0.2">
      <c r="A137" s="56"/>
      <c r="B137" s="21"/>
      <c r="C137" s="23"/>
      <c r="D137" s="34"/>
      <c r="E137" s="30"/>
      <c r="F137" s="57"/>
      <c r="G137" s="21"/>
      <c r="H137" s="23"/>
      <c r="I137" s="23"/>
      <c r="J137" s="21"/>
    </row>
    <row r="138" spans="1:10" ht="15.75" customHeight="1" x14ac:dyDescent="0.2">
      <c r="A138" s="56"/>
      <c r="B138" s="21"/>
      <c r="C138" s="21"/>
      <c r="D138" s="24"/>
      <c r="E138" s="30"/>
      <c r="F138" s="47"/>
      <c r="G138" s="21"/>
      <c r="H138" s="23"/>
      <c r="I138" s="23"/>
      <c r="J138" s="21"/>
    </row>
    <row r="139" spans="1:10" ht="15.75" customHeight="1" x14ac:dyDescent="0.2">
      <c r="A139" s="56"/>
      <c r="B139" s="21"/>
      <c r="C139" s="21"/>
      <c r="D139" s="24"/>
      <c r="E139" s="21"/>
      <c r="F139" s="47"/>
      <c r="G139" s="21"/>
      <c r="H139" s="21"/>
      <c r="I139" s="23"/>
      <c r="J139" s="21"/>
    </row>
    <row r="140" spans="1:10" ht="15.75" customHeight="1" x14ac:dyDescent="0.2">
      <c r="A140" s="56"/>
      <c r="B140" s="21"/>
      <c r="C140" s="21"/>
      <c r="D140" s="24"/>
      <c r="E140" s="30"/>
      <c r="F140" s="47"/>
      <c r="G140" s="21"/>
      <c r="H140" s="23"/>
      <c r="I140" s="23"/>
      <c r="J140" s="21"/>
    </row>
    <row r="141" spans="1:10" ht="15.75" customHeight="1" x14ac:dyDescent="0.2">
      <c r="A141" s="56"/>
      <c r="B141" s="21"/>
      <c r="C141" s="21"/>
      <c r="D141" s="24"/>
      <c r="E141" s="59"/>
      <c r="F141" s="47"/>
      <c r="G141" s="21"/>
      <c r="H141" s="23"/>
      <c r="I141" s="23"/>
      <c r="J141" s="21"/>
    </row>
    <row r="142" spans="1:10" ht="15.75" customHeight="1" x14ac:dyDescent="0.2">
      <c r="A142" s="56"/>
      <c r="B142" s="21"/>
      <c r="C142" s="21"/>
      <c r="D142" s="24"/>
      <c r="E142" s="30"/>
      <c r="F142" s="47"/>
      <c r="G142" s="21"/>
      <c r="H142" s="23"/>
      <c r="I142" s="23"/>
      <c r="J142" s="21"/>
    </row>
    <row r="143" spans="1:10" ht="15.75" customHeight="1" x14ac:dyDescent="0.2">
      <c r="A143" s="56"/>
      <c r="B143" s="21"/>
      <c r="C143" s="23"/>
      <c r="D143" s="34"/>
      <c r="E143" s="30"/>
      <c r="F143" s="57"/>
      <c r="G143" s="21"/>
      <c r="H143" s="23"/>
      <c r="I143" s="21"/>
      <c r="J143" s="21"/>
    </row>
    <row r="144" spans="1:10" ht="15.75" customHeight="1" x14ac:dyDescent="0.2">
      <c r="A144" s="56"/>
      <c r="B144" s="21"/>
      <c r="C144" s="21"/>
      <c r="D144" s="24"/>
      <c r="E144" s="30"/>
      <c r="F144" s="47"/>
      <c r="G144" s="21"/>
      <c r="H144" s="23"/>
      <c r="I144" s="21"/>
      <c r="J144" s="21"/>
    </row>
    <row r="145" spans="1:10" ht="15.75" customHeight="1" x14ac:dyDescent="0.2">
      <c r="A145" s="56"/>
      <c r="B145" s="21"/>
      <c r="C145" s="21"/>
      <c r="D145" s="24"/>
      <c r="E145" s="30"/>
      <c r="F145" s="47"/>
      <c r="G145" s="21"/>
      <c r="H145" s="23"/>
      <c r="I145" s="21"/>
      <c r="J145" s="21"/>
    </row>
    <row r="146" spans="1:10" ht="15.75" customHeight="1" x14ac:dyDescent="0.2">
      <c r="A146" s="56"/>
      <c r="B146" s="21"/>
      <c r="C146" s="23"/>
      <c r="D146" s="34"/>
      <c r="E146" s="30"/>
      <c r="F146" s="57"/>
      <c r="G146" s="21"/>
      <c r="H146" s="23"/>
      <c r="I146" s="21"/>
      <c r="J146" s="21"/>
    </row>
    <row r="147" spans="1:10" ht="15.75" customHeight="1" x14ac:dyDescent="0.2">
      <c r="A147" s="56"/>
      <c r="B147" s="21"/>
      <c r="C147" s="21"/>
      <c r="D147" s="24"/>
      <c r="E147" s="30"/>
      <c r="F147" s="57"/>
      <c r="G147" s="21"/>
      <c r="H147" s="21"/>
      <c r="I147" s="23"/>
      <c r="J147" s="21"/>
    </row>
    <row r="148" spans="1:10" ht="15.75" customHeight="1" x14ac:dyDescent="0.2">
      <c r="A148" s="56"/>
      <c r="B148" s="21"/>
      <c r="C148" s="21"/>
      <c r="D148" s="24"/>
      <c r="E148" s="30"/>
      <c r="F148" s="47"/>
      <c r="G148" s="21"/>
      <c r="H148" s="21"/>
      <c r="I148" s="23"/>
      <c r="J148" s="21"/>
    </row>
    <row r="149" spans="1:10" ht="15.75" customHeight="1" x14ac:dyDescent="0.2">
      <c r="A149" s="56"/>
      <c r="B149" s="21"/>
      <c r="C149" s="21"/>
      <c r="D149" s="24"/>
      <c r="E149" s="30"/>
      <c r="F149" s="47"/>
      <c r="G149" s="21"/>
      <c r="H149" s="23"/>
      <c r="I149" s="23"/>
      <c r="J149" s="21"/>
    </row>
    <row r="150" spans="1:10" ht="15.75" customHeight="1" x14ac:dyDescent="0.2">
      <c r="A150" s="56"/>
      <c r="B150" s="21"/>
      <c r="C150" s="21"/>
      <c r="D150" s="24"/>
      <c r="E150" s="59"/>
      <c r="F150" s="47"/>
      <c r="G150" s="21"/>
      <c r="H150" s="23"/>
      <c r="I150" s="23"/>
      <c r="J150" s="21"/>
    </row>
    <row r="151" spans="1:10" ht="15.75" customHeight="1" x14ac:dyDescent="0.2">
      <c r="A151" s="56"/>
      <c r="B151" s="21"/>
      <c r="C151" s="21"/>
      <c r="D151" s="24"/>
      <c r="E151" s="30"/>
      <c r="F151" s="47"/>
      <c r="G151" s="21"/>
      <c r="H151" s="21"/>
      <c r="I151" s="23"/>
      <c r="J151" s="21"/>
    </row>
    <row r="152" spans="1:10" ht="15.75" customHeight="1" x14ac:dyDescent="0.2">
      <c r="A152" s="56"/>
      <c r="B152" s="21"/>
      <c r="C152" s="21"/>
      <c r="D152" s="24"/>
      <c r="E152" s="30"/>
      <c r="F152" s="47"/>
      <c r="G152" s="21"/>
      <c r="H152" s="21"/>
      <c r="I152" s="23"/>
      <c r="J152" s="21"/>
    </row>
    <row r="153" spans="1:10" ht="15.75" customHeight="1" x14ac:dyDescent="0.2">
      <c r="A153" s="56"/>
      <c r="B153" s="21"/>
      <c r="C153" s="21"/>
      <c r="D153" s="24"/>
      <c r="E153" s="30"/>
      <c r="F153" s="47"/>
      <c r="G153" s="21"/>
      <c r="H153" s="23"/>
      <c r="I153" s="23"/>
      <c r="J153" s="21"/>
    </row>
    <row r="154" spans="1:10" ht="15.75" customHeight="1" x14ac:dyDescent="0.2">
      <c r="A154" s="56"/>
      <c r="B154" s="21"/>
      <c r="C154" s="21"/>
      <c r="D154" s="24"/>
      <c r="E154" s="30"/>
      <c r="F154" s="47"/>
      <c r="G154" s="21"/>
      <c r="H154" s="21"/>
      <c r="I154" s="23"/>
      <c r="J154" s="21"/>
    </row>
    <row r="155" spans="1:10" ht="15.75" customHeight="1" x14ac:dyDescent="0.2">
      <c r="A155" s="56"/>
      <c r="B155" s="21"/>
      <c r="C155" s="21"/>
      <c r="D155" s="24"/>
      <c r="E155" s="30"/>
      <c r="F155" s="47"/>
      <c r="G155" s="21"/>
      <c r="H155" s="21"/>
      <c r="I155" s="23"/>
      <c r="J155" s="21"/>
    </row>
    <row r="156" spans="1:10" ht="15.75" customHeight="1" x14ac:dyDescent="0.2">
      <c r="A156" s="56"/>
      <c r="B156" s="21"/>
      <c r="C156" s="23"/>
      <c r="D156" s="34"/>
      <c r="E156" s="30"/>
      <c r="F156" s="57"/>
      <c r="G156" s="21"/>
      <c r="H156" s="23"/>
      <c r="I156" s="21"/>
      <c r="J156" s="21"/>
    </row>
    <row r="157" spans="1:10" ht="15.75" customHeight="1" x14ac:dyDescent="0.2">
      <c r="A157" s="56"/>
      <c r="B157" s="21"/>
      <c r="C157" s="21"/>
      <c r="D157" s="24"/>
      <c r="E157" s="30"/>
      <c r="F157" s="57"/>
      <c r="G157" s="21"/>
      <c r="H157" s="23"/>
      <c r="I157" s="21"/>
      <c r="J157" s="21"/>
    </row>
    <row r="158" spans="1:10" ht="15.75" customHeight="1" x14ac:dyDescent="0.2">
      <c r="A158" s="56"/>
      <c r="B158" s="21"/>
      <c r="C158" s="21"/>
      <c r="D158" s="24"/>
      <c r="E158" s="30"/>
      <c r="F158" s="57"/>
      <c r="G158" s="21"/>
      <c r="H158" s="23"/>
      <c r="I158" s="21"/>
      <c r="J158" s="21"/>
    </row>
    <row r="159" spans="1:10" ht="15.75" customHeight="1" x14ac:dyDescent="0.2">
      <c r="A159" s="56"/>
      <c r="B159" s="21"/>
      <c r="C159" s="21"/>
      <c r="D159" s="24"/>
      <c r="E159" s="30"/>
      <c r="F159" s="57"/>
      <c r="G159" s="21"/>
      <c r="H159" s="23"/>
      <c r="I159" s="21"/>
      <c r="J159" s="21"/>
    </row>
    <row r="160" spans="1:10" ht="15.75" customHeight="1" x14ac:dyDescent="0.2">
      <c r="A160" s="56"/>
      <c r="B160" s="21"/>
      <c r="C160" s="23"/>
      <c r="D160" s="34"/>
      <c r="E160" s="30"/>
      <c r="F160" s="57"/>
      <c r="G160" s="21"/>
      <c r="H160" s="23"/>
      <c r="I160" s="21"/>
      <c r="J160" s="21"/>
    </row>
    <row r="161" spans="1:10" ht="15.75" customHeight="1" x14ac:dyDescent="0.2">
      <c r="A161" s="56"/>
      <c r="B161" s="21"/>
      <c r="C161" s="23"/>
      <c r="D161" s="34"/>
      <c r="E161" s="30"/>
      <c r="F161" s="57"/>
      <c r="G161" s="21"/>
      <c r="H161" s="23"/>
      <c r="I161" s="21"/>
      <c r="J161" s="21"/>
    </row>
    <row r="162" spans="1:10" ht="15.75" customHeight="1" x14ac:dyDescent="0.2">
      <c r="A162" s="56"/>
      <c r="B162" s="21"/>
      <c r="C162" s="21"/>
      <c r="D162" s="24"/>
      <c r="E162" s="30"/>
      <c r="F162" s="57"/>
      <c r="G162" s="21"/>
      <c r="H162" s="23"/>
      <c r="I162" s="21"/>
      <c r="J162" s="21"/>
    </row>
    <row r="163" spans="1:10" ht="15.75" customHeight="1" x14ac:dyDescent="0.2">
      <c r="A163" s="56"/>
      <c r="B163" s="21"/>
      <c r="C163" s="23"/>
      <c r="D163" s="34"/>
      <c r="E163" s="30"/>
      <c r="F163" s="57"/>
      <c r="G163" s="21"/>
      <c r="H163" s="23"/>
      <c r="I163" s="21"/>
      <c r="J163" s="21"/>
    </row>
    <row r="164" spans="1:10" ht="15.75" customHeight="1" x14ac:dyDescent="0.2">
      <c r="A164" s="56"/>
      <c r="B164" s="21"/>
      <c r="C164" s="21"/>
      <c r="D164" s="24"/>
      <c r="E164" s="30"/>
      <c r="F164" s="47"/>
      <c r="G164" s="21"/>
      <c r="H164" s="23"/>
      <c r="I164" s="21"/>
      <c r="J164" s="21"/>
    </row>
    <row r="165" spans="1:10" ht="15.75" customHeight="1" x14ac:dyDescent="0.2">
      <c r="A165" s="56"/>
      <c r="B165" s="21"/>
      <c r="C165" s="23"/>
      <c r="D165" s="34"/>
      <c r="E165" s="30"/>
      <c r="F165" s="57"/>
      <c r="G165" s="21"/>
      <c r="H165" s="23"/>
      <c r="I165" s="21"/>
      <c r="J165" s="21"/>
    </row>
    <row r="166" spans="1:10" ht="15.75" customHeight="1" x14ac:dyDescent="0.2">
      <c r="A166" s="56"/>
      <c r="B166" s="21"/>
      <c r="C166" s="21"/>
      <c r="D166" s="24"/>
      <c r="E166" s="30"/>
      <c r="F166" s="47"/>
      <c r="G166" s="21"/>
      <c r="H166" s="23"/>
      <c r="I166" s="21"/>
      <c r="J166" s="21"/>
    </row>
    <row r="167" spans="1:10" ht="15.75" customHeight="1" x14ac:dyDescent="0.2">
      <c r="A167" s="56"/>
      <c r="B167" s="21"/>
      <c r="C167" s="21"/>
      <c r="D167" s="24"/>
      <c r="E167" s="30"/>
      <c r="F167" s="57"/>
      <c r="G167" s="21"/>
      <c r="H167" s="23"/>
      <c r="I167" s="21"/>
      <c r="J167" s="21"/>
    </row>
    <row r="168" spans="1:10" ht="15.75" customHeight="1" x14ac:dyDescent="0.2">
      <c r="A168" s="56"/>
      <c r="B168" s="21"/>
      <c r="C168" s="21"/>
      <c r="D168" s="24"/>
      <c r="E168" s="30"/>
      <c r="F168" s="57"/>
      <c r="G168" s="21"/>
      <c r="H168" s="23"/>
      <c r="I168" s="21"/>
      <c r="J168" s="21"/>
    </row>
    <row r="169" spans="1:10" ht="15.75" customHeight="1" x14ac:dyDescent="0.2">
      <c r="A169" s="56"/>
      <c r="B169" s="21"/>
      <c r="C169" s="23"/>
      <c r="D169" s="34"/>
      <c r="E169" s="30"/>
      <c r="F169" s="57"/>
      <c r="G169" s="21"/>
      <c r="H169" s="23"/>
      <c r="I169" s="21"/>
      <c r="J169" s="21"/>
    </row>
    <row r="170" spans="1:10" ht="15.75" customHeight="1" x14ac:dyDescent="0.2">
      <c r="A170" s="56"/>
      <c r="B170" s="21"/>
      <c r="C170" s="23"/>
      <c r="D170" s="34"/>
      <c r="E170" s="30"/>
      <c r="F170" s="57"/>
      <c r="G170" s="21"/>
      <c r="H170" s="23"/>
      <c r="I170" s="21"/>
      <c r="J170" s="21"/>
    </row>
    <row r="171" spans="1:10" ht="15.75" customHeight="1" x14ac:dyDescent="0.2">
      <c r="A171" s="56"/>
      <c r="B171" s="21"/>
      <c r="C171" s="23"/>
      <c r="D171" s="34"/>
      <c r="E171" s="30"/>
      <c r="F171" s="57"/>
      <c r="G171" s="21"/>
      <c r="H171" s="23"/>
      <c r="I171" s="21"/>
      <c r="J171" s="21"/>
    </row>
    <row r="172" spans="1:10" ht="15.75" customHeight="1" x14ac:dyDescent="0.2">
      <c r="A172" s="56"/>
      <c r="B172" s="21"/>
      <c r="C172" s="21"/>
      <c r="D172" s="24"/>
      <c r="E172" s="30"/>
      <c r="F172" s="57"/>
      <c r="G172" s="21"/>
      <c r="H172" s="23"/>
      <c r="I172" s="21"/>
      <c r="J172" s="21"/>
    </row>
    <row r="173" spans="1:10" ht="15.75" customHeight="1" x14ac:dyDescent="0.2">
      <c r="A173" s="56"/>
      <c r="B173" s="21"/>
      <c r="C173" s="21"/>
      <c r="D173" s="24"/>
      <c r="E173" s="30"/>
      <c r="F173" s="47"/>
      <c r="G173" s="21"/>
      <c r="H173" s="23"/>
      <c r="I173" s="21"/>
      <c r="J173" s="21"/>
    </row>
    <row r="174" spans="1:10" ht="15.75" customHeight="1" x14ac:dyDescent="0.2">
      <c r="A174" s="56"/>
      <c r="B174" s="21"/>
      <c r="C174" s="23"/>
      <c r="D174" s="34"/>
      <c r="E174" s="30"/>
      <c r="F174" s="57"/>
      <c r="G174" s="21"/>
      <c r="H174" s="23"/>
      <c r="I174" s="21"/>
      <c r="J174" s="21"/>
    </row>
    <row r="175" spans="1:10" ht="15.75" customHeight="1" x14ac:dyDescent="0.2">
      <c r="A175" s="56"/>
      <c r="B175" s="21"/>
      <c r="C175" s="21"/>
      <c r="D175" s="24"/>
      <c r="E175" s="30"/>
      <c r="F175" s="47"/>
      <c r="G175" s="21"/>
      <c r="H175" s="23"/>
      <c r="I175" s="21"/>
      <c r="J175" s="21"/>
    </row>
    <row r="176" spans="1:10" ht="15.75" customHeight="1" x14ac:dyDescent="0.2">
      <c r="A176" s="56"/>
      <c r="B176" s="21"/>
      <c r="C176" s="21"/>
      <c r="D176" s="24"/>
      <c r="E176" s="30"/>
      <c r="F176" s="47"/>
      <c r="G176" s="21"/>
      <c r="H176" s="23"/>
      <c r="I176" s="21"/>
      <c r="J176" s="21"/>
    </row>
    <row r="177" spans="1:10" ht="15.75" customHeight="1" x14ac:dyDescent="0.2">
      <c r="A177" s="56"/>
      <c r="B177" s="21"/>
      <c r="C177" s="21"/>
      <c r="D177" s="24"/>
      <c r="E177" s="30"/>
      <c r="F177" s="47"/>
      <c r="G177" s="21"/>
      <c r="H177" s="21"/>
      <c r="I177" s="21"/>
      <c r="J177" s="21"/>
    </row>
    <row r="178" spans="1:10" ht="15.75" customHeight="1" x14ac:dyDescent="0.2">
      <c r="A178" s="56"/>
      <c r="B178" s="21"/>
      <c r="C178" s="23"/>
      <c r="D178" s="34"/>
      <c r="E178" s="30"/>
      <c r="F178" s="57"/>
      <c r="G178" s="21"/>
      <c r="H178" s="23"/>
      <c r="I178" s="21"/>
      <c r="J178" s="21"/>
    </row>
    <row r="179" spans="1:10" ht="15.75" customHeight="1" x14ac:dyDescent="0.2">
      <c r="A179" s="56"/>
      <c r="B179" s="21"/>
      <c r="C179" s="23"/>
      <c r="D179" s="34"/>
      <c r="E179" s="30"/>
      <c r="F179" s="57"/>
      <c r="G179" s="21"/>
      <c r="H179" s="23"/>
      <c r="I179" s="21"/>
      <c r="J179" s="21"/>
    </row>
    <row r="180" spans="1:10" ht="15.75" customHeight="1" x14ac:dyDescent="0.2">
      <c r="A180" s="56"/>
      <c r="B180" s="21"/>
      <c r="C180" s="23"/>
      <c r="D180" s="34"/>
      <c r="E180" s="30"/>
      <c r="F180" s="57"/>
      <c r="G180" s="21"/>
      <c r="H180" s="23"/>
      <c r="I180" s="21"/>
      <c r="J180" s="21"/>
    </row>
    <row r="181" spans="1:10" ht="15.75" customHeight="1" x14ac:dyDescent="0.2">
      <c r="A181" s="56"/>
      <c r="B181" s="21"/>
      <c r="C181" s="21"/>
      <c r="D181" s="24"/>
      <c r="E181" s="30"/>
      <c r="F181" s="47"/>
      <c r="G181" s="21"/>
      <c r="H181" s="23"/>
      <c r="I181" s="21"/>
      <c r="J181" s="21"/>
    </row>
    <row r="182" spans="1:10" ht="15.75" customHeight="1" x14ac:dyDescent="0.2">
      <c r="A182" s="56"/>
      <c r="B182" s="21"/>
      <c r="C182" s="21"/>
      <c r="D182" s="24"/>
      <c r="E182" s="30"/>
      <c r="F182" s="47"/>
      <c r="G182" s="21"/>
      <c r="H182" s="23"/>
      <c r="I182" s="21"/>
      <c r="J182" s="21"/>
    </row>
    <row r="183" spans="1:10" ht="15.75" customHeight="1" x14ac:dyDescent="0.2">
      <c r="A183" s="56"/>
      <c r="B183" s="21"/>
      <c r="C183" s="21"/>
      <c r="D183" s="24"/>
      <c r="E183" s="30"/>
      <c r="F183" s="47"/>
      <c r="G183" s="21"/>
      <c r="H183" s="23"/>
      <c r="I183" s="21"/>
      <c r="J183" s="21"/>
    </row>
    <row r="184" spans="1:10" ht="15.75" customHeight="1" x14ac:dyDescent="0.2">
      <c r="A184" s="56"/>
      <c r="B184" s="21"/>
      <c r="C184" s="21"/>
      <c r="D184" s="24"/>
      <c r="E184" s="30"/>
      <c r="F184" s="57"/>
      <c r="G184" s="21"/>
      <c r="H184" s="23"/>
      <c r="I184" s="21"/>
      <c r="J184" s="21"/>
    </row>
    <row r="185" spans="1:10" ht="15.75" customHeight="1" x14ac:dyDescent="0.2">
      <c r="A185" s="56"/>
      <c r="B185" s="21"/>
      <c r="C185" s="21"/>
      <c r="D185" s="24"/>
      <c r="E185" s="30"/>
      <c r="F185" s="57"/>
      <c r="G185" s="21"/>
      <c r="H185" s="23"/>
      <c r="I185" s="21"/>
      <c r="J185" s="21"/>
    </row>
    <row r="186" spans="1:10" ht="15.75" customHeight="1" x14ac:dyDescent="0.2">
      <c r="A186" s="56"/>
      <c r="B186" s="21"/>
      <c r="C186" s="21"/>
      <c r="D186" s="24"/>
      <c r="E186" s="30"/>
      <c r="F186" s="57"/>
      <c r="G186" s="21"/>
      <c r="H186" s="23"/>
      <c r="I186" s="21"/>
      <c r="J186" s="21"/>
    </row>
    <row r="187" spans="1:10" ht="15.75" customHeight="1" x14ac:dyDescent="0.2">
      <c r="A187" s="56"/>
      <c r="B187" s="21"/>
      <c r="C187" s="21"/>
      <c r="D187" s="24"/>
      <c r="E187" s="30"/>
      <c r="F187" s="57"/>
      <c r="G187" s="21"/>
      <c r="H187" s="23"/>
      <c r="I187" s="21"/>
      <c r="J187" s="21"/>
    </row>
    <row r="188" spans="1:10" ht="15.75" customHeight="1" x14ac:dyDescent="0.2">
      <c r="A188" s="56"/>
      <c r="B188" s="21"/>
      <c r="C188" s="23"/>
      <c r="D188" s="34"/>
      <c r="E188" s="30"/>
      <c r="F188" s="57"/>
      <c r="G188" s="21"/>
      <c r="H188" s="23"/>
      <c r="I188" s="21"/>
      <c r="J188" s="21"/>
    </row>
    <row r="189" spans="1:10" ht="15.75" customHeight="1" x14ac:dyDescent="0.2">
      <c r="A189" s="56"/>
      <c r="B189" s="21"/>
      <c r="C189" s="23"/>
      <c r="D189" s="34"/>
      <c r="E189" s="30"/>
      <c r="F189" s="57"/>
      <c r="G189" s="21"/>
      <c r="H189" s="23"/>
      <c r="I189" s="21"/>
      <c r="J189" s="21"/>
    </row>
    <row r="190" spans="1:10" ht="15.75" customHeight="1" x14ac:dyDescent="0.2">
      <c r="A190" s="56"/>
      <c r="B190" s="21"/>
      <c r="C190" s="21"/>
      <c r="D190" s="24"/>
      <c r="E190" s="30"/>
      <c r="F190" s="57"/>
      <c r="G190" s="21"/>
      <c r="H190" s="23"/>
      <c r="I190" s="21"/>
      <c r="J190" s="21"/>
    </row>
    <row r="191" spans="1:10" ht="15.75" customHeight="1" x14ac:dyDescent="0.2">
      <c r="A191" s="56"/>
      <c r="B191" s="21"/>
      <c r="C191" s="23"/>
      <c r="D191" s="34"/>
      <c r="E191" s="30"/>
      <c r="F191" s="57"/>
      <c r="G191" s="21"/>
      <c r="H191" s="23"/>
      <c r="I191" s="21"/>
      <c r="J191" s="21"/>
    </row>
    <row r="192" spans="1:10" ht="15.75" customHeight="1" x14ac:dyDescent="0.2">
      <c r="A192" s="56"/>
      <c r="B192" s="21"/>
      <c r="C192" s="21"/>
      <c r="D192" s="24"/>
      <c r="E192" s="30"/>
      <c r="F192" s="57"/>
      <c r="G192" s="21"/>
      <c r="H192" s="23"/>
      <c r="I192" s="21"/>
      <c r="J192" s="21"/>
    </row>
    <row r="193" spans="1:10" ht="15.75" customHeight="1" x14ac:dyDescent="0.2">
      <c r="A193" s="56"/>
      <c r="B193" s="21"/>
      <c r="C193" s="21"/>
      <c r="D193" s="24"/>
      <c r="E193" s="30"/>
      <c r="F193" s="47"/>
      <c r="G193" s="21"/>
      <c r="H193" s="21"/>
      <c r="I193" s="21"/>
      <c r="J193" s="21"/>
    </row>
    <row r="194" spans="1:10" ht="15.75" customHeight="1" x14ac:dyDescent="0.2">
      <c r="A194" s="56"/>
      <c r="B194" s="21"/>
      <c r="C194" s="21"/>
      <c r="D194" s="24"/>
      <c r="E194" s="30"/>
      <c r="F194" s="47"/>
      <c r="G194" s="21"/>
      <c r="H194" s="21"/>
      <c r="I194" s="21"/>
      <c r="J194" s="21"/>
    </row>
    <row r="195" spans="1:10" ht="15.75" customHeight="1" x14ac:dyDescent="0.2">
      <c r="A195" s="56"/>
      <c r="B195" s="21"/>
      <c r="C195" s="21"/>
      <c r="D195" s="24"/>
      <c r="E195" s="30"/>
      <c r="F195" s="57"/>
      <c r="G195" s="21"/>
      <c r="H195" s="21"/>
      <c r="I195" s="21"/>
      <c r="J195" s="21"/>
    </row>
    <row r="196" spans="1:10" ht="15.75" customHeight="1" x14ac:dyDescent="0.2">
      <c r="A196" s="56"/>
      <c r="B196" s="21"/>
      <c r="C196" s="23"/>
      <c r="D196" s="34"/>
      <c r="E196" s="30"/>
      <c r="F196" s="57"/>
      <c r="G196" s="21"/>
      <c r="H196" s="21"/>
      <c r="I196" s="21"/>
      <c r="J196" s="21"/>
    </row>
    <row r="197" spans="1:10" ht="15.75" customHeight="1" x14ac:dyDescent="0.2">
      <c r="A197" s="56"/>
      <c r="B197" s="21"/>
      <c r="C197" s="21"/>
      <c r="D197" s="24"/>
      <c r="E197" s="30"/>
      <c r="F197" s="47"/>
      <c r="G197" s="21"/>
      <c r="H197" s="23"/>
      <c r="I197" s="21"/>
      <c r="J197" s="21"/>
    </row>
    <row r="198" spans="1:10" ht="15.75" customHeight="1" x14ac:dyDescent="0.2">
      <c r="A198" s="56"/>
      <c r="B198" s="21"/>
      <c r="C198" s="23"/>
      <c r="D198" s="34"/>
      <c r="E198" s="30"/>
      <c r="F198" s="57"/>
      <c r="G198" s="21"/>
      <c r="H198" s="23"/>
      <c r="I198" s="21"/>
      <c r="J198" s="21"/>
    </row>
    <row r="199" spans="1:10" ht="15.75" customHeight="1" x14ac:dyDescent="0.2">
      <c r="A199" s="56"/>
      <c r="B199" s="21"/>
      <c r="C199" s="21"/>
      <c r="D199" s="24"/>
      <c r="E199" s="30"/>
      <c r="F199" s="57"/>
      <c r="G199" s="21"/>
      <c r="H199" s="23"/>
      <c r="I199" s="21"/>
      <c r="J199" s="21"/>
    </row>
    <row r="200" spans="1:10" ht="15.75" customHeight="1" x14ac:dyDescent="0.2">
      <c r="A200" s="56"/>
      <c r="B200" s="21"/>
      <c r="C200" s="21"/>
      <c r="D200" s="24"/>
      <c r="E200" s="30"/>
      <c r="F200" s="57"/>
      <c r="G200" s="21"/>
      <c r="H200" s="23"/>
      <c r="I200" s="21"/>
      <c r="J200" s="21"/>
    </row>
    <row r="201" spans="1:10" ht="15.75" customHeight="1" x14ac:dyDescent="0.2">
      <c r="A201" s="56"/>
      <c r="B201" s="21"/>
      <c r="C201" s="21"/>
      <c r="D201" s="24"/>
      <c r="E201" s="30"/>
      <c r="F201" s="47"/>
      <c r="G201" s="21"/>
      <c r="H201" s="23"/>
      <c r="I201" s="21"/>
      <c r="J201" s="21"/>
    </row>
    <row r="202" spans="1:10" ht="15.75" customHeight="1" x14ac:dyDescent="0.2">
      <c r="A202" s="56"/>
      <c r="B202" s="21"/>
      <c r="C202" s="21"/>
      <c r="D202" s="24"/>
      <c r="E202" s="30"/>
      <c r="F202" s="57"/>
      <c r="G202" s="21"/>
      <c r="H202" s="23"/>
      <c r="I202" s="21"/>
      <c r="J202" s="21"/>
    </row>
    <row r="203" spans="1:10" ht="15.75" customHeight="1" x14ac:dyDescent="0.2">
      <c r="A203" s="56"/>
      <c r="B203" s="21"/>
      <c r="C203" s="23"/>
      <c r="D203" s="34"/>
      <c r="E203" s="30"/>
      <c r="F203" s="57"/>
      <c r="G203" s="21"/>
      <c r="H203" s="23"/>
      <c r="I203" s="21"/>
      <c r="J203" s="21"/>
    </row>
    <row r="204" spans="1:10" ht="15.75" customHeight="1" x14ac:dyDescent="0.2">
      <c r="A204" s="56"/>
      <c r="B204" s="21"/>
      <c r="C204" s="23"/>
      <c r="D204" s="34"/>
      <c r="E204" s="30"/>
      <c r="F204" s="57"/>
      <c r="G204" s="21"/>
      <c r="H204" s="23"/>
      <c r="I204" s="21"/>
      <c r="J204" s="21"/>
    </row>
    <row r="205" spans="1:10" ht="15.75" customHeight="1" x14ac:dyDescent="0.2">
      <c r="A205" s="56"/>
      <c r="B205" s="21"/>
      <c r="C205" s="21"/>
      <c r="D205" s="24"/>
      <c r="E205" s="30"/>
      <c r="F205" s="47"/>
      <c r="G205" s="21"/>
      <c r="H205" s="21"/>
      <c r="I205" s="21"/>
      <c r="J205" s="21"/>
    </row>
    <row r="206" spans="1:10" ht="15.75" customHeight="1" x14ac:dyDescent="0.2">
      <c r="A206" s="56"/>
      <c r="B206" s="21"/>
      <c r="C206" s="23"/>
      <c r="D206" s="24"/>
      <c r="E206" s="30"/>
      <c r="F206" s="57"/>
      <c r="G206" s="21"/>
      <c r="H206" s="23"/>
      <c r="I206" s="21"/>
      <c r="J206" s="21"/>
    </row>
    <row r="207" spans="1:10" ht="15.75" customHeight="1" x14ac:dyDescent="0.2">
      <c r="A207" s="56"/>
      <c r="B207" s="21"/>
      <c r="C207" s="21"/>
      <c r="D207" s="24"/>
      <c r="E207" s="21"/>
      <c r="F207" s="47"/>
      <c r="G207" s="21"/>
      <c r="H207" s="21"/>
      <c r="I207" s="21"/>
      <c r="J207" s="21"/>
    </row>
    <row r="208" spans="1:10" ht="15.75" customHeight="1" x14ac:dyDescent="0.2">
      <c r="A208" s="56"/>
      <c r="B208" s="21"/>
      <c r="C208" s="21"/>
      <c r="D208" s="24"/>
      <c r="E208" s="30"/>
      <c r="F208" s="47"/>
      <c r="G208" s="21"/>
      <c r="H208" s="23"/>
      <c r="I208" s="21"/>
      <c r="J208" s="21"/>
    </row>
    <row r="209" spans="1:10" ht="15.75" customHeight="1" x14ac:dyDescent="0.2">
      <c r="A209" s="56"/>
      <c r="B209" s="21"/>
      <c r="C209" s="21"/>
      <c r="D209" s="24"/>
      <c r="E209" s="30"/>
      <c r="F209" s="57"/>
      <c r="G209" s="21"/>
      <c r="H209" s="23"/>
      <c r="I209" s="21"/>
      <c r="J209" s="21"/>
    </row>
    <row r="210" spans="1:10" ht="15.75" customHeight="1" x14ac:dyDescent="0.2">
      <c r="A210" s="56"/>
      <c r="B210" s="21"/>
      <c r="C210" s="21"/>
      <c r="D210" s="24"/>
      <c r="E210" s="30"/>
      <c r="F210" s="47"/>
      <c r="G210" s="21"/>
      <c r="H210" s="23"/>
      <c r="I210" s="21"/>
      <c r="J210" s="21"/>
    </row>
    <row r="211" spans="1:10" ht="15.75" customHeight="1" x14ac:dyDescent="0.2">
      <c r="A211" s="56"/>
      <c r="B211" s="21"/>
      <c r="C211" s="23"/>
      <c r="D211" s="34"/>
      <c r="E211" s="30"/>
      <c r="F211" s="57"/>
      <c r="G211" s="21"/>
      <c r="H211" s="23"/>
      <c r="I211" s="21"/>
      <c r="J211" s="21"/>
    </row>
    <row r="212" spans="1:10" ht="15.75" customHeight="1" x14ac:dyDescent="0.2">
      <c r="A212" s="56"/>
      <c r="B212" s="21"/>
      <c r="C212" s="21"/>
      <c r="D212" s="24"/>
      <c r="E212" s="30"/>
      <c r="F212" s="57"/>
      <c r="G212" s="21"/>
      <c r="H212" s="23"/>
      <c r="I212" s="21"/>
      <c r="J212" s="21"/>
    </row>
    <row r="213" spans="1:10" ht="15.75" customHeight="1" x14ac:dyDescent="0.2">
      <c r="A213" s="56"/>
      <c r="B213" s="21"/>
      <c r="C213" s="21"/>
      <c r="D213" s="24"/>
      <c r="E213" s="30"/>
      <c r="F213" s="57"/>
      <c r="G213" s="21"/>
      <c r="H213" s="23"/>
      <c r="I213" s="21"/>
      <c r="J213" s="21"/>
    </row>
    <row r="214" spans="1:10" ht="15.75" customHeight="1" x14ac:dyDescent="0.2">
      <c r="A214" s="56"/>
      <c r="B214" s="21"/>
      <c r="C214" s="21"/>
      <c r="D214" s="24"/>
      <c r="E214" s="30"/>
      <c r="F214" s="47"/>
      <c r="G214" s="21"/>
      <c r="H214" s="21"/>
      <c r="I214" s="21"/>
      <c r="J214" s="21"/>
    </row>
    <row r="215" spans="1:10" ht="15.75" customHeight="1" x14ac:dyDescent="0.2">
      <c r="A215" s="56"/>
      <c r="B215" s="21"/>
      <c r="C215" s="23"/>
      <c r="D215" s="34"/>
      <c r="E215" s="30"/>
      <c r="F215" s="57"/>
      <c r="G215" s="21"/>
      <c r="H215" s="23"/>
      <c r="I215" s="21"/>
      <c r="J215" s="21"/>
    </row>
    <row r="216" spans="1:10" ht="15.75" customHeight="1" x14ac:dyDescent="0.2">
      <c r="A216" s="56"/>
      <c r="B216" s="21"/>
      <c r="C216" s="23"/>
      <c r="D216" s="34"/>
      <c r="E216" s="30"/>
      <c r="F216" s="57"/>
      <c r="G216" s="21"/>
      <c r="H216" s="23"/>
      <c r="I216" s="21"/>
      <c r="J216" s="21"/>
    </row>
    <row r="217" spans="1:10" ht="15.75" customHeight="1" x14ac:dyDescent="0.2">
      <c r="A217" s="56"/>
      <c r="B217" s="21"/>
      <c r="C217" s="21"/>
      <c r="D217" s="24"/>
      <c r="E217" s="30"/>
      <c r="F217" s="47"/>
      <c r="G217" s="21"/>
      <c r="H217" s="21"/>
      <c r="I217" s="21"/>
      <c r="J217" s="21"/>
    </row>
    <row r="218" spans="1:10" ht="15.75" customHeight="1" x14ac:dyDescent="0.2">
      <c r="A218" s="56"/>
      <c r="B218" s="21"/>
      <c r="C218" s="23"/>
      <c r="D218" s="34"/>
      <c r="E218" s="30"/>
      <c r="F218" s="47"/>
      <c r="G218" s="21"/>
      <c r="H218" s="23"/>
      <c r="I218" s="21"/>
      <c r="J218" s="21"/>
    </row>
    <row r="219" spans="1:10" ht="15.75" customHeight="1" x14ac:dyDescent="0.2">
      <c r="A219" s="56"/>
      <c r="B219" s="21"/>
      <c r="C219" s="21"/>
      <c r="D219" s="24"/>
      <c r="E219" s="30"/>
      <c r="F219" s="47"/>
      <c r="G219" s="21"/>
      <c r="H219" s="23"/>
      <c r="I219" s="21"/>
      <c r="J219" s="21"/>
    </row>
    <row r="220" spans="1:10" ht="15.75" customHeight="1" x14ac:dyDescent="0.2">
      <c r="A220" s="56"/>
      <c r="B220" s="21"/>
      <c r="C220" s="23"/>
      <c r="D220" s="34"/>
      <c r="E220" s="30"/>
      <c r="F220" s="47"/>
      <c r="G220" s="21"/>
      <c r="H220" s="23"/>
      <c r="I220" s="21"/>
      <c r="J220" s="21"/>
    </row>
    <row r="221" spans="1:10" ht="15.75" customHeight="1" x14ac:dyDescent="0.2">
      <c r="A221" s="56"/>
      <c r="B221" s="21"/>
      <c r="C221" s="21"/>
      <c r="D221" s="24"/>
      <c r="E221" s="30"/>
      <c r="F221" s="57"/>
      <c r="G221" s="21"/>
      <c r="H221" s="23"/>
      <c r="I221" s="21"/>
      <c r="J221" s="21"/>
    </row>
    <row r="222" spans="1:10" ht="15.75" customHeight="1" x14ac:dyDescent="0.2">
      <c r="A222" s="56"/>
      <c r="B222" s="21"/>
      <c r="C222" s="21"/>
      <c r="D222" s="24"/>
      <c r="E222" s="30"/>
      <c r="F222" s="47"/>
      <c r="G222" s="21"/>
      <c r="H222" s="21"/>
      <c r="I222" s="21"/>
      <c r="J222" s="21"/>
    </row>
    <row r="223" spans="1:10" ht="15.75" customHeight="1" x14ac:dyDescent="0.2">
      <c r="A223" s="56"/>
      <c r="B223" s="21"/>
      <c r="C223" s="23"/>
      <c r="D223" s="34"/>
      <c r="E223" s="30"/>
      <c r="F223" s="57"/>
      <c r="G223" s="21"/>
      <c r="H223" s="23"/>
      <c r="I223" s="21"/>
      <c r="J223" s="21"/>
    </row>
    <row r="224" spans="1:10" ht="15.75" customHeight="1" x14ac:dyDescent="0.2">
      <c r="A224" s="56"/>
      <c r="B224" s="21"/>
      <c r="C224" s="21"/>
      <c r="D224" s="24"/>
      <c r="E224" s="30"/>
      <c r="F224" s="47"/>
      <c r="G224" s="21"/>
      <c r="H224" s="23"/>
      <c r="I224" s="21"/>
      <c r="J224" s="21"/>
    </row>
    <row r="225" spans="1:10" ht="15.75" customHeight="1" x14ac:dyDescent="0.2">
      <c r="A225" s="56"/>
      <c r="B225" s="21"/>
      <c r="C225" s="21"/>
      <c r="D225" s="24"/>
      <c r="E225" s="30"/>
      <c r="F225" s="47"/>
      <c r="G225" s="21"/>
      <c r="H225" s="23"/>
      <c r="I225" s="21"/>
      <c r="J225" s="21"/>
    </row>
    <row r="226" spans="1:10" ht="15.75" customHeight="1" x14ac:dyDescent="0.2">
      <c r="A226" s="56"/>
      <c r="B226" s="21"/>
      <c r="C226" s="21"/>
      <c r="D226" s="24"/>
      <c r="E226" s="30"/>
      <c r="F226" s="47"/>
      <c r="G226" s="21"/>
      <c r="H226" s="23"/>
      <c r="I226" s="21"/>
      <c r="J226" s="21"/>
    </row>
    <row r="227" spans="1:10" ht="15.75" customHeight="1" x14ac:dyDescent="0.2">
      <c r="A227" s="56"/>
      <c r="B227" s="21"/>
      <c r="C227" s="23"/>
      <c r="D227" s="34"/>
      <c r="E227" s="30"/>
      <c r="F227" s="57"/>
      <c r="G227" s="21"/>
      <c r="H227" s="23"/>
      <c r="I227" s="21"/>
      <c r="J227" s="21"/>
    </row>
    <row r="228" spans="1:10" ht="15.75" customHeight="1" x14ac:dyDescent="0.2">
      <c r="A228" s="56"/>
      <c r="B228" s="21"/>
      <c r="C228" s="23"/>
      <c r="D228" s="24"/>
      <c r="E228" s="30"/>
      <c r="F228" s="57"/>
      <c r="G228" s="21"/>
      <c r="H228" s="23"/>
      <c r="I228" s="21"/>
      <c r="J228" s="21"/>
    </row>
    <row r="229" spans="1:10" ht="15.75" customHeight="1" x14ac:dyDescent="0.2">
      <c r="A229" s="56"/>
      <c r="B229" s="21"/>
      <c r="C229" s="21"/>
      <c r="D229" s="24"/>
      <c r="E229" s="30"/>
      <c r="F229" s="57"/>
      <c r="G229" s="21"/>
      <c r="H229" s="21"/>
      <c r="I229" s="21"/>
      <c r="J229" s="21"/>
    </row>
    <row r="230" spans="1:10" ht="15.75" customHeight="1" x14ac:dyDescent="0.2">
      <c r="A230" s="56"/>
      <c r="B230" s="21"/>
      <c r="C230" s="23"/>
      <c r="D230" s="34"/>
      <c r="E230" s="30"/>
      <c r="F230" s="57"/>
      <c r="G230" s="21"/>
      <c r="H230" s="23"/>
      <c r="I230" s="21"/>
      <c r="J230" s="21"/>
    </row>
    <row r="231" spans="1:10" ht="15.75" customHeight="1" x14ac:dyDescent="0.2">
      <c r="A231" s="56"/>
      <c r="B231" s="21"/>
      <c r="C231" s="23"/>
      <c r="D231" s="34"/>
      <c r="E231" s="30"/>
      <c r="F231" s="57"/>
      <c r="G231" s="21"/>
      <c r="H231" s="23"/>
      <c r="I231" s="21"/>
      <c r="J231" s="21"/>
    </row>
    <row r="232" spans="1:10" ht="15.75" customHeight="1" x14ac:dyDescent="0.2">
      <c r="A232" s="56"/>
      <c r="B232" s="21"/>
      <c r="C232" s="23"/>
      <c r="D232" s="34"/>
      <c r="E232" s="30"/>
      <c r="F232" s="57"/>
      <c r="G232" s="21"/>
      <c r="H232" s="23"/>
      <c r="I232" s="21"/>
      <c r="J232" s="21"/>
    </row>
    <row r="233" spans="1:10" ht="15.75" customHeight="1" x14ac:dyDescent="0.2">
      <c r="A233" s="56"/>
      <c r="B233" s="21"/>
      <c r="C233" s="21"/>
      <c r="D233" s="24"/>
      <c r="E233" s="30"/>
      <c r="F233" s="47"/>
      <c r="G233" s="21"/>
      <c r="H233" s="23"/>
      <c r="I233" s="21"/>
      <c r="J233" s="21"/>
    </row>
    <row r="234" spans="1:10" ht="15.75" customHeight="1" x14ac:dyDescent="0.2">
      <c r="A234" s="56"/>
      <c r="B234" s="21"/>
      <c r="C234" s="21"/>
      <c r="D234" s="24"/>
      <c r="E234" s="30"/>
      <c r="F234" s="47"/>
      <c r="G234" s="21"/>
      <c r="H234" s="23"/>
      <c r="I234" s="21"/>
      <c r="J234" s="21"/>
    </row>
    <row r="235" spans="1:10" ht="15.75" customHeight="1" x14ac:dyDescent="0.2">
      <c r="A235" s="56"/>
      <c r="B235" s="21"/>
      <c r="C235" s="21"/>
      <c r="D235" s="24"/>
      <c r="E235" s="30"/>
      <c r="F235" s="47"/>
      <c r="G235" s="21"/>
      <c r="H235" s="23"/>
      <c r="I235" s="21"/>
      <c r="J235" s="21"/>
    </row>
    <row r="236" spans="1:10" ht="15.75" customHeight="1" x14ac:dyDescent="0.2">
      <c r="A236" s="56"/>
      <c r="B236" s="21"/>
      <c r="C236" s="23"/>
      <c r="D236" s="34"/>
      <c r="E236" s="30"/>
      <c r="F236" s="57"/>
      <c r="G236" s="21"/>
      <c r="H236" s="23"/>
      <c r="I236" s="21"/>
      <c r="J236" s="21"/>
    </row>
    <row r="237" spans="1:10" ht="15.75" customHeight="1" x14ac:dyDescent="0.2">
      <c r="A237" s="56"/>
      <c r="B237" s="21"/>
      <c r="C237" s="23"/>
      <c r="D237" s="34"/>
      <c r="E237" s="30"/>
      <c r="F237" s="57"/>
      <c r="G237" s="21"/>
      <c r="H237" s="23"/>
      <c r="I237" s="21"/>
      <c r="J237" s="21"/>
    </row>
    <row r="238" spans="1:10" ht="15.75" customHeight="1" x14ac:dyDescent="0.2">
      <c r="A238" s="56"/>
      <c r="B238" s="21"/>
      <c r="C238" s="23"/>
      <c r="D238" s="34"/>
      <c r="E238" s="30"/>
      <c r="F238" s="57"/>
      <c r="G238" s="21"/>
      <c r="H238" s="23"/>
      <c r="I238" s="21"/>
      <c r="J238" s="21"/>
    </row>
    <row r="239" spans="1:10" ht="15.75" customHeight="1" x14ac:dyDescent="0.2">
      <c r="A239" s="56"/>
      <c r="B239" s="21"/>
      <c r="C239" s="23"/>
      <c r="D239" s="23"/>
      <c r="E239" s="30"/>
      <c r="F239" s="57"/>
      <c r="G239" s="21"/>
      <c r="H239" s="23"/>
      <c r="I239" s="21"/>
      <c r="J239" s="21"/>
    </row>
    <row r="240" spans="1:10" ht="15.75" customHeight="1" x14ac:dyDescent="0.2">
      <c r="A240" s="56"/>
      <c r="B240" s="21"/>
      <c r="C240" s="21"/>
      <c r="D240" s="24"/>
      <c r="E240" s="21"/>
      <c r="F240" s="47"/>
      <c r="G240" s="21"/>
      <c r="H240" s="21"/>
      <c r="I240" s="21"/>
      <c r="J240" s="21"/>
    </row>
    <row r="241" spans="1:10" ht="15.75" customHeight="1" x14ac:dyDescent="0.2">
      <c r="A241" s="56"/>
      <c r="B241" s="21"/>
      <c r="C241" s="21"/>
      <c r="D241" s="24"/>
      <c r="E241" s="30"/>
      <c r="F241" s="47"/>
      <c r="G241" s="21"/>
      <c r="H241" s="21"/>
      <c r="I241" s="21"/>
      <c r="J241" s="21"/>
    </row>
    <row r="242" spans="1:10" ht="15.75" customHeight="1" x14ac:dyDescent="0.2">
      <c r="A242" s="56"/>
      <c r="B242" s="21"/>
      <c r="C242" s="21"/>
      <c r="D242" s="24"/>
      <c r="E242" s="30"/>
      <c r="F242" s="47"/>
      <c r="G242" s="21"/>
      <c r="H242" s="23"/>
      <c r="I242" s="21"/>
      <c r="J242" s="21"/>
    </row>
    <row r="243" spans="1:10" ht="15.75" customHeight="1" x14ac:dyDescent="0.2">
      <c r="A243" s="56"/>
      <c r="B243" s="21"/>
      <c r="C243" s="21"/>
      <c r="D243" s="24"/>
      <c r="E243" s="30"/>
      <c r="F243" s="47"/>
      <c r="G243" s="21"/>
      <c r="H243" s="23"/>
      <c r="I243" s="21"/>
      <c r="J243" s="21"/>
    </row>
    <row r="244" spans="1:10" ht="15.75" customHeight="1" x14ac:dyDescent="0.2">
      <c r="A244" s="56"/>
      <c r="B244" s="21"/>
      <c r="C244" s="21"/>
      <c r="D244" s="24"/>
      <c r="E244" s="30"/>
      <c r="F244" s="47"/>
      <c r="G244" s="21"/>
      <c r="H244" s="23"/>
      <c r="I244" s="21"/>
      <c r="J244" s="21"/>
    </row>
    <row r="245" spans="1:10" ht="15.75" customHeight="1" x14ac:dyDescent="0.2">
      <c r="A245" s="56"/>
      <c r="B245" s="21"/>
      <c r="C245" s="21"/>
      <c r="D245" s="24"/>
      <c r="E245" s="30"/>
      <c r="F245" s="47"/>
      <c r="G245" s="21"/>
      <c r="H245" s="23"/>
      <c r="I245" s="21"/>
      <c r="J245" s="21"/>
    </row>
    <row r="246" spans="1:10" ht="15.75" customHeight="1" x14ac:dyDescent="0.2">
      <c r="A246" s="56"/>
      <c r="B246" s="21"/>
      <c r="C246" s="21"/>
      <c r="D246" s="24"/>
      <c r="E246" s="30"/>
      <c r="F246" s="57"/>
      <c r="G246" s="21"/>
      <c r="H246" s="23"/>
      <c r="I246" s="23"/>
      <c r="J246" s="21"/>
    </row>
    <row r="247" spans="1:10" ht="15.75" customHeight="1" x14ac:dyDescent="0.2">
      <c r="A247" s="56"/>
      <c r="B247" s="21"/>
      <c r="C247" s="21"/>
      <c r="D247" s="24"/>
      <c r="E247" s="30"/>
      <c r="F247" s="57"/>
      <c r="G247" s="21"/>
      <c r="H247" s="23"/>
      <c r="I247" s="23"/>
      <c r="J247" s="21"/>
    </row>
    <row r="248" spans="1:10" ht="15.75" customHeight="1" x14ac:dyDescent="0.2">
      <c r="A248" s="56"/>
      <c r="B248" s="21"/>
      <c r="C248" s="23"/>
      <c r="D248" s="34"/>
      <c r="E248" s="30"/>
      <c r="F248" s="47"/>
      <c r="G248" s="21"/>
      <c r="H248" s="23"/>
      <c r="I248" s="23"/>
      <c r="J248" s="21"/>
    </row>
    <row r="249" spans="1:10" ht="15.75" customHeight="1" x14ac:dyDescent="0.2">
      <c r="A249" s="56"/>
      <c r="B249" s="21"/>
      <c r="C249" s="21"/>
      <c r="D249" s="24"/>
      <c r="E249" s="30"/>
      <c r="F249" s="57"/>
      <c r="G249" s="21"/>
      <c r="H249" s="23"/>
      <c r="I249" s="23"/>
      <c r="J249" s="21"/>
    </row>
    <row r="250" spans="1:10" ht="15.75" customHeight="1" x14ac:dyDescent="0.2">
      <c r="A250" s="56"/>
      <c r="B250" s="21"/>
      <c r="C250" s="21"/>
      <c r="D250" s="24"/>
      <c r="E250" s="30"/>
      <c r="F250" s="57"/>
      <c r="G250" s="21"/>
      <c r="H250" s="23"/>
      <c r="I250" s="23"/>
      <c r="J250" s="21"/>
    </row>
    <row r="251" spans="1:10" ht="15.75" customHeight="1" x14ac:dyDescent="0.2">
      <c r="A251" s="56"/>
      <c r="B251" s="21"/>
      <c r="C251" s="21"/>
      <c r="D251" s="24"/>
      <c r="E251" s="30"/>
      <c r="F251" s="57"/>
      <c r="G251" s="21"/>
      <c r="H251" s="23"/>
      <c r="I251" s="23"/>
      <c r="J251" s="21"/>
    </row>
    <row r="252" spans="1:10" ht="15.75" customHeight="1" x14ac:dyDescent="0.2">
      <c r="A252" s="56"/>
      <c r="B252" s="21"/>
      <c r="C252" s="21"/>
      <c r="D252" s="24"/>
      <c r="E252" s="30"/>
      <c r="F252" s="47"/>
      <c r="G252" s="21"/>
      <c r="H252" s="21"/>
      <c r="I252" s="23"/>
      <c r="J252" s="21"/>
    </row>
    <row r="253" spans="1:10" ht="15.75" customHeight="1" x14ac:dyDescent="0.2">
      <c r="A253" s="56"/>
      <c r="B253" s="21"/>
      <c r="C253" s="21"/>
      <c r="D253" s="24"/>
      <c r="E253" s="30"/>
      <c r="F253" s="57"/>
      <c r="G253" s="21"/>
      <c r="H253" s="23"/>
      <c r="I253" s="23"/>
      <c r="J253" s="21"/>
    </row>
    <row r="254" spans="1:10" ht="15.75" customHeight="1" x14ac:dyDescent="0.2">
      <c r="A254" s="56"/>
      <c r="B254" s="21"/>
      <c r="C254" s="21"/>
      <c r="D254" s="24"/>
      <c r="E254" s="30"/>
      <c r="F254" s="57"/>
      <c r="G254" s="21"/>
      <c r="H254" s="23"/>
      <c r="I254" s="23"/>
      <c r="J254" s="21"/>
    </row>
    <row r="255" spans="1:10" ht="15.75" customHeight="1" x14ac:dyDescent="0.2">
      <c r="A255" s="56"/>
      <c r="B255" s="21"/>
      <c r="C255" s="21"/>
      <c r="D255" s="24"/>
      <c r="E255" s="30"/>
      <c r="F255" s="57"/>
      <c r="G255" s="21"/>
      <c r="H255" s="23"/>
      <c r="I255" s="23"/>
      <c r="J255" s="21"/>
    </row>
    <row r="256" spans="1:10" ht="15.75" customHeight="1" x14ac:dyDescent="0.2">
      <c r="A256" s="56"/>
      <c r="B256" s="21"/>
      <c r="C256" s="21"/>
      <c r="D256" s="24"/>
      <c r="E256" s="30"/>
      <c r="F256" s="47"/>
      <c r="G256" s="21"/>
      <c r="H256" s="23"/>
      <c r="I256" s="23"/>
      <c r="J256" s="21"/>
    </row>
    <row r="257" spans="1:10" ht="15.75" customHeight="1" x14ac:dyDescent="0.2">
      <c r="A257" s="56"/>
      <c r="B257" s="21"/>
      <c r="C257" s="21"/>
      <c r="D257" s="24"/>
      <c r="E257" s="30"/>
      <c r="F257" s="57"/>
      <c r="G257" s="21"/>
      <c r="H257" s="23"/>
      <c r="I257" s="23"/>
      <c r="J257" s="21"/>
    </row>
    <row r="258" spans="1:10" ht="15.75" customHeight="1" x14ac:dyDescent="0.2">
      <c r="A258" s="56"/>
      <c r="B258" s="21"/>
      <c r="C258" s="23"/>
      <c r="D258" s="34"/>
      <c r="E258" s="30"/>
      <c r="F258" s="57"/>
      <c r="G258" s="21"/>
      <c r="H258" s="23"/>
      <c r="I258" s="23"/>
      <c r="J258" s="21"/>
    </row>
    <row r="259" spans="1:10" ht="15.75" customHeight="1" x14ac:dyDescent="0.2">
      <c r="A259" s="56"/>
      <c r="B259" s="21"/>
      <c r="C259" s="23"/>
      <c r="D259" s="34"/>
      <c r="E259" s="21"/>
      <c r="F259" s="57"/>
      <c r="G259" s="21"/>
      <c r="H259" s="23"/>
      <c r="I259" s="23"/>
      <c r="J259" s="21"/>
    </row>
    <row r="260" spans="1:10" ht="15.75" customHeight="1" x14ac:dyDescent="0.2">
      <c r="A260" s="56"/>
      <c r="B260" s="21"/>
      <c r="C260" s="23"/>
      <c r="D260" s="34"/>
      <c r="E260" s="59"/>
      <c r="F260" s="57"/>
      <c r="G260" s="21"/>
      <c r="H260" s="23"/>
      <c r="I260" s="23"/>
      <c r="J260" s="21"/>
    </row>
    <row r="261" spans="1:10" ht="15.75" customHeight="1" x14ac:dyDescent="0.2">
      <c r="A261" s="56"/>
      <c r="B261" s="21"/>
      <c r="C261" s="21"/>
      <c r="D261" s="24"/>
      <c r="E261" s="30"/>
      <c r="F261" s="47"/>
      <c r="G261" s="21"/>
      <c r="H261" s="23"/>
      <c r="I261" s="23"/>
      <c r="J261" s="21"/>
    </row>
    <row r="262" spans="1:10" ht="15.75" customHeight="1" x14ac:dyDescent="0.2">
      <c r="A262" s="56"/>
      <c r="B262" s="21"/>
      <c r="C262" s="21"/>
      <c r="D262" s="24"/>
      <c r="E262" s="30"/>
      <c r="F262" s="47"/>
      <c r="G262" s="21"/>
      <c r="H262" s="23"/>
      <c r="I262" s="23"/>
      <c r="J262" s="21"/>
    </row>
    <row r="263" spans="1:10" ht="15.75" customHeight="1" x14ac:dyDescent="0.2">
      <c r="A263" s="56"/>
      <c r="B263" s="21"/>
      <c r="C263" s="21"/>
      <c r="D263" s="24"/>
      <c r="E263" s="30"/>
      <c r="F263" s="47"/>
      <c r="G263" s="21"/>
      <c r="H263" s="23"/>
      <c r="I263" s="23"/>
      <c r="J263" s="21"/>
    </row>
    <row r="264" spans="1:10" ht="15.75" customHeight="1" x14ac:dyDescent="0.2">
      <c r="A264" s="56"/>
      <c r="B264" s="21"/>
      <c r="C264" s="21"/>
      <c r="D264" s="24"/>
      <c r="E264" s="30"/>
      <c r="F264" s="47"/>
      <c r="G264" s="21"/>
      <c r="H264" s="23"/>
      <c r="I264" s="23"/>
      <c r="J264" s="21"/>
    </row>
    <row r="265" spans="1:10" ht="15.75" customHeight="1" x14ac:dyDescent="0.2">
      <c r="A265" s="56"/>
      <c r="B265" s="21"/>
      <c r="C265" s="21"/>
      <c r="D265" s="24"/>
      <c r="E265" s="30"/>
      <c r="F265" s="57"/>
      <c r="G265" s="21"/>
      <c r="H265" s="23"/>
      <c r="I265" s="23"/>
      <c r="J265" s="21"/>
    </row>
    <row r="266" spans="1:10" ht="15.75" customHeight="1" x14ac:dyDescent="0.2">
      <c r="A266" s="56"/>
      <c r="B266" s="21"/>
      <c r="C266" s="21"/>
      <c r="D266" s="34"/>
      <c r="E266" s="21"/>
      <c r="F266" s="57"/>
      <c r="G266" s="21"/>
      <c r="H266" s="23"/>
      <c r="I266" s="23"/>
      <c r="J266" s="21"/>
    </row>
    <row r="267" spans="1:10" ht="15.75" customHeight="1" x14ac:dyDescent="0.2">
      <c r="A267" s="56"/>
      <c r="B267" s="21"/>
      <c r="C267" s="21"/>
      <c r="D267" s="24"/>
      <c r="E267" s="30"/>
      <c r="F267" s="47"/>
      <c r="G267" s="21"/>
      <c r="H267" s="23"/>
      <c r="I267" s="23"/>
      <c r="J267" s="21"/>
    </row>
    <row r="268" spans="1:10" ht="15.75" customHeight="1" x14ac:dyDescent="0.2">
      <c r="A268" s="56"/>
      <c r="B268" s="21"/>
      <c r="C268" s="21"/>
      <c r="D268" s="24"/>
      <c r="E268" s="30"/>
      <c r="F268" s="47"/>
      <c r="G268" s="21"/>
      <c r="H268" s="23"/>
      <c r="I268" s="23"/>
      <c r="J268" s="21"/>
    </row>
    <row r="269" spans="1:10" ht="15.75" customHeight="1" x14ac:dyDescent="0.2">
      <c r="A269" s="56"/>
      <c r="B269" s="21"/>
      <c r="C269" s="23"/>
      <c r="D269" s="34"/>
      <c r="E269" s="30"/>
      <c r="F269" s="57"/>
      <c r="G269" s="21"/>
      <c r="H269" s="23"/>
      <c r="I269" s="23"/>
      <c r="J269" s="21"/>
    </row>
    <row r="270" spans="1:10" ht="15.75" customHeight="1" x14ac:dyDescent="0.2">
      <c r="A270" s="56"/>
      <c r="B270" s="21"/>
      <c r="C270" s="21"/>
      <c r="D270" s="24"/>
      <c r="E270" s="30"/>
      <c r="F270" s="57"/>
      <c r="G270" s="21"/>
      <c r="H270" s="23"/>
      <c r="I270" s="23"/>
      <c r="J270" s="21"/>
    </row>
    <row r="271" spans="1:10" ht="15.75" customHeight="1" x14ac:dyDescent="0.2">
      <c r="A271" s="56"/>
      <c r="B271" s="21"/>
      <c r="C271" s="21"/>
      <c r="D271" s="24"/>
      <c r="E271" s="30"/>
      <c r="F271" s="47"/>
      <c r="G271" s="21"/>
      <c r="H271" s="21"/>
      <c r="I271" s="23"/>
      <c r="J271" s="21"/>
    </row>
    <row r="272" spans="1:10" ht="15.75" customHeight="1" x14ac:dyDescent="0.2">
      <c r="A272" s="56"/>
      <c r="B272" s="21"/>
      <c r="C272" s="21"/>
      <c r="D272" s="24"/>
      <c r="E272" s="30"/>
      <c r="F272" s="57"/>
      <c r="G272" s="21"/>
      <c r="H272" s="23"/>
      <c r="I272" s="23"/>
      <c r="J272" s="21"/>
    </row>
    <row r="273" spans="1:10" ht="15.75" customHeight="1" x14ac:dyDescent="0.2">
      <c r="A273" s="56"/>
      <c r="B273" s="21"/>
      <c r="C273" s="21"/>
      <c r="D273" s="24"/>
      <c r="E273" s="30"/>
      <c r="F273" s="57"/>
      <c r="G273" s="21"/>
      <c r="H273" s="23"/>
      <c r="I273" s="23"/>
      <c r="J273" s="21"/>
    </row>
    <row r="274" spans="1:10" ht="15.75" customHeight="1" x14ac:dyDescent="0.2">
      <c r="A274" s="56"/>
      <c r="B274" s="21"/>
      <c r="C274" s="23"/>
      <c r="D274" s="34"/>
      <c r="E274" s="30"/>
      <c r="F274" s="57"/>
      <c r="G274" s="21"/>
      <c r="H274" s="23"/>
      <c r="I274" s="23"/>
      <c r="J274" s="21"/>
    </row>
    <row r="275" spans="1:10" ht="15.75" customHeight="1" x14ac:dyDescent="0.2">
      <c r="A275" s="56"/>
      <c r="B275" s="21"/>
      <c r="C275" s="21"/>
      <c r="D275" s="24"/>
      <c r="E275" s="21"/>
      <c r="F275" s="47"/>
      <c r="G275" s="21"/>
      <c r="H275" s="21"/>
      <c r="I275" s="23"/>
      <c r="J275" s="21"/>
    </row>
    <row r="276" spans="1:10" ht="15.75" customHeight="1" x14ac:dyDescent="0.2">
      <c r="A276" s="56"/>
      <c r="B276" s="21"/>
      <c r="C276" s="21"/>
      <c r="D276" s="24"/>
      <c r="E276" s="30"/>
      <c r="F276" s="47"/>
      <c r="G276" s="21"/>
      <c r="H276" s="23"/>
      <c r="I276" s="23"/>
      <c r="J276" s="21"/>
    </row>
    <row r="277" spans="1:10" ht="15.75" customHeight="1" x14ac:dyDescent="0.2">
      <c r="A277" s="56"/>
      <c r="B277" s="21"/>
      <c r="C277" s="21"/>
      <c r="D277" s="24"/>
      <c r="E277" s="30"/>
      <c r="F277" s="57"/>
      <c r="G277" s="21"/>
      <c r="H277" s="23"/>
      <c r="I277" s="23"/>
      <c r="J277" s="21"/>
    </row>
    <row r="278" spans="1:10" ht="15.75" customHeight="1" x14ac:dyDescent="0.2">
      <c r="A278" s="56"/>
      <c r="B278" s="21"/>
      <c r="C278" s="21"/>
      <c r="D278" s="34"/>
      <c r="E278" s="30"/>
      <c r="F278" s="57"/>
      <c r="G278" s="21"/>
      <c r="H278" s="23"/>
      <c r="I278" s="23"/>
      <c r="J278" s="21"/>
    </row>
    <row r="279" spans="1:10" ht="15.75" customHeight="1" x14ac:dyDescent="0.2">
      <c r="A279" s="56"/>
      <c r="B279" s="21"/>
      <c r="C279" s="23"/>
      <c r="D279" s="34"/>
      <c r="E279" s="30"/>
      <c r="F279" s="57"/>
      <c r="G279" s="21"/>
      <c r="H279" s="23"/>
      <c r="I279" s="23"/>
      <c r="J279" s="21"/>
    </row>
    <row r="280" spans="1:10" ht="15.75" customHeight="1" x14ac:dyDescent="0.2">
      <c r="A280" s="56"/>
      <c r="B280" s="21"/>
      <c r="C280" s="23"/>
      <c r="D280" s="34"/>
      <c r="E280" s="30"/>
      <c r="F280" s="57"/>
      <c r="G280" s="21"/>
      <c r="H280" s="23"/>
      <c r="I280" s="23"/>
      <c r="J280" s="21"/>
    </row>
    <row r="281" spans="1:10" ht="15.75" customHeight="1" x14ac:dyDescent="0.2">
      <c r="A281" s="56"/>
      <c r="B281" s="21"/>
      <c r="C281" s="23"/>
      <c r="D281" s="34"/>
      <c r="E281" s="30"/>
      <c r="F281" s="57"/>
      <c r="G281" s="21"/>
      <c r="H281" s="23"/>
      <c r="I281" s="23"/>
      <c r="J281" s="21"/>
    </row>
    <row r="282" spans="1:10" ht="15.75" customHeight="1" x14ac:dyDescent="0.2">
      <c r="A282" s="56"/>
      <c r="B282" s="21"/>
      <c r="C282" s="21"/>
      <c r="D282" s="24"/>
      <c r="E282" s="30"/>
      <c r="F282" s="57"/>
      <c r="G282" s="21"/>
      <c r="H282" s="23"/>
      <c r="I282" s="23"/>
      <c r="J282" s="21"/>
    </row>
    <row r="283" spans="1:10" ht="15.75" customHeight="1" x14ac:dyDescent="0.2">
      <c r="A283" s="56"/>
      <c r="B283" s="21"/>
      <c r="C283" s="21"/>
      <c r="D283" s="24"/>
      <c r="E283" s="30"/>
      <c r="F283" s="57"/>
      <c r="G283" s="21"/>
      <c r="H283" s="23"/>
      <c r="I283" s="23"/>
      <c r="J283" s="21"/>
    </row>
    <row r="284" spans="1:10" ht="15.75" customHeight="1" x14ac:dyDescent="0.2">
      <c r="A284" s="56"/>
      <c r="B284" s="21"/>
      <c r="C284" s="23"/>
      <c r="D284" s="34"/>
      <c r="E284" s="30"/>
      <c r="F284" s="57"/>
      <c r="G284" s="21"/>
      <c r="H284" s="23"/>
      <c r="I284" s="23"/>
      <c r="J284" s="21"/>
    </row>
    <row r="285" spans="1:10" ht="15.75" customHeight="1" x14ac:dyDescent="0.2">
      <c r="A285" s="56"/>
      <c r="B285" s="21"/>
      <c r="C285" s="23"/>
      <c r="D285" s="34"/>
      <c r="E285" s="30"/>
      <c r="F285" s="57"/>
      <c r="G285" s="21"/>
      <c r="H285" s="23"/>
      <c r="I285" s="23"/>
      <c r="J285" s="21"/>
    </row>
    <row r="286" spans="1:10" ht="15.75" customHeight="1" x14ac:dyDescent="0.2">
      <c r="A286" s="56"/>
      <c r="B286" s="21"/>
      <c r="C286" s="23"/>
      <c r="D286" s="34"/>
      <c r="E286" s="30"/>
      <c r="F286" s="57"/>
      <c r="G286" s="21"/>
      <c r="H286" s="23"/>
      <c r="I286" s="23"/>
      <c r="J286" s="21"/>
    </row>
    <row r="287" spans="1:10" ht="15.75" customHeight="1" x14ac:dyDescent="0.2">
      <c r="A287" s="56"/>
      <c r="B287" s="21"/>
      <c r="C287" s="23"/>
      <c r="D287" s="34"/>
      <c r="E287" s="30"/>
      <c r="F287" s="57"/>
      <c r="G287" s="21"/>
      <c r="H287" s="23"/>
      <c r="I287" s="23"/>
      <c r="J287" s="21"/>
    </row>
    <row r="288" spans="1:10" ht="15.75" customHeight="1" x14ac:dyDescent="0.2">
      <c r="A288" s="56"/>
      <c r="B288" s="21"/>
      <c r="C288" s="23"/>
      <c r="D288" s="34"/>
      <c r="E288" s="30"/>
      <c r="F288" s="57"/>
      <c r="G288" s="21"/>
      <c r="H288" s="23"/>
      <c r="I288" s="23"/>
      <c r="J288" s="21"/>
    </row>
    <row r="289" spans="1:10" ht="15.75" customHeight="1" x14ac:dyDescent="0.2">
      <c r="A289" s="62"/>
      <c r="B289" s="21"/>
      <c r="C289" s="23"/>
      <c r="D289" s="34"/>
      <c r="E289" s="30"/>
      <c r="F289" s="57"/>
      <c r="G289" s="21"/>
      <c r="H289" s="23"/>
      <c r="I289" s="23"/>
      <c r="J289" s="21"/>
    </row>
    <row r="290" spans="1:10" ht="15.75" customHeight="1" x14ac:dyDescent="0.2">
      <c r="A290" s="62"/>
      <c r="B290" s="21"/>
      <c r="C290" s="23"/>
      <c r="D290" s="34"/>
      <c r="E290" s="30"/>
      <c r="F290" s="57"/>
      <c r="G290" s="21"/>
      <c r="H290" s="23"/>
      <c r="I290" s="23"/>
      <c r="J290" s="21"/>
    </row>
    <row r="291" spans="1:10" ht="15.75" customHeight="1" x14ac:dyDescent="0.2">
      <c r="A291" s="62"/>
      <c r="B291" s="21"/>
      <c r="C291" s="21"/>
      <c r="D291" s="24"/>
      <c r="E291" s="30"/>
      <c r="F291" s="57"/>
      <c r="G291" s="21"/>
      <c r="H291" s="23"/>
      <c r="I291" s="23"/>
      <c r="J291" s="21"/>
    </row>
    <row r="292" spans="1:10" ht="15.75" customHeight="1" x14ac:dyDescent="0.2">
      <c r="A292" s="62"/>
      <c r="B292" s="21"/>
      <c r="C292" s="23"/>
      <c r="D292" s="34"/>
      <c r="E292" s="30"/>
      <c r="F292" s="57"/>
      <c r="G292" s="21"/>
      <c r="H292" s="23"/>
      <c r="I292" s="23"/>
      <c r="J292" s="21"/>
    </row>
    <row r="293" spans="1:10" ht="15.75" customHeight="1" x14ac:dyDescent="0.2">
      <c r="A293" s="62"/>
      <c r="B293" s="21"/>
      <c r="C293" s="23"/>
      <c r="D293" s="34"/>
      <c r="E293" s="30"/>
      <c r="F293" s="57"/>
      <c r="G293" s="21"/>
      <c r="H293" s="23"/>
      <c r="I293" s="23"/>
      <c r="J293" s="21"/>
    </row>
    <row r="294" spans="1:10" ht="15.75" customHeight="1" x14ac:dyDescent="0.2">
      <c r="A294" s="62"/>
      <c r="B294" s="21"/>
      <c r="C294" s="21"/>
      <c r="D294" s="24"/>
      <c r="E294" s="30"/>
      <c r="F294" s="57"/>
      <c r="G294" s="21"/>
      <c r="H294" s="23"/>
      <c r="I294" s="23"/>
      <c r="J294" s="21"/>
    </row>
    <row r="295" spans="1:10" ht="15.75" customHeight="1" x14ac:dyDescent="0.2">
      <c r="A295" s="62"/>
      <c r="B295" s="21"/>
      <c r="C295" s="21"/>
      <c r="D295" s="24"/>
      <c r="E295" s="30"/>
      <c r="F295" s="57"/>
      <c r="G295" s="21"/>
      <c r="H295" s="23"/>
      <c r="I295" s="23"/>
      <c r="J295" s="21"/>
    </row>
    <row r="296" spans="1:10" ht="15.75" customHeight="1" x14ac:dyDescent="0.2">
      <c r="A296" s="62"/>
      <c r="B296" s="21"/>
      <c r="C296" s="21"/>
      <c r="D296" s="24"/>
      <c r="E296" s="30"/>
      <c r="F296" s="47"/>
      <c r="G296" s="21"/>
      <c r="H296" s="23"/>
      <c r="I296" s="23"/>
      <c r="J296" s="21"/>
    </row>
    <row r="297" spans="1:10" ht="15.75" customHeight="1" x14ac:dyDescent="0.2">
      <c r="A297" s="62"/>
      <c r="B297" s="21"/>
      <c r="C297" s="21"/>
      <c r="D297" s="24"/>
      <c r="E297" s="30"/>
      <c r="F297" s="57"/>
      <c r="G297" s="21"/>
      <c r="H297" s="23"/>
      <c r="I297" s="23"/>
      <c r="J297" s="21"/>
    </row>
    <row r="298" spans="1:10" ht="15.75" customHeight="1" x14ac:dyDescent="0.2">
      <c r="A298" s="62"/>
      <c r="B298" s="21"/>
      <c r="C298" s="21"/>
      <c r="D298" s="24"/>
      <c r="E298" s="30"/>
      <c r="F298" s="47"/>
      <c r="G298" s="21"/>
      <c r="H298" s="23"/>
      <c r="I298" s="23"/>
      <c r="J298" s="21"/>
    </row>
    <row r="299" spans="1:10" ht="15.75" customHeight="1" x14ac:dyDescent="0.2">
      <c r="A299" s="62"/>
      <c r="B299" s="21"/>
      <c r="C299" s="21"/>
      <c r="D299" s="24"/>
      <c r="E299" s="30"/>
      <c r="F299" s="47"/>
      <c r="G299" s="21"/>
      <c r="H299" s="23"/>
      <c r="I299" s="23"/>
      <c r="J299" s="21"/>
    </row>
    <row r="300" spans="1:10" ht="15.75" customHeight="1" x14ac:dyDescent="0.2">
      <c r="A300" s="62"/>
      <c r="B300" s="21"/>
      <c r="C300" s="23"/>
      <c r="D300" s="34"/>
      <c r="E300" s="30"/>
      <c r="F300" s="57"/>
      <c r="G300" s="21"/>
      <c r="H300" s="23"/>
      <c r="I300" s="23"/>
      <c r="J300" s="21"/>
    </row>
    <row r="301" spans="1:10" ht="15.75" customHeight="1" x14ac:dyDescent="0.2">
      <c r="A301" s="62"/>
      <c r="B301" s="21"/>
      <c r="C301" s="21"/>
      <c r="D301" s="24"/>
      <c r="E301" s="21"/>
      <c r="F301" s="47"/>
      <c r="G301" s="21"/>
      <c r="H301" s="21"/>
      <c r="I301" s="23"/>
      <c r="J301" s="21"/>
    </row>
    <row r="302" spans="1:10" ht="15.75" customHeight="1" x14ac:dyDescent="0.2">
      <c r="A302" s="62"/>
      <c r="B302" s="21"/>
      <c r="C302" s="21"/>
      <c r="D302" s="24"/>
      <c r="E302" s="30"/>
      <c r="F302" s="47"/>
      <c r="G302" s="21"/>
      <c r="H302" s="21"/>
      <c r="I302" s="23"/>
      <c r="J302" s="21"/>
    </row>
    <row r="303" spans="1:10" ht="15.75" customHeight="1" x14ac:dyDescent="0.2">
      <c r="A303" s="62"/>
      <c r="B303" s="21"/>
      <c r="C303" s="21"/>
      <c r="D303" s="24"/>
      <c r="E303" s="30"/>
      <c r="F303" s="57"/>
      <c r="G303" s="21"/>
      <c r="H303" s="23"/>
      <c r="I303" s="23"/>
      <c r="J303" s="21"/>
    </row>
    <row r="304" spans="1:10" ht="15.75" customHeight="1" x14ac:dyDescent="0.2">
      <c r="A304" s="62"/>
      <c r="B304" s="21"/>
      <c r="C304" s="23"/>
      <c r="D304" s="34"/>
      <c r="E304" s="30"/>
      <c r="F304" s="57"/>
      <c r="G304" s="21"/>
      <c r="H304" s="23"/>
      <c r="I304" s="23"/>
      <c r="J304" s="21"/>
    </row>
    <row r="305" spans="1:10" ht="15.75" customHeight="1" x14ac:dyDescent="0.2">
      <c r="A305" s="62"/>
      <c r="B305" s="21"/>
      <c r="C305" s="23"/>
      <c r="D305" s="34"/>
      <c r="E305" s="30"/>
      <c r="F305" s="57"/>
      <c r="G305" s="21"/>
      <c r="H305" s="23"/>
      <c r="I305" s="23"/>
      <c r="J305" s="21"/>
    </row>
    <row r="306" spans="1:10" ht="15.75" customHeight="1" x14ac:dyDescent="0.2">
      <c r="A306" s="62"/>
      <c r="B306" s="21"/>
      <c r="C306" s="21"/>
      <c r="D306" s="24"/>
      <c r="E306" s="21"/>
      <c r="F306" s="47"/>
      <c r="G306" s="21"/>
      <c r="H306" s="21"/>
      <c r="I306" s="23"/>
      <c r="J306" s="21"/>
    </row>
    <row r="307" spans="1:10" ht="15.75" customHeight="1" x14ac:dyDescent="0.2">
      <c r="A307" s="62"/>
      <c r="B307" s="21"/>
      <c r="C307" s="21"/>
      <c r="D307" s="24"/>
      <c r="E307" s="30"/>
      <c r="F307" s="47"/>
      <c r="G307" s="21"/>
      <c r="H307" s="23"/>
      <c r="I307" s="23"/>
      <c r="J307" s="21"/>
    </row>
    <row r="308" spans="1:10" ht="15.75" customHeight="1" x14ac:dyDescent="0.2">
      <c r="A308" s="62"/>
      <c r="B308" s="21"/>
      <c r="C308" s="21"/>
      <c r="D308" s="24"/>
      <c r="E308" s="30"/>
      <c r="F308" s="57"/>
      <c r="G308" s="21"/>
      <c r="H308" s="23"/>
      <c r="I308" s="23"/>
      <c r="J308" s="21"/>
    </row>
    <row r="309" spans="1:10" ht="15.75" customHeight="1" x14ac:dyDescent="0.2">
      <c r="A309" s="62"/>
      <c r="B309" s="21"/>
      <c r="C309" s="21"/>
      <c r="D309" s="24"/>
      <c r="E309" s="30"/>
      <c r="F309" s="57"/>
      <c r="G309" s="21"/>
      <c r="H309" s="23"/>
      <c r="I309" s="23"/>
      <c r="J309" s="21"/>
    </row>
    <row r="310" spans="1:10" ht="15.75" customHeight="1" x14ac:dyDescent="0.2">
      <c r="A310" s="62"/>
      <c r="B310" s="21"/>
      <c r="C310" s="23"/>
      <c r="D310" s="34"/>
      <c r="E310" s="30"/>
      <c r="F310" s="57"/>
      <c r="G310" s="21"/>
      <c r="H310" s="23"/>
      <c r="I310" s="23"/>
      <c r="J310" s="21"/>
    </row>
    <row r="311" spans="1:10" ht="15.75" customHeight="1" x14ac:dyDescent="0.2">
      <c r="A311" s="62"/>
      <c r="B311" s="21"/>
      <c r="C311" s="23"/>
      <c r="D311" s="34"/>
      <c r="E311" s="30"/>
      <c r="F311" s="57"/>
      <c r="G311" s="21"/>
      <c r="H311" s="23"/>
      <c r="I311" s="23"/>
      <c r="J311" s="21"/>
    </row>
    <row r="312" spans="1:10" ht="15.75" customHeight="1" x14ac:dyDescent="0.2">
      <c r="A312" s="62"/>
      <c r="B312" s="21"/>
      <c r="C312" s="21"/>
      <c r="D312" s="24"/>
      <c r="E312" s="30"/>
      <c r="F312" s="47"/>
      <c r="G312" s="21"/>
      <c r="H312" s="21"/>
      <c r="I312" s="23"/>
      <c r="J312" s="21"/>
    </row>
    <row r="313" spans="1:10" ht="15.75" customHeight="1" x14ac:dyDescent="0.2">
      <c r="A313" s="62"/>
      <c r="B313" s="21"/>
      <c r="C313" s="21"/>
      <c r="D313" s="24"/>
      <c r="E313" s="30"/>
      <c r="F313" s="47"/>
      <c r="G313" s="21"/>
      <c r="H313" s="21"/>
      <c r="I313" s="23"/>
      <c r="J313" s="21"/>
    </row>
    <row r="314" spans="1:10" ht="15.75" customHeight="1" x14ac:dyDescent="0.2">
      <c r="A314" s="62"/>
      <c r="B314" s="21"/>
      <c r="C314" s="21"/>
      <c r="D314" s="24"/>
      <c r="E314" s="30"/>
      <c r="F314" s="47"/>
      <c r="G314" s="21"/>
      <c r="H314" s="21"/>
      <c r="I314" s="23"/>
      <c r="J314" s="21"/>
    </row>
    <row r="315" spans="1:10" ht="15.75" customHeight="1" x14ac:dyDescent="0.2">
      <c r="A315" s="62"/>
      <c r="B315" s="21"/>
      <c r="C315" s="21"/>
      <c r="D315" s="24"/>
      <c r="E315" s="30"/>
      <c r="F315" s="57"/>
      <c r="G315" s="21"/>
      <c r="H315" s="23"/>
      <c r="I315" s="23"/>
      <c r="J315" s="21"/>
    </row>
    <row r="316" spans="1:10" ht="15.75" customHeight="1" x14ac:dyDescent="0.2">
      <c r="A316" s="62"/>
      <c r="B316" s="21"/>
      <c r="C316" s="23"/>
      <c r="D316" s="34"/>
      <c r="E316" s="30"/>
      <c r="F316" s="57"/>
      <c r="G316" s="21"/>
      <c r="H316" s="23"/>
      <c r="I316" s="23"/>
      <c r="J316" s="21"/>
    </row>
    <row r="317" spans="1:10" ht="15.75" customHeight="1" x14ac:dyDescent="0.2">
      <c r="A317" s="62"/>
      <c r="B317" s="21"/>
      <c r="C317" s="21"/>
      <c r="D317" s="24"/>
      <c r="E317" s="30"/>
      <c r="F317" s="57"/>
      <c r="G317" s="21"/>
      <c r="H317" s="23"/>
      <c r="I317" s="23"/>
      <c r="J317" s="21"/>
    </row>
    <row r="318" spans="1:10" ht="15.75" customHeight="1" x14ac:dyDescent="0.2">
      <c r="A318" s="62"/>
      <c r="B318" s="21"/>
      <c r="C318" s="21"/>
      <c r="D318" s="24"/>
      <c r="E318" s="30"/>
      <c r="F318" s="57"/>
      <c r="G318" s="21"/>
      <c r="H318" s="23"/>
      <c r="I318" s="23"/>
      <c r="J318" s="21"/>
    </row>
    <row r="319" spans="1:10" ht="15.75" customHeight="1" x14ac:dyDescent="0.2">
      <c r="A319" s="62"/>
      <c r="B319" s="21"/>
      <c r="C319" s="23"/>
      <c r="D319" s="34"/>
      <c r="E319" s="30"/>
      <c r="F319" s="57"/>
      <c r="G319" s="21"/>
      <c r="H319" s="23"/>
      <c r="I319" s="23"/>
      <c r="J319" s="21"/>
    </row>
    <row r="320" spans="1:10" ht="15.75" customHeight="1" x14ac:dyDescent="0.2">
      <c r="A320" s="62"/>
      <c r="B320" s="21"/>
      <c r="C320" s="23"/>
      <c r="D320" s="34"/>
      <c r="E320" s="30"/>
      <c r="F320" s="57"/>
      <c r="G320" s="21"/>
      <c r="H320" s="23"/>
      <c r="I320" s="23"/>
      <c r="J320" s="21"/>
    </row>
    <row r="321" spans="1:10" ht="15.75" customHeight="1" x14ac:dyDescent="0.2">
      <c r="A321" s="62"/>
      <c r="B321" s="21"/>
      <c r="C321" s="21"/>
      <c r="D321" s="24"/>
      <c r="E321" s="30"/>
      <c r="F321" s="47"/>
      <c r="G321" s="21"/>
      <c r="H321" s="23"/>
      <c r="I321" s="23"/>
      <c r="J321" s="21"/>
    </row>
    <row r="322" spans="1:10" ht="15.75" customHeight="1" x14ac:dyDescent="0.2">
      <c r="A322" s="62"/>
      <c r="B322" s="21"/>
      <c r="C322" s="21"/>
      <c r="D322" s="24"/>
      <c r="E322" s="30"/>
      <c r="F322" s="57"/>
      <c r="G322" s="21"/>
      <c r="H322" s="23"/>
      <c r="I322" s="23"/>
      <c r="J322" s="21"/>
    </row>
    <row r="323" spans="1:10" ht="15.75" customHeight="1" x14ac:dyDescent="0.2">
      <c r="A323" s="62"/>
      <c r="B323" s="21"/>
      <c r="C323" s="21"/>
      <c r="D323" s="24"/>
      <c r="E323" s="30"/>
      <c r="F323" s="47"/>
      <c r="G323" s="21"/>
      <c r="H323" s="23"/>
      <c r="I323" s="23"/>
      <c r="J323" s="21"/>
    </row>
    <row r="324" spans="1:10" ht="15.75" customHeight="1" x14ac:dyDescent="0.2">
      <c r="A324" s="62"/>
      <c r="B324" s="21"/>
      <c r="C324" s="23"/>
      <c r="D324" s="34"/>
      <c r="E324" s="30"/>
      <c r="F324" s="47"/>
      <c r="G324" s="21"/>
      <c r="H324" s="23"/>
      <c r="I324" s="23"/>
      <c r="J324" s="21"/>
    </row>
    <row r="325" spans="1:10" ht="15.75" customHeight="1" x14ac:dyDescent="0.2">
      <c r="A325" s="62"/>
      <c r="B325" s="21"/>
      <c r="C325" s="21"/>
      <c r="D325" s="24"/>
      <c r="E325" s="30"/>
      <c r="F325" s="47"/>
      <c r="G325" s="21"/>
      <c r="H325" s="23"/>
      <c r="I325" s="23"/>
      <c r="J325" s="21"/>
    </row>
    <row r="326" spans="1:10" ht="15.75" customHeight="1" x14ac:dyDescent="0.2">
      <c r="A326" s="62"/>
      <c r="B326" s="21"/>
      <c r="C326" s="21"/>
      <c r="D326" s="24"/>
      <c r="E326" s="30"/>
      <c r="F326" s="57"/>
      <c r="G326" s="21"/>
      <c r="H326" s="23"/>
      <c r="I326" s="23"/>
      <c r="J326" s="21"/>
    </row>
    <row r="327" spans="1:10" ht="15.75" customHeight="1" x14ac:dyDescent="0.2">
      <c r="A327" s="62"/>
      <c r="B327" s="21"/>
      <c r="C327" s="23"/>
      <c r="D327" s="34"/>
      <c r="E327" s="30"/>
      <c r="F327" s="57"/>
      <c r="G327" s="21"/>
      <c r="H327" s="23"/>
      <c r="I327" s="23"/>
      <c r="J327" s="21"/>
    </row>
    <row r="328" spans="1:10" ht="15.75" customHeight="1" x14ac:dyDescent="0.2">
      <c r="A328" s="62"/>
      <c r="B328" s="21"/>
      <c r="C328" s="21"/>
      <c r="D328" s="24"/>
      <c r="E328" s="30"/>
      <c r="F328" s="47"/>
      <c r="G328" s="21"/>
      <c r="H328" s="23"/>
      <c r="I328" s="23"/>
      <c r="J328" s="21"/>
    </row>
    <row r="329" spans="1:10" ht="15.75" customHeight="1" x14ac:dyDescent="0.2">
      <c r="A329" s="62"/>
      <c r="B329" s="21"/>
      <c r="C329" s="23"/>
      <c r="D329" s="34"/>
      <c r="E329" s="30"/>
      <c r="F329" s="57"/>
      <c r="G329" s="21"/>
      <c r="H329" s="21"/>
      <c r="I329" s="23"/>
      <c r="J329" s="21"/>
    </row>
    <row r="330" spans="1:10" ht="15.75" customHeight="1" x14ac:dyDescent="0.2">
      <c r="A330" s="62"/>
      <c r="B330" s="21"/>
      <c r="C330" s="21"/>
      <c r="D330" s="24"/>
      <c r="E330" s="21"/>
      <c r="F330" s="47"/>
      <c r="G330" s="21"/>
      <c r="H330" s="21"/>
      <c r="I330" s="23"/>
      <c r="J330" s="21"/>
    </row>
    <row r="331" spans="1:10" ht="15.75" customHeight="1" x14ac:dyDescent="0.2">
      <c r="A331" s="62"/>
      <c r="B331" s="21"/>
      <c r="C331" s="21"/>
      <c r="D331" s="24"/>
      <c r="E331" s="30"/>
      <c r="F331" s="47"/>
      <c r="G331" s="21"/>
      <c r="H331" s="23"/>
      <c r="I331" s="23"/>
      <c r="J331" s="21"/>
    </row>
    <row r="332" spans="1:10" ht="15.75" customHeight="1" x14ac:dyDescent="0.2">
      <c r="A332" s="62"/>
      <c r="B332" s="21"/>
      <c r="C332" s="23"/>
      <c r="D332" s="34"/>
      <c r="E332" s="30"/>
      <c r="F332" s="57"/>
      <c r="G332" s="21"/>
      <c r="H332" s="23"/>
      <c r="I332" s="23"/>
      <c r="J332" s="21"/>
    </row>
    <row r="333" spans="1:10" ht="15.75" customHeight="1" x14ac:dyDescent="0.2">
      <c r="A333" s="62"/>
      <c r="B333" s="21"/>
      <c r="C333" s="21"/>
      <c r="D333" s="24"/>
      <c r="E333" s="30"/>
      <c r="F333" s="47"/>
      <c r="G333" s="21"/>
      <c r="H333" s="23"/>
      <c r="I333" s="23"/>
      <c r="J333" s="21"/>
    </row>
    <row r="334" spans="1:10" ht="15.75" customHeight="1" x14ac:dyDescent="0.2">
      <c r="A334" s="62"/>
      <c r="B334" s="21"/>
      <c r="C334" s="21"/>
      <c r="D334" s="24"/>
      <c r="E334" s="30"/>
      <c r="F334" s="57"/>
      <c r="G334" s="21"/>
      <c r="H334" s="23"/>
      <c r="I334" s="23"/>
      <c r="J334" s="21"/>
    </row>
    <row r="335" spans="1:10" ht="15.75" customHeight="1" x14ac:dyDescent="0.2">
      <c r="A335" s="62"/>
      <c r="B335" s="21"/>
      <c r="C335" s="23"/>
      <c r="D335" s="34"/>
      <c r="E335" s="30"/>
      <c r="F335" s="57"/>
      <c r="G335" s="21"/>
      <c r="H335" s="23"/>
      <c r="I335" s="23"/>
      <c r="J335" s="21"/>
    </row>
    <row r="336" spans="1:10" ht="15.75" customHeight="1" x14ac:dyDescent="0.2">
      <c r="A336" s="62"/>
      <c r="B336" s="21"/>
      <c r="C336" s="23"/>
      <c r="D336" s="34"/>
      <c r="E336" s="30"/>
      <c r="F336" s="57"/>
      <c r="G336" s="21"/>
      <c r="H336" s="23"/>
      <c r="I336" s="23"/>
      <c r="J336" s="21"/>
    </row>
    <row r="337" spans="1:10" ht="15.75" customHeight="1" x14ac:dyDescent="0.2">
      <c r="A337" s="62"/>
      <c r="B337" s="21"/>
      <c r="C337" s="21"/>
      <c r="D337" s="24"/>
      <c r="E337" s="30"/>
      <c r="F337" s="47"/>
      <c r="G337" s="21"/>
      <c r="H337" s="23"/>
      <c r="I337" s="23"/>
      <c r="J337" s="21"/>
    </row>
    <row r="338" spans="1:10" ht="15.75" customHeight="1" x14ac:dyDescent="0.2">
      <c r="A338" s="62"/>
      <c r="B338" s="21"/>
      <c r="C338" s="21"/>
      <c r="D338" s="24"/>
      <c r="E338" s="30"/>
      <c r="F338" s="47"/>
      <c r="G338" s="21"/>
      <c r="H338" s="21"/>
      <c r="I338" s="23"/>
      <c r="J338" s="21"/>
    </row>
    <row r="339" spans="1:10" ht="15.75" customHeight="1" x14ac:dyDescent="0.2">
      <c r="A339" s="62"/>
      <c r="B339" s="21"/>
      <c r="C339" s="21"/>
      <c r="D339" s="24"/>
      <c r="E339" s="52"/>
      <c r="F339" s="47"/>
      <c r="G339" s="21"/>
      <c r="H339" s="23"/>
      <c r="I339" s="23"/>
      <c r="J339" s="21"/>
    </row>
    <row r="340" spans="1:10" ht="15.75" customHeight="1" x14ac:dyDescent="0.2">
      <c r="A340" s="62"/>
      <c r="B340" s="21"/>
      <c r="C340" s="23"/>
      <c r="D340" s="34"/>
      <c r="E340" s="21"/>
      <c r="F340" s="57"/>
      <c r="G340" s="21"/>
      <c r="H340" s="23"/>
      <c r="I340" s="23"/>
      <c r="J340" s="21"/>
    </row>
    <row r="341" spans="1:10" ht="15.75" customHeight="1" x14ac:dyDescent="0.2">
      <c r="A341" s="62"/>
      <c r="B341" s="21"/>
      <c r="C341" s="23"/>
      <c r="D341" s="34"/>
      <c r="E341" s="30"/>
      <c r="F341" s="57"/>
      <c r="G341" s="21"/>
      <c r="H341" s="23"/>
      <c r="I341" s="23"/>
      <c r="J341" s="21"/>
    </row>
    <row r="342" spans="1:10" ht="15.75" customHeight="1" x14ac:dyDescent="0.2">
      <c r="A342" s="62"/>
      <c r="B342" s="21"/>
      <c r="C342" s="21"/>
      <c r="D342" s="24"/>
      <c r="E342" s="30"/>
      <c r="F342" s="47"/>
      <c r="G342" s="21"/>
      <c r="H342" s="21"/>
      <c r="I342" s="23"/>
      <c r="J342" s="21"/>
    </row>
    <row r="343" spans="1:10" ht="15.75" customHeight="1" x14ac:dyDescent="0.2">
      <c r="A343" s="62"/>
      <c r="B343" s="21"/>
      <c r="C343" s="21"/>
      <c r="D343" s="24"/>
      <c r="E343" s="21"/>
      <c r="F343" s="47"/>
      <c r="G343" s="21"/>
      <c r="H343" s="21"/>
      <c r="I343" s="23"/>
      <c r="J343" s="21"/>
    </row>
    <row r="344" spans="1:10" ht="15.75" customHeight="1" x14ac:dyDescent="0.2">
      <c r="A344" s="62"/>
      <c r="B344" s="21"/>
      <c r="C344" s="21"/>
      <c r="D344" s="24"/>
      <c r="E344" s="30"/>
      <c r="F344" s="47"/>
      <c r="G344" s="21"/>
      <c r="H344" s="23"/>
      <c r="I344" s="23"/>
      <c r="J344" s="21"/>
    </row>
    <row r="345" spans="1:10" ht="15.75" customHeight="1" x14ac:dyDescent="0.2">
      <c r="A345" s="62"/>
      <c r="B345" s="21"/>
      <c r="C345" s="21"/>
      <c r="D345" s="24"/>
      <c r="E345" s="30"/>
      <c r="F345" s="47"/>
      <c r="G345" s="21"/>
      <c r="H345" s="23"/>
      <c r="I345" s="23"/>
      <c r="J345" s="21"/>
    </row>
    <row r="346" spans="1:10" ht="15.75" customHeight="1" x14ac:dyDescent="0.2">
      <c r="A346" s="62"/>
      <c r="B346" s="21"/>
      <c r="C346" s="21"/>
      <c r="D346" s="24"/>
      <c r="E346" s="30"/>
      <c r="F346" s="57"/>
      <c r="G346" s="21"/>
      <c r="H346" s="23"/>
      <c r="I346" s="23"/>
      <c r="J346" s="21"/>
    </row>
    <row r="347" spans="1:10" ht="15.75" customHeight="1" x14ac:dyDescent="0.2">
      <c r="A347" s="62"/>
      <c r="B347" s="21"/>
      <c r="C347" s="21"/>
      <c r="D347" s="24"/>
      <c r="E347" s="21"/>
      <c r="F347" s="47"/>
      <c r="G347" s="21"/>
      <c r="H347" s="21"/>
      <c r="I347" s="23"/>
      <c r="J347" s="21"/>
    </row>
    <row r="348" spans="1:10" ht="15.75" customHeight="1" x14ac:dyDescent="0.2">
      <c r="A348" s="62"/>
      <c r="B348" s="21"/>
      <c r="C348" s="21"/>
      <c r="D348" s="24"/>
      <c r="E348" s="30"/>
      <c r="F348" s="47"/>
      <c r="G348" s="21"/>
      <c r="H348" s="21"/>
      <c r="I348" s="23"/>
      <c r="J348" s="21"/>
    </row>
    <row r="349" spans="1:10" ht="15.75" customHeight="1" x14ac:dyDescent="0.2">
      <c r="A349" s="62"/>
      <c r="B349" s="21"/>
      <c r="C349" s="23"/>
      <c r="D349" s="34"/>
      <c r="E349" s="30"/>
      <c r="F349" s="57"/>
      <c r="G349" s="21"/>
      <c r="H349" s="23"/>
      <c r="I349" s="23"/>
      <c r="J349" s="21"/>
    </row>
    <row r="350" spans="1:10" ht="15.75" customHeight="1" x14ac:dyDescent="0.2">
      <c r="A350" s="62"/>
      <c r="B350" s="21"/>
      <c r="C350" s="21"/>
      <c r="D350" s="24"/>
      <c r="E350" s="30"/>
      <c r="F350" s="47"/>
      <c r="G350" s="21"/>
      <c r="H350" s="23"/>
      <c r="I350" s="23"/>
      <c r="J350" s="21"/>
    </row>
    <row r="351" spans="1:10" ht="15.75" customHeight="1" x14ac:dyDescent="0.2">
      <c r="A351" s="62"/>
      <c r="B351" s="21"/>
      <c r="C351" s="23"/>
      <c r="D351" s="34"/>
      <c r="E351" s="30"/>
      <c r="F351" s="57"/>
      <c r="G351" s="21"/>
      <c r="H351" s="23"/>
      <c r="I351" s="23"/>
      <c r="J351" s="21"/>
    </row>
    <row r="352" spans="1:10" ht="15.75" customHeight="1" x14ac:dyDescent="0.2">
      <c r="A352" s="62"/>
      <c r="B352" s="21"/>
      <c r="C352" s="21"/>
      <c r="D352" s="24"/>
      <c r="E352" s="30"/>
      <c r="F352" s="57"/>
      <c r="G352" s="21"/>
      <c r="H352" s="23"/>
      <c r="I352" s="23"/>
      <c r="J352" s="21"/>
    </row>
    <row r="353" spans="1:10" ht="15.75" customHeight="1" x14ac:dyDescent="0.2">
      <c r="A353" s="62"/>
      <c r="B353" s="21"/>
      <c r="C353" s="21"/>
      <c r="D353" s="24"/>
      <c r="E353" s="30"/>
      <c r="F353" s="57"/>
      <c r="G353" s="21"/>
      <c r="H353" s="23"/>
      <c r="I353" s="23"/>
      <c r="J353" s="21"/>
    </row>
    <row r="354" spans="1:10" ht="15.75" customHeight="1" x14ac:dyDescent="0.2">
      <c r="A354" s="62"/>
      <c r="B354" s="21"/>
      <c r="C354" s="23"/>
      <c r="D354" s="34"/>
      <c r="E354" s="30"/>
      <c r="F354" s="57"/>
      <c r="G354" s="21"/>
      <c r="H354" s="23"/>
      <c r="I354" s="23"/>
      <c r="J354" s="21"/>
    </row>
    <row r="355" spans="1:10" ht="15.75" customHeight="1" x14ac:dyDescent="0.2">
      <c r="A355" s="62"/>
      <c r="B355" s="21"/>
      <c r="C355" s="21"/>
      <c r="D355" s="24"/>
      <c r="E355" s="30"/>
      <c r="F355" s="47"/>
      <c r="G355" s="21"/>
      <c r="H355" s="23"/>
      <c r="I355" s="23"/>
      <c r="J355" s="21"/>
    </row>
    <row r="356" spans="1:10" ht="15.75" customHeight="1" x14ac:dyDescent="0.2">
      <c r="A356" s="62"/>
      <c r="B356" s="21"/>
      <c r="C356" s="21"/>
      <c r="D356" s="24"/>
      <c r="E356" s="30"/>
      <c r="F356" s="47"/>
      <c r="G356" s="21"/>
      <c r="H356" s="23"/>
      <c r="I356" s="23"/>
      <c r="J356" s="21"/>
    </row>
    <row r="357" spans="1:10" ht="15.75" customHeight="1" x14ac:dyDescent="0.2">
      <c r="A357" s="62"/>
      <c r="B357" s="21"/>
      <c r="C357" s="21"/>
      <c r="D357" s="24"/>
      <c r="E357" s="30"/>
      <c r="F357" s="47"/>
      <c r="G357" s="21"/>
      <c r="H357" s="23"/>
      <c r="I357" s="23"/>
      <c r="J357" s="21"/>
    </row>
    <row r="358" spans="1:10" ht="15.75" customHeight="1" x14ac:dyDescent="0.2">
      <c r="A358" s="62"/>
      <c r="B358" s="21"/>
      <c r="C358" s="21"/>
      <c r="D358" s="24"/>
      <c r="E358" s="30"/>
      <c r="F358" s="57"/>
      <c r="G358" s="21"/>
      <c r="H358" s="23"/>
      <c r="I358" s="23"/>
      <c r="J358" s="21"/>
    </row>
    <row r="359" spans="1:10" ht="15.75" customHeight="1" x14ac:dyDescent="0.2">
      <c r="A359" s="62"/>
      <c r="B359" s="21"/>
      <c r="C359" s="23"/>
      <c r="D359" s="34"/>
      <c r="E359" s="30"/>
      <c r="F359" s="57"/>
      <c r="G359" s="21"/>
      <c r="H359" s="21"/>
      <c r="I359" s="23"/>
      <c r="J359" s="21"/>
    </row>
    <row r="360" spans="1:10" ht="15.75" customHeight="1" x14ac:dyDescent="0.2">
      <c r="A360" s="62"/>
      <c r="B360" s="21"/>
      <c r="C360" s="21"/>
      <c r="D360" s="24"/>
      <c r="E360" s="30"/>
      <c r="F360" s="57"/>
      <c r="G360" s="21"/>
      <c r="H360" s="23"/>
      <c r="I360" s="23"/>
      <c r="J360" s="21"/>
    </row>
    <row r="361" spans="1:10" ht="15.75" customHeight="1" x14ac:dyDescent="0.2">
      <c r="A361" s="62"/>
      <c r="B361" s="21"/>
      <c r="C361" s="21"/>
      <c r="D361" s="24"/>
      <c r="E361" s="30"/>
      <c r="F361" s="47"/>
      <c r="G361" s="21"/>
      <c r="H361" s="23"/>
      <c r="I361" s="23"/>
      <c r="J361" s="21"/>
    </row>
    <row r="362" spans="1:10" ht="15.75" customHeight="1" x14ac:dyDescent="0.2">
      <c r="A362" s="62"/>
      <c r="B362" s="23"/>
      <c r="C362" s="23"/>
      <c r="D362" s="34"/>
      <c r="E362" s="30"/>
      <c r="F362" s="57"/>
      <c r="G362" s="21"/>
      <c r="H362" s="23"/>
      <c r="I362" s="23"/>
      <c r="J362" s="21"/>
    </row>
    <row r="363" spans="1:10" ht="15.75" customHeight="1" x14ac:dyDescent="0.2">
      <c r="A363" s="62"/>
      <c r="B363" s="21"/>
      <c r="C363" s="23"/>
      <c r="D363" s="34"/>
      <c r="E363" s="30"/>
      <c r="F363" s="47"/>
      <c r="G363" s="21"/>
      <c r="H363" s="23"/>
      <c r="I363" s="23"/>
      <c r="J363" s="21"/>
    </row>
    <row r="364" spans="1:10" ht="15.75" customHeight="1" x14ac:dyDescent="0.2">
      <c r="A364" s="62"/>
      <c r="B364" s="21"/>
      <c r="C364" s="21"/>
      <c r="D364" s="24"/>
      <c r="E364" s="30"/>
      <c r="F364" s="47"/>
      <c r="G364" s="21"/>
      <c r="H364" s="21"/>
      <c r="I364" s="23"/>
      <c r="J364" s="21"/>
    </row>
    <row r="365" spans="1:10" ht="15.75" customHeight="1" x14ac:dyDescent="0.2">
      <c r="A365" s="62"/>
      <c r="B365" s="21"/>
      <c r="C365" s="23"/>
      <c r="D365" s="34"/>
      <c r="E365" s="30"/>
      <c r="F365" s="57"/>
      <c r="G365" s="21"/>
      <c r="H365" s="23"/>
      <c r="I365" s="23"/>
      <c r="J365" s="21"/>
    </row>
    <row r="366" spans="1:10" ht="15.75" customHeight="1" x14ac:dyDescent="0.2">
      <c r="A366" s="62"/>
      <c r="B366" s="21"/>
      <c r="C366" s="21"/>
      <c r="D366" s="24"/>
      <c r="E366" s="30"/>
      <c r="F366" s="57"/>
      <c r="G366" s="21"/>
      <c r="H366" s="23"/>
      <c r="I366" s="23"/>
      <c r="J366" s="21"/>
    </row>
    <row r="367" spans="1:10" ht="15.75" customHeight="1" x14ac:dyDescent="0.2">
      <c r="A367" s="62"/>
      <c r="B367" s="21"/>
      <c r="C367" s="23"/>
      <c r="D367" s="34"/>
      <c r="E367" s="30"/>
      <c r="F367" s="47"/>
      <c r="G367" s="21"/>
      <c r="H367" s="23"/>
      <c r="I367" s="23"/>
      <c r="J367" s="21"/>
    </row>
    <row r="368" spans="1:10" ht="15.75" customHeight="1" x14ac:dyDescent="0.2">
      <c r="A368" s="62"/>
      <c r="B368" s="21"/>
      <c r="C368" s="21"/>
      <c r="D368" s="24"/>
      <c r="E368" s="30"/>
      <c r="F368" s="57"/>
      <c r="G368" s="21"/>
      <c r="H368" s="23"/>
      <c r="I368" s="23"/>
      <c r="J368" s="21"/>
    </row>
    <row r="369" spans="1:10" ht="15.75" customHeight="1" x14ac:dyDescent="0.2">
      <c r="A369" s="62"/>
      <c r="B369" s="21"/>
      <c r="C369" s="21"/>
      <c r="D369" s="24"/>
      <c r="E369" s="30"/>
      <c r="F369" s="47"/>
      <c r="G369" s="21"/>
      <c r="H369" s="23"/>
      <c r="I369" s="23"/>
      <c r="J369" s="21"/>
    </row>
    <row r="370" spans="1:10" ht="15.75" customHeight="1" x14ac:dyDescent="0.2">
      <c r="A370" s="62"/>
      <c r="B370" s="21"/>
      <c r="C370" s="23"/>
      <c r="D370" s="34"/>
      <c r="E370" s="30"/>
      <c r="F370" s="57"/>
      <c r="G370" s="21"/>
      <c r="H370" s="23"/>
      <c r="I370" s="23"/>
      <c r="J370" s="21"/>
    </row>
    <row r="371" spans="1:10" ht="15.75" customHeight="1" x14ac:dyDescent="0.2">
      <c r="A371" s="62"/>
      <c r="B371" s="21"/>
      <c r="C371" s="21"/>
      <c r="D371" s="21"/>
      <c r="E371" s="30"/>
      <c r="F371" s="57"/>
      <c r="G371" s="21"/>
      <c r="H371" s="23"/>
      <c r="I371" s="23"/>
      <c r="J371" s="21"/>
    </row>
    <row r="372" spans="1:10" ht="15.75" customHeight="1" x14ac:dyDescent="0.2">
      <c r="A372" s="62"/>
      <c r="B372" s="21"/>
      <c r="C372" s="21"/>
      <c r="D372" s="34"/>
      <c r="E372" s="30"/>
      <c r="F372" s="57"/>
      <c r="G372" s="21"/>
      <c r="H372" s="23"/>
      <c r="I372" s="21"/>
      <c r="J372" s="21"/>
    </row>
    <row r="373" spans="1:10" ht="15.75" customHeight="1" x14ac:dyDescent="0.2">
      <c r="A373" s="62"/>
      <c r="B373" s="21"/>
      <c r="C373" s="23"/>
      <c r="D373" s="34"/>
      <c r="E373" s="30"/>
      <c r="F373" s="57"/>
      <c r="G373" s="21"/>
      <c r="H373" s="23"/>
      <c r="I373" s="21"/>
      <c r="J373" s="21"/>
    </row>
    <row r="374" spans="1:10" ht="15.75" customHeight="1" x14ac:dyDescent="0.2">
      <c r="A374" s="62"/>
      <c r="B374" s="21"/>
      <c r="C374" s="23"/>
      <c r="D374" s="34"/>
      <c r="E374" s="30"/>
      <c r="F374" s="57"/>
      <c r="G374" s="21"/>
      <c r="H374" s="23"/>
      <c r="I374" s="21"/>
      <c r="J374" s="21"/>
    </row>
    <row r="375" spans="1:10" ht="15.75" customHeight="1" x14ac:dyDescent="0.2">
      <c r="A375" s="62"/>
      <c r="B375" s="21"/>
      <c r="C375" s="21"/>
      <c r="D375" s="24"/>
      <c r="E375" s="30"/>
      <c r="F375" s="47"/>
      <c r="G375" s="21"/>
      <c r="H375" s="23"/>
      <c r="I375" s="21"/>
      <c r="J375" s="21"/>
    </row>
    <row r="376" spans="1:10" ht="15.75" customHeight="1" x14ac:dyDescent="0.2">
      <c r="A376" s="62"/>
      <c r="B376" s="21"/>
      <c r="C376" s="21"/>
      <c r="D376" s="24"/>
      <c r="E376" s="30"/>
      <c r="F376" s="57"/>
      <c r="G376" s="21"/>
      <c r="H376" s="23"/>
      <c r="I376" s="21"/>
      <c r="J376" s="21"/>
    </row>
    <row r="377" spans="1:10" ht="15.75" customHeight="1" x14ac:dyDescent="0.2">
      <c r="A377" s="62"/>
      <c r="B377" s="21"/>
      <c r="C377" s="23"/>
      <c r="D377" s="34"/>
      <c r="E377" s="30"/>
      <c r="F377" s="57"/>
      <c r="G377" s="21"/>
      <c r="H377" s="23"/>
      <c r="I377" s="21"/>
      <c r="J377" s="21"/>
    </row>
    <row r="378" spans="1:10" ht="15.75" customHeight="1" x14ac:dyDescent="0.2">
      <c r="A378" s="62"/>
      <c r="B378" s="21"/>
      <c r="C378" s="23"/>
      <c r="D378" s="34"/>
      <c r="E378" s="30"/>
      <c r="F378" s="47"/>
      <c r="G378" s="21"/>
      <c r="H378" s="23"/>
      <c r="I378" s="21"/>
      <c r="J378" s="21"/>
    </row>
    <row r="379" spans="1:10" ht="15.75" customHeight="1" x14ac:dyDescent="0.2">
      <c r="A379" s="62"/>
      <c r="B379" s="21"/>
      <c r="C379" s="23"/>
      <c r="D379" s="34"/>
      <c r="E379" s="30"/>
      <c r="F379" s="57"/>
      <c r="G379" s="21"/>
      <c r="H379" s="23"/>
      <c r="I379" s="21"/>
      <c r="J379" s="21"/>
    </row>
    <row r="380" spans="1:10" ht="15.75" customHeight="1" x14ac:dyDescent="0.2">
      <c r="A380" s="62"/>
      <c r="B380" s="21"/>
      <c r="C380" s="23"/>
      <c r="D380" s="34"/>
      <c r="E380" s="30"/>
      <c r="F380" s="57"/>
      <c r="G380" s="21"/>
      <c r="H380" s="23"/>
      <c r="I380" s="21"/>
      <c r="J380" s="21"/>
    </row>
    <row r="381" spans="1:10" ht="15.75" customHeight="1" x14ac:dyDescent="0.2">
      <c r="A381" s="62"/>
      <c r="B381" s="21"/>
      <c r="C381" s="21"/>
      <c r="D381" s="24"/>
      <c r="E381" s="30"/>
      <c r="F381" s="57"/>
      <c r="G381" s="21"/>
      <c r="H381" s="23"/>
      <c r="I381" s="21"/>
      <c r="J381" s="21"/>
    </row>
    <row r="382" spans="1:10" ht="15.75" customHeight="1" x14ac:dyDescent="0.2">
      <c r="A382" s="62"/>
      <c r="B382" s="21"/>
      <c r="C382" s="21"/>
      <c r="D382" s="24"/>
      <c r="E382" s="30"/>
      <c r="F382" s="57"/>
      <c r="G382" s="21"/>
      <c r="H382" s="21"/>
      <c r="I382" s="21"/>
      <c r="J382" s="21"/>
    </row>
    <row r="383" spans="1:10" ht="15.75" customHeight="1" x14ac:dyDescent="0.2">
      <c r="A383" s="62"/>
      <c r="B383" s="21"/>
      <c r="C383" s="23"/>
      <c r="D383" s="34"/>
      <c r="E383" s="30"/>
      <c r="F383" s="57"/>
      <c r="G383" s="21"/>
      <c r="H383" s="23"/>
      <c r="I383" s="21"/>
      <c r="J383" s="21"/>
    </row>
    <row r="384" spans="1:10" ht="15.75" customHeight="1" x14ac:dyDescent="0.2">
      <c r="A384" s="62"/>
      <c r="B384" s="21"/>
      <c r="C384" s="21"/>
      <c r="D384" s="24"/>
      <c r="E384" s="21"/>
      <c r="F384" s="47"/>
      <c r="G384" s="21"/>
      <c r="H384" s="21"/>
      <c r="I384" s="21"/>
      <c r="J384" s="21"/>
    </row>
    <row r="385" spans="1:10" ht="15.75" customHeight="1" x14ac:dyDescent="0.2">
      <c r="A385" s="62"/>
      <c r="B385" s="21"/>
      <c r="C385" s="21"/>
      <c r="D385" s="24"/>
      <c r="E385" s="30"/>
      <c r="F385" s="47"/>
      <c r="G385" s="21"/>
      <c r="H385" s="21"/>
      <c r="I385" s="21"/>
      <c r="J385" s="21"/>
    </row>
    <row r="386" spans="1:10" ht="15.75" customHeight="1" x14ac:dyDescent="0.2">
      <c r="A386" s="62"/>
      <c r="B386" s="21"/>
      <c r="C386" s="21"/>
      <c r="D386" s="24"/>
      <c r="E386" s="30"/>
      <c r="F386" s="47"/>
      <c r="G386" s="21"/>
      <c r="H386" s="23"/>
      <c r="I386" s="21"/>
      <c r="J386" s="21"/>
    </row>
    <row r="387" spans="1:10" ht="15.75" customHeight="1" x14ac:dyDescent="0.2">
      <c r="A387" s="62"/>
      <c r="B387" s="21"/>
      <c r="C387" s="21"/>
      <c r="D387" s="24"/>
      <c r="E387" s="30"/>
      <c r="F387" s="47"/>
      <c r="G387" s="21"/>
      <c r="H387" s="21"/>
      <c r="I387" s="21"/>
      <c r="J387" s="21"/>
    </row>
    <row r="388" spans="1:10" ht="15.75" customHeight="1" x14ac:dyDescent="0.2">
      <c r="A388" s="62"/>
      <c r="B388" s="21"/>
      <c r="C388" s="21"/>
      <c r="D388" s="24"/>
      <c r="E388" s="30"/>
      <c r="F388" s="47"/>
      <c r="G388" s="21"/>
      <c r="H388" s="21"/>
      <c r="I388" s="21"/>
      <c r="J388" s="21"/>
    </row>
    <row r="389" spans="1:10" ht="15.75" customHeight="1" x14ac:dyDescent="0.2">
      <c r="A389" s="62"/>
      <c r="B389" s="21"/>
      <c r="C389" s="21"/>
      <c r="D389" s="24"/>
      <c r="E389" s="30"/>
      <c r="F389" s="57"/>
      <c r="G389" s="21"/>
      <c r="H389" s="23"/>
      <c r="I389" s="21"/>
      <c r="J389" s="21"/>
    </row>
    <row r="390" spans="1:10" ht="15.75" customHeight="1" x14ac:dyDescent="0.2">
      <c r="A390" s="62"/>
      <c r="B390" s="21"/>
      <c r="C390" s="23"/>
      <c r="D390" s="34"/>
      <c r="E390" s="30"/>
      <c r="F390" s="57"/>
      <c r="G390" s="21"/>
      <c r="H390" s="23"/>
      <c r="I390" s="21"/>
      <c r="J390" s="21"/>
    </row>
    <row r="391" spans="1:10" ht="15.75" customHeight="1" x14ac:dyDescent="0.2">
      <c r="A391" s="62"/>
      <c r="B391" s="21"/>
      <c r="C391" s="21"/>
      <c r="D391" s="24"/>
      <c r="E391" s="30"/>
      <c r="F391" s="47"/>
      <c r="G391" s="21"/>
      <c r="H391" s="23"/>
      <c r="I391" s="21"/>
      <c r="J391" s="21"/>
    </row>
    <row r="392" spans="1:10" ht="15.75" customHeight="1" x14ac:dyDescent="0.2">
      <c r="A392" s="62"/>
      <c r="B392" s="21"/>
      <c r="C392" s="21"/>
      <c r="D392" s="24"/>
      <c r="E392" s="21"/>
      <c r="F392" s="57"/>
      <c r="G392" s="21"/>
      <c r="H392" s="23"/>
      <c r="I392" s="21"/>
      <c r="J392" s="21"/>
    </row>
    <row r="393" spans="1:10" ht="15.75" customHeight="1" x14ac:dyDescent="0.2">
      <c r="A393" s="62"/>
      <c r="B393" s="21"/>
      <c r="C393" s="21"/>
      <c r="D393" s="24"/>
      <c r="E393" s="30"/>
      <c r="F393" s="47"/>
      <c r="G393" s="21"/>
      <c r="H393" s="23"/>
      <c r="I393" s="21"/>
      <c r="J393" s="21"/>
    </row>
    <row r="394" spans="1:10" ht="15.75" customHeight="1" x14ac:dyDescent="0.2">
      <c r="A394" s="62"/>
      <c r="B394" s="21"/>
      <c r="C394" s="21"/>
      <c r="D394" s="24"/>
      <c r="E394" s="30"/>
      <c r="F394" s="47"/>
      <c r="G394" s="21"/>
      <c r="H394" s="21"/>
      <c r="I394" s="21"/>
      <c r="J394" s="21"/>
    </row>
    <row r="395" spans="1:10" ht="15.75" customHeight="1" x14ac:dyDescent="0.2">
      <c r="A395" s="62"/>
      <c r="B395" s="21"/>
      <c r="C395" s="23"/>
      <c r="D395" s="34"/>
      <c r="E395" s="30"/>
      <c r="F395" s="47"/>
      <c r="G395" s="21"/>
      <c r="H395" s="23"/>
      <c r="I395" s="21"/>
      <c r="J395" s="21"/>
    </row>
    <row r="396" spans="1:10" ht="15.75" customHeight="1" x14ac:dyDescent="0.2">
      <c r="A396" s="62"/>
      <c r="B396" s="21"/>
      <c r="C396" s="23"/>
      <c r="D396" s="34"/>
      <c r="E396" s="21"/>
      <c r="F396" s="57"/>
      <c r="G396" s="21"/>
      <c r="H396" s="23"/>
      <c r="I396" s="21"/>
      <c r="J396" s="21"/>
    </row>
    <row r="397" spans="1:10" ht="15.75" customHeight="1" x14ac:dyDescent="0.2">
      <c r="A397" s="62"/>
      <c r="B397" s="21"/>
      <c r="C397" s="23"/>
      <c r="D397" s="34"/>
      <c r="E397" s="21"/>
      <c r="F397" s="57"/>
      <c r="G397" s="21"/>
      <c r="H397" s="23"/>
      <c r="I397" s="21"/>
      <c r="J397" s="21"/>
    </row>
    <row r="398" spans="1:10" ht="15.75" customHeight="1" x14ac:dyDescent="0.2">
      <c r="A398" s="62"/>
      <c r="B398" s="21"/>
      <c r="C398" s="21"/>
      <c r="D398" s="24"/>
      <c r="E398" s="30"/>
      <c r="F398" s="57"/>
      <c r="G398" s="21"/>
      <c r="H398" s="23"/>
      <c r="I398" s="21"/>
      <c r="J398" s="21"/>
    </row>
    <row r="399" spans="1:10" ht="15.75" customHeight="1" x14ac:dyDescent="0.2">
      <c r="A399" s="62"/>
      <c r="B399" s="21"/>
      <c r="C399" s="23"/>
      <c r="D399" s="34"/>
      <c r="E399" s="30"/>
      <c r="F399" s="57"/>
      <c r="G399" s="21"/>
      <c r="H399" s="23"/>
      <c r="I399" s="21"/>
      <c r="J399" s="21"/>
    </row>
    <row r="400" spans="1:10" ht="15.75" customHeight="1" x14ac:dyDescent="0.2">
      <c r="A400" s="62"/>
      <c r="B400" s="21"/>
      <c r="C400" s="21"/>
      <c r="D400" s="24"/>
      <c r="E400" s="30"/>
      <c r="F400" s="57"/>
      <c r="G400" s="21"/>
      <c r="H400" s="23"/>
      <c r="I400" s="21"/>
      <c r="J400" s="21"/>
    </row>
    <row r="401" spans="1:10" ht="15.75" customHeight="1" x14ac:dyDescent="0.2">
      <c r="A401" s="62"/>
      <c r="B401" s="21"/>
      <c r="C401" s="23"/>
      <c r="D401" s="34"/>
      <c r="E401" s="30"/>
      <c r="F401" s="57"/>
      <c r="G401" s="21"/>
      <c r="H401" s="23"/>
      <c r="I401" s="21"/>
      <c r="J401" s="21"/>
    </row>
    <row r="402" spans="1:10" ht="15.75" customHeight="1" x14ac:dyDescent="0.2">
      <c r="A402" s="62"/>
      <c r="B402" s="21"/>
      <c r="C402" s="21"/>
      <c r="D402" s="24"/>
      <c r="E402" s="30"/>
      <c r="F402" s="47"/>
      <c r="G402" s="21"/>
      <c r="H402" s="23"/>
      <c r="I402" s="21"/>
      <c r="J402" s="21"/>
    </row>
    <row r="403" spans="1:10" ht="15.75" customHeight="1" x14ac:dyDescent="0.2">
      <c r="A403" s="62"/>
      <c r="B403" s="21"/>
      <c r="C403" s="21"/>
      <c r="D403" s="24"/>
      <c r="E403" s="30"/>
      <c r="F403" s="47"/>
      <c r="G403" s="21"/>
      <c r="H403" s="23"/>
      <c r="I403" s="21"/>
      <c r="J403" s="21"/>
    </row>
    <row r="404" spans="1:10" ht="15.75" customHeight="1" x14ac:dyDescent="0.2">
      <c r="A404" s="62"/>
      <c r="B404" s="21"/>
      <c r="C404" s="21"/>
      <c r="D404" s="24"/>
      <c r="E404" s="30"/>
      <c r="F404" s="47"/>
      <c r="G404" s="21"/>
      <c r="H404" s="23"/>
      <c r="I404" s="21"/>
      <c r="J404" s="21"/>
    </row>
    <row r="405" spans="1:10" ht="15.75" customHeight="1" x14ac:dyDescent="0.2">
      <c r="A405" s="62"/>
      <c r="B405" s="21"/>
      <c r="C405" s="21"/>
      <c r="D405" s="24"/>
      <c r="E405" s="30"/>
      <c r="F405" s="47"/>
      <c r="G405" s="21"/>
      <c r="H405" s="23"/>
      <c r="I405" s="21"/>
      <c r="J405" s="21"/>
    </row>
    <row r="406" spans="1:10" ht="15.75" customHeight="1" x14ac:dyDescent="0.2">
      <c r="A406" s="62"/>
      <c r="B406" s="21"/>
      <c r="C406" s="21"/>
      <c r="D406" s="24"/>
      <c r="E406" s="21"/>
      <c r="F406" s="47"/>
      <c r="G406" s="21"/>
      <c r="H406" s="21"/>
      <c r="I406" s="21"/>
      <c r="J406" s="21"/>
    </row>
    <row r="407" spans="1:10" ht="15.75" customHeight="1" x14ac:dyDescent="0.2">
      <c r="A407" s="62"/>
      <c r="B407" s="21"/>
      <c r="C407" s="21"/>
      <c r="D407" s="24"/>
      <c r="E407" s="30"/>
      <c r="F407" s="47"/>
      <c r="G407" s="21"/>
      <c r="H407" s="23"/>
      <c r="I407" s="21"/>
      <c r="J407" s="21"/>
    </row>
    <row r="408" spans="1:10" ht="15.75" customHeight="1" x14ac:dyDescent="0.2">
      <c r="A408" s="62"/>
      <c r="B408" s="21"/>
      <c r="C408" s="21"/>
      <c r="D408" s="24"/>
      <c r="E408" s="30"/>
      <c r="F408" s="47"/>
      <c r="G408" s="21"/>
      <c r="H408" s="21"/>
      <c r="I408" s="21"/>
      <c r="J408" s="21"/>
    </row>
    <row r="409" spans="1:10" ht="15.75" customHeight="1" x14ac:dyDescent="0.2">
      <c r="A409" s="62"/>
      <c r="B409" s="21"/>
      <c r="C409" s="23"/>
      <c r="D409" s="34"/>
      <c r="E409" s="30"/>
      <c r="F409" s="57"/>
      <c r="G409" s="21"/>
      <c r="H409" s="23"/>
      <c r="I409" s="21"/>
      <c r="J409" s="21"/>
    </row>
    <row r="410" spans="1:10" ht="15.75" customHeight="1" x14ac:dyDescent="0.2">
      <c r="A410" s="62"/>
      <c r="B410" s="21"/>
      <c r="C410" s="23"/>
      <c r="D410" s="34"/>
      <c r="E410" s="30"/>
      <c r="F410" s="47"/>
      <c r="G410" s="21"/>
      <c r="H410" s="23"/>
      <c r="I410" s="21"/>
      <c r="J410" s="21"/>
    </row>
    <row r="411" spans="1:10" ht="15.75" customHeight="1" x14ac:dyDescent="0.2">
      <c r="A411" s="62"/>
      <c r="B411" s="21"/>
      <c r="C411" s="23"/>
      <c r="D411" s="34"/>
      <c r="E411" s="30"/>
      <c r="F411" s="57"/>
      <c r="G411" s="21"/>
      <c r="H411" s="23"/>
      <c r="I411" s="21"/>
      <c r="J411" s="21"/>
    </row>
    <row r="412" spans="1:10" ht="15.75" customHeight="1" x14ac:dyDescent="0.2">
      <c r="A412" s="62"/>
      <c r="B412" s="21"/>
      <c r="C412" s="23"/>
      <c r="D412" s="34"/>
      <c r="E412" s="30"/>
      <c r="F412" s="57"/>
      <c r="G412" s="21"/>
      <c r="H412" s="23"/>
      <c r="I412" s="21"/>
      <c r="J412" s="21"/>
    </row>
    <row r="413" spans="1:10" ht="15.75" customHeight="1" x14ac:dyDescent="0.2">
      <c r="A413" s="62"/>
      <c r="B413" s="21"/>
      <c r="C413" s="23"/>
      <c r="D413" s="24"/>
      <c r="E413" s="30"/>
      <c r="F413" s="47"/>
      <c r="G413" s="21"/>
      <c r="H413" s="21"/>
      <c r="I413" s="21"/>
      <c r="J413" s="21"/>
    </row>
    <row r="414" spans="1:10" ht="15.75" customHeight="1" x14ac:dyDescent="0.2">
      <c r="A414" s="62"/>
      <c r="B414" s="21"/>
      <c r="C414" s="21"/>
      <c r="D414" s="24"/>
      <c r="E414" s="30"/>
      <c r="F414" s="57"/>
      <c r="G414" s="21"/>
      <c r="H414" s="21"/>
      <c r="I414" s="21"/>
      <c r="J414" s="21"/>
    </row>
    <row r="415" spans="1:10" ht="15.75" customHeight="1" x14ac:dyDescent="0.2">
      <c r="A415" s="62"/>
      <c r="B415" s="21"/>
      <c r="C415" s="21"/>
      <c r="D415" s="24"/>
      <c r="E415" s="30"/>
      <c r="F415" s="47"/>
      <c r="G415" s="21"/>
      <c r="H415" s="23"/>
      <c r="I415" s="21"/>
      <c r="J415" s="21"/>
    </row>
    <row r="416" spans="1:10" ht="15.75" customHeight="1" x14ac:dyDescent="0.2">
      <c r="A416" s="62"/>
      <c r="B416" s="21"/>
      <c r="C416" s="21"/>
      <c r="D416" s="24"/>
      <c r="E416" s="30"/>
      <c r="F416" s="57"/>
      <c r="G416" s="21"/>
      <c r="H416" s="23"/>
      <c r="I416" s="21"/>
      <c r="J416" s="21"/>
    </row>
    <row r="417" spans="1:10" ht="15.75" customHeight="1" x14ac:dyDescent="0.2">
      <c r="A417" s="62"/>
      <c r="B417" s="21"/>
      <c r="C417" s="21"/>
      <c r="D417" s="24"/>
      <c r="E417" s="30"/>
      <c r="F417" s="57"/>
      <c r="G417" s="21"/>
      <c r="H417" s="23"/>
      <c r="I417" s="21"/>
      <c r="J417" s="21"/>
    </row>
    <row r="418" spans="1:10" ht="15.75" customHeight="1" x14ac:dyDescent="0.2">
      <c r="A418" s="62"/>
      <c r="B418" s="21"/>
      <c r="C418" s="23"/>
      <c r="D418" s="34"/>
      <c r="E418" s="30"/>
      <c r="F418" s="47"/>
      <c r="G418" s="21"/>
      <c r="H418" s="23"/>
      <c r="I418" s="21"/>
      <c r="J418" s="21"/>
    </row>
    <row r="419" spans="1:10" ht="15.75" customHeight="1" x14ac:dyDescent="0.2">
      <c r="A419" s="62"/>
      <c r="B419" s="21"/>
      <c r="C419" s="21"/>
      <c r="D419" s="24"/>
      <c r="E419" s="30"/>
      <c r="F419" s="57"/>
      <c r="G419" s="21"/>
      <c r="H419" s="23"/>
      <c r="I419" s="21"/>
      <c r="J419" s="21"/>
    </row>
    <row r="420" spans="1:10" ht="15.75" customHeight="1" x14ac:dyDescent="0.2">
      <c r="A420" s="62"/>
      <c r="B420" s="21"/>
      <c r="C420" s="21"/>
      <c r="D420" s="24"/>
      <c r="E420" s="30"/>
      <c r="F420" s="47"/>
      <c r="G420" s="21"/>
      <c r="H420" s="23"/>
      <c r="I420" s="21"/>
      <c r="J420" s="21"/>
    </row>
    <row r="421" spans="1:10" ht="15.75" customHeight="1" x14ac:dyDescent="0.2">
      <c r="A421" s="62"/>
      <c r="B421" s="21"/>
      <c r="C421" s="21"/>
      <c r="D421" s="24"/>
      <c r="E421" s="30"/>
      <c r="F421" s="57"/>
      <c r="G421" s="21"/>
      <c r="H421" s="23"/>
      <c r="I421" s="21"/>
      <c r="J421" s="21"/>
    </row>
    <row r="422" spans="1:10" ht="15.75" customHeight="1" x14ac:dyDescent="0.2">
      <c r="A422" s="62"/>
      <c r="B422" s="21"/>
      <c r="C422" s="21"/>
      <c r="D422" s="24"/>
      <c r="E422" s="30"/>
      <c r="F422" s="57"/>
      <c r="G422" s="21"/>
      <c r="H422" s="23"/>
      <c r="I422" s="21"/>
      <c r="J422" s="21"/>
    </row>
    <row r="423" spans="1:10" ht="15.75" customHeight="1" x14ac:dyDescent="0.2">
      <c r="A423" s="62"/>
      <c r="B423" s="21"/>
      <c r="C423" s="23"/>
      <c r="D423" s="34"/>
      <c r="E423" s="30"/>
      <c r="F423" s="57"/>
      <c r="G423" s="21"/>
      <c r="H423" s="23"/>
      <c r="I423" s="21"/>
      <c r="J423" s="21"/>
    </row>
    <row r="424" spans="1:10" ht="15.75" customHeight="1" x14ac:dyDescent="0.2">
      <c r="A424" s="62"/>
      <c r="B424" s="21"/>
      <c r="C424" s="21"/>
      <c r="D424" s="24"/>
      <c r="E424" s="30"/>
      <c r="F424" s="57"/>
      <c r="G424" s="21"/>
      <c r="H424" s="21"/>
      <c r="I424" s="21"/>
      <c r="J424" s="21"/>
    </row>
    <row r="425" spans="1:10" ht="15.75" customHeight="1" x14ac:dyDescent="0.2">
      <c r="A425" s="62"/>
      <c r="B425" s="21"/>
      <c r="C425" s="21"/>
      <c r="D425" s="24"/>
      <c r="E425" s="30"/>
      <c r="F425" s="47"/>
      <c r="G425" s="21"/>
      <c r="H425" s="23"/>
      <c r="I425" s="21"/>
      <c r="J425" s="21"/>
    </row>
    <row r="426" spans="1:10" ht="15.75" customHeight="1" x14ac:dyDescent="0.2">
      <c r="A426" s="62"/>
      <c r="B426" s="21"/>
      <c r="C426" s="23"/>
      <c r="D426" s="34"/>
      <c r="E426" s="30"/>
      <c r="F426" s="57"/>
      <c r="G426" s="21"/>
      <c r="H426" s="23"/>
      <c r="I426" s="21"/>
      <c r="J426" s="21"/>
    </row>
    <row r="427" spans="1:10" ht="15.75" customHeight="1" x14ac:dyDescent="0.2">
      <c r="A427" s="62"/>
      <c r="B427" s="21"/>
      <c r="C427" s="21"/>
      <c r="D427" s="24"/>
      <c r="E427" s="30"/>
      <c r="F427" s="57"/>
      <c r="G427" s="21"/>
      <c r="H427" s="23"/>
      <c r="I427" s="21"/>
      <c r="J427" s="21"/>
    </row>
    <row r="428" spans="1:10" ht="15.75" customHeight="1" x14ac:dyDescent="0.2">
      <c r="A428" s="62"/>
      <c r="B428" s="21"/>
      <c r="C428" s="24"/>
      <c r="D428" s="24"/>
      <c r="E428" s="21"/>
      <c r="F428" s="47"/>
      <c r="G428" s="21"/>
      <c r="H428" s="21"/>
      <c r="I428" s="21"/>
      <c r="J428" s="21"/>
    </row>
    <row r="429" spans="1:10" ht="15.75" customHeight="1" x14ac:dyDescent="0.2">
      <c r="A429" s="62"/>
      <c r="B429" s="21"/>
      <c r="C429" s="21"/>
      <c r="D429" s="24"/>
      <c r="E429" s="30"/>
      <c r="F429" s="57"/>
      <c r="G429" s="21"/>
      <c r="H429" s="23"/>
      <c r="I429" s="21"/>
      <c r="J429" s="21"/>
    </row>
    <row r="430" spans="1:10" ht="15.75" customHeight="1" x14ac:dyDescent="0.2">
      <c r="A430" s="62"/>
      <c r="B430" s="21"/>
      <c r="C430" s="21"/>
      <c r="D430" s="24"/>
      <c r="E430" s="30"/>
      <c r="F430" s="57"/>
      <c r="G430" s="21"/>
      <c r="H430" s="23"/>
      <c r="I430" s="21"/>
      <c r="J430" s="21"/>
    </row>
    <row r="431" spans="1:10" ht="15.75" customHeight="1" x14ac:dyDescent="0.2">
      <c r="A431" s="62"/>
      <c r="B431" s="21"/>
      <c r="C431" s="21"/>
      <c r="D431" s="24"/>
      <c r="E431" s="21"/>
      <c r="F431" s="47"/>
      <c r="G431" s="21"/>
      <c r="H431" s="21"/>
      <c r="I431" s="21"/>
      <c r="J431" s="21"/>
    </row>
    <row r="432" spans="1:10" ht="15.75" customHeight="1" x14ac:dyDescent="0.2">
      <c r="A432" s="62"/>
      <c r="B432" s="21"/>
      <c r="C432" s="21"/>
      <c r="D432" s="24"/>
      <c r="E432" s="30"/>
      <c r="F432" s="47"/>
      <c r="G432" s="21"/>
      <c r="H432" s="23"/>
      <c r="I432" s="21"/>
      <c r="J432" s="21"/>
    </row>
    <row r="433" spans="1:10" ht="15.75" customHeight="1" x14ac:dyDescent="0.2">
      <c r="A433" s="62"/>
      <c r="B433" s="21"/>
      <c r="C433" s="21"/>
      <c r="D433" s="24"/>
      <c r="E433" s="30"/>
      <c r="F433" s="57"/>
      <c r="G433" s="21"/>
      <c r="H433" s="23"/>
      <c r="I433" s="21"/>
      <c r="J433" s="21"/>
    </row>
    <row r="434" spans="1:10" ht="15.75" customHeight="1" x14ac:dyDescent="0.2">
      <c r="A434" s="62"/>
      <c r="B434" s="21"/>
      <c r="C434" s="21"/>
      <c r="D434" s="24"/>
      <c r="E434" s="30"/>
      <c r="F434" s="57"/>
      <c r="G434" s="21"/>
      <c r="H434" s="23"/>
      <c r="I434" s="21"/>
      <c r="J434" s="21"/>
    </row>
    <row r="435" spans="1:10" ht="15.75" customHeight="1" x14ac:dyDescent="0.2">
      <c r="A435" s="62"/>
      <c r="B435" s="21"/>
      <c r="C435" s="21"/>
      <c r="D435" s="24"/>
      <c r="E435" s="30"/>
      <c r="F435" s="57"/>
      <c r="G435" s="21"/>
      <c r="H435" s="23"/>
      <c r="I435" s="21"/>
      <c r="J435" s="21"/>
    </row>
    <row r="436" spans="1:10" ht="15.75" customHeight="1" x14ac:dyDescent="0.2">
      <c r="A436" s="62"/>
      <c r="B436" s="21"/>
      <c r="C436" s="23"/>
      <c r="D436" s="34"/>
      <c r="E436" s="30"/>
      <c r="F436" s="57"/>
      <c r="G436" s="21"/>
      <c r="H436" s="23"/>
      <c r="I436" s="21"/>
      <c r="J436" s="21"/>
    </row>
    <row r="437" spans="1:10" ht="15.75" customHeight="1" x14ac:dyDescent="0.2">
      <c r="A437" s="62"/>
      <c r="B437" s="21"/>
      <c r="C437" s="21"/>
      <c r="D437" s="24"/>
      <c r="E437" s="30"/>
      <c r="F437" s="47"/>
      <c r="G437" s="21"/>
      <c r="H437" s="23"/>
      <c r="I437" s="21"/>
      <c r="J437" s="21"/>
    </row>
    <row r="438" spans="1:10" ht="15.75" customHeight="1" x14ac:dyDescent="0.2">
      <c r="A438" s="62"/>
      <c r="B438" s="21"/>
      <c r="C438" s="23"/>
      <c r="D438" s="34"/>
      <c r="E438" s="30"/>
      <c r="F438" s="57"/>
      <c r="G438" s="21"/>
      <c r="H438" s="23"/>
      <c r="I438" s="21"/>
      <c r="J438" s="21"/>
    </row>
    <row r="439" spans="1:10" ht="15.75" customHeight="1" x14ac:dyDescent="0.2">
      <c r="A439" s="62"/>
      <c r="B439" s="21"/>
      <c r="C439" s="21"/>
      <c r="D439" s="24"/>
      <c r="E439" s="30"/>
      <c r="F439" s="57"/>
      <c r="G439" s="21"/>
      <c r="H439" s="23"/>
      <c r="I439" s="21"/>
      <c r="J439" s="21"/>
    </row>
    <row r="440" spans="1:10" ht="15.75" customHeight="1" x14ac:dyDescent="0.2">
      <c r="A440" s="62"/>
      <c r="B440" s="21"/>
      <c r="C440" s="23"/>
      <c r="D440" s="34"/>
      <c r="E440" s="30"/>
      <c r="F440" s="47"/>
      <c r="G440" s="21"/>
      <c r="H440" s="23"/>
      <c r="I440" s="21"/>
      <c r="J440" s="21"/>
    </row>
    <row r="441" spans="1:10" ht="15.75" customHeight="1" x14ac:dyDescent="0.2">
      <c r="A441" s="62"/>
      <c r="B441" s="21"/>
      <c r="C441" s="23"/>
      <c r="D441" s="34"/>
      <c r="E441" s="21"/>
      <c r="F441" s="57"/>
      <c r="G441" s="21"/>
      <c r="H441" s="23"/>
      <c r="I441" s="21"/>
      <c r="J441" s="21"/>
    </row>
    <row r="442" spans="1:10" ht="15.75" customHeight="1" x14ac:dyDescent="0.2">
      <c r="A442" s="62"/>
      <c r="B442" s="21"/>
      <c r="C442" s="23"/>
      <c r="D442" s="34"/>
      <c r="E442" s="30"/>
      <c r="F442" s="47"/>
      <c r="G442" s="21"/>
      <c r="H442" s="23"/>
      <c r="I442" s="21"/>
      <c r="J442" s="21"/>
    </row>
    <row r="443" spans="1:10" ht="15.75" customHeight="1" x14ac:dyDescent="0.2">
      <c r="A443" s="62"/>
      <c r="B443" s="21"/>
      <c r="C443" s="21"/>
      <c r="D443" s="24"/>
      <c r="E443" s="66"/>
      <c r="F443" s="47"/>
      <c r="G443" s="21"/>
      <c r="H443" s="23"/>
      <c r="I443" s="21"/>
      <c r="J443" s="21"/>
    </row>
    <row r="444" spans="1:10" ht="15.75" customHeight="1" x14ac:dyDescent="0.2">
      <c r="A444" s="62"/>
      <c r="B444" s="21"/>
      <c r="C444" s="23"/>
      <c r="D444" s="34"/>
      <c r="E444" s="30"/>
      <c r="F444" s="57"/>
      <c r="G444" s="21"/>
      <c r="H444" s="23"/>
      <c r="I444" s="21"/>
      <c r="J444" s="21"/>
    </row>
    <row r="445" spans="1:10" ht="15.75" customHeight="1" x14ac:dyDescent="0.2">
      <c r="A445" s="62"/>
      <c r="B445" s="21"/>
      <c r="C445" s="23"/>
      <c r="D445" s="34"/>
      <c r="E445" s="30"/>
      <c r="F445" s="57"/>
      <c r="G445" s="21"/>
      <c r="H445" s="23"/>
      <c r="I445" s="21"/>
      <c r="J445" s="21"/>
    </row>
    <row r="446" spans="1:10" ht="15.75" customHeight="1" x14ac:dyDescent="0.2">
      <c r="A446" s="62"/>
      <c r="B446" s="21"/>
      <c r="C446" s="23"/>
      <c r="D446" s="34"/>
      <c r="E446" s="30"/>
      <c r="F446" s="57"/>
      <c r="G446" s="21"/>
      <c r="H446" s="23"/>
      <c r="I446" s="21"/>
      <c r="J446" s="21"/>
    </row>
    <row r="447" spans="1:10" ht="15.75" customHeight="1" x14ac:dyDescent="0.2">
      <c r="A447" s="62"/>
      <c r="B447" s="21"/>
      <c r="C447" s="23"/>
      <c r="D447" s="34"/>
      <c r="E447" s="30"/>
      <c r="F447" s="57"/>
      <c r="G447" s="21"/>
      <c r="H447" s="23"/>
      <c r="I447" s="21"/>
      <c r="J447" s="21"/>
    </row>
    <row r="448" spans="1:10" ht="15.75" customHeight="1" x14ac:dyDescent="0.2">
      <c r="A448" s="62"/>
      <c r="B448" s="21"/>
      <c r="C448" s="23"/>
      <c r="D448" s="34"/>
      <c r="E448" s="30"/>
      <c r="F448" s="57"/>
      <c r="G448" s="21"/>
      <c r="H448" s="23"/>
      <c r="I448" s="21"/>
      <c r="J448" s="21"/>
    </row>
    <row r="449" spans="1:10" ht="15.75" customHeight="1" x14ac:dyDescent="0.2">
      <c r="A449" s="62"/>
      <c r="B449" s="21"/>
      <c r="C449" s="23"/>
      <c r="D449" s="34"/>
      <c r="E449" s="30"/>
      <c r="F449" s="57"/>
      <c r="G449" s="21"/>
      <c r="H449" s="23"/>
      <c r="I449" s="21"/>
      <c r="J449" s="21"/>
    </row>
    <row r="450" spans="1:10" ht="15.75" customHeight="1" x14ac:dyDescent="0.2">
      <c r="A450" s="62"/>
      <c r="B450" s="21"/>
      <c r="C450" s="23"/>
      <c r="D450" s="34"/>
      <c r="E450" s="30"/>
      <c r="F450" s="57"/>
      <c r="G450" s="21"/>
      <c r="H450" s="23"/>
      <c r="I450" s="21"/>
      <c r="J450" s="21"/>
    </row>
    <row r="451" spans="1:10" ht="15.75" customHeight="1" x14ac:dyDescent="0.2">
      <c r="A451" s="62"/>
      <c r="B451" s="21"/>
      <c r="C451" s="23"/>
      <c r="D451" s="34"/>
      <c r="E451" s="30"/>
      <c r="F451" s="57"/>
      <c r="G451" s="21"/>
      <c r="H451" s="23"/>
      <c r="I451" s="21"/>
      <c r="J451" s="21"/>
    </row>
    <row r="452" spans="1:10" ht="15.75" customHeight="1" x14ac:dyDescent="0.2">
      <c r="A452" s="62"/>
      <c r="B452" s="21"/>
      <c r="C452" s="21"/>
      <c r="D452" s="24"/>
      <c r="E452" s="30"/>
      <c r="F452" s="47"/>
      <c r="G452" s="21"/>
      <c r="H452" s="23"/>
      <c r="I452" s="21"/>
      <c r="J452" s="21"/>
    </row>
    <row r="453" spans="1:10" ht="15.75" customHeight="1" x14ac:dyDescent="0.2">
      <c r="A453" s="62"/>
      <c r="B453" s="21"/>
      <c r="C453" s="21"/>
      <c r="D453" s="21"/>
      <c r="E453" s="30"/>
      <c r="F453" s="47"/>
      <c r="G453" s="21"/>
      <c r="H453" s="21"/>
      <c r="I453" s="21"/>
      <c r="J453" s="21"/>
    </row>
    <row r="454" spans="1:10" ht="15.75" customHeight="1" x14ac:dyDescent="0.2">
      <c r="A454" s="62"/>
      <c r="B454" s="21"/>
      <c r="C454" s="21"/>
      <c r="D454" s="24"/>
      <c r="E454" s="30"/>
      <c r="F454" s="47"/>
      <c r="G454" s="21"/>
      <c r="H454" s="21"/>
      <c r="I454" s="21"/>
      <c r="J454" s="21"/>
    </row>
    <row r="455" spans="1:10" ht="15.75" customHeight="1" x14ac:dyDescent="0.2">
      <c r="A455" s="62"/>
      <c r="B455" s="21"/>
      <c r="C455" s="21"/>
      <c r="D455" s="24"/>
      <c r="E455" s="30"/>
      <c r="F455" s="47"/>
      <c r="G455" s="21"/>
      <c r="H455" s="21"/>
      <c r="I455" s="21"/>
      <c r="J455" s="21"/>
    </row>
    <row r="456" spans="1:10" ht="15.75" customHeight="1" x14ac:dyDescent="0.2">
      <c r="A456" s="62"/>
      <c r="B456" s="21"/>
      <c r="C456" s="21"/>
      <c r="D456" s="24"/>
      <c r="E456" s="30"/>
      <c r="F456" s="47"/>
      <c r="G456" s="21"/>
      <c r="H456" s="21"/>
      <c r="I456" s="21"/>
      <c r="J456" s="21"/>
    </row>
    <row r="457" spans="1:10" ht="15.75" customHeight="1" x14ac:dyDescent="0.2">
      <c r="A457" s="62"/>
      <c r="B457" s="21"/>
      <c r="C457" s="21"/>
      <c r="D457" s="24"/>
      <c r="E457" s="30"/>
      <c r="F457" s="47"/>
      <c r="G457" s="21"/>
      <c r="H457" s="21"/>
      <c r="I457" s="21"/>
      <c r="J457" s="21"/>
    </row>
    <row r="458" spans="1:10" ht="15.75" customHeight="1" x14ac:dyDescent="0.2">
      <c r="A458" s="62"/>
      <c r="B458" s="21"/>
      <c r="C458" s="21"/>
      <c r="D458" s="24"/>
      <c r="E458" s="30"/>
      <c r="F458" s="47"/>
      <c r="G458" s="21"/>
      <c r="H458" s="21"/>
      <c r="I458" s="21"/>
      <c r="J458" s="21"/>
    </row>
    <row r="459" spans="1:10" ht="15.75" customHeight="1" x14ac:dyDescent="0.2">
      <c r="A459" s="62"/>
      <c r="B459" s="21"/>
      <c r="C459" s="21"/>
      <c r="D459" s="24"/>
      <c r="E459" s="30"/>
      <c r="F459" s="47"/>
      <c r="G459" s="21"/>
      <c r="H459" s="21"/>
      <c r="I459" s="21"/>
      <c r="J459" s="21"/>
    </row>
    <row r="460" spans="1:10" ht="15.75" customHeight="1" x14ac:dyDescent="0.2">
      <c r="A460" s="62"/>
      <c r="B460" s="21"/>
      <c r="C460" s="21"/>
      <c r="D460" s="24"/>
      <c r="E460" s="30"/>
      <c r="F460" s="47"/>
      <c r="G460" s="21"/>
      <c r="H460" s="21"/>
      <c r="I460" s="21"/>
      <c r="J460" s="21"/>
    </row>
    <row r="461" spans="1:10" ht="15.75" customHeight="1" x14ac:dyDescent="0.2">
      <c r="A461" s="62"/>
      <c r="B461" s="21"/>
      <c r="C461" s="21"/>
      <c r="D461" s="24"/>
      <c r="E461" s="30"/>
      <c r="F461" s="47"/>
      <c r="G461" s="21"/>
      <c r="H461" s="21"/>
      <c r="I461" s="21"/>
      <c r="J461" s="21"/>
    </row>
    <row r="462" spans="1:10" ht="15.75" customHeight="1" x14ac:dyDescent="0.2">
      <c r="A462" s="62"/>
      <c r="B462" s="21"/>
      <c r="C462" s="21"/>
      <c r="D462" s="24"/>
      <c r="E462" s="30"/>
      <c r="F462" s="47"/>
      <c r="G462" s="21"/>
      <c r="H462" s="23"/>
      <c r="I462" s="21"/>
      <c r="J462" s="21"/>
    </row>
    <row r="463" spans="1:10" ht="15.75" customHeight="1" x14ac:dyDescent="0.2">
      <c r="A463" s="62"/>
      <c r="B463" s="21"/>
      <c r="C463" s="23"/>
      <c r="D463" s="34"/>
      <c r="E463" s="30"/>
      <c r="F463" s="57"/>
      <c r="G463" s="21"/>
      <c r="H463" s="23"/>
      <c r="I463" s="21"/>
      <c r="J463" s="21"/>
    </row>
    <row r="464" spans="1:10" ht="15.75" customHeight="1" x14ac:dyDescent="0.2">
      <c r="A464" s="62"/>
      <c r="B464" s="21"/>
      <c r="C464" s="23"/>
      <c r="D464" s="34"/>
      <c r="E464" s="30"/>
      <c r="F464" s="57"/>
      <c r="G464" s="21"/>
      <c r="H464" s="23"/>
      <c r="I464" s="21"/>
      <c r="J464" s="21"/>
    </row>
    <row r="465" spans="1:10" ht="15.75" customHeight="1" x14ac:dyDescent="0.2">
      <c r="A465" s="62"/>
      <c r="B465" s="21"/>
      <c r="C465" s="21"/>
      <c r="D465" s="24"/>
      <c r="E465" s="30"/>
      <c r="F465" s="57"/>
      <c r="G465" s="21"/>
      <c r="H465" s="23"/>
      <c r="I465" s="21"/>
      <c r="J465" s="21"/>
    </row>
    <row r="466" spans="1:10" ht="15.75" customHeight="1" x14ac:dyDescent="0.2">
      <c r="A466" s="62"/>
      <c r="B466" s="21"/>
      <c r="C466" s="21"/>
      <c r="D466" s="24"/>
      <c r="E466" s="30"/>
      <c r="F466" s="47"/>
      <c r="G466" s="21"/>
      <c r="H466" s="23"/>
      <c r="I466" s="21"/>
      <c r="J466" s="21"/>
    </row>
    <row r="467" spans="1:10" ht="15.75" customHeight="1" x14ac:dyDescent="0.2">
      <c r="A467" s="62"/>
      <c r="B467" s="21"/>
      <c r="C467" s="23"/>
      <c r="D467" s="34"/>
      <c r="E467" s="30"/>
      <c r="F467" s="57"/>
      <c r="G467" s="21"/>
      <c r="H467" s="23"/>
      <c r="I467" s="21"/>
      <c r="J467" s="21"/>
    </row>
    <row r="468" spans="1:10" ht="15.75" customHeight="1" x14ac:dyDescent="0.2">
      <c r="A468" s="62"/>
      <c r="B468" s="21"/>
      <c r="C468" s="21"/>
      <c r="D468" s="24"/>
      <c r="E468" s="30"/>
      <c r="F468" s="57"/>
      <c r="G468" s="21"/>
      <c r="H468" s="23"/>
      <c r="I468" s="21"/>
      <c r="J468" s="21"/>
    </row>
    <row r="469" spans="1:10" ht="15.75" customHeight="1" x14ac:dyDescent="0.2">
      <c r="A469" s="62"/>
      <c r="B469" s="21"/>
      <c r="C469" s="21"/>
      <c r="D469" s="24"/>
      <c r="E469" s="30"/>
      <c r="F469" s="57"/>
      <c r="G469" s="21"/>
      <c r="H469" s="21"/>
      <c r="I469" s="21"/>
      <c r="J469" s="21"/>
    </row>
    <row r="470" spans="1:10" ht="15.75" customHeight="1" x14ac:dyDescent="0.2">
      <c r="A470" s="62"/>
      <c r="B470" s="21"/>
      <c r="C470" s="23"/>
      <c r="D470" s="34"/>
      <c r="E470" s="30"/>
      <c r="F470" s="57"/>
      <c r="G470" s="21"/>
      <c r="H470" s="23"/>
      <c r="I470" s="21"/>
      <c r="J470" s="21"/>
    </row>
    <row r="471" spans="1:10" ht="15.75" customHeight="1" x14ac:dyDescent="0.2">
      <c r="A471" s="62"/>
      <c r="B471" s="21"/>
      <c r="C471" s="23"/>
      <c r="D471" s="34"/>
      <c r="E471" s="30"/>
      <c r="F471" s="57"/>
      <c r="G471" s="21"/>
      <c r="H471" s="23"/>
      <c r="I471" s="21"/>
      <c r="J471" s="21"/>
    </row>
    <row r="472" spans="1:10" ht="15.75" customHeight="1" x14ac:dyDescent="0.2">
      <c r="A472" s="62"/>
      <c r="B472" s="21"/>
      <c r="C472" s="21"/>
      <c r="D472" s="24"/>
      <c r="E472" s="30"/>
      <c r="F472" s="57"/>
      <c r="G472" s="21"/>
      <c r="H472" s="23"/>
      <c r="I472" s="21"/>
      <c r="J472" s="21"/>
    </row>
    <row r="473" spans="1:10" ht="15.75" customHeight="1" x14ac:dyDescent="0.2">
      <c r="A473" s="62"/>
      <c r="B473" s="21"/>
      <c r="C473" s="21"/>
      <c r="D473" s="34"/>
      <c r="E473" s="30"/>
      <c r="F473" s="57"/>
      <c r="G473" s="21"/>
      <c r="H473" s="23"/>
      <c r="I473" s="21"/>
      <c r="J473" s="21"/>
    </row>
    <row r="474" spans="1:10" ht="15.75" customHeight="1" x14ac:dyDescent="0.2">
      <c r="A474" s="62"/>
      <c r="B474" s="21"/>
      <c r="C474" s="21"/>
      <c r="D474" s="24"/>
      <c r="E474" s="30"/>
      <c r="F474" s="47"/>
      <c r="G474" s="21"/>
      <c r="H474" s="21"/>
      <c r="I474" s="21"/>
      <c r="J474" s="21"/>
    </row>
    <row r="475" spans="1:10" ht="15.75" customHeight="1" x14ac:dyDescent="0.2">
      <c r="A475" s="62"/>
      <c r="B475" s="21"/>
      <c r="C475" s="21"/>
      <c r="D475" s="24"/>
      <c r="E475" s="30"/>
      <c r="F475" s="47"/>
      <c r="G475" s="21"/>
      <c r="H475" s="21"/>
      <c r="I475" s="21"/>
      <c r="J475" s="21"/>
    </row>
    <row r="476" spans="1:10" ht="15.75" customHeight="1" x14ac:dyDescent="0.2">
      <c r="A476" s="62"/>
      <c r="B476" s="21"/>
      <c r="C476" s="21"/>
      <c r="D476" s="24"/>
      <c r="E476" s="30"/>
      <c r="F476" s="47"/>
      <c r="G476" s="21"/>
      <c r="H476" s="21"/>
      <c r="I476" s="21"/>
      <c r="J476" s="21"/>
    </row>
    <row r="477" spans="1:10" ht="15.75" customHeight="1" x14ac:dyDescent="0.2">
      <c r="A477" s="62"/>
      <c r="B477" s="21"/>
      <c r="C477" s="21"/>
      <c r="D477" s="24"/>
      <c r="E477" s="30"/>
      <c r="F477" s="47"/>
      <c r="G477" s="21"/>
      <c r="H477" s="21"/>
      <c r="I477" s="21"/>
      <c r="J477" s="21"/>
    </row>
    <row r="478" spans="1:10" ht="15.75" customHeight="1" x14ac:dyDescent="0.2">
      <c r="A478" s="62"/>
      <c r="B478" s="21"/>
      <c r="C478" s="23"/>
      <c r="D478" s="34"/>
      <c r="E478" s="30"/>
      <c r="F478" s="57"/>
      <c r="G478" s="21"/>
      <c r="H478" s="23"/>
      <c r="I478" s="21"/>
      <c r="J478" s="21"/>
    </row>
    <row r="479" spans="1:10" ht="15.75" customHeight="1" x14ac:dyDescent="0.2">
      <c r="A479" s="62"/>
      <c r="B479" s="21"/>
      <c r="C479" s="23"/>
      <c r="D479" s="34"/>
      <c r="E479" s="30"/>
      <c r="F479" s="57"/>
      <c r="G479" s="21"/>
      <c r="H479" s="23"/>
      <c r="I479" s="21"/>
      <c r="J479" s="21"/>
    </row>
    <row r="480" spans="1:10" ht="15.75" customHeight="1" x14ac:dyDescent="0.2">
      <c r="A480" s="62"/>
      <c r="B480" s="21"/>
      <c r="C480" s="21"/>
      <c r="D480" s="24"/>
      <c r="E480" s="30"/>
      <c r="F480" s="47"/>
      <c r="G480" s="21"/>
      <c r="H480" s="21"/>
      <c r="I480" s="21"/>
      <c r="J480" s="21"/>
    </row>
    <row r="481" spans="1:10" ht="15.75" customHeight="1" x14ac:dyDescent="0.2">
      <c r="A481" s="62"/>
      <c r="B481" s="21"/>
      <c r="C481" s="21"/>
      <c r="D481" s="24"/>
      <c r="E481" s="30"/>
      <c r="F481" s="47"/>
      <c r="G481" s="21"/>
      <c r="H481" s="21"/>
      <c r="I481" s="21"/>
      <c r="J481" s="21"/>
    </row>
    <row r="482" spans="1:10" ht="15.75" customHeight="1" x14ac:dyDescent="0.2">
      <c r="A482" s="62"/>
      <c r="B482" s="21"/>
      <c r="C482" s="23"/>
      <c r="D482" s="34"/>
      <c r="E482" s="30"/>
      <c r="F482" s="57"/>
      <c r="G482" s="21"/>
      <c r="H482" s="23"/>
      <c r="I482" s="21"/>
      <c r="J482" s="21"/>
    </row>
    <row r="483" spans="1:10" ht="15.75" customHeight="1" x14ac:dyDescent="0.2">
      <c r="A483" s="62"/>
      <c r="B483" s="21"/>
      <c r="C483" s="21"/>
      <c r="D483" s="24"/>
      <c r="E483" s="30"/>
      <c r="F483" s="47"/>
      <c r="G483" s="21"/>
      <c r="H483" s="21"/>
      <c r="I483" s="21"/>
      <c r="J483" s="21"/>
    </row>
    <row r="484" spans="1:10" ht="15.75" customHeight="1" x14ac:dyDescent="0.2">
      <c r="A484" s="62"/>
      <c r="B484" s="21"/>
      <c r="C484" s="21"/>
      <c r="D484" s="24"/>
      <c r="E484" s="30"/>
      <c r="F484" s="47"/>
      <c r="G484" s="21"/>
      <c r="H484" s="21"/>
      <c r="I484" s="21"/>
      <c r="J484" s="21"/>
    </row>
    <row r="485" spans="1:10" ht="15.75" customHeight="1" x14ac:dyDescent="0.2">
      <c r="A485" s="62"/>
      <c r="B485" s="21"/>
      <c r="C485" s="21"/>
      <c r="D485" s="24"/>
      <c r="E485" s="30"/>
      <c r="F485" s="47"/>
      <c r="G485" s="21"/>
      <c r="H485" s="21"/>
      <c r="I485" s="21"/>
      <c r="J485" s="21"/>
    </row>
    <row r="486" spans="1:10" ht="15.75" customHeight="1" x14ac:dyDescent="0.2">
      <c r="A486" s="62"/>
      <c r="B486" s="21"/>
      <c r="C486" s="21"/>
      <c r="D486" s="24"/>
      <c r="E486" s="30"/>
      <c r="F486" s="47"/>
      <c r="G486" s="21"/>
      <c r="H486" s="21"/>
      <c r="I486" s="21"/>
      <c r="J486" s="21"/>
    </row>
    <row r="487" spans="1:10" ht="15.75" customHeight="1" x14ac:dyDescent="0.2">
      <c r="A487" s="62"/>
      <c r="B487" s="21"/>
      <c r="C487" s="21"/>
      <c r="D487" s="24"/>
      <c r="E487" s="30"/>
      <c r="F487" s="47"/>
      <c r="G487" s="21"/>
      <c r="H487" s="21"/>
      <c r="I487" s="21"/>
      <c r="J487" s="21"/>
    </row>
    <row r="488" spans="1:10" ht="15.75" customHeight="1" x14ac:dyDescent="0.2">
      <c r="A488" s="62"/>
      <c r="B488" s="21"/>
      <c r="C488" s="21"/>
      <c r="D488" s="24"/>
      <c r="E488" s="30"/>
      <c r="F488" s="47"/>
      <c r="G488" s="21"/>
      <c r="H488" s="21"/>
      <c r="I488" s="21"/>
      <c r="J488" s="21"/>
    </row>
    <row r="489" spans="1:10" ht="15.75" customHeight="1" x14ac:dyDescent="0.2">
      <c r="A489" s="62"/>
      <c r="B489" s="21"/>
      <c r="C489" s="23"/>
      <c r="D489" s="34"/>
      <c r="E489" s="30"/>
      <c r="F489" s="57"/>
      <c r="G489" s="21"/>
      <c r="H489" s="23"/>
      <c r="I489" s="21"/>
      <c r="J489" s="21"/>
    </row>
    <row r="490" spans="1:10" ht="15.75" customHeight="1" x14ac:dyDescent="0.2">
      <c r="A490" s="62"/>
      <c r="B490" s="21"/>
      <c r="C490" s="21"/>
      <c r="D490" s="24"/>
      <c r="E490" s="30"/>
      <c r="F490" s="47"/>
      <c r="G490" s="21"/>
      <c r="H490" s="23"/>
      <c r="I490" s="21"/>
      <c r="J490" s="21"/>
    </row>
    <row r="491" spans="1:10" ht="15.75" customHeight="1" x14ac:dyDescent="0.2">
      <c r="A491" s="62"/>
      <c r="B491" s="21"/>
      <c r="C491" s="23"/>
      <c r="D491" s="34"/>
      <c r="E491" s="30"/>
      <c r="F491" s="57"/>
      <c r="G491" s="21"/>
      <c r="H491" s="23"/>
      <c r="I491" s="21"/>
      <c r="J491" s="21"/>
    </row>
    <row r="492" spans="1:10" ht="15.75" customHeight="1" x14ac:dyDescent="0.2">
      <c r="A492" s="62"/>
      <c r="B492" s="21"/>
      <c r="C492" s="23"/>
      <c r="D492" s="34"/>
      <c r="E492" s="30"/>
      <c r="F492" s="57"/>
      <c r="G492" s="21"/>
      <c r="H492" s="21"/>
      <c r="I492" s="21"/>
      <c r="J492" s="21"/>
    </row>
    <row r="493" spans="1:10" ht="15.75" customHeight="1" x14ac:dyDescent="0.2">
      <c r="A493" s="62"/>
      <c r="B493" s="21"/>
      <c r="C493" s="23"/>
      <c r="D493" s="34"/>
      <c r="E493" s="21"/>
      <c r="F493" s="57"/>
      <c r="G493" s="21"/>
      <c r="H493" s="21"/>
      <c r="I493" s="21"/>
      <c r="J493" s="21"/>
    </row>
    <row r="494" spans="1:10" ht="15.75" customHeight="1" x14ac:dyDescent="0.2">
      <c r="A494" s="62"/>
      <c r="B494" s="21"/>
      <c r="C494" s="21"/>
      <c r="D494" s="24"/>
      <c r="E494" s="21"/>
      <c r="F494" s="47"/>
      <c r="G494" s="21"/>
      <c r="H494" s="21"/>
      <c r="I494" s="21"/>
      <c r="J494" s="21"/>
    </row>
    <row r="495" spans="1:10" ht="15.75" customHeight="1" x14ac:dyDescent="0.2">
      <c r="A495" s="62"/>
      <c r="B495" s="21"/>
      <c r="C495" s="21"/>
      <c r="D495" s="24"/>
      <c r="E495" s="30"/>
      <c r="F495" s="47"/>
      <c r="G495" s="21"/>
      <c r="H495" s="23"/>
      <c r="I495" s="21"/>
      <c r="J495" s="21"/>
    </row>
    <row r="496" spans="1:10" ht="15.75" customHeight="1" x14ac:dyDescent="0.2">
      <c r="A496" s="62"/>
      <c r="B496" s="21"/>
      <c r="C496" s="23"/>
      <c r="D496" s="34"/>
      <c r="E496" s="30"/>
      <c r="F496" s="57"/>
      <c r="G496" s="21"/>
      <c r="H496" s="23"/>
      <c r="I496" s="21"/>
      <c r="J496" s="21"/>
    </row>
    <row r="497" spans="1:10" ht="15.75" customHeight="1" x14ac:dyDescent="0.2">
      <c r="A497" s="62"/>
      <c r="B497" s="21"/>
      <c r="C497" s="21"/>
      <c r="D497" s="24"/>
      <c r="E497" s="30"/>
      <c r="F497" s="47"/>
      <c r="G497" s="21"/>
      <c r="H497" s="23"/>
      <c r="I497" s="21"/>
      <c r="J497" s="21"/>
    </row>
    <row r="498" spans="1:10" ht="15.75" customHeight="1" x14ac:dyDescent="0.2">
      <c r="A498" s="62"/>
      <c r="B498" s="21"/>
      <c r="C498" s="23"/>
      <c r="D498" s="34"/>
      <c r="E498" s="30"/>
      <c r="F498" s="57"/>
      <c r="G498" s="21"/>
      <c r="H498" s="23"/>
      <c r="I498" s="21"/>
      <c r="J498" s="21"/>
    </row>
    <row r="499" spans="1:10" ht="15.75" customHeight="1" x14ac:dyDescent="0.2">
      <c r="A499" s="62"/>
      <c r="B499" s="21"/>
      <c r="C499" s="21"/>
      <c r="D499" s="24"/>
      <c r="E499" s="30"/>
      <c r="F499" s="47"/>
      <c r="G499" s="21"/>
      <c r="H499" s="21"/>
      <c r="I499" s="21"/>
      <c r="J499" s="21"/>
    </row>
    <row r="500" spans="1:10" ht="15.75" customHeight="1" x14ac:dyDescent="0.2">
      <c r="A500" s="62"/>
      <c r="B500" s="21"/>
      <c r="C500" s="23"/>
      <c r="D500" s="34"/>
      <c r="E500" s="30"/>
      <c r="F500" s="57"/>
      <c r="G500" s="21"/>
      <c r="H500" s="23"/>
      <c r="I500" s="21"/>
      <c r="J500" s="21"/>
    </row>
    <row r="501" spans="1:10" ht="15.75" customHeight="1" x14ac:dyDescent="0.2">
      <c r="A501" s="62"/>
      <c r="B501" s="21"/>
      <c r="C501" s="21"/>
      <c r="D501" s="24"/>
      <c r="E501" s="30"/>
      <c r="F501" s="57"/>
      <c r="G501" s="21"/>
      <c r="H501" s="23"/>
      <c r="I501" s="21"/>
      <c r="J501" s="21"/>
    </row>
    <row r="502" spans="1:10" ht="15.75" customHeight="1" x14ac:dyDescent="0.2">
      <c r="A502" s="62"/>
      <c r="B502" s="21"/>
      <c r="C502" s="21"/>
      <c r="D502" s="24"/>
      <c r="E502" s="30"/>
      <c r="F502" s="47"/>
      <c r="G502" s="21"/>
      <c r="H502" s="23"/>
      <c r="I502" s="21"/>
      <c r="J502" s="21"/>
    </row>
    <row r="503" spans="1:10" ht="15.75" customHeight="1" x14ac:dyDescent="0.2">
      <c r="A503" s="62"/>
      <c r="B503" s="21"/>
      <c r="C503" s="21"/>
      <c r="D503" s="24"/>
      <c r="E503" s="30"/>
      <c r="F503" s="57"/>
      <c r="G503" s="21"/>
      <c r="H503" s="23"/>
      <c r="I503" s="21"/>
      <c r="J503" s="21"/>
    </row>
    <row r="504" spans="1:10" ht="15.75" customHeight="1" x14ac:dyDescent="0.2">
      <c r="A504" s="62"/>
      <c r="B504" s="21"/>
      <c r="C504" s="21"/>
      <c r="D504" s="24"/>
      <c r="E504" s="30"/>
      <c r="F504" s="47"/>
      <c r="G504" s="21"/>
      <c r="H504" s="23"/>
      <c r="I504" s="21"/>
      <c r="J504" s="21"/>
    </row>
    <row r="505" spans="1:10" ht="15.75" customHeight="1" x14ac:dyDescent="0.2">
      <c r="A505" s="62"/>
      <c r="B505" s="21"/>
      <c r="C505" s="23"/>
      <c r="D505" s="34"/>
      <c r="E505" s="30"/>
      <c r="F505" s="57"/>
      <c r="G505" s="21"/>
      <c r="H505" s="23"/>
      <c r="I505" s="21"/>
      <c r="J505" s="21"/>
    </row>
    <row r="506" spans="1:10" ht="15.75" customHeight="1" x14ac:dyDescent="0.2">
      <c r="A506" s="62"/>
      <c r="B506" s="21"/>
      <c r="C506" s="23"/>
      <c r="D506" s="34"/>
      <c r="E506" s="30"/>
      <c r="F506" s="57"/>
      <c r="G506" s="21"/>
      <c r="H506" s="23"/>
      <c r="I506" s="21"/>
      <c r="J506" s="21"/>
    </row>
    <row r="507" spans="1:10" ht="15.75" customHeight="1" x14ac:dyDescent="0.2">
      <c r="A507" s="62"/>
      <c r="B507" s="21"/>
      <c r="C507" s="23"/>
      <c r="D507" s="34"/>
      <c r="E507" s="30"/>
      <c r="F507" s="57"/>
      <c r="G507" s="21"/>
      <c r="H507" s="23"/>
      <c r="I507" s="21"/>
      <c r="J507" s="21"/>
    </row>
    <row r="508" spans="1:10" ht="15.75" customHeight="1" x14ac:dyDescent="0.2">
      <c r="A508" s="62"/>
      <c r="B508" s="21"/>
      <c r="C508" s="23"/>
      <c r="D508" s="34"/>
      <c r="E508" s="30"/>
      <c r="F508" s="57"/>
      <c r="G508" s="21"/>
      <c r="H508" s="23"/>
      <c r="I508" s="21"/>
      <c r="J508" s="21"/>
    </row>
    <row r="509" spans="1:10" ht="15.75" customHeight="1" x14ac:dyDescent="0.2">
      <c r="A509" s="62"/>
      <c r="B509" s="21"/>
      <c r="C509" s="21"/>
      <c r="D509" s="24"/>
      <c r="E509" s="30"/>
      <c r="F509" s="57"/>
      <c r="G509" s="21"/>
      <c r="H509" s="23"/>
      <c r="I509" s="21"/>
      <c r="J509" s="21"/>
    </row>
    <row r="510" spans="1:10" ht="15.75" customHeight="1" x14ac:dyDescent="0.2">
      <c r="A510" s="62"/>
      <c r="B510" s="21"/>
      <c r="C510" s="23"/>
      <c r="D510" s="34"/>
      <c r="E510" s="30"/>
      <c r="F510" s="57"/>
      <c r="G510" s="21"/>
      <c r="H510" s="23"/>
      <c r="I510" s="21"/>
      <c r="J510" s="21"/>
    </row>
    <row r="511" spans="1:10" ht="15.75" customHeight="1" x14ac:dyDescent="0.2">
      <c r="A511" s="62"/>
      <c r="B511" s="21"/>
      <c r="C511" s="21"/>
      <c r="D511" s="24"/>
      <c r="E511" s="30"/>
      <c r="F511" s="57"/>
      <c r="G511" s="21"/>
      <c r="H511" s="23"/>
      <c r="I511" s="21"/>
      <c r="J511" s="21"/>
    </row>
    <row r="512" spans="1:10" ht="15.75" customHeight="1" x14ac:dyDescent="0.2">
      <c r="A512" s="62"/>
      <c r="B512" s="21"/>
      <c r="C512" s="21"/>
      <c r="D512" s="24"/>
      <c r="E512" s="30"/>
      <c r="F512" s="57"/>
      <c r="G512" s="21"/>
      <c r="H512" s="23"/>
      <c r="I512" s="21"/>
      <c r="J512" s="21"/>
    </row>
    <row r="513" spans="1:10" ht="15.75" customHeight="1" x14ac:dyDescent="0.2">
      <c r="A513" s="62"/>
      <c r="B513" s="21"/>
      <c r="C513" s="23"/>
      <c r="D513" s="34"/>
      <c r="E513" s="30"/>
      <c r="F513" s="57"/>
      <c r="G513" s="21"/>
      <c r="H513" s="23"/>
      <c r="I513" s="21"/>
      <c r="J513" s="21"/>
    </row>
    <row r="514" spans="1:10" ht="15.75" customHeight="1" x14ac:dyDescent="0.2">
      <c r="A514" s="62"/>
      <c r="B514" s="21"/>
      <c r="C514" s="21"/>
      <c r="D514" s="24"/>
      <c r="E514" s="30"/>
      <c r="F514" s="47"/>
      <c r="G514" s="21"/>
      <c r="H514" s="23"/>
      <c r="I514" s="21"/>
      <c r="J514" s="21"/>
    </row>
    <row r="515" spans="1:10" ht="15.75" customHeight="1" x14ac:dyDescent="0.2">
      <c r="A515" s="21"/>
      <c r="B515" s="21"/>
      <c r="C515" s="21"/>
      <c r="D515" s="21"/>
      <c r="E515" s="21"/>
      <c r="F515" s="47"/>
      <c r="G515" s="21"/>
      <c r="H515" s="21"/>
      <c r="I515" s="21"/>
      <c r="J515" s="21"/>
    </row>
    <row r="516" spans="1:10" ht="15.75" customHeight="1" x14ac:dyDescent="0.2">
      <c r="A516" s="21"/>
      <c r="B516" s="21"/>
      <c r="C516" s="21"/>
      <c r="D516" s="21"/>
      <c r="E516" s="21"/>
      <c r="F516" s="47"/>
      <c r="G516" s="21"/>
      <c r="H516" s="21"/>
      <c r="I516" s="21"/>
      <c r="J516" s="21"/>
    </row>
    <row r="517" spans="1:10" ht="15.75" customHeight="1" x14ac:dyDescent="0.2">
      <c r="A517" s="21"/>
      <c r="B517" s="21"/>
      <c r="C517" s="21"/>
      <c r="D517" s="21"/>
      <c r="E517" s="21"/>
      <c r="F517" s="47"/>
      <c r="G517" s="21"/>
      <c r="H517" s="21"/>
      <c r="I517" s="21"/>
      <c r="J517" s="21"/>
    </row>
  </sheetData>
  <autoFilter ref="A1:I496" xr:uid="{00000000-0001-0000-0300-000000000000}"/>
  <conditionalFormatting sqref="D1 D129:D228 D240:D427 D429:D1048576 D3:D127">
    <cfRule type="duplicateValues" dxfId="1" priority="2"/>
  </conditionalFormatting>
  <conditionalFormatting sqref="D229:D239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D2:D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26DC-70BB-48B4-9E0D-CD5134783954}">
  <dimension ref="A1:E9"/>
  <sheetViews>
    <sheetView workbookViewId="0">
      <pane ySplit="1" topLeftCell="A2" activePane="bottomLeft" state="frozen"/>
      <selection activeCell="B3445" sqref="B3445"/>
      <selection pane="bottomLeft" activeCell="A2" sqref="A2"/>
    </sheetView>
  </sheetViews>
  <sheetFormatPr defaultRowHeight="12.75" x14ac:dyDescent="0.2"/>
  <cols>
    <col min="1" max="2" width="10.28515625" bestFit="1" customWidth="1"/>
    <col min="3" max="3" width="28.85546875" bestFit="1" customWidth="1"/>
    <col min="4" max="4" width="18.85546875" customWidth="1"/>
    <col min="5" max="5" width="9" bestFit="1" customWidth="1"/>
  </cols>
  <sheetData>
    <row r="1" spans="1:5" x14ac:dyDescent="0.2">
      <c r="A1" s="30" t="s">
        <v>54</v>
      </c>
      <c r="B1" s="30" t="s">
        <v>32</v>
      </c>
      <c r="C1" s="30" t="s">
        <v>31</v>
      </c>
      <c r="D1" s="30" t="s">
        <v>83</v>
      </c>
      <c r="E1" s="30" t="s">
        <v>84</v>
      </c>
    </row>
    <row r="2" spans="1:5" x14ac:dyDescent="0.2">
      <c r="A2" s="23" t="s">
        <v>96</v>
      </c>
      <c r="B2" s="23">
        <v>20010001</v>
      </c>
      <c r="C2" s="23" t="s">
        <v>98</v>
      </c>
      <c r="D2" s="19" t="s">
        <v>29</v>
      </c>
      <c r="E2" s="23">
        <v>1200</v>
      </c>
    </row>
    <row r="3" spans="1:5" x14ac:dyDescent="0.2">
      <c r="A3" s="23"/>
      <c r="B3" s="23"/>
      <c r="C3" s="23"/>
      <c r="D3" s="23"/>
      <c r="E3" s="23"/>
    </row>
    <row r="4" spans="1:5" x14ac:dyDescent="0.2">
      <c r="A4" s="23"/>
      <c r="B4" s="23"/>
      <c r="C4" s="23"/>
      <c r="D4" s="23"/>
      <c r="E4" s="23"/>
    </row>
    <row r="5" spans="1:5" x14ac:dyDescent="0.2">
      <c r="A5" s="23"/>
      <c r="B5" s="23"/>
      <c r="C5" s="23"/>
      <c r="D5" s="23"/>
      <c r="E5" s="23"/>
    </row>
    <row r="6" spans="1:5" x14ac:dyDescent="0.2">
      <c r="A6" s="23"/>
      <c r="B6" s="23"/>
      <c r="C6" s="23"/>
      <c r="D6" s="23"/>
      <c r="E6" s="23"/>
    </row>
    <row r="7" spans="1:5" x14ac:dyDescent="0.2">
      <c r="A7" s="23"/>
      <c r="B7" s="23"/>
      <c r="C7" s="23"/>
      <c r="D7" s="23"/>
      <c r="E7" s="23"/>
    </row>
    <row r="8" spans="1:5" x14ac:dyDescent="0.2">
      <c r="A8" s="23"/>
      <c r="B8" s="21"/>
      <c r="C8" s="23"/>
      <c r="D8" s="23"/>
      <c r="E8" s="23"/>
    </row>
    <row r="9" spans="1:5" x14ac:dyDescent="0.2">
      <c r="A9" s="23"/>
      <c r="B9" s="21"/>
      <c r="C9" s="60"/>
      <c r="D9" s="21"/>
      <c r="E9" s="21"/>
    </row>
  </sheetData>
  <autoFilter ref="A1:E9" xr:uid="{32F926DC-70BB-48B4-9E0D-CD513478395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3"/>
  <sheetViews>
    <sheetView workbookViewId="0">
      <selection activeCell="V7" sqref="V7"/>
    </sheetView>
  </sheetViews>
  <sheetFormatPr defaultColWidth="12.7109375" defaultRowHeight="15.75" customHeight="1" x14ac:dyDescent="0.2"/>
  <cols>
    <col min="1" max="1" width="20.7109375" customWidth="1"/>
    <col min="2" max="2" width="10.85546875" customWidth="1"/>
    <col min="3" max="3" width="11" customWidth="1"/>
    <col min="4" max="4" width="9.7109375" customWidth="1"/>
    <col min="5" max="5" width="10.7109375" customWidth="1"/>
    <col min="6" max="7" width="9.7109375" customWidth="1"/>
    <col min="12" max="16" width="7.7109375" customWidth="1"/>
    <col min="18" max="18" width="8.140625" bestFit="1" customWidth="1"/>
    <col min="19" max="19" width="6.28515625" customWidth="1"/>
    <col min="20" max="20" width="9.7109375" customWidth="1"/>
  </cols>
  <sheetData>
    <row r="1" spans="1:22" ht="12.75" x14ac:dyDescent="0.2">
      <c r="A1" s="2" t="s">
        <v>49</v>
      </c>
      <c r="B1" s="2" t="s">
        <v>15</v>
      </c>
      <c r="Q1" s="2" t="s">
        <v>50</v>
      </c>
      <c r="R1" s="2" t="s">
        <v>15</v>
      </c>
    </row>
    <row r="2" spans="1:22" ht="12.75" x14ac:dyDescent="0.2">
      <c r="A2" s="2" t="s">
        <v>20</v>
      </c>
      <c r="B2" s="7">
        <v>46054</v>
      </c>
      <c r="C2" s="7">
        <v>46082</v>
      </c>
      <c r="D2" s="7">
        <v>46113</v>
      </c>
      <c r="E2" s="7" t="s">
        <v>60</v>
      </c>
      <c r="F2" s="7" t="s">
        <v>9</v>
      </c>
      <c r="Q2" s="2" t="s">
        <v>0</v>
      </c>
      <c r="R2" t="s">
        <v>225</v>
      </c>
      <c r="S2" t="s">
        <v>127</v>
      </c>
      <c r="T2" t="s">
        <v>167</v>
      </c>
      <c r="U2" t="s">
        <v>295</v>
      </c>
      <c r="V2" t="s">
        <v>9</v>
      </c>
    </row>
    <row r="3" spans="1:22" ht="12.75" x14ac:dyDescent="0.2">
      <c r="A3" t="s">
        <v>95</v>
      </c>
      <c r="B3" s="286">
        <v>200</v>
      </c>
      <c r="C3" s="286">
        <v>-50</v>
      </c>
      <c r="D3" s="286">
        <v>38</v>
      </c>
      <c r="E3" s="286"/>
      <c r="F3" s="286">
        <v>188</v>
      </c>
      <c r="Q3" t="s">
        <v>95</v>
      </c>
      <c r="R3" s="286">
        <v>50</v>
      </c>
      <c r="S3" s="286">
        <v>49</v>
      </c>
      <c r="T3" s="286">
        <v>45</v>
      </c>
      <c r="U3" s="286"/>
      <c r="V3" s="286">
        <v>144</v>
      </c>
    </row>
    <row r="4" spans="1:22" ht="12.75" x14ac:dyDescent="0.2">
      <c r="A4" t="s">
        <v>124</v>
      </c>
      <c r="B4" s="286">
        <v>100</v>
      </c>
      <c r="C4" s="286"/>
      <c r="D4" s="286">
        <v>20</v>
      </c>
      <c r="E4" s="286"/>
      <c r="F4" s="286">
        <v>120</v>
      </c>
      <c r="Q4" t="s">
        <v>124</v>
      </c>
      <c r="R4" s="286">
        <v>24</v>
      </c>
      <c r="S4" s="286">
        <v>11</v>
      </c>
      <c r="T4" s="286">
        <v>65</v>
      </c>
      <c r="U4" s="286">
        <v>15</v>
      </c>
      <c r="V4" s="286">
        <v>115</v>
      </c>
    </row>
    <row r="5" spans="1:22" ht="12.75" x14ac:dyDescent="0.2">
      <c r="A5" t="s">
        <v>92</v>
      </c>
      <c r="B5" s="286">
        <v>96</v>
      </c>
      <c r="C5" s="286"/>
      <c r="D5" s="286"/>
      <c r="E5" s="286"/>
      <c r="F5" s="286">
        <v>96</v>
      </c>
      <c r="Q5" t="s">
        <v>92</v>
      </c>
      <c r="R5" s="286">
        <v>10</v>
      </c>
      <c r="S5" s="286"/>
      <c r="T5" s="286">
        <v>30</v>
      </c>
      <c r="U5" s="286"/>
      <c r="V5" s="286">
        <v>40</v>
      </c>
    </row>
    <row r="6" spans="1:22" ht="12.75" x14ac:dyDescent="0.2">
      <c r="A6" t="s">
        <v>93</v>
      </c>
      <c r="B6" s="286">
        <v>250</v>
      </c>
      <c r="C6" s="286"/>
      <c r="D6" s="286"/>
      <c r="E6" s="286"/>
      <c r="F6" s="286">
        <v>250</v>
      </c>
      <c r="Q6" t="s">
        <v>93</v>
      </c>
      <c r="R6" s="286">
        <v>80</v>
      </c>
      <c r="S6" s="286">
        <v>20</v>
      </c>
      <c r="T6" s="286">
        <v>80</v>
      </c>
      <c r="U6" s="286"/>
      <c r="V6" s="286">
        <v>180</v>
      </c>
    </row>
    <row r="7" spans="1:22" ht="12.75" x14ac:dyDescent="0.2">
      <c r="A7" t="s">
        <v>89</v>
      </c>
      <c r="B7" s="286">
        <v>25</v>
      </c>
      <c r="C7" s="286"/>
      <c r="D7" s="286"/>
      <c r="E7" s="286"/>
      <c r="F7" s="286">
        <v>25</v>
      </c>
      <c r="Q7" t="s">
        <v>89</v>
      </c>
      <c r="R7" s="286">
        <v>6</v>
      </c>
      <c r="S7" s="286"/>
      <c r="T7" s="286">
        <v>5</v>
      </c>
      <c r="U7" s="286"/>
      <c r="V7" s="286">
        <v>11</v>
      </c>
    </row>
    <row r="8" spans="1:22" ht="12.75" x14ac:dyDescent="0.2">
      <c r="A8" t="s">
        <v>98</v>
      </c>
      <c r="B8" s="286"/>
      <c r="C8" s="286">
        <v>350</v>
      </c>
      <c r="D8" s="286"/>
      <c r="E8" s="286"/>
      <c r="F8" s="286">
        <v>350</v>
      </c>
      <c r="Q8" t="s">
        <v>87</v>
      </c>
      <c r="R8" s="286">
        <v>200</v>
      </c>
      <c r="S8" s="286"/>
      <c r="T8" s="286">
        <v>150</v>
      </c>
      <c r="U8" s="286"/>
      <c r="V8" s="286">
        <v>350</v>
      </c>
    </row>
    <row r="9" spans="1:22" ht="12.75" x14ac:dyDescent="0.2">
      <c r="A9" t="s">
        <v>91</v>
      </c>
      <c r="B9" s="286">
        <v>150</v>
      </c>
      <c r="C9" s="286"/>
      <c r="D9" s="286">
        <v>-38</v>
      </c>
      <c r="E9" s="286"/>
      <c r="F9" s="286">
        <v>112</v>
      </c>
      <c r="Q9" t="s">
        <v>91</v>
      </c>
      <c r="R9" s="286">
        <v>14</v>
      </c>
      <c r="S9" s="286">
        <v>20</v>
      </c>
      <c r="T9" s="286">
        <v>17</v>
      </c>
      <c r="U9" s="286"/>
      <c r="V9" s="286">
        <v>51</v>
      </c>
    </row>
    <row r="10" spans="1:22" ht="12.75" x14ac:dyDescent="0.2">
      <c r="A10" t="s">
        <v>88</v>
      </c>
      <c r="B10" s="286">
        <v>125</v>
      </c>
      <c r="C10" s="286">
        <v>200</v>
      </c>
      <c r="D10" s="286">
        <v>-20</v>
      </c>
      <c r="E10" s="286"/>
      <c r="F10" s="286">
        <v>305</v>
      </c>
      <c r="Q10" t="s">
        <v>88</v>
      </c>
      <c r="R10" s="286">
        <v>143</v>
      </c>
      <c r="S10" s="286">
        <v>25</v>
      </c>
      <c r="T10" s="286">
        <v>43</v>
      </c>
      <c r="U10" s="286">
        <v>18</v>
      </c>
      <c r="V10" s="286">
        <v>229</v>
      </c>
    </row>
    <row r="11" spans="1:22" ht="12.75" x14ac:dyDescent="0.2">
      <c r="A11" t="s">
        <v>99</v>
      </c>
      <c r="B11" s="286">
        <v>50</v>
      </c>
      <c r="C11" s="286"/>
      <c r="D11" s="286"/>
      <c r="E11" s="286"/>
      <c r="F11" s="286">
        <v>50</v>
      </c>
      <c r="Q11" t="s">
        <v>99</v>
      </c>
      <c r="R11" s="286">
        <v>29</v>
      </c>
      <c r="S11" s="286"/>
      <c r="T11" s="286">
        <v>11</v>
      </c>
      <c r="U11" s="286"/>
      <c r="V11" s="286">
        <v>40</v>
      </c>
    </row>
    <row r="12" spans="1:22" ht="12.75" x14ac:dyDescent="0.2">
      <c r="A12" t="s">
        <v>60</v>
      </c>
      <c r="B12" s="286"/>
      <c r="C12" s="286"/>
      <c r="D12" s="286"/>
      <c r="E12" s="286"/>
      <c r="F12" s="286"/>
      <c r="Q12" t="s">
        <v>9</v>
      </c>
      <c r="R12" s="286">
        <v>556</v>
      </c>
      <c r="S12" s="286">
        <v>125</v>
      </c>
      <c r="T12" s="286">
        <v>446</v>
      </c>
      <c r="U12" s="286">
        <v>33</v>
      </c>
      <c r="V12" s="286">
        <v>1160</v>
      </c>
    </row>
    <row r="13" spans="1:22" ht="15.75" customHeight="1" x14ac:dyDescent="0.2">
      <c r="A13" t="s">
        <v>9</v>
      </c>
      <c r="B13" s="286">
        <v>996</v>
      </c>
      <c r="C13" s="286">
        <v>500</v>
      </c>
      <c r="D13" s="286">
        <v>0</v>
      </c>
      <c r="E13" s="286"/>
      <c r="F13" s="286">
        <v>1496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Q3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" sqref="J1"/>
    </sheetView>
  </sheetViews>
  <sheetFormatPr defaultColWidth="12.7109375" defaultRowHeight="12.75" x14ac:dyDescent="0.2"/>
  <cols>
    <col min="1" max="1" width="10.7109375" bestFit="1" customWidth="1"/>
    <col min="2" max="2" width="10.28515625" style="41" bestFit="1" customWidth="1"/>
    <col min="3" max="3" width="31.28515625" style="9" customWidth="1"/>
    <col min="4" max="4" width="21.7109375" bestFit="1" customWidth="1"/>
    <col min="5" max="5" width="13.42578125" customWidth="1"/>
    <col min="6" max="6" width="31.28515625" customWidth="1"/>
    <col min="7" max="7" width="15.28515625" customWidth="1"/>
    <col min="8" max="8" width="27" style="8" customWidth="1"/>
    <col min="9" max="9" width="14.5703125" style="37" customWidth="1"/>
    <col min="10" max="10" width="15.140625" style="39" customWidth="1"/>
    <col min="11" max="11" width="14.42578125" customWidth="1"/>
    <col min="12" max="12" width="11.28515625" customWidth="1"/>
    <col min="13" max="13" width="16" bestFit="1" customWidth="1"/>
    <col min="14" max="14" width="13.85546875" bestFit="1" customWidth="1"/>
    <col min="15" max="15" width="11.5703125" style="65" bestFit="1" customWidth="1"/>
    <col min="16" max="16" width="55.5703125" bestFit="1" customWidth="1"/>
    <col min="17" max="17" width="24.28515625" customWidth="1"/>
  </cols>
  <sheetData>
    <row r="1" spans="1:17" x14ac:dyDescent="0.2">
      <c r="A1" s="17" t="s">
        <v>15</v>
      </c>
      <c r="B1" s="40" t="s">
        <v>30</v>
      </c>
      <c r="C1" s="18" t="s">
        <v>39</v>
      </c>
      <c r="D1" s="15" t="s">
        <v>51</v>
      </c>
      <c r="E1" s="15" t="s">
        <v>32</v>
      </c>
      <c r="F1" s="36" t="s">
        <v>31</v>
      </c>
      <c r="G1" s="16" t="s">
        <v>52</v>
      </c>
      <c r="H1" s="36" t="s">
        <v>53</v>
      </c>
      <c r="I1" s="36" t="s">
        <v>54</v>
      </c>
      <c r="J1" s="38" t="s">
        <v>74</v>
      </c>
      <c r="K1" s="6" t="s">
        <v>55</v>
      </c>
      <c r="L1" s="6" t="s">
        <v>18</v>
      </c>
      <c r="M1" s="6" t="s">
        <v>56</v>
      </c>
      <c r="N1" s="6" t="s">
        <v>57</v>
      </c>
      <c r="O1" s="63" t="s">
        <v>58</v>
      </c>
      <c r="P1" s="6" t="s">
        <v>78</v>
      </c>
      <c r="Q1" s="58" t="s">
        <v>82</v>
      </c>
    </row>
    <row r="2" spans="1:17" x14ac:dyDescent="0.2">
      <c r="A2" s="190" t="s">
        <v>135</v>
      </c>
      <c r="B2" s="72">
        <v>46072</v>
      </c>
      <c r="C2" s="67" t="s">
        <v>133</v>
      </c>
      <c r="D2" s="68" t="s">
        <v>134</v>
      </c>
      <c r="E2" s="68">
        <v>20020020</v>
      </c>
      <c r="F2" s="69" t="s">
        <v>126</v>
      </c>
      <c r="G2" s="68" t="s">
        <v>136</v>
      </c>
      <c r="H2" s="69"/>
      <c r="I2" s="69" t="s">
        <v>88</v>
      </c>
      <c r="J2" s="70" t="s">
        <v>141</v>
      </c>
      <c r="K2" s="204">
        <v>1</v>
      </c>
      <c r="L2" s="68">
        <v>1250</v>
      </c>
      <c r="M2" s="68">
        <v>1194</v>
      </c>
      <c r="N2" s="6"/>
      <c r="O2" s="63" t="s">
        <v>59</v>
      </c>
      <c r="P2" s="6"/>
      <c r="Q2" s="6"/>
    </row>
    <row r="3" spans="1:17" x14ac:dyDescent="0.2">
      <c r="A3" s="190" t="s">
        <v>135</v>
      </c>
      <c r="B3" s="72">
        <v>46072</v>
      </c>
      <c r="C3" s="67" t="s">
        <v>133</v>
      </c>
      <c r="D3" s="68" t="s">
        <v>134</v>
      </c>
      <c r="E3" s="68">
        <v>20020020</v>
      </c>
      <c r="F3" s="69" t="s">
        <v>126</v>
      </c>
      <c r="G3" s="68" t="s">
        <v>137</v>
      </c>
      <c r="H3" s="69"/>
      <c r="I3" s="75" t="s">
        <v>88</v>
      </c>
      <c r="J3" s="70" t="s">
        <v>141</v>
      </c>
      <c r="K3" s="204">
        <v>1</v>
      </c>
      <c r="L3" s="68">
        <v>1250</v>
      </c>
      <c r="M3" s="68">
        <v>682</v>
      </c>
      <c r="N3" s="6"/>
      <c r="O3" s="63" t="s">
        <v>59</v>
      </c>
      <c r="P3" s="6"/>
      <c r="Q3" s="6"/>
    </row>
    <row r="4" spans="1:17" x14ac:dyDescent="0.2">
      <c r="A4" s="190" t="s">
        <v>135</v>
      </c>
      <c r="B4" s="72">
        <v>46072</v>
      </c>
      <c r="C4" s="73" t="s">
        <v>133</v>
      </c>
      <c r="D4" s="74" t="s">
        <v>134</v>
      </c>
      <c r="E4" s="74">
        <v>20020020</v>
      </c>
      <c r="F4" s="75" t="s">
        <v>126</v>
      </c>
      <c r="G4" s="74" t="s">
        <v>138</v>
      </c>
      <c r="H4" s="75"/>
      <c r="I4" s="75" t="s">
        <v>88</v>
      </c>
      <c r="J4" s="76" t="s">
        <v>141</v>
      </c>
      <c r="K4" s="204">
        <v>1</v>
      </c>
      <c r="L4" s="68">
        <v>1250</v>
      </c>
      <c r="M4" s="74">
        <v>1250</v>
      </c>
      <c r="N4" s="26"/>
      <c r="O4" s="64" t="s">
        <v>59</v>
      </c>
      <c r="P4" s="26"/>
      <c r="Q4" s="26"/>
    </row>
    <row r="5" spans="1:17" x14ac:dyDescent="0.2">
      <c r="A5" s="190" t="s">
        <v>135</v>
      </c>
      <c r="B5" s="72">
        <v>46072</v>
      </c>
      <c r="C5" s="111" t="s">
        <v>133</v>
      </c>
      <c r="D5" s="112" t="s">
        <v>134</v>
      </c>
      <c r="E5" s="112">
        <v>20020020</v>
      </c>
      <c r="F5" s="108" t="s">
        <v>126</v>
      </c>
      <c r="G5" s="112" t="s">
        <v>139</v>
      </c>
      <c r="H5" s="113"/>
      <c r="I5" s="113" t="s">
        <v>88</v>
      </c>
      <c r="J5" s="114" t="s">
        <v>141</v>
      </c>
      <c r="K5" s="204">
        <v>1</v>
      </c>
      <c r="L5" s="68">
        <v>1250</v>
      </c>
      <c r="M5" s="112">
        <v>709</v>
      </c>
      <c r="N5" s="26"/>
      <c r="O5" s="64" t="s">
        <v>59</v>
      </c>
      <c r="P5" s="26"/>
      <c r="Q5" s="26"/>
    </row>
    <row r="6" spans="1:17" x14ac:dyDescent="0.2">
      <c r="A6" s="190" t="s">
        <v>135</v>
      </c>
      <c r="B6" s="72">
        <v>46072</v>
      </c>
      <c r="C6" s="106" t="s">
        <v>133</v>
      </c>
      <c r="D6" s="107" t="s">
        <v>134</v>
      </c>
      <c r="E6" s="107">
        <v>20020020</v>
      </c>
      <c r="F6" s="108" t="s">
        <v>126</v>
      </c>
      <c r="G6" s="107" t="s">
        <v>140</v>
      </c>
      <c r="H6" s="108"/>
      <c r="I6" s="108" t="s">
        <v>88</v>
      </c>
      <c r="J6" s="109" t="s">
        <v>141</v>
      </c>
      <c r="K6" s="204">
        <v>1</v>
      </c>
      <c r="L6" s="68">
        <v>1250</v>
      </c>
      <c r="M6" s="107">
        <v>659</v>
      </c>
      <c r="N6" s="6"/>
      <c r="O6" s="63" t="s">
        <v>59</v>
      </c>
      <c r="P6" s="6"/>
      <c r="Q6" s="6"/>
    </row>
    <row r="7" spans="1:17" x14ac:dyDescent="0.2">
      <c r="A7" s="17" t="s">
        <v>153</v>
      </c>
      <c r="B7" s="116">
        <v>45995</v>
      </c>
      <c r="C7" s="67" t="s">
        <v>154</v>
      </c>
      <c r="D7" s="68" t="s">
        <v>134</v>
      </c>
      <c r="E7" s="68">
        <v>20010016</v>
      </c>
      <c r="F7" s="69" t="s">
        <v>150</v>
      </c>
      <c r="G7" s="68" t="s">
        <v>155</v>
      </c>
      <c r="H7" s="69"/>
      <c r="I7" s="69" t="s">
        <v>95</v>
      </c>
      <c r="J7" s="70" t="s">
        <v>141</v>
      </c>
      <c r="K7" s="71">
        <v>1</v>
      </c>
      <c r="L7" s="74">
        <v>1250</v>
      </c>
      <c r="M7" s="68">
        <v>1250</v>
      </c>
      <c r="N7" s="6"/>
      <c r="O7" s="63" t="s">
        <v>59</v>
      </c>
      <c r="P7" s="6"/>
      <c r="Q7" s="6"/>
    </row>
    <row r="8" spans="1:17" x14ac:dyDescent="0.2">
      <c r="A8" s="17" t="s">
        <v>135</v>
      </c>
      <c r="B8" s="116">
        <v>46065</v>
      </c>
      <c r="C8" s="67" t="s">
        <v>193</v>
      </c>
      <c r="D8" s="68" t="s">
        <v>134</v>
      </c>
      <c r="E8" s="68">
        <v>20060001</v>
      </c>
      <c r="F8" s="69" t="s">
        <v>91</v>
      </c>
      <c r="G8" s="68" t="s">
        <v>178</v>
      </c>
      <c r="H8" s="69"/>
      <c r="I8" s="69" t="s">
        <v>91</v>
      </c>
      <c r="J8" s="70" t="s">
        <v>141</v>
      </c>
      <c r="K8" s="71">
        <v>1</v>
      </c>
      <c r="L8" s="68">
        <v>1250</v>
      </c>
      <c r="M8" s="68">
        <v>1250</v>
      </c>
      <c r="N8" s="6"/>
      <c r="O8" s="63" t="s">
        <v>59</v>
      </c>
      <c r="P8" s="6"/>
      <c r="Q8" s="6"/>
    </row>
    <row r="9" spans="1:17" x14ac:dyDescent="0.2">
      <c r="A9" s="17" t="s">
        <v>135</v>
      </c>
      <c r="B9" s="105">
        <v>46079</v>
      </c>
      <c r="C9" s="106" t="s">
        <v>157</v>
      </c>
      <c r="D9" s="107" t="s">
        <v>134</v>
      </c>
      <c r="E9" s="107">
        <v>20090017</v>
      </c>
      <c r="F9" s="108" t="s">
        <v>129</v>
      </c>
      <c r="G9" s="107" t="s">
        <v>158</v>
      </c>
      <c r="H9" s="108"/>
      <c r="I9" s="108" t="s">
        <v>124</v>
      </c>
      <c r="J9" s="109" t="s">
        <v>141</v>
      </c>
      <c r="K9" s="110">
        <v>2</v>
      </c>
      <c r="L9" s="74">
        <v>1250</v>
      </c>
      <c r="M9" s="107">
        <v>2500</v>
      </c>
      <c r="N9" s="6"/>
      <c r="O9" s="63" t="s">
        <v>59</v>
      </c>
      <c r="P9" s="6"/>
      <c r="Q9" s="6"/>
    </row>
    <row r="10" spans="1:17" x14ac:dyDescent="0.2">
      <c r="A10" s="17" t="s">
        <v>135</v>
      </c>
      <c r="B10" s="105">
        <v>46079</v>
      </c>
      <c r="C10" s="106" t="s">
        <v>157</v>
      </c>
      <c r="D10" s="107" t="s">
        <v>134</v>
      </c>
      <c r="E10" s="107">
        <v>20090011</v>
      </c>
      <c r="F10" s="108" t="s">
        <v>131</v>
      </c>
      <c r="G10" s="107" t="s">
        <v>158</v>
      </c>
      <c r="H10" s="108"/>
      <c r="I10" s="108" t="s">
        <v>124</v>
      </c>
      <c r="J10" s="109" t="s">
        <v>141</v>
      </c>
      <c r="K10" s="110">
        <v>2</v>
      </c>
      <c r="L10" s="74">
        <v>1250</v>
      </c>
      <c r="M10" s="107">
        <v>2500</v>
      </c>
      <c r="N10" s="6"/>
      <c r="O10" s="64" t="s">
        <v>59</v>
      </c>
      <c r="P10" s="6"/>
      <c r="Q10" s="6"/>
    </row>
    <row r="11" spans="1:17" x14ac:dyDescent="0.2">
      <c r="A11" s="17" t="s">
        <v>135</v>
      </c>
      <c r="B11" s="105">
        <v>46079</v>
      </c>
      <c r="C11" s="111" t="s">
        <v>157</v>
      </c>
      <c r="D11" s="112" t="s">
        <v>134</v>
      </c>
      <c r="E11" s="112">
        <v>20090001</v>
      </c>
      <c r="F11" s="113" t="s">
        <v>124</v>
      </c>
      <c r="G11" s="112" t="s">
        <v>155</v>
      </c>
      <c r="H11" s="113"/>
      <c r="I11" s="113" t="s">
        <v>124</v>
      </c>
      <c r="J11" s="114" t="s">
        <v>141</v>
      </c>
      <c r="K11" s="115">
        <v>1</v>
      </c>
      <c r="L11" s="74">
        <v>1250</v>
      </c>
      <c r="M11" s="112">
        <v>1250</v>
      </c>
      <c r="N11" s="26"/>
      <c r="O11" s="64" t="s">
        <v>59</v>
      </c>
      <c r="P11" s="26"/>
      <c r="Q11" s="26"/>
    </row>
    <row r="12" spans="1:17" x14ac:dyDescent="0.2">
      <c r="A12" s="17" t="s">
        <v>135</v>
      </c>
      <c r="B12" s="105">
        <v>46079</v>
      </c>
      <c r="C12" s="111" t="s">
        <v>157</v>
      </c>
      <c r="D12" s="112" t="s">
        <v>134</v>
      </c>
      <c r="E12" s="112">
        <v>20010053</v>
      </c>
      <c r="F12" s="113" t="s">
        <v>130</v>
      </c>
      <c r="G12" s="112" t="s">
        <v>159</v>
      </c>
      <c r="H12" s="113"/>
      <c r="I12" s="113" t="s">
        <v>124</v>
      </c>
      <c r="J12" s="114" t="s">
        <v>141</v>
      </c>
      <c r="K12" s="115">
        <v>1</v>
      </c>
      <c r="L12" s="74">
        <v>1250</v>
      </c>
      <c r="M12" s="112">
        <v>825</v>
      </c>
      <c r="N12" s="26"/>
      <c r="O12" s="64" t="s">
        <v>59</v>
      </c>
      <c r="P12" s="26"/>
      <c r="Q12" s="26"/>
    </row>
    <row r="13" spans="1:17" x14ac:dyDescent="0.2">
      <c r="A13" s="17" t="s">
        <v>135</v>
      </c>
      <c r="B13" s="105">
        <v>46079</v>
      </c>
      <c r="C13" s="67" t="s">
        <v>157</v>
      </c>
      <c r="D13" s="68" t="s">
        <v>134</v>
      </c>
      <c r="E13" s="68">
        <v>20010053</v>
      </c>
      <c r="F13" s="69" t="s">
        <v>130</v>
      </c>
      <c r="G13" s="68" t="s">
        <v>160</v>
      </c>
      <c r="H13" s="69"/>
      <c r="I13" s="69" t="s">
        <v>124</v>
      </c>
      <c r="J13" s="70" t="s">
        <v>141</v>
      </c>
      <c r="K13" s="71">
        <v>1</v>
      </c>
      <c r="L13" s="74">
        <v>1250</v>
      </c>
      <c r="M13" s="68">
        <v>766</v>
      </c>
      <c r="N13" s="6"/>
      <c r="O13" s="63" t="s">
        <v>59</v>
      </c>
      <c r="P13" s="6"/>
      <c r="Q13" s="6"/>
    </row>
    <row r="14" spans="1:17" x14ac:dyDescent="0.2">
      <c r="A14" s="17" t="s">
        <v>135</v>
      </c>
      <c r="B14" s="105">
        <v>46079</v>
      </c>
      <c r="C14" s="106" t="s">
        <v>157</v>
      </c>
      <c r="D14" s="107" t="s">
        <v>134</v>
      </c>
      <c r="E14" s="107">
        <v>20010053</v>
      </c>
      <c r="F14" s="108" t="s">
        <v>130</v>
      </c>
      <c r="G14" s="107" t="s">
        <v>158</v>
      </c>
      <c r="H14" s="108"/>
      <c r="I14" s="108" t="s">
        <v>124</v>
      </c>
      <c r="J14" s="109" t="s">
        <v>141</v>
      </c>
      <c r="K14" s="110">
        <v>1</v>
      </c>
      <c r="L14" s="74">
        <v>1250</v>
      </c>
      <c r="M14" s="107">
        <v>1250</v>
      </c>
      <c r="N14" s="6"/>
      <c r="O14" s="63" t="s">
        <v>59</v>
      </c>
      <c r="P14" s="6"/>
      <c r="Q14" s="6"/>
    </row>
    <row r="15" spans="1:17" x14ac:dyDescent="0.2">
      <c r="A15" s="17" t="s">
        <v>135</v>
      </c>
      <c r="B15" s="105">
        <v>46079</v>
      </c>
      <c r="C15" s="106" t="s">
        <v>157</v>
      </c>
      <c r="D15" s="107" t="s">
        <v>134</v>
      </c>
      <c r="E15" s="107">
        <v>20010053</v>
      </c>
      <c r="F15" s="108" t="s">
        <v>130</v>
      </c>
      <c r="G15" s="107" t="s">
        <v>161</v>
      </c>
      <c r="H15" s="108"/>
      <c r="I15" s="108" t="s">
        <v>124</v>
      </c>
      <c r="J15" s="109" t="s">
        <v>141</v>
      </c>
      <c r="K15" s="110">
        <v>1</v>
      </c>
      <c r="L15" s="74">
        <v>1250</v>
      </c>
      <c r="M15" s="107">
        <v>1250</v>
      </c>
      <c r="N15" s="6"/>
      <c r="O15" s="63" t="s">
        <v>59</v>
      </c>
      <c r="P15" s="6"/>
      <c r="Q15" s="6"/>
    </row>
    <row r="16" spans="1:17" x14ac:dyDescent="0.2">
      <c r="A16" s="17" t="s">
        <v>135</v>
      </c>
      <c r="B16" s="105">
        <v>46079</v>
      </c>
      <c r="C16" s="106" t="s">
        <v>157</v>
      </c>
      <c r="D16" s="107" t="s">
        <v>134</v>
      </c>
      <c r="E16" s="107">
        <v>20010053</v>
      </c>
      <c r="F16" s="108" t="s">
        <v>130</v>
      </c>
      <c r="G16" s="107" t="s">
        <v>162</v>
      </c>
      <c r="H16" s="108"/>
      <c r="I16" s="108" t="s">
        <v>124</v>
      </c>
      <c r="J16" s="109" t="s">
        <v>141</v>
      </c>
      <c r="K16" s="110">
        <v>1</v>
      </c>
      <c r="L16" s="74">
        <v>1250</v>
      </c>
      <c r="M16" s="107">
        <v>1250</v>
      </c>
      <c r="N16" s="6"/>
      <c r="O16" s="63" t="s">
        <v>59</v>
      </c>
      <c r="P16" s="6"/>
      <c r="Q16" s="6"/>
    </row>
    <row r="17" spans="1:17" x14ac:dyDescent="0.2">
      <c r="A17" s="17" t="s">
        <v>135</v>
      </c>
      <c r="B17" s="105">
        <v>46079</v>
      </c>
      <c r="C17" s="106" t="s">
        <v>157</v>
      </c>
      <c r="D17" s="107" t="s">
        <v>134</v>
      </c>
      <c r="E17" s="107">
        <v>20020020</v>
      </c>
      <c r="F17" s="108" t="s">
        <v>126</v>
      </c>
      <c r="G17" s="107" t="s">
        <v>136</v>
      </c>
      <c r="H17" s="108"/>
      <c r="I17" s="108" t="s">
        <v>88</v>
      </c>
      <c r="J17" s="109" t="s">
        <v>141</v>
      </c>
      <c r="K17" s="110">
        <v>0</v>
      </c>
      <c r="L17" s="74">
        <v>1250</v>
      </c>
      <c r="M17" s="107">
        <v>56</v>
      </c>
      <c r="N17" s="6"/>
      <c r="O17" s="63" t="s">
        <v>59</v>
      </c>
      <c r="P17" s="6"/>
      <c r="Q17" s="6"/>
    </row>
    <row r="18" spans="1:17" x14ac:dyDescent="0.2">
      <c r="A18" s="17" t="s">
        <v>135</v>
      </c>
      <c r="B18" s="105">
        <v>46079</v>
      </c>
      <c r="C18" s="106" t="s">
        <v>157</v>
      </c>
      <c r="D18" s="107" t="s">
        <v>134</v>
      </c>
      <c r="E18" s="107">
        <v>20020020</v>
      </c>
      <c r="F18" s="108" t="s">
        <v>126</v>
      </c>
      <c r="G18" s="107" t="s">
        <v>137</v>
      </c>
      <c r="H18" s="108"/>
      <c r="I18" s="108" t="s">
        <v>88</v>
      </c>
      <c r="J18" s="109" t="s">
        <v>141</v>
      </c>
      <c r="K18" s="110">
        <v>0</v>
      </c>
      <c r="L18" s="74">
        <v>1250</v>
      </c>
      <c r="M18" s="107">
        <v>568</v>
      </c>
      <c r="N18" s="6"/>
      <c r="O18" s="63" t="s">
        <v>59</v>
      </c>
      <c r="P18" s="6"/>
      <c r="Q18" s="6"/>
    </row>
    <row r="19" spans="1:17" x14ac:dyDescent="0.2">
      <c r="A19" s="17" t="s">
        <v>135</v>
      </c>
      <c r="B19" s="105">
        <v>46079</v>
      </c>
      <c r="C19" s="106" t="s">
        <v>157</v>
      </c>
      <c r="D19" s="107" t="s">
        <v>134</v>
      </c>
      <c r="E19" s="107">
        <v>20020020</v>
      </c>
      <c r="F19" s="108" t="s">
        <v>126</v>
      </c>
      <c r="G19" s="107" t="s">
        <v>139</v>
      </c>
      <c r="H19" s="108"/>
      <c r="I19" s="108" t="s">
        <v>88</v>
      </c>
      <c r="J19" s="109" t="s">
        <v>141</v>
      </c>
      <c r="K19" s="110">
        <v>0</v>
      </c>
      <c r="L19" s="74">
        <v>1250</v>
      </c>
      <c r="M19" s="107">
        <v>541</v>
      </c>
      <c r="N19" s="6"/>
      <c r="O19" s="63" t="s">
        <v>59</v>
      </c>
      <c r="P19" s="6"/>
      <c r="Q19" s="6"/>
    </row>
    <row r="20" spans="1:17" x14ac:dyDescent="0.2">
      <c r="A20" s="17" t="s">
        <v>135</v>
      </c>
      <c r="B20" s="105">
        <v>46079</v>
      </c>
      <c r="C20" s="106" t="s">
        <v>157</v>
      </c>
      <c r="D20" s="107" t="s">
        <v>134</v>
      </c>
      <c r="E20" s="107">
        <v>20020020</v>
      </c>
      <c r="F20" s="108" t="s">
        <v>126</v>
      </c>
      <c r="G20" s="107" t="s">
        <v>140</v>
      </c>
      <c r="H20" s="108"/>
      <c r="I20" s="108" t="s">
        <v>88</v>
      </c>
      <c r="J20" s="109" t="s">
        <v>141</v>
      </c>
      <c r="K20" s="110">
        <v>0</v>
      </c>
      <c r="L20" s="74">
        <v>1250</v>
      </c>
      <c r="M20" s="107">
        <v>591</v>
      </c>
      <c r="N20" s="6"/>
      <c r="O20" s="63" t="s">
        <v>59</v>
      </c>
      <c r="P20" s="6"/>
      <c r="Q20" s="6"/>
    </row>
    <row r="21" spans="1:17" x14ac:dyDescent="0.2">
      <c r="A21" s="17" t="s">
        <v>135</v>
      </c>
      <c r="B21" s="105">
        <v>46079</v>
      </c>
      <c r="C21" s="106" t="s">
        <v>157</v>
      </c>
      <c r="D21" s="107" t="s">
        <v>134</v>
      </c>
      <c r="E21" s="107">
        <v>20020003</v>
      </c>
      <c r="F21" s="108" t="s">
        <v>142</v>
      </c>
      <c r="G21" s="107" t="s">
        <v>155</v>
      </c>
      <c r="H21" s="108"/>
      <c r="I21" s="108" t="s">
        <v>88</v>
      </c>
      <c r="J21" s="109" t="s">
        <v>141</v>
      </c>
      <c r="K21" s="110">
        <v>5</v>
      </c>
      <c r="L21" s="74">
        <v>1250</v>
      </c>
      <c r="M21" s="107">
        <v>6250</v>
      </c>
      <c r="N21" s="6"/>
      <c r="O21" s="63" t="s">
        <v>59</v>
      </c>
      <c r="P21" s="6"/>
      <c r="Q21" s="6"/>
    </row>
    <row r="22" spans="1:17" x14ac:dyDescent="0.2">
      <c r="A22" s="17" t="s">
        <v>135</v>
      </c>
      <c r="B22" s="105">
        <v>46079</v>
      </c>
      <c r="C22" s="106" t="s">
        <v>157</v>
      </c>
      <c r="D22" s="107" t="s">
        <v>134</v>
      </c>
      <c r="E22" s="107">
        <v>20010003</v>
      </c>
      <c r="F22" s="108" t="s">
        <v>95</v>
      </c>
      <c r="G22" s="107" t="s">
        <v>158</v>
      </c>
      <c r="H22" s="108"/>
      <c r="I22" s="108" t="s">
        <v>95</v>
      </c>
      <c r="J22" s="109" t="s">
        <v>141</v>
      </c>
      <c r="K22" s="110">
        <v>4</v>
      </c>
      <c r="L22" s="74">
        <v>1250</v>
      </c>
      <c r="M22" s="107">
        <v>4418</v>
      </c>
      <c r="N22" s="6"/>
      <c r="O22" s="63" t="s">
        <v>59</v>
      </c>
      <c r="P22" s="6"/>
      <c r="Q22" s="6"/>
    </row>
    <row r="23" spans="1:17" hidden="1" x14ac:dyDescent="0.2">
      <c r="A23" s="17" t="s">
        <v>135</v>
      </c>
      <c r="B23" s="116">
        <v>46079</v>
      </c>
      <c r="C23" s="67" t="s">
        <v>157</v>
      </c>
      <c r="D23" s="68" t="s">
        <v>134</v>
      </c>
      <c r="E23" s="68">
        <v>20010034</v>
      </c>
      <c r="F23" s="69" t="s">
        <v>94</v>
      </c>
      <c r="G23" s="68" t="s">
        <v>155</v>
      </c>
      <c r="H23" s="69"/>
      <c r="I23" s="69" t="s">
        <v>94</v>
      </c>
      <c r="J23" s="70" t="s">
        <v>141</v>
      </c>
      <c r="K23" s="71">
        <v>25</v>
      </c>
      <c r="L23" s="74">
        <v>1250</v>
      </c>
      <c r="M23" s="68">
        <v>5522</v>
      </c>
      <c r="N23" s="6"/>
      <c r="O23" s="63"/>
      <c r="P23" s="6" t="s">
        <v>204</v>
      </c>
      <c r="Q23" s="6"/>
    </row>
    <row r="24" spans="1:17" hidden="1" x14ac:dyDescent="0.2">
      <c r="A24" s="17" t="s">
        <v>135</v>
      </c>
      <c r="B24" s="116">
        <v>46079</v>
      </c>
      <c r="C24" s="67" t="s">
        <v>157</v>
      </c>
      <c r="D24" s="68" t="s">
        <v>134</v>
      </c>
      <c r="E24" s="68">
        <v>20010034</v>
      </c>
      <c r="F24" s="69" t="s">
        <v>94</v>
      </c>
      <c r="G24" s="68" t="s">
        <v>178</v>
      </c>
      <c r="H24" s="69"/>
      <c r="I24" s="69" t="s">
        <v>94</v>
      </c>
      <c r="J24" s="70" t="s">
        <v>141</v>
      </c>
      <c r="K24" s="71">
        <v>10</v>
      </c>
      <c r="L24" s="74">
        <v>1250</v>
      </c>
      <c r="M24" s="68">
        <v>877</v>
      </c>
      <c r="N24" s="6"/>
      <c r="O24" s="63"/>
      <c r="P24" s="6" t="s">
        <v>204</v>
      </c>
      <c r="Q24" s="6"/>
    </row>
    <row r="25" spans="1:17" x14ac:dyDescent="0.2">
      <c r="A25" s="17" t="s">
        <v>135</v>
      </c>
      <c r="B25" s="116">
        <v>46065</v>
      </c>
      <c r="C25" s="67" t="s">
        <v>193</v>
      </c>
      <c r="D25" s="68" t="s">
        <v>134</v>
      </c>
      <c r="E25" s="68">
        <v>20060001</v>
      </c>
      <c r="F25" s="69" t="s">
        <v>91</v>
      </c>
      <c r="G25" s="68" t="s">
        <v>178</v>
      </c>
      <c r="H25" s="69"/>
      <c r="I25" s="69" t="s">
        <v>91</v>
      </c>
      <c r="J25" s="70" t="s">
        <v>141</v>
      </c>
      <c r="K25" s="71">
        <v>1</v>
      </c>
      <c r="L25" s="74">
        <v>1250</v>
      </c>
      <c r="M25" s="68">
        <v>1172</v>
      </c>
      <c r="N25" s="6"/>
      <c r="O25" s="63" t="s">
        <v>59</v>
      </c>
      <c r="P25" s="6"/>
      <c r="Q25" s="6"/>
    </row>
    <row r="26" spans="1:17" hidden="1" x14ac:dyDescent="0.2">
      <c r="A26" s="17" t="s">
        <v>135</v>
      </c>
      <c r="B26" s="116">
        <v>46079</v>
      </c>
      <c r="C26" s="67" t="s">
        <v>157</v>
      </c>
      <c r="D26" s="68" t="s">
        <v>134</v>
      </c>
      <c r="E26" s="68">
        <v>20060001</v>
      </c>
      <c r="F26" s="69" t="s">
        <v>91</v>
      </c>
      <c r="G26" s="68" t="s">
        <v>178</v>
      </c>
      <c r="H26" s="69"/>
      <c r="I26" s="69" t="s">
        <v>91</v>
      </c>
      <c r="J26" s="70" t="s">
        <v>141</v>
      </c>
      <c r="K26" s="71">
        <v>2</v>
      </c>
      <c r="L26" s="74">
        <v>1250</v>
      </c>
      <c r="M26" s="68">
        <v>2500</v>
      </c>
      <c r="N26" s="6"/>
      <c r="O26" s="63"/>
      <c r="P26" s="6" t="s">
        <v>204</v>
      </c>
      <c r="Q26" s="6"/>
    </row>
    <row r="27" spans="1:17" hidden="1" x14ac:dyDescent="0.2">
      <c r="A27" s="17" t="s">
        <v>135</v>
      </c>
      <c r="B27" s="116">
        <v>46079</v>
      </c>
      <c r="C27" s="67" t="s">
        <v>157</v>
      </c>
      <c r="D27" s="68" t="s">
        <v>134</v>
      </c>
      <c r="E27" s="68">
        <v>20060001</v>
      </c>
      <c r="F27" s="69" t="s">
        <v>91</v>
      </c>
      <c r="G27" s="68" t="s">
        <v>138</v>
      </c>
      <c r="H27" s="69"/>
      <c r="I27" s="69" t="s">
        <v>91</v>
      </c>
      <c r="J27" s="70" t="s">
        <v>141</v>
      </c>
      <c r="K27" s="71">
        <v>1</v>
      </c>
      <c r="L27" s="74">
        <v>1250</v>
      </c>
      <c r="M27" s="68">
        <v>1250</v>
      </c>
      <c r="N27" s="6"/>
      <c r="O27" s="63"/>
      <c r="P27" s="6" t="s">
        <v>204</v>
      </c>
      <c r="Q27" s="6"/>
    </row>
    <row r="28" spans="1:17" hidden="1" x14ac:dyDescent="0.2">
      <c r="A28" s="17" t="s">
        <v>135</v>
      </c>
      <c r="B28" s="116">
        <v>46079</v>
      </c>
      <c r="C28" s="67" t="s">
        <v>157</v>
      </c>
      <c r="D28" s="68" t="s">
        <v>134</v>
      </c>
      <c r="E28" s="68">
        <v>20010008</v>
      </c>
      <c r="F28" s="69" t="s">
        <v>149</v>
      </c>
      <c r="G28" s="68" t="s">
        <v>176</v>
      </c>
      <c r="H28" s="69"/>
      <c r="I28" s="69" t="s">
        <v>94</v>
      </c>
      <c r="J28" s="70" t="s">
        <v>141</v>
      </c>
      <c r="K28" s="71">
        <v>1</v>
      </c>
      <c r="L28" s="74">
        <v>1250</v>
      </c>
      <c r="M28" s="68">
        <v>1250</v>
      </c>
      <c r="N28" s="6"/>
      <c r="O28" s="63"/>
      <c r="P28" s="6" t="s">
        <v>204</v>
      </c>
      <c r="Q28" s="6"/>
    </row>
    <row r="29" spans="1:17" hidden="1" x14ac:dyDescent="0.2">
      <c r="A29" s="17" t="s">
        <v>135</v>
      </c>
      <c r="B29" s="116">
        <v>46079</v>
      </c>
      <c r="C29" s="67" t="s">
        <v>157</v>
      </c>
      <c r="D29" s="68" t="s">
        <v>134</v>
      </c>
      <c r="E29" s="68">
        <v>20010008</v>
      </c>
      <c r="F29" s="69" t="s">
        <v>149</v>
      </c>
      <c r="G29" s="68" t="s">
        <v>139</v>
      </c>
      <c r="H29" s="69"/>
      <c r="I29" s="69" t="s">
        <v>94</v>
      </c>
      <c r="J29" s="70" t="s">
        <v>141</v>
      </c>
      <c r="K29" s="71">
        <v>1</v>
      </c>
      <c r="L29" s="74">
        <v>1250</v>
      </c>
      <c r="M29" s="68">
        <v>1250</v>
      </c>
      <c r="N29" s="6"/>
      <c r="O29" s="63"/>
      <c r="P29" s="6" t="s">
        <v>204</v>
      </c>
      <c r="Q29" s="6"/>
    </row>
    <row r="30" spans="1:17" hidden="1" x14ac:dyDescent="0.2">
      <c r="A30" s="17" t="s">
        <v>135</v>
      </c>
      <c r="B30" s="116">
        <v>46079</v>
      </c>
      <c r="C30" s="67" t="s">
        <v>157</v>
      </c>
      <c r="D30" s="68" t="s">
        <v>134</v>
      </c>
      <c r="E30" s="68">
        <v>20010008</v>
      </c>
      <c r="F30" s="69" t="s">
        <v>149</v>
      </c>
      <c r="G30" s="68" t="s">
        <v>187</v>
      </c>
      <c r="H30" s="69"/>
      <c r="I30" s="69" t="s">
        <v>94</v>
      </c>
      <c r="J30" s="70" t="s">
        <v>141</v>
      </c>
      <c r="K30" s="71">
        <v>3</v>
      </c>
      <c r="L30" s="74">
        <v>1250</v>
      </c>
      <c r="M30" s="68">
        <v>3750</v>
      </c>
      <c r="N30" s="6"/>
      <c r="O30" s="63"/>
      <c r="P30" s="6" t="s">
        <v>204</v>
      </c>
      <c r="Q30" s="6"/>
    </row>
    <row r="31" spans="1:17" hidden="1" x14ac:dyDescent="0.2">
      <c r="A31" s="190" t="s">
        <v>135</v>
      </c>
      <c r="B31" s="72">
        <v>46079</v>
      </c>
      <c r="C31" s="73" t="s">
        <v>157</v>
      </c>
      <c r="D31" s="74" t="s">
        <v>134</v>
      </c>
      <c r="E31" s="74">
        <v>20070009</v>
      </c>
      <c r="F31" s="75" t="s">
        <v>203</v>
      </c>
      <c r="G31" s="74" t="s">
        <v>155</v>
      </c>
      <c r="H31" s="75"/>
      <c r="I31" s="75" t="s">
        <v>99</v>
      </c>
      <c r="J31" s="76" t="s">
        <v>141</v>
      </c>
      <c r="K31" s="232">
        <v>3</v>
      </c>
      <c r="L31" s="74">
        <v>1250</v>
      </c>
      <c r="M31" s="74">
        <v>3750</v>
      </c>
      <c r="N31" s="6"/>
      <c r="O31" s="63"/>
      <c r="P31" s="6" t="s">
        <v>204</v>
      </c>
      <c r="Q31" s="6"/>
    </row>
    <row r="32" spans="1:17" hidden="1" x14ac:dyDescent="0.2">
      <c r="A32" s="190" t="s">
        <v>135</v>
      </c>
      <c r="B32" s="72">
        <v>46079</v>
      </c>
      <c r="C32" s="73" t="s">
        <v>157</v>
      </c>
      <c r="D32" s="74" t="s">
        <v>134</v>
      </c>
      <c r="E32" s="74">
        <v>20070001</v>
      </c>
      <c r="F32" s="75" t="s">
        <v>99</v>
      </c>
      <c r="G32" s="74" t="s">
        <v>200</v>
      </c>
      <c r="H32" s="75"/>
      <c r="I32" s="75" t="s">
        <v>99</v>
      </c>
      <c r="J32" s="76" t="s">
        <v>141</v>
      </c>
      <c r="K32" s="232">
        <v>1</v>
      </c>
      <c r="L32" s="74">
        <v>1250</v>
      </c>
      <c r="M32" s="74">
        <v>1250</v>
      </c>
      <c r="N32" s="6"/>
      <c r="O32" s="63"/>
      <c r="P32" s="6" t="s">
        <v>204</v>
      </c>
      <c r="Q32" s="6"/>
    </row>
    <row r="33" spans="1:17" x14ac:dyDescent="0.2">
      <c r="A33" s="17" t="s">
        <v>188</v>
      </c>
      <c r="B33" s="116">
        <v>46086</v>
      </c>
      <c r="C33" s="67" t="s">
        <v>174</v>
      </c>
      <c r="D33" s="68" t="s">
        <v>134</v>
      </c>
      <c r="E33" s="68">
        <v>20090015</v>
      </c>
      <c r="F33" s="69" t="s">
        <v>171</v>
      </c>
      <c r="G33" s="68" t="s">
        <v>175</v>
      </c>
      <c r="H33" s="69"/>
      <c r="I33" s="69" t="s">
        <v>124</v>
      </c>
      <c r="J33" s="70" t="s">
        <v>141</v>
      </c>
      <c r="K33" s="71">
        <v>1</v>
      </c>
      <c r="L33" s="74">
        <v>1250</v>
      </c>
      <c r="M33" s="68">
        <v>300</v>
      </c>
      <c r="N33" s="6"/>
      <c r="O33" s="63" t="s">
        <v>59</v>
      </c>
      <c r="P33" s="6"/>
      <c r="Q33" s="6"/>
    </row>
    <row r="34" spans="1:17" x14ac:dyDescent="0.2">
      <c r="A34" s="17" t="s">
        <v>188</v>
      </c>
      <c r="B34" s="116">
        <v>46086</v>
      </c>
      <c r="C34" s="67" t="s">
        <v>174</v>
      </c>
      <c r="D34" s="68" t="s">
        <v>134</v>
      </c>
      <c r="E34" s="68">
        <v>20090020</v>
      </c>
      <c r="F34" s="69" t="s">
        <v>168</v>
      </c>
      <c r="G34" s="68" t="s">
        <v>155</v>
      </c>
      <c r="H34" s="69"/>
      <c r="I34" s="69" t="s">
        <v>124</v>
      </c>
      <c r="J34" s="70" t="s">
        <v>141</v>
      </c>
      <c r="K34" s="71">
        <v>2</v>
      </c>
      <c r="L34" s="74">
        <v>1250</v>
      </c>
      <c r="M34" s="68">
        <v>2500</v>
      </c>
      <c r="N34" s="6"/>
      <c r="O34" s="63" t="s">
        <v>59</v>
      </c>
      <c r="P34" s="6"/>
      <c r="Q34" s="6"/>
    </row>
    <row r="35" spans="1:17" x14ac:dyDescent="0.2">
      <c r="A35" s="17" t="s">
        <v>188</v>
      </c>
      <c r="B35" s="116">
        <v>46086</v>
      </c>
      <c r="C35" s="67" t="s">
        <v>174</v>
      </c>
      <c r="D35" s="68" t="s">
        <v>134</v>
      </c>
      <c r="E35" s="68">
        <v>20090003</v>
      </c>
      <c r="F35" s="69" t="s">
        <v>169</v>
      </c>
      <c r="G35" s="68" t="s">
        <v>155</v>
      </c>
      <c r="H35" s="69"/>
      <c r="I35" s="69" t="s">
        <v>124</v>
      </c>
      <c r="J35" s="70" t="s">
        <v>141</v>
      </c>
      <c r="K35" s="71">
        <v>5</v>
      </c>
      <c r="L35" s="74">
        <v>1250</v>
      </c>
      <c r="M35" s="68">
        <v>4798</v>
      </c>
      <c r="N35" s="6"/>
      <c r="O35" s="63" t="s">
        <v>59</v>
      </c>
      <c r="P35" s="6"/>
      <c r="Q35" s="6"/>
    </row>
    <row r="36" spans="1:17" x14ac:dyDescent="0.2">
      <c r="A36" s="17" t="s">
        <v>188</v>
      </c>
      <c r="B36" s="116">
        <v>46086</v>
      </c>
      <c r="C36" s="67" t="s">
        <v>174</v>
      </c>
      <c r="D36" s="68" t="s">
        <v>134</v>
      </c>
      <c r="E36" s="68">
        <v>20090017</v>
      </c>
      <c r="F36" s="69" t="s">
        <v>129</v>
      </c>
      <c r="G36" s="68" t="s">
        <v>158</v>
      </c>
      <c r="H36" s="69"/>
      <c r="I36" s="69" t="s">
        <v>124</v>
      </c>
      <c r="J36" s="70" t="s">
        <v>141</v>
      </c>
      <c r="K36" s="71">
        <v>3</v>
      </c>
      <c r="L36" s="74">
        <v>1250</v>
      </c>
      <c r="M36" s="68">
        <v>3750</v>
      </c>
      <c r="N36" s="6"/>
      <c r="O36" s="63" t="s">
        <v>59</v>
      </c>
      <c r="P36" s="6"/>
      <c r="Q36" s="6"/>
    </row>
    <row r="37" spans="1:17" x14ac:dyDescent="0.2">
      <c r="A37" s="17" t="s">
        <v>188</v>
      </c>
      <c r="B37" s="116">
        <v>46086</v>
      </c>
      <c r="C37" s="67" t="s">
        <v>174</v>
      </c>
      <c r="D37" s="68" t="s">
        <v>134</v>
      </c>
      <c r="E37" s="68">
        <v>20010053</v>
      </c>
      <c r="F37" s="69" t="s">
        <v>130</v>
      </c>
      <c r="G37" s="68" t="s">
        <v>159</v>
      </c>
      <c r="H37" s="69"/>
      <c r="I37" s="69" t="s">
        <v>124</v>
      </c>
      <c r="J37" s="70" t="s">
        <v>141</v>
      </c>
      <c r="K37" s="71">
        <v>0</v>
      </c>
      <c r="L37" s="74">
        <v>1250</v>
      </c>
      <c r="M37" s="68">
        <v>425</v>
      </c>
      <c r="N37" s="6"/>
      <c r="O37" s="63" t="s">
        <v>59</v>
      </c>
      <c r="P37" s="6"/>
      <c r="Q37" s="6"/>
    </row>
    <row r="38" spans="1:17" x14ac:dyDescent="0.2">
      <c r="A38" s="17" t="s">
        <v>188</v>
      </c>
      <c r="B38" s="116">
        <v>46086</v>
      </c>
      <c r="C38" s="67" t="s">
        <v>174</v>
      </c>
      <c r="D38" s="68" t="s">
        <v>134</v>
      </c>
      <c r="E38" s="68">
        <v>20010053</v>
      </c>
      <c r="F38" s="69" t="s">
        <v>130</v>
      </c>
      <c r="G38" s="68" t="s">
        <v>160</v>
      </c>
      <c r="H38" s="69"/>
      <c r="I38" s="69" t="s">
        <v>124</v>
      </c>
      <c r="J38" s="70" t="s">
        <v>141</v>
      </c>
      <c r="K38" s="71">
        <v>0</v>
      </c>
      <c r="L38" s="74">
        <v>1250</v>
      </c>
      <c r="M38" s="68">
        <v>484</v>
      </c>
      <c r="N38" s="6"/>
      <c r="O38" s="63" t="s">
        <v>59</v>
      </c>
      <c r="P38" s="6"/>
      <c r="Q38" s="6"/>
    </row>
    <row r="39" spans="1:17" x14ac:dyDescent="0.2">
      <c r="A39" s="17" t="s">
        <v>188</v>
      </c>
      <c r="B39" s="116">
        <v>46086</v>
      </c>
      <c r="C39" s="67" t="s">
        <v>174</v>
      </c>
      <c r="D39" s="68" t="s">
        <v>134</v>
      </c>
      <c r="E39" s="68">
        <v>20090015</v>
      </c>
      <c r="F39" s="69" t="s">
        <v>171</v>
      </c>
      <c r="G39" s="68" t="s">
        <v>176</v>
      </c>
      <c r="H39" s="69"/>
      <c r="I39" s="69" t="s">
        <v>124</v>
      </c>
      <c r="J39" s="70" t="s">
        <v>141</v>
      </c>
      <c r="K39" s="71">
        <v>0</v>
      </c>
      <c r="L39" s="74">
        <v>1250</v>
      </c>
      <c r="M39" s="68">
        <v>204</v>
      </c>
      <c r="N39" s="6"/>
      <c r="O39" s="63" t="s">
        <v>59</v>
      </c>
      <c r="P39" s="6"/>
      <c r="Q39" s="6"/>
    </row>
    <row r="40" spans="1:17" x14ac:dyDescent="0.2">
      <c r="A40" s="17" t="s">
        <v>188</v>
      </c>
      <c r="B40" s="116">
        <v>46086</v>
      </c>
      <c r="C40" s="67" t="s">
        <v>174</v>
      </c>
      <c r="D40" s="68" t="s">
        <v>134</v>
      </c>
      <c r="E40" s="68">
        <v>20090015</v>
      </c>
      <c r="F40" s="69" t="s">
        <v>171</v>
      </c>
      <c r="G40" s="68" t="s">
        <v>177</v>
      </c>
      <c r="H40" s="69"/>
      <c r="I40" s="69" t="s">
        <v>124</v>
      </c>
      <c r="J40" s="70" t="s">
        <v>141</v>
      </c>
      <c r="K40" s="71">
        <v>0</v>
      </c>
      <c r="L40" s="74">
        <v>1250</v>
      </c>
      <c r="M40" s="68">
        <v>1788</v>
      </c>
      <c r="N40" s="6"/>
      <c r="O40" s="63" t="s">
        <v>59</v>
      </c>
      <c r="P40" s="6"/>
      <c r="Q40" s="6"/>
    </row>
    <row r="41" spans="1:17" x14ac:dyDescent="0.2">
      <c r="A41" s="17" t="s">
        <v>188</v>
      </c>
      <c r="B41" s="116">
        <v>46086</v>
      </c>
      <c r="C41" s="67" t="s">
        <v>174</v>
      </c>
      <c r="D41" s="68" t="s">
        <v>134</v>
      </c>
      <c r="E41" s="68">
        <v>20090015</v>
      </c>
      <c r="F41" s="69" t="s">
        <v>171</v>
      </c>
      <c r="G41" s="68" t="s">
        <v>161</v>
      </c>
      <c r="H41" s="69"/>
      <c r="I41" s="69" t="s">
        <v>124</v>
      </c>
      <c r="J41" s="70" t="s">
        <v>141</v>
      </c>
      <c r="K41" s="71">
        <v>0</v>
      </c>
      <c r="L41" s="74">
        <v>1250</v>
      </c>
      <c r="M41" s="68">
        <v>208</v>
      </c>
      <c r="N41" s="6"/>
      <c r="O41" s="63" t="s">
        <v>59</v>
      </c>
      <c r="P41" s="6"/>
      <c r="Q41" s="6"/>
    </row>
    <row r="42" spans="1:17" x14ac:dyDescent="0.2">
      <c r="A42" s="17" t="s">
        <v>188</v>
      </c>
      <c r="B42" s="116">
        <v>46086</v>
      </c>
      <c r="C42" s="67" t="s">
        <v>174</v>
      </c>
      <c r="D42" s="68" t="s">
        <v>134</v>
      </c>
      <c r="E42" s="68">
        <v>20070002</v>
      </c>
      <c r="F42" s="69" t="s">
        <v>166</v>
      </c>
      <c r="G42" s="68" t="s">
        <v>155</v>
      </c>
      <c r="H42" s="69"/>
      <c r="I42" s="69" t="s">
        <v>88</v>
      </c>
      <c r="J42" s="70" t="s">
        <v>141</v>
      </c>
      <c r="K42" s="71">
        <v>4</v>
      </c>
      <c r="L42" s="74">
        <v>1250</v>
      </c>
      <c r="M42" s="68">
        <v>5000</v>
      </c>
      <c r="N42" s="6"/>
      <c r="O42" s="63" t="s">
        <v>59</v>
      </c>
      <c r="P42" s="6"/>
      <c r="Q42" s="6"/>
    </row>
    <row r="43" spans="1:17" x14ac:dyDescent="0.2">
      <c r="A43" s="17" t="s">
        <v>188</v>
      </c>
      <c r="B43" s="116">
        <v>46086</v>
      </c>
      <c r="C43" s="67" t="s">
        <v>174</v>
      </c>
      <c r="D43" s="68" t="s">
        <v>134</v>
      </c>
      <c r="E43" s="68">
        <v>20020003</v>
      </c>
      <c r="F43" s="108" t="s">
        <v>142</v>
      </c>
      <c r="G43" s="68" t="s">
        <v>155</v>
      </c>
      <c r="H43" s="69"/>
      <c r="I43" s="69" t="s">
        <v>88</v>
      </c>
      <c r="J43" s="70" t="s">
        <v>141</v>
      </c>
      <c r="K43" s="71">
        <v>5</v>
      </c>
      <c r="L43" s="74">
        <v>1250</v>
      </c>
      <c r="M43" s="68">
        <v>6250</v>
      </c>
      <c r="N43" s="6"/>
      <c r="O43" s="63" t="s">
        <v>59</v>
      </c>
      <c r="P43" s="6"/>
      <c r="Q43" s="6"/>
    </row>
    <row r="44" spans="1:17" x14ac:dyDescent="0.2">
      <c r="A44" s="17" t="s">
        <v>188</v>
      </c>
      <c r="B44" s="116">
        <v>46086</v>
      </c>
      <c r="C44" s="67" t="s">
        <v>174</v>
      </c>
      <c r="D44" s="68" t="s">
        <v>134</v>
      </c>
      <c r="E44" s="68">
        <v>20020011</v>
      </c>
      <c r="F44" s="69" t="s">
        <v>165</v>
      </c>
      <c r="G44" s="68" t="s">
        <v>178</v>
      </c>
      <c r="H44" s="69"/>
      <c r="I44" s="69" t="s">
        <v>88</v>
      </c>
      <c r="J44" s="70" t="s">
        <v>141</v>
      </c>
      <c r="K44" s="71">
        <v>1</v>
      </c>
      <c r="L44" s="74">
        <v>1250</v>
      </c>
      <c r="M44" s="68">
        <v>1250</v>
      </c>
      <c r="N44" s="6"/>
      <c r="O44" s="63" t="s">
        <v>59</v>
      </c>
      <c r="P44" s="6"/>
      <c r="Q44" s="6"/>
    </row>
    <row r="45" spans="1:17" x14ac:dyDescent="0.2">
      <c r="A45" s="17" t="s">
        <v>188</v>
      </c>
      <c r="B45" s="116">
        <v>46086</v>
      </c>
      <c r="C45" s="67" t="s">
        <v>174</v>
      </c>
      <c r="D45" s="68" t="s">
        <v>134</v>
      </c>
      <c r="E45" s="68">
        <v>20020011</v>
      </c>
      <c r="F45" s="69" t="s">
        <v>165</v>
      </c>
      <c r="G45" s="68" t="s">
        <v>179</v>
      </c>
      <c r="H45" s="69"/>
      <c r="I45" s="69" t="s">
        <v>88</v>
      </c>
      <c r="J45" s="70" t="s">
        <v>141</v>
      </c>
      <c r="K45" s="71">
        <v>1</v>
      </c>
      <c r="L45" s="74">
        <v>1250</v>
      </c>
      <c r="M45" s="68">
        <v>1250</v>
      </c>
      <c r="N45" s="6"/>
      <c r="O45" s="63" t="s">
        <v>59</v>
      </c>
      <c r="P45" s="6"/>
      <c r="Q45" s="6"/>
    </row>
    <row r="46" spans="1:17" x14ac:dyDescent="0.2">
      <c r="A46" s="17" t="s">
        <v>188</v>
      </c>
      <c r="B46" s="116">
        <v>46086</v>
      </c>
      <c r="C46" s="67" t="s">
        <v>174</v>
      </c>
      <c r="D46" s="68" t="s">
        <v>134</v>
      </c>
      <c r="E46" s="68">
        <v>20020001</v>
      </c>
      <c r="F46" s="69" t="s">
        <v>88</v>
      </c>
      <c r="G46" s="68" t="s">
        <v>180</v>
      </c>
      <c r="H46" s="69"/>
      <c r="I46" s="69" t="s">
        <v>88</v>
      </c>
      <c r="J46" s="70" t="s">
        <v>141</v>
      </c>
      <c r="K46" s="71">
        <v>1</v>
      </c>
      <c r="L46" s="74">
        <v>1250</v>
      </c>
      <c r="M46" s="68">
        <v>1250</v>
      </c>
      <c r="N46" s="6"/>
      <c r="O46" s="63" t="s">
        <v>59</v>
      </c>
      <c r="P46" s="6"/>
      <c r="Q46" s="6"/>
    </row>
    <row r="47" spans="1:17" x14ac:dyDescent="0.2">
      <c r="A47" s="17" t="s">
        <v>188</v>
      </c>
      <c r="B47" s="116">
        <v>46086</v>
      </c>
      <c r="C47" s="67" t="s">
        <v>174</v>
      </c>
      <c r="D47" s="68" t="s">
        <v>134</v>
      </c>
      <c r="E47" s="68">
        <v>20020001</v>
      </c>
      <c r="F47" s="69" t="s">
        <v>88</v>
      </c>
      <c r="G47" s="68" t="s">
        <v>155</v>
      </c>
      <c r="H47" s="69"/>
      <c r="I47" s="69" t="s">
        <v>88</v>
      </c>
      <c r="J47" s="70" t="s">
        <v>141</v>
      </c>
      <c r="K47" s="71">
        <v>2</v>
      </c>
      <c r="L47" s="74">
        <v>1250</v>
      </c>
      <c r="M47" s="68">
        <v>2500</v>
      </c>
      <c r="N47" s="6"/>
      <c r="O47" s="63" t="s">
        <v>59</v>
      </c>
      <c r="P47" s="6"/>
      <c r="Q47" s="6"/>
    </row>
    <row r="48" spans="1:17" x14ac:dyDescent="0.2">
      <c r="A48" s="17" t="s">
        <v>188</v>
      </c>
      <c r="B48" s="116">
        <v>46086</v>
      </c>
      <c r="C48" s="67" t="s">
        <v>174</v>
      </c>
      <c r="D48" s="68" t="s">
        <v>134</v>
      </c>
      <c r="E48" s="68">
        <v>20020001</v>
      </c>
      <c r="F48" s="69" t="s">
        <v>88</v>
      </c>
      <c r="G48" s="68" t="s">
        <v>158</v>
      </c>
      <c r="H48" s="69"/>
      <c r="I48" s="69" t="s">
        <v>88</v>
      </c>
      <c r="J48" s="70" t="s">
        <v>141</v>
      </c>
      <c r="K48" s="71">
        <v>1</v>
      </c>
      <c r="L48" s="74">
        <v>1250</v>
      </c>
      <c r="M48" s="68">
        <v>1250</v>
      </c>
      <c r="N48" s="6"/>
      <c r="O48" s="63" t="s">
        <v>59</v>
      </c>
      <c r="P48" s="6"/>
      <c r="Q48" s="6"/>
    </row>
    <row r="49" spans="1:17" x14ac:dyDescent="0.2">
      <c r="A49" s="17" t="s">
        <v>188</v>
      </c>
      <c r="B49" s="116">
        <v>46086</v>
      </c>
      <c r="C49" s="67" t="s">
        <v>174</v>
      </c>
      <c r="D49" s="68" t="s">
        <v>134</v>
      </c>
      <c r="E49" s="68">
        <v>20020001</v>
      </c>
      <c r="F49" s="69" t="s">
        <v>88</v>
      </c>
      <c r="G49" s="68" t="s">
        <v>181</v>
      </c>
      <c r="H49" s="69"/>
      <c r="I49" s="69" t="s">
        <v>88</v>
      </c>
      <c r="J49" s="70" t="s">
        <v>141</v>
      </c>
      <c r="K49" s="71">
        <v>1</v>
      </c>
      <c r="L49" s="74">
        <v>1250</v>
      </c>
      <c r="M49" s="68">
        <v>1250</v>
      </c>
      <c r="N49" s="6"/>
      <c r="O49" s="63" t="s">
        <v>59</v>
      </c>
      <c r="P49" s="6"/>
      <c r="Q49" s="6"/>
    </row>
    <row r="50" spans="1:17" x14ac:dyDescent="0.2">
      <c r="A50" s="17" t="s">
        <v>188</v>
      </c>
      <c r="B50" s="116">
        <v>46086</v>
      </c>
      <c r="C50" s="67" t="s">
        <v>174</v>
      </c>
      <c r="D50" s="68" t="s">
        <v>134</v>
      </c>
      <c r="E50" s="68">
        <v>20020001</v>
      </c>
      <c r="F50" s="69" t="s">
        <v>88</v>
      </c>
      <c r="G50" s="68" t="s">
        <v>182</v>
      </c>
      <c r="H50" s="69"/>
      <c r="I50" s="69" t="s">
        <v>88</v>
      </c>
      <c r="J50" s="70" t="s">
        <v>141</v>
      </c>
      <c r="K50" s="71">
        <v>1</v>
      </c>
      <c r="L50" s="74">
        <v>1250</v>
      </c>
      <c r="M50" s="68">
        <v>1250</v>
      </c>
      <c r="N50" s="6"/>
      <c r="O50" s="63" t="s">
        <v>59</v>
      </c>
      <c r="P50" s="6"/>
      <c r="Q50" s="6"/>
    </row>
    <row r="51" spans="1:17" x14ac:dyDescent="0.2">
      <c r="A51" s="17" t="s">
        <v>188</v>
      </c>
      <c r="B51" s="116">
        <v>46086</v>
      </c>
      <c r="C51" s="211" t="s">
        <v>174</v>
      </c>
      <c r="D51" s="212" t="s">
        <v>134</v>
      </c>
      <c r="E51" s="212">
        <v>20020001</v>
      </c>
      <c r="F51" s="213" t="s">
        <v>88</v>
      </c>
      <c r="G51" s="212" t="s">
        <v>183</v>
      </c>
      <c r="H51" s="213"/>
      <c r="I51" s="213" t="s">
        <v>88</v>
      </c>
      <c r="J51" s="214" t="s">
        <v>141</v>
      </c>
      <c r="K51" s="215">
        <v>2</v>
      </c>
      <c r="L51" s="74">
        <v>1250</v>
      </c>
      <c r="M51" s="212">
        <v>2500</v>
      </c>
      <c r="N51" s="6"/>
      <c r="O51" s="63" t="s">
        <v>59</v>
      </c>
      <c r="P51" s="6"/>
      <c r="Q51" s="6"/>
    </row>
    <row r="52" spans="1:17" x14ac:dyDescent="0.2">
      <c r="A52" s="17" t="s">
        <v>188</v>
      </c>
      <c r="B52" s="116">
        <v>46086</v>
      </c>
      <c r="C52" s="211" t="s">
        <v>174</v>
      </c>
      <c r="D52" s="212" t="s">
        <v>134</v>
      </c>
      <c r="E52" s="212">
        <v>20020001</v>
      </c>
      <c r="F52" s="213" t="s">
        <v>88</v>
      </c>
      <c r="G52" s="212" t="s">
        <v>184</v>
      </c>
      <c r="H52" s="213"/>
      <c r="I52" s="213" t="s">
        <v>88</v>
      </c>
      <c r="J52" s="214" t="s">
        <v>141</v>
      </c>
      <c r="K52" s="215">
        <v>1</v>
      </c>
      <c r="L52" s="74">
        <v>1250</v>
      </c>
      <c r="M52" s="212">
        <v>1218</v>
      </c>
      <c r="N52" s="6"/>
      <c r="O52" s="63" t="s">
        <v>59</v>
      </c>
      <c r="P52" s="6"/>
      <c r="Q52" s="6"/>
    </row>
    <row r="53" spans="1:17" x14ac:dyDescent="0.2">
      <c r="A53" s="17" t="s">
        <v>188</v>
      </c>
      <c r="B53" s="116">
        <v>46086</v>
      </c>
      <c r="C53" s="211" t="s">
        <v>174</v>
      </c>
      <c r="D53" s="212" t="s">
        <v>134</v>
      </c>
      <c r="E53" s="212">
        <v>20020001</v>
      </c>
      <c r="F53" s="213" t="s">
        <v>88</v>
      </c>
      <c r="G53" s="212" t="s">
        <v>185</v>
      </c>
      <c r="H53" s="213"/>
      <c r="I53" s="213" t="s">
        <v>88</v>
      </c>
      <c r="J53" s="214" t="s">
        <v>141</v>
      </c>
      <c r="K53" s="215">
        <v>1</v>
      </c>
      <c r="L53" s="74">
        <v>1250</v>
      </c>
      <c r="M53" s="212">
        <v>1250</v>
      </c>
      <c r="N53" s="6"/>
      <c r="O53" s="63" t="s">
        <v>59</v>
      </c>
      <c r="P53" s="6"/>
      <c r="Q53" s="6"/>
    </row>
    <row r="54" spans="1:17" x14ac:dyDescent="0.2">
      <c r="A54" s="17" t="s">
        <v>188</v>
      </c>
      <c r="B54" s="116">
        <v>46086</v>
      </c>
      <c r="C54" s="211" t="s">
        <v>174</v>
      </c>
      <c r="D54" s="212" t="s">
        <v>134</v>
      </c>
      <c r="E54" s="212">
        <v>20020020</v>
      </c>
      <c r="F54" s="213" t="s">
        <v>126</v>
      </c>
      <c r="G54" s="212" t="s">
        <v>186</v>
      </c>
      <c r="H54" s="213"/>
      <c r="I54" s="213" t="s">
        <v>88</v>
      </c>
      <c r="J54" s="214" t="s">
        <v>141</v>
      </c>
      <c r="K54" s="215">
        <v>1</v>
      </c>
      <c r="L54" s="74">
        <v>1250</v>
      </c>
      <c r="M54" s="212">
        <v>1250</v>
      </c>
      <c r="N54" s="6"/>
      <c r="O54" s="63" t="s">
        <v>59</v>
      </c>
      <c r="P54" s="6"/>
      <c r="Q54" s="6"/>
    </row>
    <row r="55" spans="1:17" x14ac:dyDescent="0.2">
      <c r="A55" s="17" t="s">
        <v>188</v>
      </c>
      <c r="B55" s="116">
        <v>46086</v>
      </c>
      <c r="C55" s="211" t="s">
        <v>174</v>
      </c>
      <c r="D55" s="212" t="s">
        <v>134</v>
      </c>
      <c r="E55" s="212">
        <v>20020020</v>
      </c>
      <c r="F55" s="213" t="s">
        <v>126</v>
      </c>
      <c r="G55" s="212" t="s">
        <v>138</v>
      </c>
      <c r="H55" s="213"/>
      <c r="I55" s="213" t="s">
        <v>88</v>
      </c>
      <c r="J55" s="214" t="s">
        <v>141</v>
      </c>
      <c r="K55" s="215">
        <v>2</v>
      </c>
      <c r="L55" s="74">
        <v>1250</v>
      </c>
      <c r="M55" s="212">
        <v>2500</v>
      </c>
      <c r="N55" s="6"/>
      <c r="O55" s="63" t="s">
        <v>59</v>
      </c>
      <c r="P55" s="6"/>
      <c r="Q55" s="6"/>
    </row>
    <row r="56" spans="1:17" x14ac:dyDescent="0.2">
      <c r="A56" s="17" t="s">
        <v>188</v>
      </c>
      <c r="B56" s="116">
        <v>46086</v>
      </c>
      <c r="C56" s="211" t="s">
        <v>174</v>
      </c>
      <c r="D56" s="212" t="s">
        <v>134</v>
      </c>
      <c r="E56" s="212">
        <v>20020020</v>
      </c>
      <c r="F56" s="213" t="s">
        <v>126</v>
      </c>
      <c r="G56" s="212" t="s">
        <v>140</v>
      </c>
      <c r="H56" s="213"/>
      <c r="I56" s="213" t="s">
        <v>88</v>
      </c>
      <c r="J56" s="214" t="s">
        <v>141</v>
      </c>
      <c r="K56" s="215">
        <v>1</v>
      </c>
      <c r="L56" s="74">
        <v>1250</v>
      </c>
      <c r="M56" s="212">
        <v>723</v>
      </c>
      <c r="N56" s="6"/>
      <c r="O56" s="63" t="s">
        <v>59</v>
      </c>
      <c r="P56" s="6"/>
      <c r="Q56" s="6"/>
    </row>
    <row r="57" spans="1:17" x14ac:dyDescent="0.2">
      <c r="A57" s="17" t="s">
        <v>188</v>
      </c>
      <c r="B57" s="116">
        <v>46086</v>
      </c>
      <c r="C57" s="211" t="s">
        <v>174</v>
      </c>
      <c r="D57" s="212" t="s">
        <v>134</v>
      </c>
      <c r="E57" s="212">
        <v>20060003</v>
      </c>
      <c r="F57" s="213" t="s">
        <v>93</v>
      </c>
      <c r="G57" s="212" t="s">
        <v>155</v>
      </c>
      <c r="H57" s="213"/>
      <c r="I57" s="213" t="s">
        <v>93</v>
      </c>
      <c r="J57" s="214" t="s">
        <v>141</v>
      </c>
      <c r="K57" s="215">
        <v>20</v>
      </c>
      <c r="L57" s="74">
        <v>1250</v>
      </c>
      <c r="M57" s="212">
        <v>25000</v>
      </c>
      <c r="N57" s="6"/>
      <c r="O57" s="63" t="s">
        <v>59</v>
      </c>
      <c r="P57" s="6"/>
      <c r="Q57" s="6"/>
    </row>
    <row r="58" spans="1:17" x14ac:dyDescent="0.2">
      <c r="A58" s="17" t="s">
        <v>188</v>
      </c>
      <c r="B58" s="116">
        <v>46086</v>
      </c>
      <c r="C58" s="211" t="s">
        <v>174</v>
      </c>
      <c r="D58" s="212" t="s">
        <v>134</v>
      </c>
      <c r="E58" s="212">
        <v>20010003</v>
      </c>
      <c r="F58" s="213" t="s">
        <v>95</v>
      </c>
      <c r="G58" s="212" t="s">
        <v>158</v>
      </c>
      <c r="H58" s="213"/>
      <c r="I58" s="213" t="s">
        <v>95</v>
      </c>
      <c r="J58" s="214" t="s">
        <v>141</v>
      </c>
      <c r="K58" s="215">
        <v>6</v>
      </c>
      <c r="L58" s="74">
        <v>1250</v>
      </c>
      <c r="M58" s="212">
        <v>7500</v>
      </c>
      <c r="N58" s="6"/>
      <c r="O58" s="63" t="s">
        <v>59</v>
      </c>
      <c r="P58" s="6"/>
      <c r="Q58" s="6"/>
    </row>
    <row r="59" spans="1:17" x14ac:dyDescent="0.2">
      <c r="A59" s="17" t="s">
        <v>188</v>
      </c>
      <c r="B59" s="116">
        <v>46086</v>
      </c>
      <c r="C59" s="211" t="s">
        <v>174</v>
      </c>
      <c r="D59" s="212" t="s">
        <v>134</v>
      </c>
      <c r="E59" s="212">
        <v>20060001</v>
      </c>
      <c r="F59" s="213" t="s">
        <v>91</v>
      </c>
      <c r="G59" s="212" t="s">
        <v>178</v>
      </c>
      <c r="H59" s="213"/>
      <c r="I59" s="213" t="s">
        <v>91</v>
      </c>
      <c r="J59" s="214" t="s">
        <v>141</v>
      </c>
      <c r="K59" s="215">
        <v>2</v>
      </c>
      <c r="L59" s="74">
        <v>1250</v>
      </c>
      <c r="M59" s="212">
        <v>2500</v>
      </c>
      <c r="N59" s="6"/>
      <c r="O59" s="63" t="s">
        <v>59</v>
      </c>
      <c r="P59" s="6"/>
      <c r="Q59" s="6"/>
    </row>
    <row r="60" spans="1:17" x14ac:dyDescent="0.2">
      <c r="A60" s="17" t="s">
        <v>188</v>
      </c>
      <c r="B60" s="116">
        <v>46086</v>
      </c>
      <c r="C60" s="211" t="s">
        <v>174</v>
      </c>
      <c r="D60" s="212" t="s">
        <v>134</v>
      </c>
      <c r="E60" s="212">
        <v>20060001</v>
      </c>
      <c r="F60" s="213" t="s">
        <v>91</v>
      </c>
      <c r="G60" s="212" t="s">
        <v>138</v>
      </c>
      <c r="H60" s="213"/>
      <c r="I60" s="213" t="s">
        <v>91</v>
      </c>
      <c r="J60" s="214" t="s">
        <v>141</v>
      </c>
      <c r="K60" s="215">
        <v>1</v>
      </c>
      <c r="L60" s="74">
        <v>1250</v>
      </c>
      <c r="M60" s="212">
        <v>1250</v>
      </c>
      <c r="N60" s="6"/>
      <c r="O60" s="63" t="s">
        <v>59</v>
      </c>
      <c r="P60" s="6"/>
      <c r="Q60" s="6"/>
    </row>
    <row r="61" spans="1:17" x14ac:dyDescent="0.2">
      <c r="A61" s="17" t="s">
        <v>188</v>
      </c>
      <c r="B61" s="116">
        <v>46086</v>
      </c>
      <c r="C61" s="211" t="s">
        <v>174</v>
      </c>
      <c r="D61" s="212" t="s">
        <v>134</v>
      </c>
      <c r="E61" s="212">
        <v>20010008</v>
      </c>
      <c r="F61" s="213" t="s">
        <v>149</v>
      </c>
      <c r="G61" s="212" t="s">
        <v>176</v>
      </c>
      <c r="H61" s="213"/>
      <c r="I61" s="213" t="s">
        <v>94</v>
      </c>
      <c r="J61" s="214" t="s">
        <v>141</v>
      </c>
      <c r="K61" s="215">
        <v>1</v>
      </c>
      <c r="L61" s="74">
        <v>1250</v>
      </c>
      <c r="M61" s="212">
        <v>1250</v>
      </c>
      <c r="N61" s="6"/>
      <c r="O61" s="63" t="s">
        <v>59</v>
      </c>
      <c r="P61" s="6"/>
      <c r="Q61" s="6"/>
    </row>
    <row r="62" spans="1:17" x14ac:dyDescent="0.2">
      <c r="A62" s="17" t="s">
        <v>188</v>
      </c>
      <c r="B62" s="116">
        <v>46086</v>
      </c>
      <c r="C62" s="211" t="s">
        <v>174</v>
      </c>
      <c r="D62" s="212" t="s">
        <v>134</v>
      </c>
      <c r="E62" s="212">
        <v>20010008</v>
      </c>
      <c r="F62" s="213" t="s">
        <v>149</v>
      </c>
      <c r="G62" s="212" t="s">
        <v>187</v>
      </c>
      <c r="H62" s="213"/>
      <c r="I62" s="213" t="s">
        <v>94</v>
      </c>
      <c r="J62" s="214" t="s">
        <v>141</v>
      </c>
      <c r="K62" s="215">
        <v>3</v>
      </c>
      <c r="L62" s="74">
        <v>1250</v>
      </c>
      <c r="M62" s="212">
        <v>3750</v>
      </c>
      <c r="N62" s="6"/>
      <c r="O62" s="63" t="s">
        <v>59</v>
      </c>
      <c r="P62" s="6"/>
      <c r="Q62" s="6"/>
    </row>
    <row r="63" spans="1:17" x14ac:dyDescent="0.2">
      <c r="A63" s="17" t="s">
        <v>188</v>
      </c>
      <c r="B63" s="116">
        <v>46086</v>
      </c>
      <c r="C63" s="211" t="s">
        <v>174</v>
      </c>
      <c r="D63" s="212" t="s">
        <v>134</v>
      </c>
      <c r="E63" s="212">
        <v>20010008</v>
      </c>
      <c r="F63" s="213" t="s">
        <v>149</v>
      </c>
      <c r="G63" s="212" t="s">
        <v>139</v>
      </c>
      <c r="H63" s="213"/>
      <c r="I63" s="213" t="s">
        <v>94</v>
      </c>
      <c r="J63" s="214" t="s">
        <v>141</v>
      </c>
      <c r="K63" s="215">
        <v>1</v>
      </c>
      <c r="L63" s="74">
        <v>1250</v>
      </c>
      <c r="M63" s="212">
        <v>1250</v>
      </c>
      <c r="N63" s="6"/>
      <c r="O63" s="63" t="s">
        <v>59</v>
      </c>
      <c r="P63" s="6"/>
      <c r="Q63" s="6"/>
    </row>
    <row r="64" spans="1:17" hidden="1" x14ac:dyDescent="0.2">
      <c r="A64" s="17" t="s">
        <v>188</v>
      </c>
      <c r="B64" s="116">
        <v>46086</v>
      </c>
      <c r="C64" s="227" t="s">
        <v>174</v>
      </c>
      <c r="D64" s="228" t="s">
        <v>134</v>
      </c>
      <c r="E64" s="228">
        <v>20010034</v>
      </c>
      <c r="F64" s="229" t="s">
        <v>94</v>
      </c>
      <c r="G64" s="228" t="s">
        <v>155</v>
      </c>
      <c r="H64" s="229"/>
      <c r="I64" s="229" t="s">
        <v>94</v>
      </c>
      <c r="J64" s="230" t="s">
        <v>141</v>
      </c>
      <c r="K64" s="231">
        <v>0</v>
      </c>
      <c r="L64" s="74">
        <v>1250</v>
      </c>
      <c r="M64" s="228">
        <v>14749</v>
      </c>
      <c r="N64" s="6"/>
      <c r="O64" s="63"/>
      <c r="P64" s="6" t="s">
        <v>204</v>
      </c>
      <c r="Q64" s="6"/>
    </row>
    <row r="65" spans="1:17" hidden="1" x14ac:dyDescent="0.2">
      <c r="A65" s="17" t="s">
        <v>188</v>
      </c>
      <c r="B65" s="116">
        <v>46086</v>
      </c>
      <c r="C65" s="227" t="s">
        <v>174</v>
      </c>
      <c r="D65" s="228" t="s">
        <v>134</v>
      </c>
      <c r="E65" s="228">
        <v>20010034</v>
      </c>
      <c r="F65" s="229" t="s">
        <v>94</v>
      </c>
      <c r="G65" s="228" t="s">
        <v>178</v>
      </c>
      <c r="H65" s="229"/>
      <c r="I65" s="229" t="s">
        <v>94</v>
      </c>
      <c r="J65" s="230" t="s">
        <v>141</v>
      </c>
      <c r="K65" s="231">
        <v>10</v>
      </c>
      <c r="L65" s="74">
        <v>1250</v>
      </c>
      <c r="M65" s="228">
        <v>936</v>
      </c>
      <c r="N65" s="6"/>
      <c r="O65" s="63"/>
      <c r="P65" s="6" t="s">
        <v>204</v>
      </c>
      <c r="Q65" s="6"/>
    </row>
    <row r="66" spans="1:17" hidden="1" x14ac:dyDescent="0.2">
      <c r="A66" s="17" t="s">
        <v>188</v>
      </c>
      <c r="B66" s="116">
        <v>46086</v>
      </c>
      <c r="C66" s="67" t="s">
        <v>174</v>
      </c>
      <c r="D66" s="68" t="s">
        <v>134</v>
      </c>
      <c r="E66" s="68">
        <v>20090015</v>
      </c>
      <c r="F66" s="69" t="s">
        <v>171</v>
      </c>
      <c r="G66" s="68" t="s">
        <v>175</v>
      </c>
      <c r="H66" s="69"/>
      <c r="I66" s="69" t="s">
        <v>124</v>
      </c>
      <c r="J66" s="70" t="s">
        <v>141</v>
      </c>
      <c r="K66" s="71">
        <v>1</v>
      </c>
      <c r="L66" s="74">
        <v>1250</v>
      </c>
      <c r="M66" s="68">
        <v>1150</v>
      </c>
      <c r="N66" s="6"/>
      <c r="O66" s="63"/>
      <c r="P66" s="6" t="s">
        <v>204</v>
      </c>
      <c r="Q66" s="6"/>
    </row>
    <row r="67" spans="1:17" x14ac:dyDescent="0.2">
      <c r="A67" s="221" t="s">
        <v>188</v>
      </c>
      <c r="B67" s="222">
        <v>46093</v>
      </c>
      <c r="C67" s="211" t="s">
        <v>197</v>
      </c>
      <c r="D67" s="212" t="s">
        <v>134</v>
      </c>
      <c r="E67" s="212">
        <v>20090003</v>
      </c>
      <c r="F67" s="213" t="s">
        <v>169</v>
      </c>
      <c r="G67" s="212" t="s">
        <v>155</v>
      </c>
      <c r="H67" s="213"/>
      <c r="I67" s="213" t="s">
        <v>124</v>
      </c>
      <c r="J67" s="214" t="s">
        <v>141</v>
      </c>
      <c r="K67" s="215">
        <v>0</v>
      </c>
      <c r="L67" s="74">
        <v>1250</v>
      </c>
      <c r="M67" s="212">
        <v>1557</v>
      </c>
      <c r="N67" s="6"/>
      <c r="O67" s="63" t="s">
        <v>59</v>
      </c>
      <c r="P67" s="6"/>
      <c r="Q67" s="6"/>
    </row>
    <row r="68" spans="1:17" x14ac:dyDescent="0.2">
      <c r="A68" s="221" t="s">
        <v>188</v>
      </c>
      <c r="B68" s="222">
        <v>46093</v>
      </c>
      <c r="C68" s="211" t="s">
        <v>197</v>
      </c>
      <c r="D68" s="212" t="s">
        <v>134</v>
      </c>
      <c r="E68" s="212">
        <v>20090003</v>
      </c>
      <c r="F68" s="213" t="s">
        <v>169</v>
      </c>
      <c r="G68" s="212" t="s">
        <v>185</v>
      </c>
      <c r="H68" s="213"/>
      <c r="I68" s="213" t="s">
        <v>124</v>
      </c>
      <c r="J68" s="214" t="s">
        <v>141</v>
      </c>
      <c r="K68" s="215">
        <v>0</v>
      </c>
      <c r="L68" s="74">
        <v>1250</v>
      </c>
      <c r="M68" s="212">
        <v>1041</v>
      </c>
      <c r="N68" s="6"/>
      <c r="O68" s="63" t="s">
        <v>59</v>
      </c>
      <c r="P68" s="6"/>
      <c r="Q68" s="6"/>
    </row>
    <row r="69" spans="1:17" x14ac:dyDescent="0.2">
      <c r="A69" s="221" t="s">
        <v>188</v>
      </c>
      <c r="B69" s="222">
        <v>46093</v>
      </c>
      <c r="C69" s="211" t="s">
        <v>197</v>
      </c>
      <c r="D69" s="212" t="s">
        <v>134</v>
      </c>
      <c r="E69" s="212">
        <v>20090015</v>
      </c>
      <c r="F69" s="213" t="s">
        <v>171</v>
      </c>
      <c r="G69" s="212" t="s">
        <v>198</v>
      </c>
      <c r="H69" s="213"/>
      <c r="I69" s="213" t="s">
        <v>124</v>
      </c>
      <c r="J69" s="214" t="s">
        <v>141</v>
      </c>
      <c r="K69" s="215">
        <v>0</v>
      </c>
      <c r="L69" s="74">
        <v>1250</v>
      </c>
      <c r="M69" s="212">
        <v>830</v>
      </c>
      <c r="N69" s="6"/>
      <c r="O69" s="63" t="s">
        <v>59</v>
      </c>
      <c r="P69" s="6"/>
      <c r="Q69" s="6"/>
    </row>
    <row r="70" spans="1:17" x14ac:dyDescent="0.2">
      <c r="A70" s="221" t="s">
        <v>188</v>
      </c>
      <c r="B70" s="222">
        <v>46093</v>
      </c>
      <c r="C70" s="211" t="s">
        <v>197</v>
      </c>
      <c r="D70" s="212" t="s">
        <v>134</v>
      </c>
      <c r="E70" s="212">
        <v>20090015</v>
      </c>
      <c r="F70" s="213" t="s">
        <v>171</v>
      </c>
      <c r="G70" s="212" t="s">
        <v>199</v>
      </c>
      <c r="H70" s="213"/>
      <c r="I70" s="213" t="s">
        <v>124</v>
      </c>
      <c r="J70" s="214" t="s">
        <v>141</v>
      </c>
      <c r="K70" s="215">
        <v>0</v>
      </c>
      <c r="L70" s="74">
        <v>1250</v>
      </c>
      <c r="M70" s="212">
        <v>120</v>
      </c>
      <c r="N70" s="6"/>
      <c r="O70" s="63" t="s">
        <v>59</v>
      </c>
      <c r="P70" s="6"/>
      <c r="Q70" s="6"/>
    </row>
    <row r="71" spans="1:17" x14ac:dyDescent="0.2">
      <c r="A71" s="221" t="s">
        <v>188</v>
      </c>
      <c r="B71" s="222">
        <v>46093</v>
      </c>
      <c r="C71" s="211" t="s">
        <v>197</v>
      </c>
      <c r="D71" s="212" t="s">
        <v>134</v>
      </c>
      <c r="E71" s="212">
        <v>20090015</v>
      </c>
      <c r="F71" s="213" t="s">
        <v>171</v>
      </c>
      <c r="G71" s="212" t="s">
        <v>176</v>
      </c>
      <c r="H71" s="213"/>
      <c r="I71" s="213" t="s">
        <v>124</v>
      </c>
      <c r="J71" s="214" t="s">
        <v>141</v>
      </c>
      <c r="K71" s="215">
        <v>0</v>
      </c>
      <c r="L71" s="74">
        <v>1250</v>
      </c>
      <c r="M71" s="212">
        <v>100</v>
      </c>
      <c r="N71" s="6"/>
      <c r="O71" s="63" t="s">
        <v>59</v>
      </c>
      <c r="P71" s="6"/>
      <c r="Q71" s="6"/>
    </row>
    <row r="72" spans="1:17" x14ac:dyDescent="0.2">
      <c r="A72" s="221" t="s">
        <v>188</v>
      </c>
      <c r="B72" s="222">
        <v>46093</v>
      </c>
      <c r="C72" s="211" t="s">
        <v>197</v>
      </c>
      <c r="D72" s="212" t="s">
        <v>134</v>
      </c>
      <c r="E72" s="212">
        <v>20090015</v>
      </c>
      <c r="F72" s="213" t="s">
        <v>171</v>
      </c>
      <c r="G72" s="212" t="s">
        <v>177</v>
      </c>
      <c r="H72" s="213"/>
      <c r="I72" s="213" t="s">
        <v>124</v>
      </c>
      <c r="J72" s="214" t="s">
        <v>141</v>
      </c>
      <c r="K72" s="215">
        <v>0</v>
      </c>
      <c r="L72" s="74">
        <v>1250</v>
      </c>
      <c r="M72" s="212">
        <v>100</v>
      </c>
      <c r="N72" s="6"/>
      <c r="O72" s="63" t="s">
        <v>59</v>
      </c>
      <c r="P72" s="6"/>
      <c r="Q72" s="6"/>
    </row>
    <row r="73" spans="1:17" x14ac:dyDescent="0.2">
      <c r="A73" s="221" t="s">
        <v>188</v>
      </c>
      <c r="B73" s="222">
        <v>46093</v>
      </c>
      <c r="C73" s="211" t="s">
        <v>197</v>
      </c>
      <c r="D73" s="212" t="s">
        <v>134</v>
      </c>
      <c r="E73" s="212">
        <v>20090015</v>
      </c>
      <c r="F73" s="213" t="s">
        <v>171</v>
      </c>
      <c r="G73" s="212" t="s">
        <v>161</v>
      </c>
      <c r="H73" s="213"/>
      <c r="I73" s="213" t="s">
        <v>124</v>
      </c>
      <c r="J73" s="214" t="s">
        <v>141</v>
      </c>
      <c r="K73" s="215">
        <v>0</v>
      </c>
      <c r="L73" s="74">
        <v>1250</v>
      </c>
      <c r="M73" s="212">
        <v>100</v>
      </c>
      <c r="N73" s="6"/>
      <c r="O73" s="63" t="s">
        <v>59</v>
      </c>
      <c r="P73" s="6"/>
      <c r="Q73" s="6"/>
    </row>
    <row r="74" spans="1:17" x14ac:dyDescent="0.2">
      <c r="A74" s="221" t="s">
        <v>188</v>
      </c>
      <c r="B74" s="222">
        <v>46093</v>
      </c>
      <c r="C74" s="211" t="s">
        <v>197</v>
      </c>
      <c r="D74" s="212" t="s">
        <v>134</v>
      </c>
      <c r="E74" s="212">
        <v>20090017</v>
      </c>
      <c r="F74" s="213" t="s">
        <v>129</v>
      </c>
      <c r="G74" s="212" t="s">
        <v>158</v>
      </c>
      <c r="H74" s="213"/>
      <c r="I74" s="213" t="s">
        <v>124</v>
      </c>
      <c r="J74" s="214" t="s">
        <v>141</v>
      </c>
      <c r="K74" s="215">
        <v>2</v>
      </c>
      <c r="L74" s="74">
        <v>1250</v>
      </c>
      <c r="M74" s="212">
        <v>2500</v>
      </c>
      <c r="N74" s="6"/>
      <c r="O74" s="63" t="s">
        <v>59</v>
      </c>
      <c r="P74" s="6"/>
      <c r="Q74" s="6"/>
    </row>
    <row r="75" spans="1:17" x14ac:dyDescent="0.2">
      <c r="A75" s="221" t="s">
        <v>188</v>
      </c>
      <c r="B75" s="222">
        <v>46093</v>
      </c>
      <c r="C75" s="211" t="s">
        <v>197</v>
      </c>
      <c r="D75" s="212" t="s">
        <v>134</v>
      </c>
      <c r="E75" s="212">
        <v>20010053</v>
      </c>
      <c r="F75" s="213" t="s">
        <v>130</v>
      </c>
      <c r="G75" s="212" t="s">
        <v>200</v>
      </c>
      <c r="H75" s="213"/>
      <c r="I75" s="213" t="s">
        <v>124</v>
      </c>
      <c r="J75" s="214" t="s">
        <v>141</v>
      </c>
      <c r="K75" s="215">
        <v>1</v>
      </c>
      <c r="L75" s="74">
        <v>1250</v>
      </c>
      <c r="M75" s="212">
        <v>1206</v>
      </c>
      <c r="N75" s="6"/>
      <c r="O75" s="63" t="s">
        <v>59</v>
      </c>
      <c r="P75" s="6"/>
      <c r="Q75" s="6"/>
    </row>
    <row r="76" spans="1:17" x14ac:dyDescent="0.2">
      <c r="A76" s="221" t="s">
        <v>188</v>
      </c>
      <c r="B76" s="222">
        <v>46093</v>
      </c>
      <c r="C76" s="211" t="s">
        <v>197</v>
      </c>
      <c r="D76" s="212" t="s">
        <v>134</v>
      </c>
      <c r="E76" s="212">
        <v>20010053</v>
      </c>
      <c r="F76" s="213" t="s">
        <v>130</v>
      </c>
      <c r="G76" s="212" t="s">
        <v>159</v>
      </c>
      <c r="H76" s="213"/>
      <c r="I76" s="213" t="s">
        <v>124</v>
      </c>
      <c r="J76" s="214" t="s">
        <v>141</v>
      </c>
      <c r="K76" s="215">
        <v>1</v>
      </c>
      <c r="L76" s="74">
        <v>1250</v>
      </c>
      <c r="M76" s="212">
        <v>1003</v>
      </c>
      <c r="N76" s="6"/>
      <c r="O76" s="63" t="s">
        <v>59</v>
      </c>
      <c r="P76" s="6"/>
      <c r="Q76" s="6"/>
    </row>
    <row r="77" spans="1:17" x14ac:dyDescent="0.2">
      <c r="A77" s="221" t="s">
        <v>188</v>
      </c>
      <c r="B77" s="222">
        <v>46093</v>
      </c>
      <c r="C77" s="211" t="s">
        <v>197</v>
      </c>
      <c r="D77" s="212" t="s">
        <v>134</v>
      </c>
      <c r="E77" s="212">
        <v>20060003</v>
      </c>
      <c r="F77" s="213" t="s">
        <v>93</v>
      </c>
      <c r="G77" s="212" t="s">
        <v>155</v>
      </c>
      <c r="H77" s="213"/>
      <c r="I77" s="213" t="s">
        <v>93</v>
      </c>
      <c r="J77" s="214" t="s">
        <v>141</v>
      </c>
      <c r="K77" s="215">
        <v>20</v>
      </c>
      <c r="L77" s="74">
        <v>1250</v>
      </c>
      <c r="M77" s="212">
        <v>25000</v>
      </c>
      <c r="N77" s="6"/>
      <c r="O77" s="63" t="s">
        <v>59</v>
      </c>
      <c r="P77" s="6"/>
      <c r="Q77" s="6"/>
    </row>
    <row r="78" spans="1:17" x14ac:dyDescent="0.2">
      <c r="A78" s="221" t="s">
        <v>188</v>
      </c>
      <c r="B78" s="222">
        <v>46093</v>
      </c>
      <c r="C78" s="211" t="s">
        <v>197</v>
      </c>
      <c r="D78" s="212" t="s">
        <v>134</v>
      </c>
      <c r="E78" s="212">
        <v>20010003</v>
      </c>
      <c r="F78" s="213" t="s">
        <v>95</v>
      </c>
      <c r="G78" s="212" t="s">
        <v>158</v>
      </c>
      <c r="H78" s="213"/>
      <c r="I78" s="213" t="s">
        <v>95</v>
      </c>
      <c r="J78" s="214" t="s">
        <v>141</v>
      </c>
      <c r="K78" s="215">
        <v>0</v>
      </c>
      <c r="L78" s="74"/>
      <c r="M78" s="212">
        <v>6832</v>
      </c>
      <c r="N78" s="6"/>
      <c r="O78" s="63" t="s">
        <v>59</v>
      </c>
      <c r="P78" s="6"/>
      <c r="Q78" s="6"/>
    </row>
    <row r="79" spans="1:17" x14ac:dyDescent="0.2">
      <c r="A79" s="221" t="s">
        <v>188</v>
      </c>
      <c r="B79" s="222">
        <v>46093</v>
      </c>
      <c r="C79" s="211" t="s">
        <v>197</v>
      </c>
      <c r="D79" s="212" t="s">
        <v>134</v>
      </c>
      <c r="E79" s="212">
        <v>20010003</v>
      </c>
      <c r="F79" s="213" t="s">
        <v>95</v>
      </c>
      <c r="G79" s="212" t="s">
        <v>158</v>
      </c>
      <c r="H79" s="213"/>
      <c r="I79" s="213" t="s">
        <v>95</v>
      </c>
      <c r="J79" s="214" t="s">
        <v>141</v>
      </c>
      <c r="K79" s="215">
        <v>6</v>
      </c>
      <c r="L79" s="74">
        <v>1250</v>
      </c>
      <c r="M79" s="212">
        <v>637</v>
      </c>
      <c r="N79" s="6"/>
      <c r="O79" s="63" t="s">
        <v>59</v>
      </c>
      <c r="P79" s="6"/>
      <c r="Q79" s="6"/>
    </row>
    <row r="80" spans="1:17" hidden="1" x14ac:dyDescent="0.2">
      <c r="A80" s="221" t="s">
        <v>188</v>
      </c>
      <c r="B80" s="222">
        <v>46093</v>
      </c>
      <c r="C80" s="211" t="s">
        <v>197</v>
      </c>
      <c r="D80" s="212" t="s">
        <v>134</v>
      </c>
      <c r="E80" s="212">
        <v>20010034</v>
      </c>
      <c r="F80" s="213" t="s">
        <v>94</v>
      </c>
      <c r="G80" s="212" t="s">
        <v>155</v>
      </c>
      <c r="H80" s="213"/>
      <c r="I80" s="213" t="s">
        <v>94</v>
      </c>
      <c r="J80" s="214" t="s">
        <v>141</v>
      </c>
      <c r="K80" s="215">
        <v>0</v>
      </c>
      <c r="L80" s="74">
        <v>1250</v>
      </c>
      <c r="M80" s="212">
        <v>8577</v>
      </c>
      <c r="N80" s="6"/>
      <c r="O80" s="63"/>
      <c r="P80" s="6" t="s">
        <v>204</v>
      </c>
      <c r="Q80" s="6"/>
    </row>
    <row r="81" spans="1:17" hidden="1" x14ac:dyDescent="0.2">
      <c r="A81" s="221" t="s">
        <v>188</v>
      </c>
      <c r="B81" s="222">
        <v>46093</v>
      </c>
      <c r="C81" s="211" t="s">
        <v>197</v>
      </c>
      <c r="D81" s="212" t="s">
        <v>134</v>
      </c>
      <c r="E81" s="212">
        <v>20010034</v>
      </c>
      <c r="F81" s="213" t="s">
        <v>94</v>
      </c>
      <c r="G81" s="212" t="s">
        <v>178</v>
      </c>
      <c r="H81" s="213"/>
      <c r="I81" s="213" t="s">
        <v>94</v>
      </c>
      <c r="J81" s="214" t="s">
        <v>141</v>
      </c>
      <c r="K81" s="215">
        <v>10</v>
      </c>
      <c r="L81" s="74">
        <v>1250</v>
      </c>
      <c r="M81" s="212">
        <v>1015</v>
      </c>
      <c r="N81" s="6"/>
      <c r="O81" s="63"/>
      <c r="P81" s="6" t="s">
        <v>204</v>
      </c>
      <c r="Q81" s="6"/>
    </row>
    <row r="82" spans="1:17" x14ac:dyDescent="0.2">
      <c r="A82" s="221" t="s">
        <v>188</v>
      </c>
      <c r="B82" s="222">
        <v>46093</v>
      </c>
      <c r="C82" s="211" t="s">
        <v>197</v>
      </c>
      <c r="D82" s="212" t="s">
        <v>134</v>
      </c>
      <c r="E82" s="212">
        <v>20010008</v>
      </c>
      <c r="F82" s="213" t="s">
        <v>149</v>
      </c>
      <c r="G82" s="212" t="s">
        <v>187</v>
      </c>
      <c r="H82" s="213"/>
      <c r="I82" s="213" t="s">
        <v>95</v>
      </c>
      <c r="J82" s="214" t="s">
        <v>141</v>
      </c>
      <c r="K82" s="215">
        <v>4</v>
      </c>
      <c r="L82" s="74">
        <v>1250</v>
      </c>
      <c r="M82" s="212">
        <v>5000</v>
      </c>
      <c r="N82" s="6"/>
      <c r="O82" s="63" t="s">
        <v>59</v>
      </c>
      <c r="P82" s="6"/>
      <c r="Q82" s="6"/>
    </row>
    <row r="83" spans="1:17" x14ac:dyDescent="0.2">
      <c r="A83" s="221" t="s">
        <v>188</v>
      </c>
      <c r="B83" s="222">
        <v>46093</v>
      </c>
      <c r="C83" s="211" t="s">
        <v>197</v>
      </c>
      <c r="D83" s="212" t="s">
        <v>134</v>
      </c>
      <c r="E83" s="212">
        <v>20010008</v>
      </c>
      <c r="F83" s="213" t="s">
        <v>149</v>
      </c>
      <c r="G83" s="212" t="s">
        <v>201</v>
      </c>
      <c r="H83" s="213"/>
      <c r="I83" s="213" t="s">
        <v>95</v>
      </c>
      <c r="J83" s="214" t="s">
        <v>141</v>
      </c>
      <c r="K83" s="215">
        <v>1</v>
      </c>
      <c r="L83" s="74">
        <v>1250</v>
      </c>
      <c r="M83" s="212">
        <v>1250</v>
      </c>
      <c r="N83" s="6"/>
      <c r="O83" s="63" t="s">
        <v>59</v>
      </c>
      <c r="P83" s="6"/>
      <c r="Q83" s="6"/>
    </row>
    <row r="84" spans="1:17" x14ac:dyDescent="0.2">
      <c r="A84" s="221" t="s">
        <v>188</v>
      </c>
      <c r="B84" s="222">
        <v>46093</v>
      </c>
      <c r="C84" s="211" t="s">
        <v>197</v>
      </c>
      <c r="D84" s="212" t="s">
        <v>134</v>
      </c>
      <c r="E84" s="212">
        <v>20060001</v>
      </c>
      <c r="F84" s="213" t="s">
        <v>91</v>
      </c>
      <c r="G84" s="212" t="s">
        <v>138</v>
      </c>
      <c r="H84" s="213"/>
      <c r="I84" s="213" t="s">
        <v>91</v>
      </c>
      <c r="J84" s="214" t="s">
        <v>141</v>
      </c>
      <c r="K84" s="215">
        <v>1</v>
      </c>
      <c r="L84" s="74">
        <v>1250</v>
      </c>
      <c r="M84" s="212">
        <v>1250</v>
      </c>
      <c r="N84" s="6"/>
      <c r="O84" s="63" t="s">
        <v>59</v>
      </c>
      <c r="P84" s="6"/>
      <c r="Q84" s="6"/>
    </row>
    <row r="85" spans="1:17" x14ac:dyDescent="0.2">
      <c r="A85" s="221" t="s">
        <v>188</v>
      </c>
      <c r="B85" s="222">
        <v>46093</v>
      </c>
      <c r="C85" s="211" t="s">
        <v>197</v>
      </c>
      <c r="D85" s="212" t="s">
        <v>134</v>
      </c>
      <c r="E85" s="212">
        <v>20060008</v>
      </c>
      <c r="F85" s="213" t="s">
        <v>147</v>
      </c>
      <c r="G85" s="212" t="s">
        <v>155</v>
      </c>
      <c r="H85" s="213"/>
      <c r="I85" s="213" t="s">
        <v>91</v>
      </c>
      <c r="J85" s="214" t="s">
        <v>141</v>
      </c>
      <c r="K85" s="215">
        <v>10</v>
      </c>
      <c r="L85" s="74">
        <v>1250</v>
      </c>
      <c r="M85" s="212">
        <v>12500</v>
      </c>
      <c r="N85" s="6"/>
      <c r="O85" s="63" t="s">
        <v>59</v>
      </c>
      <c r="P85" s="6"/>
      <c r="Q85" s="6"/>
    </row>
    <row r="86" spans="1:17" x14ac:dyDescent="0.2">
      <c r="A86" s="221" t="s">
        <v>188</v>
      </c>
      <c r="B86" s="222">
        <v>46093</v>
      </c>
      <c r="C86" s="211" t="s">
        <v>197</v>
      </c>
      <c r="D86" s="212" t="s">
        <v>134</v>
      </c>
      <c r="E86" s="212">
        <v>20010016</v>
      </c>
      <c r="F86" s="213" t="s">
        <v>150</v>
      </c>
      <c r="G86" s="212" t="s">
        <v>155</v>
      </c>
      <c r="H86" s="213"/>
      <c r="I86" s="213" t="s">
        <v>95</v>
      </c>
      <c r="J86" s="214" t="s">
        <v>141</v>
      </c>
      <c r="K86" s="215">
        <v>1</v>
      </c>
      <c r="L86" s="74">
        <v>1250</v>
      </c>
      <c r="M86" s="212">
        <v>15</v>
      </c>
      <c r="N86" s="6"/>
      <c r="O86" s="63" t="s">
        <v>59</v>
      </c>
      <c r="P86" s="6"/>
      <c r="Q86" s="6"/>
    </row>
    <row r="87" spans="1:17" x14ac:dyDescent="0.2">
      <c r="A87" s="221" t="s">
        <v>188</v>
      </c>
      <c r="B87" s="222">
        <v>46093</v>
      </c>
      <c r="C87" s="211" t="s">
        <v>197</v>
      </c>
      <c r="D87" s="212" t="s">
        <v>134</v>
      </c>
      <c r="E87" s="212">
        <v>20060001</v>
      </c>
      <c r="F87" s="213" t="s">
        <v>91</v>
      </c>
      <c r="G87" s="212" t="s">
        <v>178</v>
      </c>
      <c r="H87" s="213"/>
      <c r="I87" s="213" t="s">
        <v>91</v>
      </c>
      <c r="J87" s="214" t="s">
        <v>141</v>
      </c>
      <c r="K87" s="215">
        <v>1</v>
      </c>
      <c r="L87" s="74">
        <v>1250</v>
      </c>
      <c r="M87" s="212">
        <v>1250</v>
      </c>
      <c r="N87" s="6"/>
      <c r="O87" s="63" t="s">
        <v>59</v>
      </c>
      <c r="P87" s="6"/>
      <c r="Q87" s="6"/>
    </row>
    <row r="88" spans="1:17" x14ac:dyDescent="0.2">
      <c r="A88" s="221" t="s">
        <v>188</v>
      </c>
      <c r="B88" s="222">
        <v>46093</v>
      </c>
      <c r="C88" s="211" t="s">
        <v>197</v>
      </c>
      <c r="D88" s="212" t="s">
        <v>134</v>
      </c>
      <c r="E88" s="212">
        <v>20020001</v>
      </c>
      <c r="F88" s="213" t="s">
        <v>88</v>
      </c>
      <c r="G88" s="212" t="s">
        <v>202</v>
      </c>
      <c r="H88" s="213"/>
      <c r="I88" s="213" t="s">
        <v>88</v>
      </c>
      <c r="J88" s="214" t="s">
        <v>141</v>
      </c>
      <c r="K88" s="215">
        <v>0</v>
      </c>
      <c r="L88" s="74">
        <v>1250</v>
      </c>
      <c r="M88" s="212">
        <v>32</v>
      </c>
      <c r="N88" s="6"/>
      <c r="O88" s="63" t="s">
        <v>59</v>
      </c>
      <c r="P88" s="6"/>
      <c r="Q88" s="6"/>
    </row>
    <row r="89" spans="1:17" hidden="1" x14ac:dyDescent="0.2">
      <c r="A89" s="221" t="s">
        <v>188</v>
      </c>
      <c r="B89" s="222">
        <v>46093</v>
      </c>
      <c r="C89" s="211" t="s">
        <v>197</v>
      </c>
      <c r="D89" s="212" t="s">
        <v>134</v>
      </c>
      <c r="E89" s="212">
        <v>20070009</v>
      </c>
      <c r="F89" s="213" t="s">
        <v>203</v>
      </c>
      <c r="G89" s="212" t="s">
        <v>202</v>
      </c>
      <c r="H89" s="213"/>
      <c r="I89" s="213" t="s">
        <v>99</v>
      </c>
      <c r="J89" s="214" t="s">
        <v>141</v>
      </c>
      <c r="K89" s="215">
        <v>3</v>
      </c>
      <c r="L89" s="74">
        <v>1250</v>
      </c>
      <c r="M89" s="212">
        <v>3750</v>
      </c>
      <c r="N89" s="6"/>
      <c r="O89" s="63"/>
      <c r="P89" s="6" t="s">
        <v>204</v>
      </c>
      <c r="Q89" s="6"/>
    </row>
    <row r="90" spans="1:17" x14ac:dyDescent="0.2">
      <c r="A90" s="235" t="s">
        <v>188</v>
      </c>
      <c r="B90" s="236">
        <v>46100</v>
      </c>
      <c r="C90" s="227" t="s">
        <v>211</v>
      </c>
      <c r="D90" s="228" t="s">
        <v>134</v>
      </c>
      <c r="E90" s="228">
        <v>20020020</v>
      </c>
      <c r="F90" s="229" t="s">
        <v>126</v>
      </c>
      <c r="G90" s="228" t="s">
        <v>136</v>
      </c>
      <c r="H90" s="229"/>
      <c r="I90" s="229" t="s">
        <v>88</v>
      </c>
      <c r="J90" s="230" t="s">
        <v>141</v>
      </c>
      <c r="K90" s="231">
        <v>0</v>
      </c>
      <c r="L90" s="74">
        <v>1250</v>
      </c>
      <c r="M90" s="228">
        <v>56</v>
      </c>
      <c r="N90" s="6"/>
      <c r="O90" s="63" t="s">
        <v>59</v>
      </c>
      <c r="P90" s="6"/>
      <c r="Q90" s="6"/>
    </row>
    <row r="91" spans="1:17" x14ac:dyDescent="0.2">
      <c r="A91" s="235" t="s">
        <v>188</v>
      </c>
      <c r="B91" s="236">
        <v>46100</v>
      </c>
      <c r="C91" s="227" t="s">
        <v>211</v>
      </c>
      <c r="D91" s="228" t="s">
        <v>134</v>
      </c>
      <c r="E91" s="228">
        <v>20020020</v>
      </c>
      <c r="F91" s="229" t="s">
        <v>126</v>
      </c>
      <c r="G91" s="228" t="s">
        <v>137</v>
      </c>
      <c r="H91" s="229"/>
      <c r="I91" s="229" t="s">
        <v>88</v>
      </c>
      <c r="J91" s="230" t="s">
        <v>141</v>
      </c>
      <c r="K91" s="231">
        <v>0</v>
      </c>
      <c r="L91" s="74">
        <v>1250</v>
      </c>
      <c r="M91" s="228">
        <v>568</v>
      </c>
      <c r="N91" s="6"/>
      <c r="O91" s="63" t="s">
        <v>59</v>
      </c>
      <c r="P91" s="6"/>
      <c r="Q91" s="6"/>
    </row>
    <row r="92" spans="1:17" x14ac:dyDescent="0.2">
      <c r="A92" s="235" t="s">
        <v>188</v>
      </c>
      <c r="B92" s="236">
        <v>46100</v>
      </c>
      <c r="C92" s="227" t="s">
        <v>211</v>
      </c>
      <c r="D92" s="228" t="s">
        <v>134</v>
      </c>
      <c r="E92" s="228">
        <v>20020020</v>
      </c>
      <c r="F92" s="229" t="s">
        <v>126</v>
      </c>
      <c r="G92" s="228" t="s">
        <v>139</v>
      </c>
      <c r="H92" s="229"/>
      <c r="I92" s="229" t="s">
        <v>88</v>
      </c>
      <c r="J92" s="230" t="s">
        <v>141</v>
      </c>
      <c r="K92" s="231">
        <v>0</v>
      </c>
      <c r="L92" s="74">
        <v>1250</v>
      </c>
      <c r="M92" s="228">
        <v>865</v>
      </c>
      <c r="N92" s="6"/>
      <c r="O92" s="63" t="s">
        <v>59</v>
      </c>
      <c r="P92" s="6"/>
      <c r="Q92" s="6"/>
    </row>
    <row r="93" spans="1:17" x14ac:dyDescent="0.2">
      <c r="A93" s="235" t="s">
        <v>188</v>
      </c>
      <c r="B93" s="236">
        <v>46100</v>
      </c>
      <c r="C93" s="227" t="s">
        <v>211</v>
      </c>
      <c r="D93" s="228" t="s">
        <v>134</v>
      </c>
      <c r="E93" s="228">
        <v>20020020</v>
      </c>
      <c r="F93" s="229" t="s">
        <v>126</v>
      </c>
      <c r="G93" s="228" t="s">
        <v>140</v>
      </c>
      <c r="H93" s="229"/>
      <c r="I93" s="229" t="s">
        <v>88</v>
      </c>
      <c r="J93" s="230" t="s">
        <v>141</v>
      </c>
      <c r="K93" s="231">
        <v>0</v>
      </c>
      <c r="L93" s="74">
        <v>1250</v>
      </c>
      <c r="M93" s="228">
        <v>591</v>
      </c>
      <c r="N93" s="6"/>
      <c r="O93" s="63" t="s">
        <v>59</v>
      </c>
      <c r="P93" s="6"/>
      <c r="Q93" s="6"/>
    </row>
    <row r="94" spans="1:17" x14ac:dyDescent="0.2">
      <c r="A94" s="235" t="s">
        <v>188</v>
      </c>
      <c r="B94" s="236">
        <v>46100</v>
      </c>
      <c r="C94" s="227" t="s">
        <v>211</v>
      </c>
      <c r="D94" s="228" t="s">
        <v>134</v>
      </c>
      <c r="E94" s="228">
        <v>20020003</v>
      </c>
      <c r="F94" s="108" t="s">
        <v>142</v>
      </c>
      <c r="G94" s="228" t="s">
        <v>155</v>
      </c>
      <c r="H94" s="229"/>
      <c r="I94" s="229" t="s">
        <v>88</v>
      </c>
      <c r="J94" s="230" t="s">
        <v>141</v>
      </c>
      <c r="K94" s="231">
        <v>10</v>
      </c>
      <c r="L94" s="74">
        <v>1250</v>
      </c>
      <c r="M94" s="228">
        <v>12500</v>
      </c>
      <c r="N94" s="6"/>
      <c r="O94" s="63" t="s">
        <v>59</v>
      </c>
      <c r="P94" s="6"/>
      <c r="Q94" s="6"/>
    </row>
    <row r="95" spans="1:17" x14ac:dyDescent="0.2">
      <c r="A95" s="235" t="s">
        <v>188</v>
      </c>
      <c r="B95" s="236">
        <v>46100</v>
      </c>
      <c r="C95" s="227" t="s">
        <v>211</v>
      </c>
      <c r="D95" s="228" t="s">
        <v>134</v>
      </c>
      <c r="E95" s="228">
        <v>20020020</v>
      </c>
      <c r="F95" s="229" t="s">
        <v>126</v>
      </c>
      <c r="G95" s="228" t="s">
        <v>212</v>
      </c>
      <c r="H95" s="229"/>
      <c r="I95" s="229" t="s">
        <v>88</v>
      </c>
      <c r="J95" s="230" t="s">
        <v>141</v>
      </c>
      <c r="K95" s="231">
        <v>1</v>
      </c>
      <c r="L95" s="74">
        <v>1250</v>
      </c>
      <c r="M95" s="228">
        <v>1250</v>
      </c>
      <c r="N95" s="6"/>
      <c r="O95" s="63" t="s">
        <v>59</v>
      </c>
      <c r="P95" s="6"/>
      <c r="Q95" s="6"/>
    </row>
    <row r="96" spans="1:17" x14ac:dyDescent="0.2">
      <c r="A96" s="235" t="s">
        <v>188</v>
      </c>
      <c r="B96" s="236">
        <v>46100</v>
      </c>
      <c r="C96" s="227" t="s">
        <v>211</v>
      </c>
      <c r="D96" s="228" t="s">
        <v>134</v>
      </c>
      <c r="E96" s="228">
        <v>20020020</v>
      </c>
      <c r="F96" s="229" t="s">
        <v>126</v>
      </c>
      <c r="G96" s="228" t="s">
        <v>138</v>
      </c>
      <c r="H96" s="229"/>
      <c r="I96" s="229" t="s">
        <v>88</v>
      </c>
      <c r="J96" s="230" t="s">
        <v>141</v>
      </c>
      <c r="K96" s="231">
        <v>2</v>
      </c>
      <c r="L96" s="74">
        <v>1250</v>
      </c>
      <c r="M96" s="228">
        <v>2500</v>
      </c>
      <c r="N96" s="6"/>
      <c r="O96" s="63" t="s">
        <v>59</v>
      </c>
      <c r="P96" s="6"/>
      <c r="Q96" s="6"/>
    </row>
    <row r="97" spans="1:17" x14ac:dyDescent="0.2">
      <c r="A97" s="235" t="s">
        <v>188</v>
      </c>
      <c r="B97" s="236">
        <v>46100</v>
      </c>
      <c r="C97" s="227" t="s">
        <v>211</v>
      </c>
      <c r="D97" s="228" t="s">
        <v>134</v>
      </c>
      <c r="E97" s="228">
        <v>20020020</v>
      </c>
      <c r="F97" s="229" t="s">
        <v>126</v>
      </c>
      <c r="G97" s="228" t="s">
        <v>177</v>
      </c>
      <c r="H97" s="229"/>
      <c r="I97" s="229" t="s">
        <v>88</v>
      </c>
      <c r="J97" s="230" t="s">
        <v>141</v>
      </c>
      <c r="K97" s="231">
        <v>1</v>
      </c>
      <c r="L97" s="74">
        <v>1250</v>
      </c>
      <c r="M97" s="228">
        <v>1250</v>
      </c>
      <c r="N97" s="6"/>
      <c r="O97" s="63" t="s">
        <v>59</v>
      </c>
      <c r="P97" s="6"/>
      <c r="Q97" s="6"/>
    </row>
    <row r="98" spans="1:17" x14ac:dyDescent="0.2">
      <c r="A98" s="235" t="s">
        <v>188</v>
      </c>
      <c r="B98" s="236">
        <v>46100</v>
      </c>
      <c r="C98" s="227" t="s">
        <v>211</v>
      </c>
      <c r="D98" s="228" t="s">
        <v>134</v>
      </c>
      <c r="E98" s="228">
        <v>20020006</v>
      </c>
      <c r="F98" s="229" t="s">
        <v>195</v>
      </c>
      <c r="G98" s="228" t="s">
        <v>155</v>
      </c>
      <c r="H98" s="229"/>
      <c r="I98" s="229" t="s">
        <v>88</v>
      </c>
      <c r="J98" s="230" t="s">
        <v>141</v>
      </c>
      <c r="K98" s="231">
        <v>5</v>
      </c>
      <c r="L98" s="74">
        <v>1250</v>
      </c>
      <c r="M98" s="228">
        <v>3677</v>
      </c>
      <c r="N98" s="6"/>
      <c r="O98" s="63" t="s">
        <v>59</v>
      </c>
      <c r="P98" s="6"/>
      <c r="Q98" s="6"/>
    </row>
    <row r="99" spans="1:17" x14ac:dyDescent="0.2">
      <c r="A99" s="235" t="s">
        <v>188</v>
      </c>
      <c r="B99" s="236">
        <v>46100</v>
      </c>
      <c r="C99" s="227" t="s">
        <v>211</v>
      </c>
      <c r="D99" s="228" t="s">
        <v>134</v>
      </c>
      <c r="E99" s="228">
        <v>20020011</v>
      </c>
      <c r="F99" s="229" t="s">
        <v>165</v>
      </c>
      <c r="G99" s="228" t="s">
        <v>213</v>
      </c>
      <c r="H99" s="229"/>
      <c r="I99" s="229" t="s">
        <v>88</v>
      </c>
      <c r="J99" s="230" t="s">
        <v>141</v>
      </c>
      <c r="K99" s="231">
        <v>1</v>
      </c>
      <c r="L99" s="74">
        <v>1250</v>
      </c>
      <c r="M99" s="228">
        <v>1250</v>
      </c>
      <c r="N99" s="6"/>
      <c r="O99" s="63" t="s">
        <v>59</v>
      </c>
      <c r="P99" s="6"/>
      <c r="Q99" s="6"/>
    </row>
    <row r="100" spans="1:17" x14ac:dyDescent="0.2">
      <c r="A100" s="235" t="s">
        <v>188</v>
      </c>
      <c r="B100" s="236">
        <v>46100</v>
      </c>
      <c r="C100" s="227" t="s">
        <v>211</v>
      </c>
      <c r="D100" s="228" t="s">
        <v>134</v>
      </c>
      <c r="E100" s="228">
        <v>20070001</v>
      </c>
      <c r="F100" s="229" t="s">
        <v>99</v>
      </c>
      <c r="G100" s="228" t="s">
        <v>155</v>
      </c>
      <c r="H100" s="229"/>
      <c r="I100" s="229" t="s">
        <v>99</v>
      </c>
      <c r="J100" s="230" t="s">
        <v>141</v>
      </c>
      <c r="K100" s="231">
        <v>3</v>
      </c>
      <c r="L100" s="74">
        <v>1250</v>
      </c>
      <c r="M100" s="228">
        <v>3750</v>
      </c>
      <c r="N100" s="6"/>
      <c r="O100" s="63" t="s">
        <v>59</v>
      </c>
      <c r="P100" s="6"/>
      <c r="Q100" s="6"/>
    </row>
    <row r="101" spans="1:17" x14ac:dyDescent="0.2">
      <c r="A101" s="235" t="s">
        <v>188</v>
      </c>
      <c r="B101" s="236">
        <v>46100</v>
      </c>
      <c r="C101" s="227" t="s">
        <v>211</v>
      </c>
      <c r="D101" s="228" t="s">
        <v>134</v>
      </c>
      <c r="E101" s="228">
        <v>20070002</v>
      </c>
      <c r="F101" s="229" t="s">
        <v>166</v>
      </c>
      <c r="G101" s="228" t="s">
        <v>155</v>
      </c>
      <c r="H101" s="229"/>
      <c r="I101" s="229" t="s">
        <v>99</v>
      </c>
      <c r="J101" s="230" t="s">
        <v>141</v>
      </c>
      <c r="K101" s="231">
        <v>2</v>
      </c>
      <c r="L101" s="74">
        <v>1250</v>
      </c>
      <c r="M101" s="228">
        <v>2500</v>
      </c>
      <c r="N101" s="6"/>
      <c r="O101" s="63" t="s">
        <v>59</v>
      </c>
      <c r="P101" s="6"/>
      <c r="Q101" s="6"/>
    </row>
    <row r="102" spans="1:17" x14ac:dyDescent="0.2">
      <c r="A102" s="235" t="s">
        <v>188</v>
      </c>
      <c r="B102" s="236">
        <v>46100</v>
      </c>
      <c r="C102" s="227" t="s">
        <v>211</v>
      </c>
      <c r="D102" s="228" t="s">
        <v>134</v>
      </c>
      <c r="E102" s="228">
        <v>20020001</v>
      </c>
      <c r="F102" s="229" t="s">
        <v>88</v>
      </c>
      <c r="G102" s="228" t="s">
        <v>155</v>
      </c>
      <c r="H102" s="229"/>
      <c r="I102" s="229" t="s">
        <v>88</v>
      </c>
      <c r="J102" s="230" t="s">
        <v>141</v>
      </c>
      <c r="K102" s="231">
        <v>1</v>
      </c>
      <c r="L102" s="74">
        <v>1250</v>
      </c>
      <c r="M102" s="228">
        <v>1250</v>
      </c>
      <c r="N102" s="6"/>
      <c r="O102" s="63" t="s">
        <v>59</v>
      </c>
      <c r="P102" s="6"/>
      <c r="Q102" s="6"/>
    </row>
    <row r="103" spans="1:17" x14ac:dyDescent="0.2">
      <c r="A103" s="235" t="s">
        <v>188</v>
      </c>
      <c r="B103" s="236">
        <v>46100</v>
      </c>
      <c r="C103" s="227" t="s">
        <v>211</v>
      </c>
      <c r="D103" s="228" t="s">
        <v>134</v>
      </c>
      <c r="E103" s="228">
        <v>20020001</v>
      </c>
      <c r="F103" s="229" t="s">
        <v>88</v>
      </c>
      <c r="G103" s="228" t="s">
        <v>158</v>
      </c>
      <c r="H103" s="229"/>
      <c r="I103" s="229" t="s">
        <v>88</v>
      </c>
      <c r="J103" s="230" t="s">
        <v>141</v>
      </c>
      <c r="K103" s="231">
        <v>1</v>
      </c>
      <c r="L103" s="74">
        <v>1250</v>
      </c>
      <c r="M103" s="228">
        <v>1250</v>
      </c>
      <c r="N103" s="6"/>
      <c r="O103" s="63" t="s">
        <v>59</v>
      </c>
      <c r="P103" s="6"/>
      <c r="Q103" s="6"/>
    </row>
    <row r="104" spans="1:17" x14ac:dyDescent="0.2">
      <c r="A104" s="235" t="s">
        <v>188</v>
      </c>
      <c r="B104" s="236">
        <v>46100</v>
      </c>
      <c r="C104" s="227" t="s">
        <v>211</v>
      </c>
      <c r="D104" s="228" t="s">
        <v>134</v>
      </c>
      <c r="E104" s="228">
        <v>20020001</v>
      </c>
      <c r="F104" s="229" t="s">
        <v>88</v>
      </c>
      <c r="G104" s="228" t="s">
        <v>185</v>
      </c>
      <c r="H104" s="229"/>
      <c r="I104" s="229" t="s">
        <v>88</v>
      </c>
      <c r="J104" s="230" t="s">
        <v>141</v>
      </c>
      <c r="K104" s="231">
        <v>1</v>
      </c>
      <c r="L104" s="74">
        <v>1250</v>
      </c>
      <c r="M104" s="228">
        <v>1250</v>
      </c>
      <c r="N104" s="6"/>
      <c r="O104" s="63" t="s">
        <v>59</v>
      </c>
      <c r="P104" s="6"/>
      <c r="Q104" s="6"/>
    </row>
    <row r="105" spans="1:17" x14ac:dyDescent="0.2">
      <c r="A105" s="235" t="s">
        <v>188</v>
      </c>
      <c r="B105" s="236">
        <v>46100</v>
      </c>
      <c r="C105" s="227" t="s">
        <v>211</v>
      </c>
      <c r="D105" s="228" t="s">
        <v>134</v>
      </c>
      <c r="E105" s="228">
        <v>20020001</v>
      </c>
      <c r="F105" s="229" t="s">
        <v>88</v>
      </c>
      <c r="G105" s="228" t="s">
        <v>183</v>
      </c>
      <c r="H105" s="229"/>
      <c r="I105" s="229" t="s">
        <v>88</v>
      </c>
      <c r="J105" s="230" t="s">
        <v>141</v>
      </c>
      <c r="K105" s="231">
        <v>1</v>
      </c>
      <c r="L105" s="74">
        <v>1250</v>
      </c>
      <c r="M105" s="228">
        <v>1250</v>
      </c>
      <c r="N105" s="6"/>
      <c r="O105" s="63" t="s">
        <v>59</v>
      </c>
      <c r="P105" s="6"/>
      <c r="Q105" s="6"/>
    </row>
    <row r="106" spans="1:17" x14ac:dyDescent="0.2">
      <c r="A106" s="235" t="s">
        <v>188</v>
      </c>
      <c r="B106" s="236">
        <v>46100</v>
      </c>
      <c r="C106" s="227" t="s">
        <v>211</v>
      </c>
      <c r="D106" s="228" t="s">
        <v>134</v>
      </c>
      <c r="E106" s="228">
        <v>20020001</v>
      </c>
      <c r="F106" s="229" t="s">
        <v>88</v>
      </c>
      <c r="G106" s="228" t="s">
        <v>181</v>
      </c>
      <c r="H106" s="229"/>
      <c r="I106" s="229" t="s">
        <v>88</v>
      </c>
      <c r="J106" s="230" t="s">
        <v>141</v>
      </c>
      <c r="K106" s="231">
        <v>1</v>
      </c>
      <c r="L106" s="74">
        <v>1250</v>
      </c>
      <c r="M106" s="228">
        <v>1250</v>
      </c>
      <c r="N106" s="6"/>
      <c r="O106" s="63" t="s">
        <v>59</v>
      </c>
      <c r="P106" s="6"/>
      <c r="Q106" s="6"/>
    </row>
    <row r="107" spans="1:17" x14ac:dyDescent="0.2">
      <c r="A107" s="235" t="s">
        <v>188</v>
      </c>
      <c r="B107" s="236">
        <v>46100</v>
      </c>
      <c r="C107" s="227" t="s">
        <v>211</v>
      </c>
      <c r="D107" s="228" t="s">
        <v>134</v>
      </c>
      <c r="E107" s="228">
        <v>20090015</v>
      </c>
      <c r="F107" s="229" t="s">
        <v>171</v>
      </c>
      <c r="G107" s="228" t="s">
        <v>175</v>
      </c>
      <c r="H107" s="229"/>
      <c r="I107" s="229" t="s">
        <v>124</v>
      </c>
      <c r="J107" s="230" t="s">
        <v>141</v>
      </c>
      <c r="K107" s="231">
        <v>1</v>
      </c>
      <c r="L107" s="74">
        <v>1250</v>
      </c>
      <c r="M107" s="228">
        <v>1250</v>
      </c>
      <c r="N107" s="6"/>
      <c r="O107" s="63" t="s">
        <v>59</v>
      </c>
      <c r="P107" s="6"/>
      <c r="Q107" s="6"/>
    </row>
    <row r="108" spans="1:17" x14ac:dyDescent="0.2">
      <c r="A108" s="235" t="s">
        <v>188</v>
      </c>
      <c r="B108" s="236">
        <v>46100</v>
      </c>
      <c r="C108" s="227" t="s">
        <v>211</v>
      </c>
      <c r="D108" s="228" t="s">
        <v>134</v>
      </c>
      <c r="E108" s="228">
        <v>20090015</v>
      </c>
      <c r="F108" s="229" t="s">
        <v>171</v>
      </c>
      <c r="G108" s="228" t="s">
        <v>199</v>
      </c>
      <c r="H108" s="229"/>
      <c r="I108" s="229" t="s">
        <v>124</v>
      </c>
      <c r="J108" s="230" t="s">
        <v>141</v>
      </c>
      <c r="K108" s="231">
        <v>0</v>
      </c>
      <c r="L108" s="74">
        <v>1250</v>
      </c>
      <c r="M108" s="228">
        <v>110</v>
      </c>
      <c r="N108" s="6"/>
      <c r="O108" s="63" t="s">
        <v>59</v>
      </c>
      <c r="P108" s="6"/>
      <c r="Q108" s="6"/>
    </row>
    <row r="109" spans="1:17" x14ac:dyDescent="0.2">
      <c r="A109" s="235" t="s">
        <v>188</v>
      </c>
      <c r="B109" s="236">
        <v>46100</v>
      </c>
      <c r="C109" s="227" t="s">
        <v>211</v>
      </c>
      <c r="D109" s="228" t="s">
        <v>134</v>
      </c>
      <c r="E109" s="228">
        <v>20090015</v>
      </c>
      <c r="F109" s="229" t="s">
        <v>171</v>
      </c>
      <c r="G109" s="228" t="s">
        <v>176</v>
      </c>
      <c r="H109" s="229"/>
      <c r="I109" s="229" t="s">
        <v>124</v>
      </c>
      <c r="J109" s="230" t="s">
        <v>141</v>
      </c>
      <c r="K109" s="231">
        <v>0</v>
      </c>
      <c r="L109" s="74">
        <v>1250</v>
      </c>
      <c r="M109" s="228">
        <v>208</v>
      </c>
      <c r="N109" s="6"/>
      <c r="O109" s="63" t="s">
        <v>59</v>
      </c>
      <c r="P109" s="6"/>
      <c r="Q109" s="6"/>
    </row>
    <row r="110" spans="1:17" x14ac:dyDescent="0.2">
      <c r="A110" s="235" t="s">
        <v>188</v>
      </c>
      <c r="B110" s="236">
        <v>46100</v>
      </c>
      <c r="C110" s="227" t="s">
        <v>211</v>
      </c>
      <c r="D110" s="228" t="s">
        <v>134</v>
      </c>
      <c r="E110" s="228">
        <v>20090015</v>
      </c>
      <c r="F110" s="229" t="s">
        <v>171</v>
      </c>
      <c r="G110" s="228" t="s">
        <v>177</v>
      </c>
      <c r="H110" s="229"/>
      <c r="I110" s="229" t="s">
        <v>124</v>
      </c>
      <c r="J110" s="230" t="s">
        <v>141</v>
      </c>
      <c r="K110" s="231">
        <v>0</v>
      </c>
      <c r="L110" s="74">
        <v>1250</v>
      </c>
      <c r="M110" s="228">
        <v>198</v>
      </c>
      <c r="N110" s="6"/>
      <c r="O110" s="63" t="s">
        <v>59</v>
      </c>
      <c r="P110" s="6"/>
      <c r="Q110" s="6"/>
    </row>
    <row r="111" spans="1:17" x14ac:dyDescent="0.2">
      <c r="A111" s="235" t="s">
        <v>188</v>
      </c>
      <c r="B111" s="236">
        <v>46100</v>
      </c>
      <c r="C111" s="227" t="s">
        <v>211</v>
      </c>
      <c r="D111" s="228" t="s">
        <v>134</v>
      </c>
      <c r="E111" s="228">
        <v>20090015</v>
      </c>
      <c r="F111" s="229" t="s">
        <v>171</v>
      </c>
      <c r="G111" s="228" t="s">
        <v>214</v>
      </c>
      <c r="H111" s="229"/>
      <c r="I111" s="229" t="s">
        <v>124</v>
      </c>
      <c r="J111" s="230" t="s">
        <v>141</v>
      </c>
      <c r="K111" s="231">
        <v>0</v>
      </c>
      <c r="L111" s="74">
        <v>1250</v>
      </c>
      <c r="M111" s="228">
        <v>119</v>
      </c>
      <c r="N111" s="6"/>
      <c r="O111" s="63" t="s">
        <v>59</v>
      </c>
      <c r="P111" s="6"/>
      <c r="Q111" s="6"/>
    </row>
    <row r="112" spans="1:17" x14ac:dyDescent="0.2">
      <c r="A112" s="235" t="s">
        <v>188</v>
      </c>
      <c r="B112" s="236">
        <v>46100</v>
      </c>
      <c r="C112" s="227" t="s">
        <v>211</v>
      </c>
      <c r="D112" s="228" t="s">
        <v>134</v>
      </c>
      <c r="E112" s="228">
        <v>20090011</v>
      </c>
      <c r="F112" s="229" t="s">
        <v>131</v>
      </c>
      <c r="G112" s="228" t="s">
        <v>158</v>
      </c>
      <c r="H112" s="229"/>
      <c r="I112" s="229" t="s">
        <v>124</v>
      </c>
      <c r="J112" s="230" t="s">
        <v>141</v>
      </c>
      <c r="K112" s="231">
        <v>2</v>
      </c>
      <c r="L112" s="74">
        <v>1250</v>
      </c>
      <c r="M112" s="228">
        <v>2500</v>
      </c>
      <c r="N112" s="6"/>
      <c r="O112" s="63" t="s">
        <v>59</v>
      </c>
      <c r="P112" s="6"/>
      <c r="Q112" s="6"/>
    </row>
    <row r="113" spans="1:17" x14ac:dyDescent="0.2">
      <c r="A113" s="235" t="s">
        <v>188</v>
      </c>
      <c r="B113" s="236">
        <v>46100</v>
      </c>
      <c r="C113" s="227" t="s">
        <v>211</v>
      </c>
      <c r="D113" s="228" t="s">
        <v>134</v>
      </c>
      <c r="E113" s="228">
        <v>20090011</v>
      </c>
      <c r="F113" s="229" t="s">
        <v>131</v>
      </c>
      <c r="G113" s="228" t="s">
        <v>215</v>
      </c>
      <c r="H113" s="229"/>
      <c r="I113" s="229" t="s">
        <v>124</v>
      </c>
      <c r="J113" s="230" t="s">
        <v>141</v>
      </c>
      <c r="K113" s="231">
        <v>1</v>
      </c>
      <c r="L113" s="74">
        <v>1250</v>
      </c>
      <c r="M113" s="228">
        <v>1250</v>
      </c>
      <c r="N113" s="6"/>
      <c r="O113" s="63" t="s">
        <v>59</v>
      </c>
      <c r="P113" s="6"/>
      <c r="Q113" s="6"/>
    </row>
    <row r="114" spans="1:17" x14ac:dyDescent="0.2">
      <c r="A114" s="235" t="s">
        <v>188</v>
      </c>
      <c r="B114" s="236">
        <v>46100</v>
      </c>
      <c r="C114" s="227" t="s">
        <v>211</v>
      </c>
      <c r="D114" s="228" t="s">
        <v>134</v>
      </c>
      <c r="E114" s="228">
        <v>20090001</v>
      </c>
      <c r="F114" s="229" t="s">
        <v>124</v>
      </c>
      <c r="G114" s="228" t="s">
        <v>185</v>
      </c>
      <c r="H114" s="229"/>
      <c r="I114" s="229" t="s">
        <v>124</v>
      </c>
      <c r="J114" s="230" t="s">
        <v>141</v>
      </c>
      <c r="K114" s="231">
        <v>1</v>
      </c>
      <c r="L114" s="74">
        <v>1250</v>
      </c>
      <c r="M114" s="228">
        <v>586</v>
      </c>
      <c r="N114" s="6"/>
      <c r="O114" s="63" t="s">
        <v>59</v>
      </c>
      <c r="P114" s="6"/>
      <c r="Q114" s="6"/>
    </row>
    <row r="115" spans="1:17" x14ac:dyDescent="0.2">
      <c r="A115" s="235" t="s">
        <v>188</v>
      </c>
      <c r="B115" s="236">
        <v>46100</v>
      </c>
      <c r="C115" s="227" t="s">
        <v>211</v>
      </c>
      <c r="D115" s="228" t="s">
        <v>134</v>
      </c>
      <c r="E115" s="228">
        <v>20010053</v>
      </c>
      <c r="F115" s="229" t="s">
        <v>130</v>
      </c>
      <c r="G115" s="228" t="s">
        <v>158</v>
      </c>
      <c r="H115" s="229"/>
      <c r="I115" s="229" t="s">
        <v>124</v>
      </c>
      <c r="J115" s="230" t="s">
        <v>141</v>
      </c>
      <c r="K115" s="231">
        <v>1</v>
      </c>
      <c r="L115" s="74">
        <v>1250</v>
      </c>
      <c r="M115" s="228">
        <v>1250</v>
      </c>
      <c r="N115" s="6"/>
      <c r="O115" s="63" t="s">
        <v>59</v>
      </c>
      <c r="P115" s="6"/>
      <c r="Q115" s="6"/>
    </row>
    <row r="116" spans="1:17" x14ac:dyDescent="0.2">
      <c r="A116" s="235" t="s">
        <v>188</v>
      </c>
      <c r="B116" s="236">
        <v>46100</v>
      </c>
      <c r="C116" s="227" t="s">
        <v>211</v>
      </c>
      <c r="D116" s="228" t="s">
        <v>134</v>
      </c>
      <c r="E116" s="228">
        <v>20010053</v>
      </c>
      <c r="F116" s="229" t="s">
        <v>130</v>
      </c>
      <c r="G116" s="228" t="s">
        <v>176</v>
      </c>
      <c r="H116" s="229"/>
      <c r="I116" s="229" t="s">
        <v>124</v>
      </c>
      <c r="J116" s="230" t="s">
        <v>141</v>
      </c>
      <c r="K116" s="231">
        <v>0</v>
      </c>
      <c r="L116" s="74">
        <v>1250</v>
      </c>
      <c r="M116" s="228">
        <v>215</v>
      </c>
      <c r="N116" s="6"/>
      <c r="O116" s="63" t="s">
        <v>59</v>
      </c>
      <c r="P116" s="6"/>
      <c r="Q116" s="6"/>
    </row>
    <row r="117" spans="1:17" x14ac:dyDescent="0.2">
      <c r="A117" s="235" t="s">
        <v>188</v>
      </c>
      <c r="B117" s="236">
        <v>46100</v>
      </c>
      <c r="C117" s="227" t="s">
        <v>211</v>
      </c>
      <c r="D117" s="228" t="s">
        <v>134</v>
      </c>
      <c r="E117" s="228">
        <v>20010053</v>
      </c>
      <c r="F117" s="229" t="s">
        <v>130</v>
      </c>
      <c r="G117" s="228" t="s">
        <v>177</v>
      </c>
      <c r="H117" s="229"/>
      <c r="I117" s="229" t="s">
        <v>124</v>
      </c>
      <c r="J117" s="230" t="s">
        <v>141</v>
      </c>
      <c r="K117" s="231">
        <v>0</v>
      </c>
      <c r="L117" s="74">
        <v>1250</v>
      </c>
      <c r="M117" s="228">
        <v>168</v>
      </c>
      <c r="N117" s="6"/>
      <c r="O117" s="63" t="s">
        <v>59</v>
      </c>
      <c r="P117" s="6"/>
      <c r="Q117" s="6"/>
    </row>
    <row r="118" spans="1:17" x14ac:dyDescent="0.2">
      <c r="A118" s="235" t="s">
        <v>188</v>
      </c>
      <c r="B118" s="236">
        <v>46100</v>
      </c>
      <c r="C118" s="227" t="s">
        <v>211</v>
      </c>
      <c r="D118" s="228" t="s">
        <v>134</v>
      </c>
      <c r="E118" s="228">
        <v>20010053</v>
      </c>
      <c r="F118" s="229" t="s">
        <v>130</v>
      </c>
      <c r="G118" s="228" t="s">
        <v>161</v>
      </c>
      <c r="H118" s="229"/>
      <c r="I118" s="229" t="s">
        <v>124</v>
      </c>
      <c r="J118" s="230" t="s">
        <v>141</v>
      </c>
      <c r="K118" s="231">
        <v>0</v>
      </c>
      <c r="L118" s="74">
        <v>1250</v>
      </c>
      <c r="M118" s="228">
        <v>148</v>
      </c>
      <c r="N118" s="6"/>
      <c r="O118" s="63" t="s">
        <v>59</v>
      </c>
      <c r="P118" s="6"/>
      <c r="Q118" s="6"/>
    </row>
    <row r="119" spans="1:17" x14ac:dyDescent="0.2">
      <c r="A119" s="235" t="s">
        <v>188</v>
      </c>
      <c r="B119" s="236">
        <v>46100</v>
      </c>
      <c r="C119" s="227" t="s">
        <v>211</v>
      </c>
      <c r="D119" s="228" t="s">
        <v>134</v>
      </c>
      <c r="E119" s="228">
        <v>20010053</v>
      </c>
      <c r="F119" s="229" t="s">
        <v>130</v>
      </c>
      <c r="G119" s="228" t="s">
        <v>216</v>
      </c>
      <c r="H119" s="229"/>
      <c r="I119" s="229" t="s">
        <v>124</v>
      </c>
      <c r="J119" s="230" t="s">
        <v>141</v>
      </c>
      <c r="K119" s="231">
        <v>0</v>
      </c>
      <c r="L119" s="74">
        <v>1250</v>
      </c>
      <c r="M119" s="228">
        <v>213</v>
      </c>
      <c r="N119" s="6"/>
      <c r="O119" s="63" t="s">
        <v>59</v>
      </c>
      <c r="P119" s="6"/>
      <c r="Q119" s="6"/>
    </row>
    <row r="120" spans="1:17" x14ac:dyDescent="0.2">
      <c r="A120" s="235" t="s">
        <v>188</v>
      </c>
      <c r="B120" s="236">
        <v>46100</v>
      </c>
      <c r="C120" s="227" t="s">
        <v>211</v>
      </c>
      <c r="D120" s="228" t="s">
        <v>134</v>
      </c>
      <c r="E120" s="228">
        <v>20090025</v>
      </c>
      <c r="F120" s="229" t="s">
        <v>210</v>
      </c>
      <c r="G120" s="228" t="s">
        <v>155</v>
      </c>
      <c r="H120" s="229"/>
      <c r="I120" s="229" t="s">
        <v>124</v>
      </c>
      <c r="J120" s="230" t="s">
        <v>141</v>
      </c>
      <c r="K120" s="231">
        <v>3</v>
      </c>
      <c r="L120" s="74">
        <v>1250</v>
      </c>
      <c r="M120" s="228">
        <v>3750</v>
      </c>
      <c r="N120" s="6"/>
      <c r="O120" s="63" t="s">
        <v>59</v>
      </c>
      <c r="P120" s="6"/>
      <c r="Q120" s="6"/>
    </row>
    <row r="121" spans="1:17" x14ac:dyDescent="0.2">
      <c r="A121" s="235" t="s">
        <v>188</v>
      </c>
      <c r="B121" s="236">
        <v>46100</v>
      </c>
      <c r="C121" s="227" t="s">
        <v>211</v>
      </c>
      <c r="D121" s="228" t="s">
        <v>134</v>
      </c>
      <c r="E121" s="228">
        <v>20060001</v>
      </c>
      <c r="F121" s="229" t="s">
        <v>91</v>
      </c>
      <c r="G121" s="228" t="s">
        <v>178</v>
      </c>
      <c r="H121" s="229"/>
      <c r="I121" s="229" t="s">
        <v>91</v>
      </c>
      <c r="J121" s="230" t="s">
        <v>141</v>
      </c>
      <c r="K121" s="231">
        <v>3</v>
      </c>
      <c r="L121" s="74">
        <v>1250</v>
      </c>
      <c r="M121" s="228">
        <v>3750</v>
      </c>
      <c r="N121" s="6"/>
      <c r="O121" s="63" t="s">
        <v>59</v>
      </c>
      <c r="P121" s="6"/>
      <c r="Q121" s="6"/>
    </row>
    <row r="122" spans="1:17" x14ac:dyDescent="0.2">
      <c r="A122" s="235" t="s">
        <v>188</v>
      </c>
      <c r="B122" s="236">
        <v>46100</v>
      </c>
      <c r="C122" s="227" t="s">
        <v>211</v>
      </c>
      <c r="D122" s="228" t="s">
        <v>134</v>
      </c>
      <c r="E122" s="228">
        <v>20060001</v>
      </c>
      <c r="F122" s="229" t="s">
        <v>91</v>
      </c>
      <c r="G122" s="228" t="s">
        <v>138</v>
      </c>
      <c r="H122" s="229"/>
      <c r="I122" s="229" t="s">
        <v>91</v>
      </c>
      <c r="J122" s="230" t="s">
        <v>141</v>
      </c>
      <c r="K122" s="231">
        <v>2</v>
      </c>
      <c r="L122" s="74">
        <v>1250</v>
      </c>
      <c r="M122" s="228">
        <v>2500</v>
      </c>
      <c r="N122" s="6"/>
      <c r="O122" s="63" t="s">
        <v>59</v>
      </c>
      <c r="P122" s="6"/>
      <c r="Q122" s="6"/>
    </row>
    <row r="123" spans="1:17" x14ac:dyDescent="0.2">
      <c r="A123" s="235" t="s">
        <v>188</v>
      </c>
      <c r="B123" s="236">
        <v>46100</v>
      </c>
      <c r="C123" s="227" t="s">
        <v>211</v>
      </c>
      <c r="D123" s="228" t="s">
        <v>134</v>
      </c>
      <c r="E123" s="228">
        <v>20060003</v>
      </c>
      <c r="F123" s="229" t="s">
        <v>93</v>
      </c>
      <c r="G123" s="228" t="s">
        <v>155</v>
      </c>
      <c r="H123" s="229"/>
      <c r="I123" s="229" t="s">
        <v>93</v>
      </c>
      <c r="J123" s="230" t="s">
        <v>141</v>
      </c>
      <c r="K123" s="231">
        <v>20</v>
      </c>
      <c r="L123" s="74">
        <v>1250</v>
      </c>
      <c r="M123" s="228">
        <v>25000</v>
      </c>
      <c r="N123" s="6"/>
      <c r="O123" s="63" t="s">
        <v>59</v>
      </c>
      <c r="P123" s="6"/>
      <c r="Q123" s="6"/>
    </row>
    <row r="124" spans="1:17" x14ac:dyDescent="0.2">
      <c r="A124" s="235" t="s">
        <v>188</v>
      </c>
      <c r="B124" s="236">
        <v>46100</v>
      </c>
      <c r="C124" s="227" t="s">
        <v>211</v>
      </c>
      <c r="D124" s="228" t="s">
        <v>134</v>
      </c>
      <c r="E124" s="228">
        <v>20060008</v>
      </c>
      <c r="F124" s="229" t="s">
        <v>147</v>
      </c>
      <c r="G124" s="228" t="s">
        <v>155</v>
      </c>
      <c r="H124" s="229"/>
      <c r="I124" s="229" t="s">
        <v>91</v>
      </c>
      <c r="J124" s="230" t="s">
        <v>141</v>
      </c>
      <c r="K124" s="231">
        <v>10</v>
      </c>
      <c r="L124" s="74">
        <v>1250</v>
      </c>
      <c r="M124" s="228">
        <v>12500</v>
      </c>
      <c r="N124" s="6"/>
      <c r="O124" s="63" t="s">
        <v>59</v>
      </c>
      <c r="P124" s="6"/>
      <c r="Q124" s="6"/>
    </row>
    <row r="125" spans="1:17" x14ac:dyDescent="0.2">
      <c r="A125" s="235" t="s">
        <v>188</v>
      </c>
      <c r="B125" s="236">
        <v>46100</v>
      </c>
      <c r="C125" s="227" t="s">
        <v>211</v>
      </c>
      <c r="D125" s="228" t="s">
        <v>134</v>
      </c>
      <c r="E125" s="228">
        <v>20010003</v>
      </c>
      <c r="F125" s="229" t="s">
        <v>95</v>
      </c>
      <c r="G125" s="228" t="s">
        <v>158</v>
      </c>
      <c r="H125" s="229"/>
      <c r="I125" s="229" t="s">
        <v>95</v>
      </c>
      <c r="J125" s="230" t="s">
        <v>141</v>
      </c>
      <c r="K125" s="231">
        <v>6</v>
      </c>
      <c r="L125" s="74">
        <v>1250</v>
      </c>
      <c r="M125" s="228">
        <v>7500</v>
      </c>
      <c r="N125" s="6"/>
      <c r="O125" s="63" t="s">
        <v>59</v>
      </c>
      <c r="P125" s="6"/>
      <c r="Q125" s="6"/>
    </row>
    <row r="126" spans="1:17" x14ac:dyDescent="0.2">
      <c r="A126" s="235" t="s">
        <v>188</v>
      </c>
      <c r="B126" s="236">
        <v>46100</v>
      </c>
      <c r="C126" s="227" t="s">
        <v>211</v>
      </c>
      <c r="D126" s="228" t="s">
        <v>134</v>
      </c>
      <c r="E126" s="228">
        <v>20010008</v>
      </c>
      <c r="F126" s="229" t="s">
        <v>149</v>
      </c>
      <c r="G126" s="228" t="s">
        <v>187</v>
      </c>
      <c r="H126" s="229"/>
      <c r="I126" s="229" t="s">
        <v>95</v>
      </c>
      <c r="J126" s="230" t="s">
        <v>141</v>
      </c>
      <c r="K126" s="231">
        <v>5</v>
      </c>
      <c r="L126" s="74">
        <v>1250</v>
      </c>
      <c r="M126" s="228">
        <v>6250</v>
      </c>
      <c r="N126" s="6"/>
      <c r="O126" s="63" t="s">
        <v>59</v>
      </c>
      <c r="P126" s="6"/>
      <c r="Q126" s="6"/>
    </row>
    <row r="127" spans="1:17" x14ac:dyDescent="0.2">
      <c r="A127" s="235" t="s">
        <v>188</v>
      </c>
      <c r="B127" s="236">
        <v>46100</v>
      </c>
      <c r="C127" s="227" t="s">
        <v>211</v>
      </c>
      <c r="D127" s="228" t="s">
        <v>134</v>
      </c>
      <c r="E127" s="228">
        <v>20090003</v>
      </c>
      <c r="F127" s="229" t="s">
        <v>169</v>
      </c>
      <c r="G127" s="228" t="s">
        <v>155</v>
      </c>
      <c r="H127" s="229"/>
      <c r="I127" s="229" t="s">
        <v>124</v>
      </c>
      <c r="J127" s="230" t="s">
        <v>141</v>
      </c>
      <c r="K127" s="231">
        <v>0</v>
      </c>
      <c r="L127" s="74">
        <v>1250</v>
      </c>
      <c r="M127" s="228">
        <v>1910</v>
      </c>
      <c r="N127" s="6"/>
      <c r="O127" s="63" t="s">
        <v>59</v>
      </c>
      <c r="P127" s="6"/>
      <c r="Q127" s="6"/>
    </row>
    <row r="128" spans="1:17" x14ac:dyDescent="0.2">
      <c r="A128" s="235" t="s">
        <v>188</v>
      </c>
      <c r="B128" s="236">
        <v>46100</v>
      </c>
      <c r="C128" s="227" t="s">
        <v>211</v>
      </c>
      <c r="D128" s="228" t="s">
        <v>134</v>
      </c>
      <c r="E128" s="228">
        <v>20010053</v>
      </c>
      <c r="F128" s="229" t="s">
        <v>130</v>
      </c>
      <c r="G128" s="228" t="s">
        <v>217</v>
      </c>
      <c r="H128" s="229"/>
      <c r="I128" s="229" t="s">
        <v>124</v>
      </c>
      <c r="J128" s="230" t="s">
        <v>141</v>
      </c>
      <c r="K128" s="231">
        <v>0</v>
      </c>
      <c r="L128" s="74">
        <v>1250</v>
      </c>
      <c r="M128" s="228">
        <v>100</v>
      </c>
      <c r="N128" s="6"/>
      <c r="O128" s="63" t="s">
        <v>59</v>
      </c>
      <c r="P128" s="6"/>
      <c r="Q128" s="6"/>
    </row>
    <row r="129" spans="1:17" x14ac:dyDescent="0.2">
      <c r="A129" s="235" t="s">
        <v>188</v>
      </c>
      <c r="B129" s="236">
        <v>46100</v>
      </c>
      <c r="C129" s="227" t="s">
        <v>211</v>
      </c>
      <c r="D129" s="228" t="s">
        <v>134</v>
      </c>
      <c r="E129" s="228">
        <v>20010053</v>
      </c>
      <c r="F129" s="229" t="s">
        <v>130</v>
      </c>
      <c r="G129" s="228" t="s">
        <v>218</v>
      </c>
      <c r="H129" s="229"/>
      <c r="I129" s="229" t="s">
        <v>124</v>
      </c>
      <c r="J129" s="230" t="s">
        <v>141</v>
      </c>
      <c r="K129" s="231">
        <v>0</v>
      </c>
      <c r="L129" s="74">
        <v>1250</v>
      </c>
      <c r="M129" s="228">
        <v>100</v>
      </c>
      <c r="N129" s="6"/>
      <c r="O129" s="63" t="s">
        <v>59</v>
      </c>
      <c r="P129" s="6"/>
      <c r="Q129" s="6"/>
    </row>
    <row r="130" spans="1:17" x14ac:dyDescent="0.2">
      <c r="A130" s="235" t="s">
        <v>188</v>
      </c>
      <c r="B130" s="236">
        <v>46100</v>
      </c>
      <c r="C130" s="227" t="s">
        <v>211</v>
      </c>
      <c r="D130" s="228" t="s">
        <v>134</v>
      </c>
      <c r="E130" s="228">
        <v>20010053</v>
      </c>
      <c r="F130" s="229" t="s">
        <v>130</v>
      </c>
      <c r="G130" s="228" t="s">
        <v>219</v>
      </c>
      <c r="H130" s="229"/>
      <c r="I130" s="229" t="s">
        <v>124</v>
      </c>
      <c r="J130" s="230" t="s">
        <v>141</v>
      </c>
      <c r="K130" s="231">
        <v>0</v>
      </c>
      <c r="L130" s="74">
        <v>1250</v>
      </c>
      <c r="M130" s="228">
        <v>91</v>
      </c>
      <c r="N130" s="6"/>
      <c r="O130" s="63" t="s">
        <v>59</v>
      </c>
      <c r="P130" s="6"/>
      <c r="Q130" s="6"/>
    </row>
    <row r="131" spans="1:17" x14ac:dyDescent="0.2">
      <c r="A131" s="235" t="s">
        <v>188</v>
      </c>
      <c r="B131" s="236">
        <v>46100</v>
      </c>
      <c r="C131" s="227" t="s">
        <v>211</v>
      </c>
      <c r="D131" s="228" t="s">
        <v>134</v>
      </c>
      <c r="E131" s="228">
        <v>20010054</v>
      </c>
      <c r="F131" s="229" t="s">
        <v>170</v>
      </c>
      <c r="G131" s="228" t="s">
        <v>202</v>
      </c>
      <c r="H131" s="229"/>
      <c r="I131" s="229" t="s">
        <v>124</v>
      </c>
      <c r="J131" s="230" t="s">
        <v>141</v>
      </c>
      <c r="K131" s="231">
        <v>1</v>
      </c>
      <c r="L131" s="74">
        <v>1250</v>
      </c>
      <c r="M131" s="228">
        <v>1250</v>
      </c>
      <c r="N131" s="6"/>
      <c r="O131" s="63" t="s">
        <v>59</v>
      </c>
      <c r="P131" s="6"/>
      <c r="Q131" s="6"/>
    </row>
    <row r="132" spans="1:17" x14ac:dyDescent="0.2">
      <c r="A132" s="235" t="s">
        <v>188</v>
      </c>
      <c r="B132" s="236">
        <v>46100</v>
      </c>
      <c r="C132" s="227" t="s">
        <v>211</v>
      </c>
      <c r="D132" s="228" t="s">
        <v>134</v>
      </c>
      <c r="E132" s="228">
        <v>20060004</v>
      </c>
      <c r="F132" s="229" t="s">
        <v>92</v>
      </c>
      <c r="G132" s="228" t="s">
        <v>202</v>
      </c>
      <c r="H132" s="229"/>
      <c r="I132" s="229" t="s">
        <v>92</v>
      </c>
      <c r="J132" s="230" t="s">
        <v>141</v>
      </c>
      <c r="K132" s="231">
        <v>0</v>
      </c>
      <c r="L132" s="74">
        <v>1250</v>
      </c>
      <c r="M132" s="228">
        <v>6250</v>
      </c>
      <c r="N132" s="6"/>
      <c r="O132" s="63" t="s">
        <v>59</v>
      </c>
      <c r="P132" s="6"/>
      <c r="Q132" s="6"/>
    </row>
    <row r="133" spans="1:17" x14ac:dyDescent="0.2">
      <c r="A133" s="235" t="s">
        <v>188</v>
      </c>
      <c r="B133" s="236">
        <v>46100</v>
      </c>
      <c r="C133" s="227" t="s">
        <v>211</v>
      </c>
      <c r="D133" s="228" t="s">
        <v>134</v>
      </c>
      <c r="E133" s="228">
        <v>20010054</v>
      </c>
      <c r="F133" s="229" t="s">
        <v>170</v>
      </c>
      <c r="G133" s="228" t="s">
        <v>220</v>
      </c>
      <c r="H133" s="229"/>
      <c r="I133" s="229" t="s">
        <v>124</v>
      </c>
      <c r="J133" s="230" t="s">
        <v>141</v>
      </c>
      <c r="K133" s="231">
        <v>1</v>
      </c>
      <c r="L133" s="74">
        <v>1250</v>
      </c>
      <c r="M133" s="228">
        <v>1250</v>
      </c>
      <c r="N133" s="6"/>
      <c r="O133" s="63" t="s">
        <v>59</v>
      </c>
      <c r="P133" s="6"/>
      <c r="Q133" s="6"/>
    </row>
    <row r="134" spans="1:17" x14ac:dyDescent="0.2">
      <c r="A134" s="242" t="s">
        <v>188</v>
      </c>
      <c r="B134" s="243">
        <v>46107</v>
      </c>
      <c r="C134" s="244" t="s">
        <v>226</v>
      </c>
      <c r="D134" s="228" t="s">
        <v>134</v>
      </c>
      <c r="E134" s="245">
        <v>20010054</v>
      </c>
      <c r="F134" s="246" t="s">
        <v>170</v>
      </c>
      <c r="G134" s="245" t="s">
        <v>199</v>
      </c>
      <c r="H134" s="246"/>
      <c r="I134" s="246" t="s">
        <v>124</v>
      </c>
      <c r="J134" s="247" t="s">
        <v>141</v>
      </c>
      <c r="K134" s="248">
        <v>3</v>
      </c>
      <c r="L134" s="74">
        <v>1250</v>
      </c>
      <c r="M134" s="245">
        <v>3750</v>
      </c>
      <c r="N134" s="6"/>
      <c r="O134" s="63" t="s">
        <v>59</v>
      </c>
      <c r="P134" s="6"/>
      <c r="Q134" s="6"/>
    </row>
    <row r="135" spans="1:17" x14ac:dyDescent="0.2">
      <c r="A135" s="242" t="s">
        <v>188</v>
      </c>
      <c r="B135" s="243">
        <v>46107</v>
      </c>
      <c r="C135" s="244" t="s">
        <v>226</v>
      </c>
      <c r="D135" s="228" t="s">
        <v>134</v>
      </c>
      <c r="E135" s="245">
        <v>20090001</v>
      </c>
      <c r="F135" s="246" t="s">
        <v>124</v>
      </c>
      <c r="G135" s="245" t="s">
        <v>155</v>
      </c>
      <c r="H135" s="246"/>
      <c r="I135" s="246" t="s">
        <v>124</v>
      </c>
      <c r="J135" s="247" t="s">
        <v>141</v>
      </c>
      <c r="K135" s="248">
        <v>1</v>
      </c>
      <c r="L135" s="74">
        <v>1250</v>
      </c>
      <c r="M135" s="245">
        <v>1250</v>
      </c>
      <c r="N135" s="6"/>
      <c r="O135" s="63" t="s">
        <v>59</v>
      </c>
      <c r="P135" s="6"/>
      <c r="Q135" s="6"/>
    </row>
    <row r="136" spans="1:17" x14ac:dyDescent="0.2">
      <c r="A136" s="242" t="s">
        <v>188</v>
      </c>
      <c r="B136" s="243">
        <v>46107</v>
      </c>
      <c r="C136" s="244" t="s">
        <v>226</v>
      </c>
      <c r="D136" s="228" t="s">
        <v>134</v>
      </c>
      <c r="E136" s="245">
        <v>20090001</v>
      </c>
      <c r="F136" s="246" t="s">
        <v>124</v>
      </c>
      <c r="G136" s="245" t="s">
        <v>185</v>
      </c>
      <c r="H136" s="246"/>
      <c r="I136" s="246" t="s">
        <v>124</v>
      </c>
      <c r="J136" s="247" t="s">
        <v>141</v>
      </c>
      <c r="K136" s="248">
        <v>0</v>
      </c>
      <c r="L136" s="74">
        <v>1250</v>
      </c>
      <c r="M136" s="245">
        <v>613</v>
      </c>
      <c r="N136" s="6"/>
      <c r="O136" s="63" t="s">
        <v>59</v>
      </c>
      <c r="P136" s="6"/>
      <c r="Q136" s="6"/>
    </row>
    <row r="137" spans="1:17" x14ac:dyDescent="0.2">
      <c r="A137" s="242" t="s">
        <v>188</v>
      </c>
      <c r="B137" s="243">
        <v>46107</v>
      </c>
      <c r="C137" s="244" t="s">
        <v>226</v>
      </c>
      <c r="D137" s="228" t="s">
        <v>134</v>
      </c>
      <c r="E137" s="245">
        <v>20090001</v>
      </c>
      <c r="F137" s="246" t="s">
        <v>124</v>
      </c>
      <c r="G137" s="245" t="s">
        <v>227</v>
      </c>
      <c r="H137" s="246"/>
      <c r="I137" s="246" t="s">
        <v>124</v>
      </c>
      <c r="J137" s="247" t="s">
        <v>141</v>
      </c>
      <c r="K137" s="248">
        <v>0</v>
      </c>
      <c r="L137" s="74">
        <v>1250</v>
      </c>
      <c r="M137" s="245">
        <v>51</v>
      </c>
      <c r="N137" s="6"/>
      <c r="O137" s="63" t="s">
        <v>59</v>
      </c>
      <c r="P137" s="6"/>
      <c r="Q137" s="6"/>
    </row>
    <row r="138" spans="1:17" x14ac:dyDescent="0.2">
      <c r="A138" s="242" t="s">
        <v>188</v>
      </c>
      <c r="B138" s="243">
        <v>46107</v>
      </c>
      <c r="C138" s="244" t="s">
        <v>226</v>
      </c>
      <c r="D138" s="228" t="s">
        <v>134</v>
      </c>
      <c r="E138" s="245">
        <v>20010053</v>
      </c>
      <c r="F138" s="246" t="s">
        <v>130</v>
      </c>
      <c r="G138" s="245" t="s">
        <v>228</v>
      </c>
      <c r="H138" s="246"/>
      <c r="I138" s="246" t="s">
        <v>124</v>
      </c>
      <c r="J138" s="247" t="s">
        <v>141</v>
      </c>
      <c r="K138" s="248">
        <v>1</v>
      </c>
      <c r="L138" s="74">
        <v>1250</v>
      </c>
      <c r="M138" s="245">
        <v>1235</v>
      </c>
      <c r="N138" s="6"/>
      <c r="O138" s="63" t="s">
        <v>59</v>
      </c>
      <c r="P138" s="6"/>
      <c r="Q138" s="6"/>
    </row>
    <row r="139" spans="1:17" x14ac:dyDescent="0.2">
      <c r="A139" s="242" t="s">
        <v>188</v>
      </c>
      <c r="B139" s="243">
        <v>46107</v>
      </c>
      <c r="C139" s="244" t="s">
        <v>226</v>
      </c>
      <c r="D139" s="228" t="s">
        <v>134</v>
      </c>
      <c r="E139" s="245">
        <v>20010053</v>
      </c>
      <c r="F139" s="246" t="s">
        <v>130</v>
      </c>
      <c r="G139" s="245" t="s">
        <v>158</v>
      </c>
      <c r="H139" s="246"/>
      <c r="I139" s="246" t="s">
        <v>124</v>
      </c>
      <c r="J139" s="247" t="s">
        <v>141</v>
      </c>
      <c r="K139" s="248">
        <v>0</v>
      </c>
      <c r="L139" s="74">
        <v>1250</v>
      </c>
      <c r="M139" s="245">
        <v>150</v>
      </c>
      <c r="N139" s="6"/>
      <c r="O139" s="63" t="s">
        <v>59</v>
      </c>
      <c r="P139" s="6"/>
      <c r="Q139" s="6"/>
    </row>
    <row r="140" spans="1:17" x14ac:dyDescent="0.2">
      <c r="A140" s="242" t="s">
        <v>188</v>
      </c>
      <c r="B140" s="243">
        <v>46107</v>
      </c>
      <c r="C140" s="244" t="s">
        <v>226</v>
      </c>
      <c r="D140" s="228" t="s">
        <v>134</v>
      </c>
      <c r="E140" s="245">
        <v>20010053</v>
      </c>
      <c r="F140" s="246" t="s">
        <v>130</v>
      </c>
      <c r="G140" s="245" t="s">
        <v>176</v>
      </c>
      <c r="H140" s="246"/>
      <c r="I140" s="246" t="s">
        <v>124</v>
      </c>
      <c r="J140" s="247" t="s">
        <v>141</v>
      </c>
      <c r="K140" s="248">
        <v>0</v>
      </c>
      <c r="L140" s="74">
        <v>1250</v>
      </c>
      <c r="M140" s="245">
        <v>106</v>
      </c>
      <c r="N140" s="6"/>
      <c r="O140" s="63" t="s">
        <v>59</v>
      </c>
      <c r="P140" s="6"/>
      <c r="Q140" s="6"/>
    </row>
    <row r="141" spans="1:17" x14ac:dyDescent="0.2">
      <c r="A141" s="242" t="s">
        <v>188</v>
      </c>
      <c r="B141" s="243">
        <v>46107</v>
      </c>
      <c r="C141" s="244" t="s">
        <v>226</v>
      </c>
      <c r="D141" s="228" t="s">
        <v>134</v>
      </c>
      <c r="E141" s="245">
        <v>20010053</v>
      </c>
      <c r="F141" s="246" t="s">
        <v>130</v>
      </c>
      <c r="G141" s="245" t="s">
        <v>229</v>
      </c>
      <c r="H141" s="246"/>
      <c r="I141" s="246" t="s">
        <v>124</v>
      </c>
      <c r="J141" s="247" t="s">
        <v>141</v>
      </c>
      <c r="K141" s="248">
        <v>0</v>
      </c>
      <c r="L141" s="74">
        <v>1250</v>
      </c>
      <c r="M141" s="245">
        <v>100</v>
      </c>
      <c r="N141" s="6"/>
      <c r="O141" s="63" t="s">
        <v>59</v>
      </c>
      <c r="P141" s="6"/>
      <c r="Q141" s="6"/>
    </row>
    <row r="142" spans="1:17" x14ac:dyDescent="0.2">
      <c r="A142" s="242" t="s">
        <v>188</v>
      </c>
      <c r="B142" s="243">
        <v>46107</v>
      </c>
      <c r="C142" s="244" t="s">
        <v>226</v>
      </c>
      <c r="D142" s="228" t="s">
        <v>134</v>
      </c>
      <c r="E142" s="245">
        <v>20010053</v>
      </c>
      <c r="F142" s="246" t="s">
        <v>130</v>
      </c>
      <c r="G142" s="245" t="s">
        <v>200</v>
      </c>
      <c r="H142" s="246"/>
      <c r="I142" s="246" t="s">
        <v>124</v>
      </c>
      <c r="J142" s="247" t="s">
        <v>141</v>
      </c>
      <c r="K142" s="248">
        <v>0</v>
      </c>
      <c r="L142" s="74">
        <v>1250</v>
      </c>
      <c r="M142" s="245">
        <v>97</v>
      </c>
      <c r="N142" s="6"/>
      <c r="O142" s="63" t="s">
        <v>59</v>
      </c>
      <c r="P142" s="6"/>
      <c r="Q142" s="6"/>
    </row>
    <row r="143" spans="1:17" x14ac:dyDescent="0.2">
      <c r="A143" s="242" t="s">
        <v>188</v>
      </c>
      <c r="B143" s="243">
        <v>46107</v>
      </c>
      <c r="C143" s="244" t="s">
        <v>226</v>
      </c>
      <c r="D143" s="228" t="s">
        <v>134</v>
      </c>
      <c r="E143" s="245">
        <v>20010053</v>
      </c>
      <c r="F143" s="246" t="s">
        <v>130</v>
      </c>
      <c r="G143" s="245" t="s">
        <v>199</v>
      </c>
      <c r="H143" s="246"/>
      <c r="I143" s="246" t="s">
        <v>124</v>
      </c>
      <c r="J143" s="247" t="s">
        <v>141</v>
      </c>
      <c r="K143" s="248">
        <v>0</v>
      </c>
      <c r="L143" s="74">
        <v>1250</v>
      </c>
      <c r="M143" s="245">
        <v>53</v>
      </c>
      <c r="N143" s="6"/>
      <c r="O143" s="63" t="s">
        <v>59</v>
      </c>
      <c r="P143" s="6"/>
      <c r="Q143" s="6"/>
    </row>
    <row r="144" spans="1:17" x14ac:dyDescent="0.2">
      <c r="A144" s="242" t="s">
        <v>188</v>
      </c>
      <c r="B144" s="243">
        <v>46107</v>
      </c>
      <c r="C144" s="244" t="s">
        <v>226</v>
      </c>
      <c r="D144" s="228" t="s">
        <v>134</v>
      </c>
      <c r="E144" s="245">
        <v>20090020</v>
      </c>
      <c r="F144" s="69" t="s">
        <v>168</v>
      </c>
      <c r="G144" s="245" t="s">
        <v>155</v>
      </c>
      <c r="H144" s="246"/>
      <c r="I144" s="246" t="s">
        <v>124</v>
      </c>
      <c r="J144" s="247" t="s">
        <v>141</v>
      </c>
      <c r="K144" s="248">
        <v>3</v>
      </c>
      <c r="L144" s="74">
        <v>1250</v>
      </c>
      <c r="M144" s="245">
        <v>3750</v>
      </c>
      <c r="N144" s="6"/>
      <c r="O144" s="63" t="s">
        <v>59</v>
      </c>
      <c r="P144" s="6"/>
      <c r="Q144" s="6"/>
    </row>
    <row r="145" spans="1:17" x14ac:dyDescent="0.2">
      <c r="A145" s="242" t="s">
        <v>188</v>
      </c>
      <c r="B145" s="243">
        <v>46107</v>
      </c>
      <c r="C145" s="244" t="s">
        <v>226</v>
      </c>
      <c r="D145" s="228" t="s">
        <v>134</v>
      </c>
      <c r="E145" s="245">
        <v>20090003</v>
      </c>
      <c r="F145" s="246" t="s">
        <v>169</v>
      </c>
      <c r="G145" s="245" t="s">
        <v>155</v>
      </c>
      <c r="H145" s="246"/>
      <c r="I145" s="246" t="s">
        <v>124</v>
      </c>
      <c r="J145" s="247" t="s">
        <v>141</v>
      </c>
      <c r="K145" s="248">
        <v>0</v>
      </c>
      <c r="L145" s="74">
        <v>1250</v>
      </c>
      <c r="M145" s="245">
        <v>391</v>
      </c>
      <c r="N145" s="6"/>
      <c r="O145" s="63" t="s">
        <v>59</v>
      </c>
      <c r="P145" s="6"/>
      <c r="Q145" s="6"/>
    </row>
    <row r="146" spans="1:17" x14ac:dyDescent="0.2">
      <c r="A146" s="242" t="s">
        <v>188</v>
      </c>
      <c r="B146" s="243">
        <v>46107</v>
      </c>
      <c r="C146" s="244" t="s">
        <v>226</v>
      </c>
      <c r="D146" s="228" t="s">
        <v>134</v>
      </c>
      <c r="E146" s="245">
        <v>20090011</v>
      </c>
      <c r="F146" s="246" t="s">
        <v>131</v>
      </c>
      <c r="G146" s="245" t="s">
        <v>158</v>
      </c>
      <c r="H146" s="246"/>
      <c r="I146" s="246" t="s">
        <v>124</v>
      </c>
      <c r="J146" s="247" t="s">
        <v>141</v>
      </c>
      <c r="K146" s="248">
        <v>2</v>
      </c>
      <c r="L146" s="74">
        <v>1250</v>
      </c>
      <c r="M146" s="245">
        <v>2500</v>
      </c>
      <c r="N146" s="6"/>
      <c r="O146" s="63" t="s">
        <v>59</v>
      </c>
      <c r="P146" s="6"/>
      <c r="Q146" s="6"/>
    </row>
    <row r="147" spans="1:17" x14ac:dyDescent="0.2">
      <c r="A147" s="242" t="s">
        <v>188</v>
      </c>
      <c r="B147" s="243">
        <v>46107</v>
      </c>
      <c r="C147" s="244" t="s">
        <v>226</v>
      </c>
      <c r="D147" s="228" t="s">
        <v>134</v>
      </c>
      <c r="E147" s="245">
        <v>20090015</v>
      </c>
      <c r="F147" s="246" t="s">
        <v>230</v>
      </c>
      <c r="G147" s="245" t="s">
        <v>177</v>
      </c>
      <c r="H147" s="246"/>
      <c r="I147" s="246" t="s">
        <v>124</v>
      </c>
      <c r="J147" s="247" t="s">
        <v>141</v>
      </c>
      <c r="K147" s="248">
        <v>1</v>
      </c>
      <c r="L147" s="74">
        <v>1250</v>
      </c>
      <c r="M147" s="245">
        <v>1350</v>
      </c>
      <c r="N147" s="6"/>
      <c r="O147" s="63" t="s">
        <v>59</v>
      </c>
      <c r="P147" s="6"/>
      <c r="Q147" s="6"/>
    </row>
    <row r="148" spans="1:17" x14ac:dyDescent="0.2">
      <c r="A148" s="242" t="s">
        <v>188</v>
      </c>
      <c r="B148" s="243">
        <v>46107</v>
      </c>
      <c r="C148" s="244" t="s">
        <v>226</v>
      </c>
      <c r="D148" s="228" t="s">
        <v>134</v>
      </c>
      <c r="E148" s="245">
        <v>20090015</v>
      </c>
      <c r="F148" s="246" t="s">
        <v>230</v>
      </c>
      <c r="G148" s="245" t="s">
        <v>231</v>
      </c>
      <c r="H148" s="246"/>
      <c r="I148" s="246" t="s">
        <v>124</v>
      </c>
      <c r="J148" s="247" t="s">
        <v>141</v>
      </c>
      <c r="K148" s="248">
        <v>1</v>
      </c>
      <c r="L148" s="74">
        <v>1250</v>
      </c>
      <c r="M148" s="245">
        <v>825</v>
      </c>
      <c r="N148" s="6"/>
      <c r="O148" s="63" t="s">
        <v>59</v>
      </c>
      <c r="P148" s="6"/>
      <c r="Q148" s="6"/>
    </row>
    <row r="149" spans="1:17" x14ac:dyDescent="0.2">
      <c r="A149" s="242" t="s">
        <v>188</v>
      </c>
      <c r="B149" s="243">
        <v>46107</v>
      </c>
      <c r="C149" s="244" t="s">
        <v>226</v>
      </c>
      <c r="D149" s="228" t="s">
        <v>134</v>
      </c>
      <c r="E149" s="245">
        <v>20090015</v>
      </c>
      <c r="F149" s="246" t="s">
        <v>230</v>
      </c>
      <c r="G149" s="245" t="s">
        <v>175</v>
      </c>
      <c r="H149" s="246"/>
      <c r="I149" s="246" t="s">
        <v>124</v>
      </c>
      <c r="J149" s="247" t="s">
        <v>141</v>
      </c>
      <c r="K149" s="248">
        <v>1</v>
      </c>
      <c r="L149" s="74">
        <v>1250</v>
      </c>
      <c r="M149" s="245">
        <v>1184</v>
      </c>
      <c r="N149" s="6"/>
      <c r="O149" s="63" t="s">
        <v>59</v>
      </c>
      <c r="P149" s="6"/>
      <c r="Q149" s="6"/>
    </row>
    <row r="150" spans="1:17" x14ac:dyDescent="0.2">
      <c r="A150" s="242" t="s">
        <v>188</v>
      </c>
      <c r="B150" s="243">
        <v>46107</v>
      </c>
      <c r="C150" s="244" t="s">
        <v>226</v>
      </c>
      <c r="D150" s="228" t="s">
        <v>134</v>
      </c>
      <c r="E150" s="245">
        <v>20090015</v>
      </c>
      <c r="F150" s="246" t="s">
        <v>230</v>
      </c>
      <c r="G150" s="245" t="s">
        <v>155</v>
      </c>
      <c r="H150" s="246"/>
      <c r="I150" s="246" t="s">
        <v>124</v>
      </c>
      <c r="J150" s="247" t="s">
        <v>141</v>
      </c>
      <c r="K150" s="248">
        <v>0</v>
      </c>
      <c r="L150" s="74">
        <v>1250</v>
      </c>
      <c r="M150" s="245">
        <v>115</v>
      </c>
      <c r="N150" s="6"/>
      <c r="O150" s="63" t="s">
        <v>59</v>
      </c>
      <c r="P150" s="6"/>
      <c r="Q150" s="6"/>
    </row>
    <row r="151" spans="1:17" x14ac:dyDescent="0.2">
      <c r="A151" s="242" t="s">
        <v>188</v>
      </c>
      <c r="B151" s="243">
        <v>46107</v>
      </c>
      <c r="C151" s="244" t="s">
        <v>226</v>
      </c>
      <c r="D151" s="228" t="s">
        <v>134</v>
      </c>
      <c r="E151" s="245">
        <v>20090015</v>
      </c>
      <c r="F151" s="246" t="s">
        <v>230</v>
      </c>
      <c r="G151" s="245" t="s">
        <v>199</v>
      </c>
      <c r="H151" s="246"/>
      <c r="I151" s="246" t="s">
        <v>124</v>
      </c>
      <c r="J151" s="247" t="s">
        <v>141</v>
      </c>
      <c r="K151" s="248">
        <v>0</v>
      </c>
      <c r="L151" s="74">
        <v>1250</v>
      </c>
      <c r="M151" s="245">
        <v>100</v>
      </c>
      <c r="N151" s="6"/>
      <c r="O151" s="63" t="s">
        <v>59</v>
      </c>
      <c r="P151" s="6"/>
      <c r="Q151" s="6"/>
    </row>
    <row r="152" spans="1:17" x14ac:dyDescent="0.2">
      <c r="A152" s="242" t="s">
        <v>188</v>
      </c>
      <c r="B152" s="243">
        <v>46107</v>
      </c>
      <c r="C152" s="244" t="s">
        <v>226</v>
      </c>
      <c r="D152" s="228" t="s">
        <v>134</v>
      </c>
      <c r="E152" s="245">
        <v>20090015</v>
      </c>
      <c r="F152" s="246" t="s">
        <v>230</v>
      </c>
      <c r="G152" s="245" t="s">
        <v>220</v>
      </c>
      <c r="H152" s="246"/>
      <c r="I152" s="246" t="s">
        <v>124</v>
      </c>
      <c r="J152" s="247" t="s">
        <v>141</v>
      </c>
      <c r="K152" s="248">
        <v>0</v>
      </c>
      <c r="L152" s="74">
        <v>1250</v>
      </c>
      <c r="M152" s="245">
        <v>100</v>
      </c>
      <c r="N152" s="6"/>
      <c r="O152" s="63" t="s">
        <v>59</v>
      </c>
      <c r="P152" s="6"/>
      <c r="Q152" s="6"/>
    </row>
    <row r="153" spans="1:17" x14ac:dyDescent="0.2">
      <c r="A153" s="242" t="s">
        <v>188</v>
      </c>
      <c r="B153" s="243">
        <v>46107</v>
      </c>
      <c r="C153" s="244" t="s">
        <v>226</v>
      </c>
      <c r="D153" s="228" t="s">
        <v>134</v>
      </c>
      <c r="E153" s="245">
        <v>20090015</v>
      </c>
      <c r="F153" s="246" t="s">
        <v>230</v>
      </c>
      <c r="G153" s="245" t="s">
        <v>187</v>
      </c>
      <c r="H153" s="246"/>
      <c r="I153" s="246" t="s">
        <v>124</v>
      </c>
      <c r="J153" s="247" t="s">
        <v>141</v>
      </c>
      <c r="K153" s="248">
        <v>0</v>
      </c>
      <c r="L153" s="74">
        <v>1250</v>
      </c>
      <c r="M153" s="245">
        <v>100</v>
      </c>
      <c r="N153" s="6"/>
      <c r="O153" s="63" t="s">
        <v>59</v>
      </c>
      <c r="P153" s="6"/>
      <c r="Q153" s="6"/>
    </row>
    <row r="154" spans="1:17" x14ac:dyDescent="0.2">
      <c r="A154" s="242" t="s">
        <v>188</v>
      </c>
      <c r="B154" s="243">
        <v>46107</v>
      </c>
      <c r="C154" s="244" t="s">
        <v>226</v>
      </c>
      <c r="D154" s="228" t="s">
        <v>134</v>
      </c>
      <c r="E154" s="245">
        <v>20020003</v>
      </c>
      <c r="F154" s="108" t="s">
        <v>142</v>
      </c>
      <c r="G154" s="245" t="s">
        <v>155</v>
      </c>
      <c r="H154" s="246"/>
      <c r="I154" s="246" t="s">
        <v>88</v>
      </c>
      <c r="J154" s="247" t="s">
        <v>141</v>
      </c>
      <c r="K154" s="248">
        <v>5</v>
      </c>
      <c r="L154" s="74">
        <v>1250</v>
      </c>
      <c r="M154" s="245">
        <v>6250</v>
      </c>
      <c r="N154" s="6"/>
      <c r="O154" s="63" t="s">
        <v>59</v>
      </c>
      <c r="P154" s="6"/>
      <c r="Q154" s="6"/>
    </row>
    <row r="155" spans="1:17" x14ac:dyDescent="0.2">
      <c r="A155" s="242" t="s">
        <v>188</v>
      </c>
      <c r="B155" s="243">
        <v>46107</v>
      </c>
      <c r="C155" s="244" t="s">
        <v>226</v>
      </c>
      <c r="D155" s="228" t="s">
        <v>134</v>
      </c>
      <c r="E155" s="245">
        <v>20020020</v>
      </c>
      <c r="F155" s="246" t="s">
        <v>126</v>
      </c>
      <c r="G155" s="245" t="s">
        <v>139</v>
      </c>
      <c r="H155" s="246"/>
      <c r="I155" s="246" t="s">
        <v>88</v>
      </c>
      <c r="J155" s="247" t="s">
        <v>141</v>
      </c>
      <c r="K155" s="248">
        <v>0</v>
      </c>
      <c r="L155" s="74">
        <v>1250</v>
      </c>
      <c r="M155" s="245">
        <v>925</v>
      </c>
      <c r="N155" s="6"/>
      <c r="O155" s="63" t="s">
        <v>59</v>
      </c>
      <c r="P155" s="6"/>
      <c r="Q155" s="6"/>
    </row>
    <row r="156" spans="1:17" x14ac:dyDescent="0.2">
      <c r="A156" s="242" t="s">
        <v>188</v>
      </c>
      <c r="B156" s="243">
        <v>46107</v>
      </c>
      <c r="C156" s="244" t="s">
        <v>226</v>
      </c>
      <c r="D156" s="228" t="s">
        <v>134</v>
      </c>
      <c r="E156" s="245">
        <v>20070001</v>
      </c>
      <c r="F156" s="246" t="s">
        <v>99</v>
      </c>
      <c r="G156" s="245" t="s">
        <v>155</v>
      </c>
      <c r="H156" s="246"/>
      <c r="I156" s="246" t="s">
        <v>99</v>
      </c>
      <c r="J156" s="247" t="s">
        <v>141</v>
      </c>
      <c r="K156" s="248">
        <v>2</v>
      </c>
      <c r="L156" s="74">
        <v>1250</v>
      </c>
      <c r="M156" s="245">
        <v>2500</v>
      </c>
      <c r="N156" s="6"/>
      <c r="O156" s="63" t="s">
        <v>59</v>
      </c>
      <c r="P156" s="6"/>
      <c r="Q156" s="6"/>
    </row>
    <row r="157" spans="1:17" x14ac:dyDescent="0.2">
      <c r="A157" s="242" t="s">
        <v>188</v>
      </c>
      <c r="B157" s="243">
        <v>46107</v>
      </c>
      <c r="C157" s="244" t="s">
        <v>226</v>
      </c>
      <c r="D157" s="228" t="s">
        <v>134</v>
      </c>
      <c r="E157" s="245">
        <v>20060001</v>
      </c>
      <c r="F157" s="246" t="s">
        <v>91</v>
      </c>
      <c r="G157" s="245" t="s">
        <v>138</v>
      </c>
      <c r="H157" s="246"/>
      <c r="I157" s="246" t="s">
        <v>91</v>
      </c>
      <c r="J157" s="247" t="s">
        <v>141</v>
      </c>
      <c r="K157" s="248">
        <v>1</v>
      </c>
      <c r="L157" s="74">
        <v>1250</v>
      </c>
      <c r="M157" s="245">
        <v>1250</v>
      </c>
      <c r="N157" s="6"/>
      <c r="O157" s="63" t="s">
        <v>59</v>
      </c>
      <c r="P157" s="6"/>
      <c r="Q157" s="6"/>
    </row>
    <row r="158" spans="1:17" x14ac:dyDescent="0.2">
      <c r="A158" s="242" t="s">
        <v>188</v>
      </c>
      <c r="B158" s="243">
        <v>46107</v>
      </c>
      <c r="C158" s="244" t="s">
        <v>226</v>
      </c>
      <c r="D158" s="228" t="s">
        <v>134</v>
      </c>
      <c r="E158" s="245">
        <v>20010015</v>
      </c>
      <c r="F158" s="246" t="s">
        <v>148</v>
      </c>
      <c r="G158" s="245" t="s">
        <v>227</v>
      </c>
      <c r="H158" s="246"/>
      <c r="I158" s="246" t="s">
        <v>95</v>
      </c>
      <c r="J158" s="247" t="s">
        <v>141</v>
      </c>
      <c r="K158" s="248">
        <v>0</v>
      </c>
      <c r="L158" s="74">
        <v>1250</v>
      </c>
      <c r="M158" s="245">
        <v>7700</v>
      </c>
      <c r="N158" s="6"/>
      <c r="O158" s="63" t="s">
        <v>59</v>
      </c>
      <c r="P158" s="6"/>
      <c r="Q158" s="6"/>
    </row>
    <row r="159" spans="1:17" x14ac:dyDescent="0.2">
      <c r="A159" s="242" t="s">
        <v>188</v>
      </c>
      <c r="B159" s="243">
        <v>46107</v>
      </c>
      <c r="C159" s="244" t="s">
        <v>226</v>
      </c>
      <c r="D159" s="228" t="s">
        <v>134</v>
      </c>
      <c r="E159" s="245">
        <v>20010015</v>
      </c>
      <c r="F159" s="246" t="s">
        <v>148</v>
      </c>
      <c r="G159" s="245" t="s">
        <v>232</v>
      </c>
      <c r="H159" s="246"/>
      <c r="I159" s="246" t="s">
        <v>95</v>
      </c>
      <c r="J159" s="247" t="s">
        <v>141</v>
      </c>
      <c r="K159" s="248">
        <v>0</v>
      </c>
      <c r="L159" s="74">
        <v>1250</v>
      </c>
      <c r="M159" s="245">
        <v>4800</v>
      </c>
      <c r="N159" s="6"/>
      <c r="O159" s="63" t="s">
        <v>59</v>
      </c>
      <c r="P159" s="6"/>
      <c r="Q159" s="6"/>
    </row>
    <row r="160" spans="1:17" x14ac:dyDescent="0.2">
      <c r="A160" s="242" t="s">
        <v>188</v>
      </c>
      <c r="B160" s="243">
        <v>46107</v>
      </c>
      <c r="C160" s="244" t="s">
        <v>226</v>
      </c>
      <c r="D160" s="228" t="s">
        <v>134</v>
      </c>
      <c r="E160" s="245">
        <v>20010008</v>
      </c>
      <c r="F160" s="246" t="s">
        <v>149</v>
      </c>
      <c r="G160" s="245" t="s">
        <v>176</v>
      </c>
      <c r="H160" s="246"/>
      <c r="I160" s="246" t="s">
        <v>95</v>
      </c>
      <c r="J160" s="247" t="s">
        <v>141</v>
      </c>
      <c r="K160" s="248">
        <v>1</v>
      </c>
      <c r="L160" s="74">
        <v>1250</v>
      </c>
      <c r="M160" s="245">
        <v>1250</v>
      </c>
      <c r="N160" s="6"/>
      <c r="O160" s="63" t="s">
        <v>59</v>
      </c>
      <c r="P160" s="6"/>
      <c r="Q160" s="6"/>
    </row>
    <row r="161" spans="1:17" x14ac:dyDescent="0.2">
      <c r="A161" s="242" t="s">
        <v>188</v>
      </c>
      <c r="B161" s="243">
        <v>46107</v>
      </c>
      <c r="C161" s="244" t="s">
        <v>226</v>
      </c>
      <c r="D161" s="228" t="s">
        <v>134</v>
      </c>
      <c r="E161" s="245">
        <v>20010008</v>
      </c>
      <c r="F161" s="246" t="s">
        <v>149</v>
      </c>
      <c r="G161" s="245" t="s">
        <v>187</v>
      </c>
      <c r="H161" s="246"/>
      <c r="I161" s="246" t="s">
        <v>95</v>
      </c>
      <c r="J161" s="247" t="s">
        <v>141</v>
      </c>
      <c r="K161" s="248">
        <v>3</v>
      </c>
      <c r="L161" s="74">
        <v>1250</v>
      </c>
      <c r="M161" s="245">
        <v>3750</v>
      </c>
      <c r="N161" s="6"/>
      <c r="O161" s="63" t="s">
        <v>59</v>
      </c>
      <c r="P161" s="6"/>
      <c r="Q161" s="6"/>
    </row>
    <row r="162" spans="1:17" x14ac:dyDescent="0.2">
      <c r="A162" s="242" t="s">
        <v>188</v>
      </c>
      <c r="B162" s="243">
        <v>46107</v>
      </c>
      <c r="C162" s="244" t="s">
        <v>226</v>
      </c>
      <c r="D162" s="228" t="s">
        <v>134</v>
      </c>
      <c r="E162" s="245">
        <v>20010008</v>
      </c>
      <c r="F162" s="246" t="s">
        <v>149</v>
      </c>
      <c r="G162" s="245" t="s">
        <v>218</v>
      </c>
      <c r="H162" s="246"/>
      <c r="I162" s="246" t="s">
        <v>95</v>
      </c>
      <c r="J162" s="247" t="s">
        <v>141</v>
      </c>
      <c r="K162" s="248">
        <v>1</v>
      </c>
      <c r="L162" s="74">
        <v>1250</v>
      </c>
      <c r="M162" s="245">
        <v>1250</v>
      </c>
      <c r="N162" s="6"/>
      <c r="O162" s="63" t="s">
        <v>59</v>
      </c>
      <c r="P162" s="6"/>
      <c r="Q162" s="6"/>
    </row>
    <row r="163" spans="1:17" x14ac:dyDescent="0.2">
      <c r="A163" s="242" t="s">
        <v>188</v>
      </c>
      <c r="B163" s="243">
        <v>46107</v>
      </c>
      <c r="C163" s="244" t="s">
        <v>226</v>
      </c>
      <c r="D163" s="228" t="s">
        <v>134</v>
      </c>
      <c r="E163" s="245">
        <v>20060001</v>
      </c>
      <c r="F163" s="246" t="s">
        <v>91</v>
      </c>
      <c r="G163" s="245" t="s">
        <v>233</v>
      </c>
      <c r="H163" s="246"/>
      <c r="I163" s="246" t="s">
        <v>91</v>
      </c>
      <c r="J163" s="247" t="s">
        <v>141</v>
      </c>
      <c r="K163" s="248">
        <v>0</v>
      </c>
      <c r="L163" s="74">
        <v>1250</v>
      </c>
      <c r="M163" s="245">
        <v>78</v>
      </c>
      <c r="N163" s="6"/>
      <c r="O163" s="63" t="s">
        <v>59</v>
      </c>
      <c r="P163" s="6"/>
      <c r="Q163" s="6"/>
    </row>
    <row r="164" spans="1:17" x14ac:dyDescent="0.2">
      <c r="A164" s="242" t="s">
        <v>188</v>
      </c>
      <c r="B164" s="243">
        <v>46107</v>
      </c>
      <c r="C164" s="244" t="s">
        <v>226</v>
      </c>
      <c r="D164" s="228" t="s">
        <v>134</v>
      </c>
      <c r="E164" s="245">
        <v>20060001</v>
      </c>
      <c r="F164" s="246" t="s">
        <v>91</v>
      </c>
      <c r="G164" s="245" t="s">
        <v>233</v>
      </c>
      <c r="H164" s="246"/>
      <c r="I164" s="246" t="s">
        <v>91</v>
      </c>
      <c r="J164" s="247" t="s">
        <v>141</v>
      </c>
      <c r="K164" s="248">
        <v>1</v>
      </c>
      <c r="L164" s="74">
        <v>1250</v>
      </c>
      <c r="M164" s="245">
        <v>1084</v>
      </c>
      <c r="N164" s="6"/>
      <c r="O164" s="63" t="s">
        <v>59</v>
      </c>
      <c r="P164" s="6"/>
      <c r="Q164" s="6"/>
    </row>
    <row r="165" spans="1:17" x14ac:dyDescent="0.2">
      <c r="A165" s="242" t="s">
        <v>188</v>
      </c>
      <c r="B165" s="243">
        <v>46107</v>
      </c>
      <c r="C165" s="244" t="s">
        <v>226</v>
      </c>
      <c r="D165" s="228" t="s">
        <v>134</v>
      </c>
      <c r="E165" s="245">
        <v>20010003</v>
      </c>
      <c r="F165" s="246" t="s">
        <v>95</v>
      </c>
      <c r="G165" s="245" t="s">
        <v>158</v>
      </c>
      <c r="H165" s="246"/>
      <c r="I165" s="246" t="s">
        <v>95</v>
      </c>
      <c r="J165" s="247" t="s">
        <v>141</v>
      </c>
      <c r="K165" s="248">
        <v>4</v>
      </c>
      <c r="L165" s="74">
        <v>1250</v>
      </c>
      <c r="M165" s="245">
        <v>5000</v>
      </c>
      <c r="N165" s="6"/>
      <c r="O165" s="63" t="s">
        <v>59</v>
      </c>
      <c r="P165" s="6"/>
      <c r="Q165" s="6"/>
    </row>
    <row r="166" spans="1:17" x14ac:dyDescent="0.2">
      <c r="A166" s="242" t="s">
        <v>188</v>
      </c>
      <c r="B166" s="243">
        <v>46107</v>
      </c>
      <c r="C166" s="244" t="s">
        <v>226</v>
      </c>
      <c r="D166" s="228" t="s">
        <v>134</v>
      </c>
      <c r="E166" s="245">
        <v>20010016</v>
      </c>
      <c r="F166" s="246" t="s">
        <v>150</v>
      </c>
      <c r="G166" s="245" t="s">
        <v>155</v>
      </c>
      <c r="H166" s="246"/>
      <c r="I166" s="246" t="s">
        <v>95</v>
      </c>
      <c r="J166" s="247" t="s">
        <v>141</v>
      </c>
      <c r="K166" s="248">
        <v>1</v>
      </c>
      <c r="L166" s="74">
        <v>1250</v>
      </c>
      <c r="M166" s="245">
        <v>665</v>
      </c>
      <c r="N166" s="6"/>
      <c r="O166" s="63" t="s">
        <v>59</v>
      </c>
      <c r="P166" s="6"/>
      <c r="Q166" s="6"/>
    </row>
    <row r="167" spans="1:17" x14ac:dyDescent="0.2">
      <c r="A167" s="242" t="s">
        <v>188</v>
      </c>
      <c r="B167" s="243">
        <v>46107</v>
      </c>
      <c r="C167" s="244" t="s">
        <v>226</v>
      </c>
      <c r="D167" s="228" t="s">
        <v>134</v>
      </c>
      <c r="E167" s="245">
        <v>20010001</v>
      </c>
      <c r="F167" s="246" t="s">
        <v>87</v>
      </c>
      <c r="G167" s="245" t="s">
        <v>155</v>
      </c>
      <c r="H167" s="246"/>
      <c r="I167" s="246" t="s">
        <v>87</v>
      </c>
      <c r="J167" s="247" t="s">
        <v>141</v>
      </c>
      <c r="K167" s="248">
        <v>80</v>
      </c>
      <c r="L167" s="74">
        <v>1250</v>
      </c>
      <c r="M167" s="245">
        <v>96000</v>
      </c>
      <c r="N167" s="6"/>
      <c r="O167" s="63" t="s">
        <v>59</v>
      </c>
      <c r="P167" s="6"/>
      <c r="Q167" s="6"/>
    </row>
    <row r="168" spans="1:17" x14ac:dyDescent="0.2">
      <c r="A168" s="242" t="s">
        <v>188</v>
      </c>
      <c r="B168" s="243">
        <v>46112</v>
      </c>
      <c r="C168" s="244" t="s">
        <v>239</v>
      </c>
      <c r="D168" s="245" t="s">
        <v>134</v>
      </c>
      <c r="E168" s="245">
        <v>20010016</v>
      </c>
      <c r="F168" s="246" t="s">
        <v>150</v>
      </c>
      <c r="G168" s="245" t="s">
        <v>184</v>
      </c>
      <c r="H168" s="246"/>
      <c r="I168" s="246" t="s">
        <v>95</v>
      </c>
      <c r="J168" s="247" t="s">
        <v>141</v>
      </c>
      <c r="K168" s="248">
        <v>1</v>
      </c>
      <c r="L168" s="74">
        <v>1250</v>
      </c>
      <c r="M168" s="245">
        <v>390</v>
      </c>
      <c r="N168" s="6"/>
      <c r="O168" s="63" t="s">
        <v>59</v>
      </c>
      <c r="P168" s="6"/>
      <c r="Q168" s="6"/>
    </row>
    <row r="169" spans="1:17" x14ac:dyDescent="0.2">
      <c r="A169" s="242" t="s">
        <v>188</v>
      </c>
      <c r="B169" s="243">
        <v>46112</v>
      </c>
      <c r="C169" s="244" t="s">
        <v>239</v>
      </c>
      <c r="D169" s="245" t="s">
        <v>134</v>
      </c>
      <c r="E169" s="245">
        <v>20010016</v>
      </c>
      <c r="F169" s="246" t="s">
        <v>150</v>
      </c>
      <c r="G169" s="245" t="s">
        <v>185</v>
      </c>
      <c r="H169" s="246"/>
      <c r="I169" s="246" t="s">
        <v>95</v>
      </c>
      <c r="J169" s="247" t="s">
        <v>141</v>
      </c>
      <c r="K169" s="248">
        <v>1</v>
      </c>
      <c r="L169" s="74">
        <v>1250</v>
      </c>
      <c r="M169" s="245">
        <v>445</v>
      </c>
      <c r="N169" s="6"/>
      <c r="O169" s="63" t="s">
        <v>59</v>
      </c>
      <c r="P169" s="6"/>
      <c r="Q169" s="6"/>
    </row>
    <row r="170" spans="1:17" hidden="1" x14ac:dyDescent="0.2">
      <c r="A170" s="242" t="s">
        <v>188</v>
      </c>
      <c r="B170" s="243">
        <v>46112</v>
      </c>
      <c r="C170" s="244" t="s">
        <v>239</v>
      </c>
      <c r="D170" s="245" t="s">
        <v>134</v>
      </c>
      <c r="E170" s="245">
        <v>20010001</v>
      </c>
      <c r="F170" s="246" t="s">
        <v>87</v>
      </c>
      <c r="G170" s="245" t="s">
        <v>155</v>
      </c>
      <c r="H170" s="246"/>
      <c r="I170" s="246" t="s">
        <v>87</v>
      </c>
      <c r="J170" s="247" t="s">
        <v>141</v>
      </c>
      <c r="K170" s="248">
        <v>80</v>
      </c>
      <c r="L170" s="74">
        <v>1250</v>
      </c>
      <c r="M170" s="245">
        <v>96000</v>
      </c>
      <c r="N170" s="6"/>
      <c r="O170" s="63"/>
      <c r="P170" s="6" t="s">
        <v>305</v>
      </c>
      <c r="Q170" s="6"/>
    </row>
    <row r="171" spans="1:17" hidden="1" x14ac:dyDescent="0.2">
      <c r="A171" s="242" t="s">
        <v>188</v>
      </c>
      <c r="B171" s="243">
        <v>46112</v>
      </c>
      <c r="C171" s="244" t="s">
        <v>239</v>
      </c>
      <c r="D171" s="245" t="s">
        <v>134</v>
      </c>
      <c r="E171" s="245">
        <v>20060003</v>
      </c>
      <c r="F171" s="246" t="s">
        <v>93</v>
      </c>
      <c r="G171" s="245" t="s">
        <v>155</v>
      </c>
      <c r="H171" s="246"/>
      <c r="I171" s="246" t="s">
        <v>93</v>
      </c>
      <c r="J171" s="247" t="s">
        <v>141</v>
      </c>
      <c r="K171" s="248">
        <v>30</v>
      </c>
      <c r="L171" s="74">
        <v>1250</v>
      </c>
      <c r="M171" s="245">
        <v>37500</v>
      </c>
      <c r="N171" s="6"/>
      <c r="O171" s="63"/>
      <c r="P171" s="6" t="s">
        <v>305</v>
      </c>
      <c r="Q171" s="6"/>
    </row>
    <row r="172" spans="1:17" hidden="1" x14ac:dyDescent="0.2">
      <c r="A172" s="242" t="s">
        <v>188</v>
      </c>
      <c r="B172" s="243">
        <v>46112</v>
      </c>
      <c r="C172" s="244" t="s">
        <v>239</v>
      </c>
      <c r="D172" s="245" t="s">
        <v>134</v>
      </c>
      <c r="E172" s="245">
        <v>20020006</v>
      </c>
      <c r="F172" s="246" t="s">
        <v>195</v>
      </c>
      <c r="G172" s="245" t="s">
        <v>215</v>
      </c>
      <c r="H172" s="246"/>
      <c r="I172" s="246" t="s">
        <v>88</v>
      </c>
      <c r="J172" s="247" t="s">
        <v>141</v>
      </c>
      <c r="K172" s="248">
        <v>0</v>
      </c>
      <c r="L172" s="74">
        <v>1250</v>
      </c>
      <c r="M172" s="245">
        <v>8823</v>
      </c>
      <c r="N172" s="6"/>
      <c r="O172" s="63"/>
      <c r="P172" s="6" t="s">
        <v>305</v>
      </c>
      <c r="Q172" s="6"/>
    </row>
    <row r="173" spans="1:17" hidden="1" x14ac:dyDescent="0.2">
      <c r="A173" s="242" t="s">
        <v>188</v>
      </c>
      <c r="B173" s="243">
        <v>46112</v>
      </c>
      <c r="C173" s="244" t="s">
        <v>239</v>
      </c>
      <c r="D173" s="245" t="s">
        <v>134</v>
      </c>
      <c r="E173" s="245">
        <v>20020003</v>
      </c>
      <c r="F173" s="108" t="s">
        <v>142</v>
      </c>
      <c r="G173" s="245" t="s">
        <v>155</v>
      </c>
      <c r="H173" s="246"/>
      <c r="I173" s="246" t="s">
        <v>88</v>
      </c>
      <c r="J173" s="247" t="s">
        <v>141</v>
      </c>
      <c r="K173" s="248">
        <v>10</v>
      </c>
      <c r="L173" s="74">
        <v>1250</v>
      </c>
      <c r="M173" s="245">
        <v>12500</v>
      </c>
      <c r="N173" s="6"/>
      <c r="O173" s="63"/>
      <c r="P173" s="6" t="s">
        <v>305</v>
      </c>
      <c r="Q173" s="6"/>
    </row>
    <row r="174" spans="1:17" x14ac:dyDescent="0.2">
      <c r="A174" s="242" t="s">
        <v>188</v>
      </c>
      <c r="B174" s="243">
        <v>46112</v>
      </c>
      <c r="C174" s="244" t="s">
        <v>239</v>
      </c>
      <c r="D174" s="245" t="s">
        <v>134</v>
      </c>
      <c r="E174" s="245">
        <v>20020020</v>
      </c>
      <c r="F174" s="246" t="s">
        <v>126</v>
      </c>
      <c r="G174" s="245" t="s">
        <v>137</v>
      </c>
      <c r="H174" s="246"/>
      <c r="I174" s="246" t="s">
        <v>88</v>
      </c>
      <c r="J174" s="247" t="s">
        <v>141</v>
      </c>
      <c r="K174" s="248">
        <v>1</v>
      </c>
      <c r="L174" s="74">
        <v>1250</v>
      </c>
      <c r="M174" s="245">
        <v>562</v>
      </c>
      <c r="N174" s="6"/>
      <c r="O174" s="63" t="s">
        <v>59</v>
      </c>
      <c r="P174" s="6"/>
      <c r="Q174" s="6"/>
    </row>
    <row r="175" spans="1:17" x14ac:dyDescent="0.2">
      <c r="A175" s="242" t="s">
        <v>188</v>
      </c>
      <c r="B175" s="243">
        <v>46112</v>
      </c>
      <c r="C175" s="244" t="s">
        <v>239</v>
      </c>
      <c r="D175" s="245" t="s">
        <v>134</v>
      </c>
      <c r="E175" s="245">
        <v>20020020</v>
      </c>
      <c r="F175" s="246" t="s">
        <v>126</v>
      </c>
      <c r="G175" s="245" t="s">
        <v>240</v>
      </c>
      <c r="H175" s="246"/>
      <c r="I175" s="246" t="s">
        <v>88</v>
      </c>
      <c r="J175" s="247" t="s">
        <v>141</v>
      </c>
      <c r="K175" s="248">
        <v>1</v>
      </c>
      <c r="L175" s="74">
        <v>1250</v>
      </c>
      <c r="M175" s="245">
        <v>585</v>
      </c>
      <c r="N175" s="6"/>
      <c r="O175" s="63" t="s">
        <v>59</v>
      </c>
      <c r="P175" s="6"/>
      <c r="Q175" s="6"/>
    </row>
    <row r="176" spans="1:17" hidden="1" x14ac:dyDescent="0.2">
      <c r="A176" s="242" t="s">
        <v>188</v>
      </c>
      <c r="B176" s="243">
        <v>46112</v>
      </c>
      <c r="C176" s="244" t="s">
        <v>239</v>
      </c>
      <c r="D176" s="245" t="s">
        <v>134</v>
      </c>
      <c r="E176" s="245">
        <v>20020020</v>
      </c>
      <c r="F176" s="246" t="s">
        <v>126</v>
      </c>
      <c r="G176" s="245" t="s">
        <v>140</v>
      </c>
      <c r="H176" s="246"/>
      <c r="I176" s="246" t="s">
        <v>88</v>
      </c>
      <c r="J176" s="247" t="s">
        <v>141</v>
      </c>
      <c r="K176" s="248">
        <v>1</v>
      </c>
      <c r="L176" s="74">
        <v>1250</v>
      </c>
      <c r="M176" s="245">
        <v>1250</v>
      </c>
      <c r="N176" s="6"/>
      <c r="O176" s="63"/>
      <c r="P176" s="6" t="s">
        <v>305</v>
      </c>
      <c r="Q176" s="6"/>
    </row>
    <row r="177" spans="1:17" hidden="1" x14ac:dyDescent="0.2">
      <c r="A177" s="242" t="s">
        <v>188</v>
      </c>
      <c r="B177" s="243">
        <v>46112</v>
      </c>
      <c r="C177" s="244" t="s">
        <v>239</v>
      </c>
      <c r="D177" s="245" t="s">
        <v>134</v>
      </c>
      <c r="E177" s="245">
        <v>20020020</v>
      </c>
      <c r="F177" s="246" t="s">
        <v>126</v>
      </c>
      <c r="G177" s="245" t="s">
        <v>136</v>
      </c>
      <c r="H177" s="246"/>
      <c r="I177" s="246" t="s">
        <v>88</v>
      </c>
      <c r="J177" s="247" t="s">
        <v>141</v>
      </c>
      <c r="K177" s="248">
        <v>1</v>
      </c>
      <c r="L177" s="74">
        <v>1250</v>
      </c>
      <c r="M177" s="245">
        <v>1250</v>
      </c>
      <c r="N177" s="6"/>
      <c r="O177" s="63"/>
      <c r="P177" s="6" t="s">
        <v>305</v>
      </c>
      <c r="Q177" s="6"/>
    </row>
    <row r="178" spans="1:17" hidden="1" x14ac:dyDescent="0.2">
      <c r="A178" s="242" t="s">
        <v>188</v>
      </c>
      <c r="B178" s="243">
        <v>46112</v>
      </c>
      <c r="C178" s="244" t="s">
        <v>239</v>
      </c>
      <c r="D178" s="245" t="s">
        <v>134</v>
      </c>
      <c r="E178" s="245">
        <v>20020020</v>
      </c>
      <c r="F178" s="246" t="s">
        <v>126</v>
      </c>
      <c r="G178" s="245" t="s">
        <v>138</v>
      </c>
      <c r="H178" s="246"/>
      <c r="I178" s="246" t="s">
        <v>88</v>
      </c>
      <c r="J178" s="247" t="s">
        <v>141</v>
      </c>
      <c r="K178" s="248">
        <v>1</v>
      </c>
      <c r="L178" s="74">
        <v>1250</v>
      </c>
      <c r="M178" s="245">
        <v>1250</v>
      </c>
      <c r="N178" s="6"/>
      <c r="O178" s="63"/>
      <c r="P178" s="6" t="s">
        <v>305</v>
      </c>
      <c r="Q178" s="6"/>
    </row>
    <row r="179" spans="1:17" x14ac:dyDescent="0.2">
      <c r="A179" s="242" t="s">
        <v>188</v>
      </c>
      <c r="B179" s="243">
        <v>46112</v>
      </c>
      <c r="C179" s="244" t="s">
        <v>239</v>
      </c>
      <c r="D179" s="245" t="s">
        <v>134</v>
      </c>
      <c r="E179" s="245">
        <v>20020020</v>
      </c>
      <c r="F179" s="246" t="s">
        <v>126</v>
      </c>
      <c r="G179" s="245" t="s">
        <v>139</v>
      </c>
      <c r="H179" s="246"/>
      <c r="I179" s="246" t="s">
        <v>88</v>
      </c>
      <c r="J179" s="247" t="s">
        <v>141</v>
      </c>
      <c r="K179" s="248">
        <v>1</v>
      </c>
      <c r="L179" s="74">
        <v>1250</v>
      </c>
      <c r="M179" s="245">
        <v>640</v>
      </c>
      <c r="N179" s="6"/>
      <c r="O179" s="63" t="s">
        <v>59</v>
      </c>
      <c r="P179" s="6"/>
      <c r="Q179" s="6"/>
    </row>
    <row r="180" spans="1:17" hidden="1" x14ac:dyDescent="0.2">
      <c r="A180" s="242" t="s">
        <v>188</v>
      </c>
      <c r="B180" s="243">
        <v>46112</v>
      </c>
      <c r="C180" s="244" t="s">
        <v>239</v>
      </c>
      <c r="D180" s="245" t="s">
        <v>134</v>
      </c>
      <c r="E180" s="245">
        <v>20020020</v>
      </c>
      <c r="F180" s="246" t="s">
        <v>126</v>
      </c>
      <c r="G180" s="245" t="s">
        <v>212</v>
      </c>
      <c r="H180" s="246"/>
      <c r="I180" s="246" t="s">
        <v>88</v>
      </c>
      <c r="J180" s="247" t="s">
        <v>141</v>
      </c>
      <c r="K180" s="248">
        <v>1</v>
      </c>
      <c r="L180" s="74">
        <v>1250</v>
      </c>
      <c r="M180" s="245">
        <v>1250</v>
      </c>
      <c r="N180" s="6"/>
      <c r="O180" s="63"/>
      <c r="P180" s="6" t="s">
        <v>305</v>
      </c>
      <c r="Q180" s="6"/>
    </row>
    <row r="181" spans="1:17" hidden="1" x14ac:dyDescent="0.2">
      <c r="A181" s="242" t="s">
        <v>188</v>
      </c>
      <c r="B181" s="243">
        <v>46112</v>
      </c>
      <c r="C181" s="244" t="s">
        <v>239</v>
      </c>
      <c r="D181" s="245" t="s">
        <v>134</v>
      </c>
      <c r="E181" s="245">
        <v>20020020</v>
      </c>
      <c r="F181" s="246" t="s">
        <v>126</v>
      </c>
      <c r="G181" s="245" t="s">
        <v>186</v>
      </c>
      <c r="H181" s="246"/>
      <c r="I181" s="246" t="s">
        <v>88</v>
      </c>
      <c r="J181" s="247" t="s">
        <v>141</v>
      </c>
      <c r="K181" s="248">
        <v>1</v>
      </c>
      <c r="L181" s="74">
        <v>1250</v>
      </c>
      <c r="M181" s="245">
        <v>1250</v>
      </c>
      <c r="N181" s="6"/>
      <c r="O181" s="63"/>
      <c r="P181" s="6" t="s">
        <v>305</v>
      </c>
      <c r="Q181" s="6"/>
    </row>
    <row r="182" spans="1:17" x14ac:dyDescent="0.2">
      <c r="A182" s="242" t="s">
        <v>188</v>
      </c>
      <c r="B182" s="243">
        <v>46112</v>
      </c>
      <c r="C182" s="244" t="s">
        <v>239</v>
      </c>
      <c r="D182" s="245" t="s">
        <v>134</v>
      </c>
      <c r="E182" s="245">
        <v>20070002</v>
      </c>
      <c r="F182" s="246" t="s">
        <v>166</v>
      </c>
      <c r="G182" s="245" t="s">
        <v>155</v>
      </c>
      <c r="H182" s="246"/>
      <c r="I182" s="246" t="s">
        <v>99</v>
      </c>
      <c r="J182" s="247" t="s">
        <v>141</v>
      </c>
      <c r="K182" s="248">
        <v>3</v>
      </c>
      <c r="L182" s="74">
        <v>1250</v>
      </c>
      <c r="M182" s="245">
        <v>3588</v>
      </c>
      <c r="N182" s="6"/>
      <c r="O182" s="63" t="s">
        <v>59</v>
      </c>
      <c r="P182" s="6"/>
      <c r="Q182" s="6"/>
    </row>
    <row r="183" spans="1:17" x14ac:dyDescent="0.2">
      <c r="A183" s="242" t="s">
        <v>188</v>
      </c>
      <c r="B183" s="243">
        <v>46112</v>
      </c>
      <c r="C183" s="244" t="s">
        <v>239</v>
      </c>
      <c r="D183" s="245" t="s">
        <v>134</v>
      </c>
      <c r="E183" s="245">
        <v>20070024</v>
      </c>
      <c r="F183" s="246" t="s">
        <v>241</v>
      </c>
      <c r="G183" s="245" t="s">
        <v>155</v>
      </c>
      <c r="H183" s="246"/>
      <c r="I183" s="246" t="s">
        <v>99</v>
      </c>
      <c r="J183" s="247" t="s">
        <v>141</v>
      </c>
      <c r="K183" s="248">
        <v>5</v>
      </c>
      <c r="L183" s="74">
        <v>1250</v>
      </c>
      <c r="M183" s="245">
        <v>3656</v>
      </c>
      <c r="N183" s="6"/>
      <c r="O183" s="63" t="s">
        <v>59</v>
      </c>
      <c r="P183" s="6"/>
      <c r="Q183" s="6"/>
    </row>
    <row r="184" spans="1:17" x14ac:dyDescent="0.2">
      <c r="A184" s="242" t="s">
        <v>188</v>
      </c>
      <c r="B184" s="243">
        <v>46112</v>
      </c>
      <c r="C184" s="244" t="s">
        <v>239</v>
      </c>
      <c r="D184" s="245" t="s">
        <v>134</v>
      </c>
      <c r="E184" s="245">
        <v>20090003</v>
      </c>
      <c r="F184" s="246" t="s">
        <v>169</v>
      </c>
      <c r="G184" s="245" t="s">
        <v>155</v>
      </c>
      <c r="H184" s="246"/>
      <c r="I184" s="246" t="s">
        <v>124</v>
      </c>
      <c r="J184" s="247" t="s">
        <v>141</v>
      </c>
      <c r="K184" s="248">
        <v>0</v>
      </c>
      <c r="L184" s="74">
        <v>1250</v>
      </c>
      <c r="M184" s="245">
        <v>259</v>
      </c>
      <c r="N184" s="6"/>
      <c r="O184" s="63" t="s">
        <v>59</v>
      </c>
      <c r="P184" s="6"/>
      <c r="Q184" s="6"/>
    </row>
    <row r="185" spans="1:17" x14ac:dyDescent="0.2">
      <c r="A185" s="242" t="s">
        <v>188</v>
      </c>
      <c r="B185" s="243">
        <v>46112</v>
      </c>
      <c r="C185" s="244" t="s">
        <v>239</v>
      </c>
      <c r="D185" s="245" t="s">
        <v>134</v>
      </c>
      <c r="E185" s="245">
        <v>20090025</v>
      </c>
      <c r="F185" s="246" t="s">
        <v>210</v>
      </c>
      <c r="G185" s="245" t="s">
        <v>155</v>
      </c>
      <c r="H185" s="246"/>
      <c r="I185" s="246" t="s">
        <v>124</v>
      </c>
      <c r="J185" s="247" t="s">
        <v>141</v>
      </c>
      <c r="K185" s="248">
        <v>2</v>
      </c>
      <c r="L185" s="74">
        <v>1250</v>
      </c>
      <c r="M185" s="245">
        <v>2500</v>
      </c>
      <c r="N185" s="6"/>
      <c r="O185" s="63" t="s">
        <v>59</v>
      </c>
      <c r="P185" s="6"/>
      <c r="Q185" s="6"/>
    </row>
    <row r="186" spans="1:17" x14ac:dyDescent="0.2">
      <c r="A186" s="242" t="s">
        <v>188</v>
      </c>
      <c r="B186" s="243">
        <v>46112</v>
      </c>
      <c r="C186" s="244" t="s">
        <v>239</v>
      </c>
      <c r="D186" s="245" t="s">
        <v>134</v>
      </c>
      <c r="E186" s="245">
        <v>20010053</v>
      </c>
      <c r="F186" s="246" t="s">
        <v>130</v>
      </c>
      <c r="G186" s="245" t="s">
        <v>158</v>
      </c>
      <c r="H186" s="246"/>
      <c r="I186" s="246" t="s">
        <v>124</v>
      </c>
      <c r="J186" s="247" t="s">
        <v>141</v>
      </c>
      <c r="K186" s="248">
        <v>0</v>
      </c>
      <c r="L186" s="74">
        <v>1250</v>
      </c>
      <c r="M186" s="245">
        <v>15</v>
      </c>
      <c r="N186" s="6"/>
      <c r="O186" s="63" t="s">
        <v>59</v>
      </c>
      <c r="P186" s="6"/>
      <c r="Q186" s="6"/>
    </row>
    <row r="187" spans="1:17" x14ac:dyDescent="0.2">
      <c r="A187" s="242" t="s">
        <v>188</v>
      </c>
      <c r="B187" s="243">
        <v>46112</v>
      </c>
      <c r="C187" s="244" t="s">
        <v>239</v>
      </c>
      <c r="D187" s="245" t="s">
        <v>134</v>
      </c>
      <c r="E187" s="245">
        <v>20010053</v>
      </c>
      <c r="F187" s="246" t="s">
        <v>130</v>
      </c>
      <c r="G187" s="245" t="s">
        <v>158</v>
      </c>
      <c r="H187" s="246"/>
      <c r="I187" s="246" t="s">
        <v>124</v>
      </c>
      <c r="J187" s="247" t="s">
        <v>141</v>
      </c>
      <c r="K187" s="248">
        <v>15</v>
      </c>
      <c r="L187" s="74">
        <v>1250</v>
      </c>
      <c r="M187" s="245">
        <v>2057</v>
      </c>
      <c r="N187" s="6"/>
      <c r="O187" s="63" t="s">
        <v>59</v>
      </c>
      <c r="P187" s="6"/>
      <c r="Q187" s="6"/>
    </row>
    <row r="188" spans="1:17" hidden="1" x14ac:dyDescent="0.2">
      <c r="A188" s="242" t="s">
        <v>188</v>
      </c>
      <c r="B188" s="243">
        <v>46112</v>
      </c>
      <c r="C188" s="244" t="s">
        <v>239</v>
      </c>
      <c r="D188" s="245" t="s">
        <v>134</v>
      </c>
      <c r="E188" s="245">
        <v>20090015</v>
      </c>
      <c r="F188" s="246" t="s">
        <v>171</v>
      </c>
      <c r="G188" s="245" t="s">
        <v>231</v>
      </c>
      <c r="H188" s="246"/>
      <c r="I188" s="246" t="s">
        <v>124</v>
      </c>
      <c r="J188" s="247" t="s">
        <v>141</v>
      </c>
      <c r="K188" s="248">
        <v>0</v>
      </c>
      <c r="L188" s="74">
        <v>1250</v>
      </c>
      <c r="M188" s="245">
        <v>425</v>
      </c>
      <c r="N188" s="6"/>
      <c r="O188" s="63"/>
      <c r="P188" s="6" t="s">
        <v>305</v>
      </c>
      <c r="Q188" s="6"/>
    </row>
    <row r="189" spans="1:17" hidden="1" x14ac:dyDescent="0.2">
      <c r="A189" s="242" t="s">
        <v>188</v>
      </c>
      <c r="B189" s="243">
        <v>46112</v>
      </c>
      <c r="C189" s="244" t="s">
        <v>239</v>
      </c>
      <c r="D189" s="245" t="s">
        <v>134</v>
      </c>
      <c r="E189" s="245">
        <v>20090015</v>
      </c>
      <c r="F189" s="246" t="s">
        <v>171</v>
      </c>
      <c r="G189" s="245" t="s">
        <v>175</v>
      </c>
      <c r="H189" s="246"/>
      <c r="I189" s="246" t="s">
        <v>124</v>
      </c>
      <c r="J189" s="247" t="s">
        <v>141</v>
      </c>
      <c r="K189" s="248">
        <v>0</v>
      </c>
      <c r="L189" s="74">
        <v>1250</v>
      </c>
      <c r="M189" s="245">
        <v>70</v>
      </c>
      <c r="N189" s="6"/>
      <c r="O189" s="63"/>
      <c r="P189" s="6" t="s">
        <v>305</v>
      </c>
      <c r="Q189" s="6"/>
    </row>
    <row r="190" spans="1:17" hidden="1" x14ac:dyDescent="0.2">
      <c r="A190" s="242" t="s">
        <v>188</v>
      </c>
      <c r="B190" s="243">
        <v>46112</v>
      </c>
      <c r="C190" s="244" t="s">
        <v>239</v>
      </c>
      <c r="D190" s="245" t="s">
        <v>134</v>
      </c>
      <c r="E190" s="245">
        <v>20090015</v>
      </c>
      <c r="F190" s="246" t="s">
        <v>171</v>
      </c>
      <c r="G190" s="245" t="s">
        <v>155</v>
      </c>
      <c r="H190" s="246"/>
      <c r="I190" s="246" t="s">
        <v>124</v>
      </c>
      <c r="J190" s="247" t="s">
        <v>141</v>
      </c>
      <c r="K190" s="248">
        <v>0</v>
      </c>
      <c r="L190" s="74">
        <v>1250</v>
      </c>
      <c r="M190" s="245">
        <v>96</v>
      </c>
      <c r="N190" s="6"/>
      <c r="O190" s="63"/>
      <c r="P190" s="6" t="s">
        <v>305</v>
      </c>
      <c r="Q190" s="6"/>
    </row>
    <row r="191" spans="1:17" hidden="1" x14ac:dyDescent="0.2">
      <c r="A191" s="242" t="s">
        <v>188</v>
      </c>
      <c r="B191" s="243">
        <v>46112</v>
      </c>
      <c r="C191" s="244" t="s">
        <v>239</v>
      </c>
      <c r="D191" s="245" t="s">
        <v>134</v>
      </c>
      <c r="E191" s="245">
        <v>20090020</v>
      </c>
      <c r="F191" s="246" t="s">
        <v>168</v>
      </c>
      <c r="G191" s="245" t="s">
        <v>155</v>
      </c>
      <c r="H191" s="246"/>
      <c r="I191" s="246" t="s">
        <v>124</v>
      </c>
      <c r="J191" s="247" t="s">
        <v>141</v>
      </c>
      <c r="K191" s="248">
        <v>2</v>
      </c>
      <c r="L191" s="74">
        <v>1250</v>
      </c>
      <c r="M191" s="245">
        <v>2500</v>
      </c>
      <c r="N191" s="6"/>
      <c r="O191" s="63"/>
      <c r="P191" s="6" t="s">
        <v>305</v>
      </c>
      <c r="Q191" s="6"/>
    </row>
    <row r="192" spans="1:17" hidden="1" x14ac:dyDescent="0.2">
      <c r="A192" s="242" t="s">
        <v>188</v>
      </c>
      <c r="B192" s="243">
        <v>46112</v>
      </c>
      <c r="C192" s="244" t="s">
        <v>239</v>
      </c>
      <c r="D192" s="245" t="s">
        <v>134</v>
      </c>
      <c r="E192" s="245">
        <v>20090020</v>
      </c>
      <c r="F192" s="246" t="s">
        <v>168</v>
      </c>
      <c r="G192" s="245" t="s">
        <v>185</v>
      </c>
      <c r="H192" s="246"/>
      <c r="I192" s="246" t="s">
        <v>124</v>
      </c>
      <c r="J192" s="247" t="s">
        <v>141</v>
      </c>
      <c r="K192" s="248">
        <v>1</v>
      </c>
      <c r="L192" s="74">
        <v>1250</v>
      </c>
      <c r="M192" s="245">
        <v>1250</v>
      </c>
      <c r="N192" s="6"/>
      <c r="O192" s="63"/>
      <c r="P192" s="6" t="s">
        <v>305</v>
      </c>
      <c r="Q192" s="6"/>
    </row>
    <row r="193" spans="1:17" hidden="1" x14ac:dyDescent="0.2">
      <c r="A193" s="242" t="s">
        <v>188</v>
      </c>
      <c r="B193" s="243">
        <v>46112</v>
      </c>
      <c r="C193" s="244" t="s">
        <v>239</v>
      </c>
      <c r="D193" s="245" t="s">
        <v>134</v>
      </c>
      <c r="E193" s="245">
        <v>20090011</v>
      </c>
      <c r="F193" s="246" t="s">
        <v>131</v>
      </c>
      <c r="G193" s="245" t="s">
        <v>158</v>
      </c>
      <c r="H193" s="246"/>
      <c r="I193" s="246" t="s">
        <v>124</v>
      </c>
      <c r="J193" s="247" t="s">
        <v>141</v>
      </c>
      <c r="K193" s="248">
        <v>3</v>
      </c>
      <c r="L193" s="74">
        <v>1250</v>
      </c>
      <c r="M193" s="245">
        <v>3750</v>
      </c>
      <c r="N193" s="6"/>
      <c r="O193" s="63"/>
      <c r="P193" s="6" t="s">
        <v>305</v>
      </c>
      <c r="Q193" s="6"/>
    </row>
    <row r="194" spans="1:17" x14ac:dyDescent="0.2">
      <c r="A194" s="242" t="s">
        <v>188</v>
      </c>
      <c r="B194" s="243">
        <v>46112</v>
      </c>
      <c r="C194" s="244" t="s">
        <v>239</v>
      </c>
      <c r="D194" s="245" t="s">
        <v>134</v>
      </c>
      <c r="E194" s="245">
        <v>20010053</v>
      </c>
      <c r="F194" s="246" t="s">
        <v>130</v>
      </c>
      <c r="G194" s="245" t="s">
        <v>158</v>
      </c>
      <c r="H194" s="246"/>
      <c r="I194" s="246" t="s">
        <v>124</v>
      </c>
      <c r="J194" s="247" t="s">
        <v>141</v>
      </c>
      <c r="K194" s="248">
        <v>0</v>
      </c>
      <c r="L194" s="74"/>
      <c r="M194" s="245">
        <v>665</v>
      </c>
      <c r="N194" s="6"/>
      <c r="O194" s="63" t="s">
        <v>59</v>
      </c>
      <c r="P194" s="6"/>
      <c r="Q194" s="6"/>
    </row>
    <row r="195" spans="1:17" hidden="1" x14ac:dyDescent="0.2">
      <c r="A195" s="242" t="s">
        <v>188</v>
      </c>
      <c r="B195" s="243">
        <v>46112</v>
      </c>
      <c r="C195" s="244" t="s">
        <v>239</v>
      </c>
      <c r="D195" s="245" t="s">
        <v>134</v>
      </c>
      <c r="E195" s="245">
        <v>20090017</v>
      </c>
      <c r="F195" s="246" t="s">
        <v>129</v>
      </c>
      <c r="G195" s="245" t="s">
        <v>158</v>
      </c>
      <c r="H195" s="246"/>
      <c r="I195" s="246" t="s">
        <v>124</v>
      </c>
      <c r="J195" s="247" t="s">
        <v>141</v>
      </c>
      <c r="K195" s="248">
        <v>1</v>
      </c>
      <c r="L195" s="74">
        <v>1250</v>
      </c>
      <c r="M195" s="245">
        <v>1250</v>
      </c>
      <c r="N195" s="6">
        <v>0</v>
      </c>
      <c r="O195" s="63"/>
      <c r="P195" s="6" t="s">
        <v>305</v>
      </c>
      <c r="Q195" s="6"/>
    </row>
    <row r="196" spans="1:17" x14ac:dyDescent="0.2">
      <c r="A196" s="17" t="s">
        <v>250</v>
      </c>
      <c r="B196" s="116">
        <v>46121</v>
      </c>
      <c r="C196" s="67" t="s">
        <v>249</v>
      </c>
      <c r="D196" s="245" t="s">
        <v>134</v>
      </c>
      <c r="E196" s="15">
        <v>20010001</v>
      </c>
      <c r="F196" s="69"/>
      <c r="G196" s="68" t="s">
        <v>155</v>
      </c>
      <c r="H196" s="69"/>
      <c r="I196" s="69"/>
      <c r="J196" s="247" t="s">
        <v>141</v>
      </c>
      <c r="K196" s="71"/>
      <c r="L196" s="74">
        <v>1250</v>
      </c>
      <c r="M196" s="68">
        <v>102000</v>
      </c>
      <c r="N196" s="6"/>
      <c r="O196" s="63" t="s">
        <v>59</v>
      </c>
      <c r="P196" s="6"/>
      <c r="Q196" s="6"/>
    </row>
    <row r="197" spans="1:17" x14ac:dyDescent="0.2">
      <c r="A197" s="17" t="s">
        <v>250</v>
      </c>
      <c r="B197" s="116">
        <v>46121</v>
      </c>
      <c r="C197" s="67" t="s">
        <v>268</v>
      </c>
      <c r="D197" s="245" t="s">
        <v>134</v>
      </c>
      <c r="E197" s="15">
        <v>20010003</v>
      </c>
      <c r="F197" s="246" t="s">
        <v>95</v>
      </c>
      <c r="G197" s="68" t="s">
        <v>158</v>
      </c>
      <c r="H197" s="69"/>
      <c r="I197" s="246" t="s">
        <v>95</v>
      </c>
      <c r="J197" s="247" t="s">
        <v>141</v>
      </c>
      <c r="K197" s="71">
        <v>8</v>
      </c>
      <c r="L197" s="74">
        <v>1250</v>
      </c>
      <c r="M197" s="68">
        <v>10000</v>
      </c>
      <c r="N197" s="6"/>
      <c r="O197" s="63" t="s">
        <v>59</v>
      </c>
      <c r="P197" s="6"/>
      <c r="Q197" s="6"/>
    </row>
    <row r="198" spans="1:17" x14ac:dyDescent="0.2">
      <c r="A198" s="17" t="s">
        <v>250</v>
      </c>
      <c r="B198" s="116">
        <v>46121</v>
      </c>
      <c r="C198" s="67" t="s">
        <v>268</v>
      </c>
      <c r="D198" s="245" t="s">
        <v>134</v>
      </c>
      <c r="E198" s="15">
        <v>20010008</v>
      </c>
      <c r="F198" s="246" t="s">
        <v>149</v>
      </c>
      <c r="G198" s="68" t="s">
        <v>244</v>
      </c>
      <c r="H198" s="69"/>
      <c r="I198" s="69"/>
      <c r="J198" s="247" t="s">
        <v>141</v>
      </c>
      <c r="K198" s="71"/>
      <c r="L198" s="74">
        <v>1250</v>
      </c>
      <c r="M198" s="68">
        <v>1250</v>
      </c>
      <c r="N198" s="6"/>
      <c r="O198" s="63" t="s">
        <v>59</v>
      </c>
      <c r="P198" s="6"/>
      <c r="Q198" s="6"/>
    </row>
    <row r="199" spans="1:17" x14ac:dyDescent="0.2">
      <c r="A199" s="17" t="s">
        <v>250</v>
      </c>
      <c r="B199" s="116">
        <v>46121</v>
      </c>
      <c r="C199" s="67" t="s">
        <v>268</v>
      </c>
      <c r="D199" s="245" t="s">
        <v>134</v>
      </c>
      <c r="E199" s="15">
        <v>20010008</v>
      </c>
      <c r="F199" s="246" t="s">
        <v>149</v>
      </c>
      <c r="G199" s="68" t="s">
        <v>176</v>
      </c>
      <c r="H199" s="69"/>
      <c r="I199" s="69"/>
      <c r="J199" s="247" t="s">
        <v>141</v>
      </c>
      <c r="K199" s="71"/>
      <c r="L199" s="74">
        <v>1250</v>
      </c>
      <c r="M199" s="68">
        <v>1250</v>
      </c>
      <c r="N199" s="6"/>
      <c r="O199" s="63" t="s">
        <v>59</v>
      </c>
      <c r="P199" s="6"/>
      <c r="Q199" s="6"/>
    </row>
    <row r="200" spans="1:17" x14ac:dyDescent="0.2">
      <c r="A200" s="17" t="s">
        <v>250</v>
      </c>
      <c r="B200" s="116">
        <v>46121</v>
      </c>
      <c r="C200" s="67" t="s">
        <v>268</v>
      </c>
      <c r="D200" s="245" t="s">
        <v>134</v>
      </c>
      <c r="E200" s="15">
        <v>20010008</v>
      </c>
      <c r="F200" s="246" t="s">
        <v>149</v>
      </c>
      <c r="G200" s="68" t="s">
        <v>201</v>
      </c>
      <c r="H200" s="69"/>
      <c r="I200" s="69"/>
      <c r="J200" s="247" t="s">
        <v>141</v>
      </c>
      <c r="K200" s="71"/>
      <c r="L200" s="74">
        <v>1250</v>
      </c>
      <c r="M200" s="68">
        <v>1250</v>
      </c>
      <c r="N200" s="6"/>
      <c r="O200" s="63" t="s">
        <v>59</v>
      </c>
      <c r="P200" s="6"/>
      <c r="Q200" s="6"/>
    </row>
    <row r="201" spans="1:17" x14ac:dyDescent="0.2">
      <c r="A201" s="17" t="s">
        <v>250</v>
      </c>
      <c r="B201" s="116">
        <v>46121</v>
      </c>
      <c r="C201" s="67" t="s">
        <v>268</v>
      </c>
      <c r="D201" s="245" t="s">
        <v>134</v>
      </c>
      <c r="E201" s="15">
        <v>20010008</v>
      </c>
      <c r="F201" s="246" t="s">
        <v>149</v>
      </c>
      <c r="G201" s="68" t="s">
        <v>218</v>
      </c>
      <c r="H201" s="69"/>
      <c r="I201" s="69"/>
      <c r="J201" s="247" t="s">
        <v>141</v>
      </c>
      <c r="K201" s="71"/>
      <c r="L201" s="74">
        <v>1250</v>
      </c>
      <c r="M201" s="68">
        <v>1250</v>
      </c>
      <c r="N201" s="6"/>
      <c r="O201" s="63" t="s">
        <v>59</v>
      </c>
      <c r="P201" s="6"/>
      <c r="Q201" s="6"/>
    </row>
    <row r="202" spans="1:17" x14ac:dyDescent="0.2">
      <c r="A202" s="17" t="s">
        <v>250</v>
      </c>
      <c r="B202" s="116">
        <v>46121</v>
      </c>
      <c r="C202" s="67" t="s">
        <v>268</v>
      </c>
      <c r="D202" s="245" t="s">
        <v>134</v>
      </c>
      <c r="E202" s="15">
        <v>20010008</v>
      </c>
      <c r="F202" s="246" t="s">
        <v>149</v>
      </c>
      <c r="G202" s="68" t="s">
        <v>245</v>
      </c>
      <c r="H202" s="69"/>
      <c r="I202" s="69"/>
      <c r="J202" s="247" t="s">
        <v>141</v>
      </c>
      <c r="K202" s="71"/>
      <c r="L202" s="74">
        <v>1250</v>
      </c>
      <c r="M202" s="68">
        <v>1250</v>
      </c>
      <c r="N202" s="6"/>
      <c r="O202" s="63" t="s">
        <v>59</v>
      </c>
      <c r="P202" s="6"/>
      <c r="Q202" s="6"/>
    </row>
    <row r="203" spans="1:17" x14ac:dyDescent="0.2">
      <c r="A203" s="17" t="s">
        <v>250</v>
      </c>
      <c r="B203" s="116">
        <v>46121</v>
      </c>
      <c r="C203" s="67" t="s">
        <v>268</v>
      </c>
      <c r="D203" s="245" t="s">
        <v>134</v>
      </c>
      <c r="E203" s="15">
        <v>20020006</v>
      </c>
      <c r="F203" s="246" t="s">
        <v>195</v>
      </c>
      <c r="G203" s="68" t="s">
        <v>155</v>
      </c>
      <c r="H203" s="69"/>
      <c r="I203" s="246" t="s">
        <v>88</v>
      </c>
      <c r="J203" s="247" t="s">
        <v>141</v>
      </c>
      <c r="K203" s="71">
        <v>0</v>
      </c>
      <c r="L203" s="74">
        <v>1250</v>
      </c>
      <c r="M203" s="68">
        <v>6250</v>
      </c>
      <c r="N203" s="6"/>
      <c r="O203" s="63" t="s">
        <v>59</v>
      </c>
      <c r="P203" s="6"/>
      <c r="Q203" s="6"/>
    </row>
    <row r="204" spans="1:17" x14ac:dyDescent="0.2">
      <c r="A204" s="17" t="s">
        <v>250</v>
      </c>
      <c r="B204" s="116">
        <v>46121</v>
      </c>
      <c r="C204" s="67" t="s">
        <v>268</v>
      </c>
      <c r="D204" s="245" t="s">
        <v>134</v>
      </c>
      <c r="E204" s="15">
        <v>20020001</v>
      </c>
      <c r="F204" s="229" t="s">
        <v>88</v>
      </c>
      <c r="G204" s="68" t="s">
        <v>158</v>
      </c>
      <c r="H204" s="69"/>
      <c r="I204" s="229" t="s">
        <v>88</v>
      </c>
      <c r="J204" s="247" t="s">
        <v>141</v>
      </c>
      <c r="K204" s="71"/>
      <c r="L204" s="74">
        <v>1250</v>
      </c>
      <c r="M204" s="68">
        <v>1250</v>
      </c>
      <c r="N204" s="6"/>
      <c r="O204" s="63" t="s">
        <v>59</v>
      </c>
      <c r="P204" s="6"/>
      <c r="Q204" s="6"/>
    </row>
    <row r="205" spans="1:17" x14ac:dyDescent="0.2">
      <c r="A205" s="17" t="s">
        <v>250</v>
      </c>
      <c r="B205" s="116">
        <v>46121</v>
      </c>
      <c r="C205" s="67" t="s">
        <v>268</v>
      </c>
      <c r="D205" s="245" t="s">
        <v>134</v>
      </c>
      <c r="E205" s="15">
        <v>20020001</v>
      </c>
      <c r="F205" s="229" t="s">
        <v>88</v>
      </c>
      <c r="G205" s="68" t="s">
        <v>185</v>
      </c>
      <c r="H205" s="69"/>
      <c r="I205" s="229" t="s">
        <v>88</v>
      </c>
      <c r="J205" s="247" t="s">
        <v>141</v>
      </c>
      <c r="K205" s="71"/>
      <c r="L205" s="74">
        <v>1250</v>
      </c>
      <c r="M205" s="68">
        <v>1250</v>
      </c>
      <c r="N205" s="6"/>
      <c r="O205" s="63" t="s">
        <v>59</v>
      </c>
      <c r="P205" s="6"/>
      <c r="Q205" s="6"/>
    </row>
    <row r="206" spans="1:17" x14ac:dyDescent="0.2">
      <c r="A206" s="17" t="s">
        <v>250</v>
      </c>
      <c r="B206" s="116">
        <v>46121</v>
      </c>
      <c r="C206" s="67" t="s">
        <v>268</v>
      </c>
      <c r="D206" s="245" t="s">
        <v>134</v>
      </c>
      <c r="E206" s="15">
        <v>20020001</v>
      </c>
      <c r="F206" s="229" t="s">
        <v>88</v>
      </c>
      <c r="G206" s="68" t="s">
        <v>184</v>
      </c>
      <c r="H206" s="69"/>
      <c r="I206" s="229" t="s">
        <v>88</v>
      </c>
      <c r="J206" s="247" t="s">
        <v>141</v>
      </c>
      <c r="K206" s="71"/>
      <c r="L206" s="74">
        <v>1250</v>
      </c>
      <c r="M206" s="68">
        <v>1119</v>
      </c>
      <c r="N206" s="6"/>
      <c r="O206" s="63" t="s">
        <v>59</v>
      </c>
      <c r="P206" s="6"/>
      <c r="Q206" s="6"/>
    </row>
    <row r="207" spans="1:17" x14ac:dyDescent="0.2">
      <c r="A207" s="17" t="s">
        <v>250</v>
      </c>
      <c r="B207" s="116">
        <v>46121</v>
      </c>
      <c r="C207" s="67" t="s">
        <v>268</v>
      </c>
      <c r="D207" s="245" t="s">
        <v>134</v>
      </c>
      <c r="E207" s="15">
        <v>20020001</v>
      </c>
      <c r="F207" s="229" t="s">
        <v>88</v>
      </c>
      <c r="G207" s="68" t="s">
        <v>137</v>
      </c>
      <c r="H207" s="69"/>
      <c r="I207" s="229" t="s">
        <v>88</v>
      </c>
      <c r="J207" s="247" t="s">
        <v>141</v>
      </c>
      <c r="K207" s="71"/>
      <c r="L207" s="74">
        <v>1250</v>
      </c>
      <c r="M207" s="68">
        <v>1250</v>
      </c>
      <c r="N207" s="6"/>
      <c r="O207" s="63" t="s">
        <v>59</v>
      </c>
      <c r="P207" s="6"/>
      <c r="Q207" s="6"/>
    </row>
    <row r="208" spans="1:17" x14ac:dyDescent="0.2">
      <c r="A208" s="17" t="s">
        <v>250</v>
      </c>
      <c r="B208" s="116">
        <v>46121</v>
      </c>
      <c r="C208" s="67" t="s">
        <v>268</v>
      </c>
      <c r="D208" s="245" t="s">
        <v>134</v>
      </c>
      <c r="E208" s="15">
        <v>20020001</v>
      </c>
      <c r="F208" s="229" t="s">
        <v>88</v>
      </c>
      <c r="G208" s="68" t="s">
        <v>186</v>
      </c>
      <c r="H208" s="69"/>
      <c r="I208" s="229" t="s">
        <v>88</v>
      </c>
      <c r="J208" s="247" t="s">
        <v>141</v>
      </c>
      <c r="K208" s="71"/>
      <c r="L208" s="74">
        <v>1250</v>
      </c>
      <c r="M208" s="68">
        <v>1250</v>
      </c>
      <c r="N208" s="6"/>
      <c r="O208" s="63" t="s">
        <v>59</v>
      </c>
      <c r="P208" s="6"/>
      <c r="Q208" s="6"/>
    </row>
    <row r="209" spans="1:17" x14ac:dyDescent="0.2">
      <c r="A209" s="17" t="s">
        <v>250</v>
      </c>
      <c r="B209" s="116">
        <v>46121</v>
      </c>
      <c r="C209" s="67" t="s">
        <v>268</v>
      </c>
      <c r="D209" s="245" t="s">
        <v>134</v>
      </c>
      <c r="E209" s="15">
        <v>20020001</v>
      </c>
      <c r="F209" s="229" t="s">
        <v>88</v>
      </c>
      <c r="G209" s="68" t="s">
        <v>180</v>
      </c>
      <c r="H209" s="69"/>
      <c r="I209" s="229" t="s">
        <v>88</v>
      </c>
      <c r="J209" s="247" t="s">
        <v>141</v>
      </c>
      <c r="K209" s="71"/>
      <c r="L209" s="74">
        <v>1250</v>
      </c>
      <c r="M209" s="68">
        <v>1250</v>
      </c>
      <c r="N209" s="6"/>
      <c r="O209" s="63" t="s">
        <v>59</v>
      </c>
      <c r="P209" s="6"/>
      <c r="Q209" s="6"/>
    </row>
    <row r="210" spans="1:17" x14ac:dyDescent="0.2">
      <c r="A210" s="17" t="s">
        <v>250</v>
      </c>
      <c r="B210" s="116">
        <v>46121</v>
      </c>
      <c r="C210" s="67" t="s">
        <v>268</v>
      </c>
      <c r="D210" s="245" t="s">
        <v>134</v>
      </c>
      <c r="E210" s="15">
        <v>20020001</v>
      </c>
      <c r="F210" s="229" t="s">
        <v>88</v>
      </c>
      <c r="G210" s="68" t="s">
        <v>183</v>
      </c>
      <c r="H210" s="69"/>
      <c r="I210" s="229" t="s">
        <v>88</v>
      </c>
      <c r="J210" s="247" t="s">
        <v>141</v>
      </c>
      <c r="K210" s="71"/>
      <c r="L210" s="74">
        <v>1250</v>
      </c>
      <c r="M210" s="68">
        <v>1250</v>
      </c>
      <c r="N210" s="6"/>
      <c r="O210" s="63" t="s">
        <v>59</v>
      </c>
      <c r="P210" s="6"/>
      <c r="Q210" s="6"/>
    </row>
    <row r="211" spans="1:17" x14ac:dyDescent="0.2">
      <c r="A211" s="17" t="s">
        <v>250</v>
      </c>
      <c r="B211" s="116">
        <v>46121</v>
      </c>
      <c r="C211" s="67" t="s">
        <v>268</v>
      </c>
      <c r="D211" s="245" t="s">
        <v>134</v>
      </c>
      <c r="E211" s="15">
        <v>20020001</v>
      </c>
      <c r="F211" s="229" t="s">
        <v>88</v>
      </c>
      <c r="G211" s="68" t="s">
        <v>246</v>
      </c>
      <c r="H211" s="69"/>
      <c r="I211" s="229" t="s">
        <v>88</v>
      </c>
      <c r="J211" s="247" t="s">
        <v>141</v>
      </c>
      <c r="K211" s="71"/>
      <c r="L211" s="74">
        <v>1250</v>
      </c>
      <c r="M211" s="68">
        <v>724</v>
      </c>
      <c r="N211" s="6"/>
      <c r="O211" s="63" t="s">
        <v>59</v>
      </c>
      <c r="P211" s="6"/>
      <c r="Q211" s="6"/>
    </row>
    <row r="212" spans="1:17" x14ac:dyDescent="0.2">
      <c r="A212" s="17" t="s">
        <v>250</v>
      </c>
      <c r="B212" s="116">
        <v>46121</v>
      </c>
      <c r="C212" s="67" t="s">
        <v>268</v>
      </c>
      <c r="D212" s="245" t="s">
        <v>134</v>
      </c>
      <c r="E212" s="15">
        <v>20020003</v>
      </c>
      <c r="F212" s="108" t="s">
        <v>142</v>
      </c>
      <c r="G212" s="68" t="s">
        <v>155</v>
      </c>
      <c r="H212" s="69"/>
      <c r="I212" s="246" t="s">
        <v>88</v>
      </c>
      <c r="J212" s="247" t="s">
        <v>141</v>
      </c>
      <c r="K212" s="71">
        <v>10</v>
      </c>
      <c r="L212" s="74">
        <v>1250</v>
      </c>
      <c r="M212" s="68">
        <v>12500</v>
      </c>
      <c r="N212" s="6"/>
      <c r="O212" s="63" t="s">
        <v>59</v>
      </c>
      <c r="P212" s="6"/>
      <c r="Q212" s="6"/>
    </row>
    <row r="213" spans="1:17" x14ac:dyDescent="0.2">
      <c r="A213" s="17" t="s">
        <v>250</v>
      </c>
      <c r="B213" s="116">
        <v>46121</v>
      </c>
      <c r="C213" s="67" t="s">
        <v>268</v>
      </c>
      <c r="D213" s="245" t="s">
        <v>134</v>
      </c>
      <c r="E213" s="15">
        <v>20020020</v>
      </c>
      <c r="F213" s="246" t="s">
        <v>126</v>
      </c>
      <c r="G213" s="68" t="s">
        <v>199</v>
      </c>
      <c r="H213" s="69"/>
      <c r="I213" s="246" t="s">
        <v>88</v>
      </c>
      <c r="J213" s="247" t="s">
        <v>141</v>
      </c>
      <c r="K213" s="71"/>
      <c r="L213" s="74">
        <v>1250</v>
      </c>
      <c r="M213" s="68">
        <v>1250</v>
      </c>
      <c r="N213" s="6"/>
      <c r="O213" s="63" t="s">
        <v>59</v>
      </c>
      <c r="P213" s="6"/>
      <c r="Q213" s="6"/>
    </row>
    <row r="214" spans="1:17" x14ac:dyDescent="0.2">
      <c r="A214" s="17" t="s">
        <v>250</v>
      </c>
      <c r="B214" s="116">
        <v>46121</v>
      </c>
      <c r="C214" s="67" t="s">
        <v>268</v>
      </c>
      <c r="D214" s="245" t="s">
        <v>134</v>
      </c>
      <c r="E214" s="15">
        <v>20020020</v>
      </c>
      <c r="F214" s="246" t="s">
        <v>126</v>
      </c>
      <c r="G214" s="68" t="s">
        <v>138</v>
      </c>
      <c r="H214" s="69"/>
      <c r="I214" s="246" t="s">
        <v>88</v>
      </c>
      <c r="J214" s="247" t="s">
        <v>141</v>
      </c>
      <c r="K214" s="71"/>
      <c r="L214" s="74">
        <v>1250</v>
      </c>
      <c r="M214" s="68">
        <v>1250</v>
      </c>
      <c r="N214" s="6"/>
      <c r="O214" s="63" t="s">
        <v>59</v>
      </c>
      <c r="P214" s="6"/>
      <c r="Q214" s="6"/>
    </row>
    <row r="215" spans="1:17" x14ac:dyDescent="0.2">
      <c r="A215" s="17" t="s">
        <v>250</v>
      </c>
      <c r="B215" s="116">
        <v>46121</v>
      </c>
      <c r="C215" s="67" t="s">
        <v>268</v>
      </c>
      <c r="D215" s="245" t="s">
        <v>134</v>
      </c>
      <c r="E215" s="15">
        <v>20020020</v>
      </c>
      <c r="F215" s="246" t="s">
        <v>126</v>
      </c>
      <c r="G215" s="68" t="s">
        <v>184</v>
      </c>
      <c r="H215" s="69"/>
      <c r="I215" s="246" t="s">
        <v>88</v>
      </c>
      <c r="J215" s="247" t="s">
        <v>141</v>
      </c>
      <c r="K215" s="71"/>
      <c r="L215" s="74">
        <v>1250</v>
      </c>
      <c r="M215" s="68">
        <v>1250</v>
      </c>
      <c r="N215" s="6"/>
      <c r="O215" s="63" t="s">
        <v>59</v>
      </c>
      <c r="P215" s="6"/>
      <c r="Q215" s="6"/>
    </row>
    <row r="216" spans="1:17" x14ac:dyDescent="0.2">
      <c r="A216" s="17" t="s">
        <v>250</v>
      </c>
      <c r="B216" s="116">
        <v>46121</v>
      </c>
      <c r="C216" s="67" t="s">
        <v>268</v>
      </c>
      <c r="D216" s="245" t="s">
        <v>134</v>
      </c>
      <c r="E216" s="15">
        <v>20020020</v>
      </c>
      <c r="F216" s="246" t="s">
        <v>126</v>
      </c>
      <c r="G216" s="68" t="s">
        <v>137</v>
      </c>
      <c r="H216" s="69"/>
      <c r="I216" s="246" t="s">
        <v>88</v>
      </c>
      <c r="J216" s="247" t="s">
        <v>141</v>
      </c>
      <c r="K216" s="71"/>
      <c r="L216" s="74">
        <v>1250</v>
      </c>
      <c r="M216" s="68">
        <v>560</v>
      </c>
      <c r="N216" s="6"/>
      <c r="O216" s="63" t="s">
        <v>59</v>
      </c>
      <c r="P216" s="6"/>
      <c r="Q216" s="6"/>
    </row>
    <row r="217" spans="1:17" x14ac:dyDescent="0.2">
      <c r="A217" s="17" t="s">
        <v>250</v>
      </c>
      <c r="B217" s="116">
        <v>46121</v>
      </c>
      <c r="C217" s="67" t="s">
        <v>268</v>
      </c>
      <c r="D217" s="245" t="s">
        <v>134</v>
      </c>
      <c r="E217" s="15">
        <v>20020020</v>
      </c>
      <c r="F217" s="246" t="s">
        <v>126</v>
      </c>
      <c r="G217" s="68" t="s">
        <v>139</v>
      </c>
      <c r="H217" s="69"/>
      <c r="I217" s="246" t="s">
        <v>88</v>
      </c>
      <c r="J217" s="247" t="s">
        <v>141</v>
      </c>
      <c r="K217" s="71"/>
      <c r="L217" s="74">
        <v>1250</v>
      </c>
      <c r="M217" s="68">
        <v>640</v>
      </c>
      <c r="N217" s="6"/>
      <c r="O217" s="63" t="s">
        <v>59</v>
      </c>
      <c r="P217" s="6"/>
      <c r="Q217" s="6"/>
    </row>
    <row r="218" spans="1:17" x14ac:dyDescent="0.2">
      <c r="A218" s="17" t="s">
        <v>250</v>
      </c>
      <c r="B218" s="116">
        <v>46121</v>
      </c>
      <c r="C218" s="67" t="s">
        <v>268</v>
      </c>
      <c r="D218" s="245" t="s">
        <v>134</v>
      </c>
      <c r="E218" s="15">
        <v>20020020</v>
      </c>
      <c r="F218" s="246" t="s">
        <v>126</v>
      </c>
      <c r="G218" s="68" t="s">
        <v>240</v>
      </c>
      <c r="H218" s="69"/>
      <c r="I218" s="246" t="s">
        <v>88</v>
      </c>
      <c r="J218" s="247" t="s">
        <v>141</v>
      </c>
      <c r="K218" s="71"/>
      <c r="L218" s="74">
        <v>1250</v>
      </c>
      <c r="M218" s="68">
        <v>785</v>
      </c>
      <c r="N218" s="6"/>
      <c r="O218" s="63" t="s">
        <v>59</v>
      </c>
      <c r="P218" s="6"/>
      <c r="Q218" s="6"/>
    </row>
    <row r="219" spans="1:17" x14ac:dyDescent="0.2">
      <c r="A219" s="17" t="s">
        <v>250</v>
      </c>
      <c r="B219" s="116">
        <v>46121</v>
      </c>
      <c r="C219" s="67" t="s">
        <v>268</v>
      </c>
      <c r="D219" s="245" t="s">
        <v>134</v>
      </c>
      <c r="E219" s="15">
        <v>20020020</v>
      </c>
      <c r="F219" s="246" t="s">
        <v>126</v>
      </c>
      <c r="G219" s="68" t="s">
        <v>247</v>
      </c>
      <c r="H219" s="69"/>
      <c r="I219" s="246" t="s">
        <v>88</v>
      </c>
      <c r="J219" s="247" t="s">
        <v>141</v>
      </c>
      <c r="K219" s="71"/>
      <c r="L219" s="74">
        <v>1250</v>
      </c>
      <c r="M219" s="68">
        <v>1250</v>
      </c>
      <c r="N219" s="6"/>
      <c r="O219" s="63" t="s">
        <v>59</v>
      </c>
      <c r="P219" s="6"/>
      <c r="Q219" s="6"/>
    </row>
    <row r="220" spans="1:17" x14ac:dyDescent="0.2">
      <c r="A220" s="17" t="s">
        <v>250</v>
      </c>
      <c r="B220" s="116">
        <v>46121</v>
      </c>
      <c r="C220" s="67" t="s">
        <v>268</v>
      </c>
      <c r="D220" s="245" t="s">
        <v>134</v>
      </c>
      <c r="E220" s="15">
        <v>20020025</v>
      </c>
      <c r="F220" s="261" t="s">
        <v>262</v>
      </c>
      <c r="G220" s="68" t="s">
        <v>155</v>
      </c>
      <c r="H220" s="69"/>
      <c r="I220" s="69"/>
      <c r="J220" s="247" t="s">
        <v>141</v>
      </c>
      <c r="K220" s="71"/>
      <c r="L220" s="74">
        <v>1250</v>
      </c>
      <c r="M220" s="68">
        <v>6250</v>
      </c>
      <c r="N220" s="6"/>
      <c r="O220" s="63" t="s">
        <v>59</v>
      </c>
      <c r="P220" s="6"/>
      <c r="Q220" s="6"/>
    </row>
    <row r="221" spans="1:17" x14ac:dyDescent="0.2">
      <c r="A221" s="17" t="s">
        <v>250</v>
      </c>
      <c r="B221" s="116">
        <v>46121</v>
      </c>
      <c r="C221" s="67" t="s">
        <v>268</v>
      </c>
      <c r="D221" s="245" t="s">
        <v>134</v>
      </c>
      <c r="E221" s="15">
        <v>20060003</v>
      </c>
      <c r="F221" s="246" t="s">
        <v>93</v>
      </c>
      <c r="G221" s="68" t="s">
        <v>155</v>
      </c>
      <c r="H221" s="69"/>
      <c r="I221" s="69"/>
      <c r="J221" s="247" t="s">
        <v>141</v>
      </c>
      <c r="K221" s="71"/>
      <c r="L221" s="74">
        <v>1250</v>
      </c>
      <c r="M221" s="68">
        <v>25000</v>
      </c>
      <c r="N221" s="6"/>
      <c r="O221" s="63" t="s">
        <v>59</v>
      </c>
      <c r="P221" s="6"/>
      <c r="Q221" s="6"/>
    </row>
    <row r="222" spans="1:17" x14ac:dyDescent="0.2">
      <c r="A222" s="17" t="s">
        <v>250</v>
      </c>
      <c r="B222" s="116">
        <v>46121</v>
      </c>
      <c r="C222" s="67" t="s">
        <v>268</v>
      </c>
      <c r="D222" s="245" t="s">
        <v>134</v>
      </c>
      <c r="E222" s="15">
        <v>20060009</v>
      </c>
      <c r="F222" s="69" t="s">
        <v>253</v>
      </c>
      <c r="G222" s="68" t="s">
        <v>248</v>
      </c>
      <c r="H222" s="69"/>
      <c r="I222" s="69"/>
      <c r="J222" s="247" t="s">
        <v>141</v>
      </c>
      <c r="K222" s="71"/>
      <c r="L222" s="74">
        <v>1250</v>
      </c>
      <c r="M222" s="68">
        <v>3465</v>
      </c>
      <c r="N222" s="6"/>
      <c r="O222" s="63" t="s">
        <v>59</v>
      </c>
      <c r="P222" s="6"/>
      <c r="Q222" s="6"/>
    </row>
    <row r="223" spans="1:17" x14ac:dyDescent="0.2">
      <c r="A223" s="17" t="s">
        <v>250</v>
      </c>
      <c r="B223" s="116">
        <v>46121</v>
      </c>
      <c r="C223" s="67" t="s">
        <v>268</v>
      </c>
      <c r="D223" s="245" t="s">
        <v>134</v>
      </c>
      <c r="E223" s="15">
        <v>20070002</v>
      </c>
      <c r="F223" s="69"/>
      <c r="G223" s="68" t="s">
        <v>155</v>
      </c>
      <c r="H223" s="69"/>
      <c r="I223" s="69"/>
      <c r="J223" s="247" t="s">
        <v>141</v>
      </c>
      <c r="K223" s="71"/>
      <c r="L223" s="74">
        <v>1250</v>
      </c>
      <c r="M223" s="68">
        <v>162</v>
      </c>
      <c r="N223" s="6"/>
      <c r="O223" s="63" t="s">
        <v>59</v>
      </c>
      <c r="P223" s="6"/>
      <c r="Q223" s="6"/>
    </row>
    <row r="224" spans="1:17" x14ac:dyDescent="0.2">
      <c r="A224" s="257" t="s">
        <v>250</v>
      </c>
      <c r="B224" s="258">
        <v>46128</v>
      </c>
      <c r="C224" s="259" t="s">
        <v>255</v>
      </c>
      <c r="D224" s="260" t="s">
        <v>134</v>
      </c>
      <c r="E224" s="260">
        <v>20010003</v>
      </c>
      <c r="F224" s="261" t="s">
        <v>95</v>
      </c>
      <c r="G224" s="260" t="s">
        <v>158</v>
      </c>
      <c r="H224" s="261"/>
      <c r="I224" s="261" t="s">
        <v>95</v>
      </c>
      <c r="J224" s="262" t="s">
        <v>141</v>
      </c>
      <c r="K224" s="263">
        <v>0</v>
      </c>
      <c r="L224" s="260">
        <v>1250</v>
      </c>
      <c r="M224" s="260">
        <v>11863</v>
      </c>
      <c r="N224" s="6"/>
      <c r="O224" s="63" t="s">
        <v>59</v>
      </c>
      <c r="P224" s="6"/>
      <c r="Q224" s="6"/>
    </row>
    <row r="225" spans="1:17" x14ac:dyDescent="0.2">
      <c r="A225" s="257" t="s">
        <v>250</v>
      </c>
      <c r="B225" s="258">
        <v>46128</v>
      </c>
      <c r="C225" s="259" t="s">
        <v>255</v>
      </c>
      <c r="D225" s="260" t="s">
        <v>134</v>
      </c>
      <c r="E225" s="260">
        <v>20060001</v>
      </c>
      <c r="F225" s="261" t="s">
        <v>91</v>
      </c>
      <c r="G225" s="260" t="s">
        <v>138</v>
      </c>
      <c r="H225" s="261"/>
      <c r="I225" s="261" t="s">
        <v>91</v>
      </c>
      <c r="J225" s="262" t="s">
        <v>141</v>
      </c>
      <c r="K225" s="263">
        <v>3</v>
      </c>
      <c r="L225" s="260">
        <v>1250</v>
      </c>
      <c r="M225" s="260">
        <v>2955</v>
      </c>
      <c r="N225" s="6"/>
      <c r="O225" s="63" t="s">
        <v>59</v>
      </c>
      <c r="P225" s="6"/>
      <c r="Q225" s="6"/>
    </row>
    <row r="226" spans="1:17" x14ac:dyDescent="0.2">
      <c r="A226" s="257" t="s">
        <v>250</v>
      </c>
      <c r="B226" s="258">
        <v>46128</v>
      </c>
      <c r="C226" s="259" t="s">
        <v>255</v>
      </c>
      <c r="D226" s="260" t="s">
        <v>134</v>
      </c>
      <c r="E226" s="260">
        <v>20060001</v>
      </c>
      <c r="F226" s="261" t="s">
        <v>91</v>
      </c>
      <c r="G226" s="260" t="s">
        <v>256</v>
      </c>
      <c r="H226" s="261"/>
      <c r="I226" s="261" t="s">
        <v>91</v>
      </c>
      <c r="J226" s="262" t="s">
        <v>141</v>
      </c>
      <c r="K226" s="263">
        <v>1</v>
      </c>
      <c r="L226" s="260">
        <v>1250</v>
      </c>
      <c r="M226" s="260">
        <v>1250</v>
      </c>
      <c r="N226" s="6"/>
      <c r="O226" s="63" t="s">
        <v>59</v>
      </c>
      <c r="P226" s="6"/>
      <c r="Q226" s="6"/>
    </row>
    <row r="227" spans="1:17" x14ac:dyDescent="0.2">
      <c r="A227" s="257" t="s">
        <v>250</v>
      </c>
      <c r="B227" s="258">
        <v>46128</v>
      </c>
      <c r="C227" s="259" t="s">
        <v>255</v>
      </c>
      <c r="D227" s="260" t="s">
        <v>134</v>
      </c>
      <c r="E227" s="260">
        <v>20060001</v>
      </c>
      <c r="F227" s="261" t="s">
        <v>91</v>
      </c>
      <c r="G227" s="260" t="s">
        <v>257</v>
      </c>
      <c r="H227" s="261"/>
      <c r="I227" s="261" t="s">
        <v>91</v>
      </c>
      <c r="J227" s="262" t="s">
        <v>141</v>
      </c>
      <c r="K227" s="263">
        <v>1</v>
      </c>
      <c r="L227" s="260">
        <v>1250</v>
      </c>
      <c r="M227" s="260">
        <v>1250</v>
      </c>
      <c r="N227" s="6"/>
      <c r="O227" s="63" t="s">
        <v>59</v>
      </c>
      <c r="P227" s="6"/>
      <c r="Q227" s="6"/>
    </row>
    <row r="228" spans="1:17" x14ac:dyDescent="0.2">
      <c r="A228" s="257" t="s">
        <v>250</v>
      </c>
      <c r="B228" s="258">
        <v>46128</v>
      </c>
      <c r="C228" s="259" t="s">
        <v>255</v>
      </c>
      <c r="D228" s="260" t="s">
        <v>134</v>
      </c>
      <c r="E228" s="260">
        <v>20060001</v>
      </c>
      <c r="F228" s="261" t="s">
        <v>91</v>
      </c>
      <c r="G228" s="260" t="s">
        <v>178</v>
      </c>
      <c r="H228" s="261"/>
      <c r="I228" s="261" t="s">
        <v>91</v>
      </c>
      <c r="J228" s="262" t="s">
        <v>141</v>
      </c>
      <c r="K228" s="263">
        <v>2</v>
      </c>
      <c r="L228" s="260">
        <v>1250</v>
      </c>
      <c r="M228" s="260">
        <v>2500</v>
      </c>
      <c r="N228" s="6"/>
      <c r="O228" s="63" t="s">
        <v>59</v>
      </c>
      <c r="P228" s="6"/>
      <c r="Q228" s="6"/>
    </row>
    <row r="229" spans="1:17" x14ac:dyDescent="0.2">
      <c r="A229" s="257" t="s">
        <v>250</v>
      </c>
      <c r="B229" s="258">
        <v>46128</v>
      </c>
      <c r="C229" s="259" t="s">
        <v>255</v>
      </c>
      <c r="D229" s="260" t="s">
        <v>134</v>
      </c>
      <c r="E229" s="260">
        <v>20010008</v>
      </c>
      <c r="F229" s="261" t="s">
        <v>149</v>
      </c>
      <c r="G229" s="260" t="s">
        <v>178</v>
      </c>
      <c r="H229" s="261"/>
      <c r="I229" s="261" t="s">
        <v>95</v>
      </c>
      <c r="J229" s="262" t="s">
        <v>141</v>
      </c>
      <c r="K229" s="263">
        <v>1</v>
      </c>
      <c r="L229" s="260">
        <v>1250</v>
      </c>
      <c r="M229" s="260">
        <v>1250</v>
      </c>
      <c r="N229" s="6"/>
      <c r="O229" s="63" t="s">
        <v>59</v>
      </c>
      <c r="P229" s="6"/>
      <c r="Q229" s="6"/>
    </row>
    <row r="230" spans="1:17" x14ac:dyDescent="0.2">
      <c r="A230" s="257" t="s">
        <v>250</v>
      </c>
      <c r="B230" s="258">
        <v>46128</v>
      </c>
      <c r="C230" s="259" t="s">
        <v>255</v>
      </c>
      <c r="D230" s="260" t="s">
        <v>134</v>
      </c>
      <c r="E230" s="260">
        <v>20010008</v>
      </c>
      <c r="F230" s="261" t="s">
        <v>149</v>
      </c>
      <c r="G230" s="260" t="s">
        <v>187</v>
      </c>
      <c r="H230" s="261"/>
      <c r="I230" s="261" t="s">
        <v>95</v>
      </c>
      <c r="J230" s="262" t="s">
        <v>141</v>
      </c>
      <c r="K230" s="263">
        <v>9</v>
      </c>
      <c r="L230" s="260">
        <v>1250</v>
      </c>
      <c r="M230" s="260">
        <v>11250</v>
      </c>
      <c r="N230" s="6"/>
      <c r="O230" s="63" t="s">
        <v>59</v>
      </c>
      <c r="P230" s="6"/>
      <c r="Q230" s="6"/>
    </row>
    <row r="231" spans="1:17" x14ac:dyDescent="0.2">
      <c r="A231" s="257" t="s">
        <v>250</v>
      </c>
      <c r="B231" s="258">
        <v>46128</v>
      </c>
      <c r="C231" s="259" t="s">
        <v>255</v>
      </c>
      <c r="D231" s="260" t="s">
        <v>134</v>
      </c>
      <c r="E231" s="260">
        <v>20060003</v>
      </c>
      <c r="F231" s="261" t="s">
        <v>93</v>
      </c>
      <c r="G231" s="260" t="s">
        <v>155</v>
      </c>
      <c r="H231" s="261"/>
      <c r="I231" s="261" t="s">
        <v>93</v>
      </c>
      <c r="J231" s="262" t="s">
        <v>141</v>
      </c>
      <c r="K231" s="263">
        <v>20</v>
      </c>
      <c r="L231" s="260">
        <v>1250</v>
      </c>
      <c r="M231" s="260">
        <v>25000</v>
      </c>
      <c r="N231" s="6"/>
      <c r="O231" s="63" t="s">
        <v>59</v>
      </c>
      <c r="P231" s="6"/>
      <c r="Q231" s="6"/>
    </row>
    <row r="232" spans="1:17" x14ac:dyDescent="0.2">
      <c r="A232" s="257" t="s">
        <v>250</v>
      </c>
      <c r="B232" s="258">
        <v>46128</v>
      </c>
      <c r="C232" s="259" t="s">
        <v>255</v>
      </c>
      <c r="D232" s="260" t="s">
        <v>134</v>
      </c>
      <c r="E232" s="260">
        <v>20010016</v>
      </c>
      <c r="F232" s="261" t="s">
        <v>150</v>
      </c>
      <c r="G232" s="260" t="s">
        <v>184</v>
      </c>
      <c r="H232" s="261"/>
      <c r="I232" s="261" t="s">
        <v>95</v>
      </c>
      <c r="J232" s="262" t="s">
        <v>141</v>
      </c>
      <c r="K232" s="263">
        <v>0</v>
      </c>
      <c r="L232" s="260">
        <v>1250</v>
      </c>
      <c r="M232" s="260">
        <v>791</v>
      </c>
      <c r="N232" s="6"/>
      <c r="O232" s="63" t="s">
        <v>59</v>
      </c>
      <c r="P232" s="6"/>
      <c r="Q232" s="6"/>
    </row>
    <row r="233" spans="1:17" x14ac:dyDescent="0.2">
      <c r="A233" s="257" t="s">
        <v>250</v>
      </c>
      <c r="B233" s="258">
        <v>46128</v>
      </c>
      <c r="C233" s="259" t="s">
        <v>255</v>
      </c>
      <c r="D233" s="260" t="s">
        <v>134</v>
      </c>
      <c r="E233" s="260">
        <v>20010016</v>
      </c>
      <c r="F233" s="261" t="s">
        <v>150</v>
      </c>
      <c r="G233" s="260" t="s">
        <v>185</v>
      </c>
      <c r="H233" s="261"/>
      <c r="I233" s="261" t="s">
        <v>95</v>
      </c>
      <c r="J233" s="262" t="s">
        <v>141</v>
      </c>
      <c r="K233" s="263">
        <v>0</v>
      </c>
      <c r="L233" s="260">
        <v>1250</v>
      </c>
      <c r="M233" s="260">
        <v>684</v>
      </c>
      <c r="N233" s="6"/>
      <c r="O233" s="63" t="s">
        <v>59</v>
      </c>
      <c r="P233" s="6"/>
      <c r="Q233" s="6"/>
    </row>
    <row r="234" spans="1:17" x14ac:dyDescent="0.2">
      <c r="A234" s="257" t="s">
        <v>250</v>
      </c>
      <c r="B234" s="258">
        <v>46128</v>
      </c>
      <c r="C234" s="259" t="s">
        <v>255</v>
      </c>
      <c r="D234" s="260" t="s">
        <v>134</v>
      </c>
      <c r="E234" s="260">
        <v>20070010</v>
      </c>
      <c r="F234" s="261" t="s">
        <v>258</v>
      </c>
      <c r="G234" s="260" t="s">
        <v>155</v>
      </c>
      <c r="H234" s="261"/>
      <c r="I234" s="261"/>
      <c r="J234" s="262" t="s">
        <v>141</v>
      </c>
      <c r="K234" s="263">
        <v>2</v>
      </c>
      <c r="L234" s="260">
        <v>1250</v>
      </c>
      <c r="M234" s="260">
        <v>2490</v>
      </c>
      <c r="N234" s="6"/>
      <c r="O234" s="63" t="s">
        <v>59</v>
      </c>
      <c r="P234" s="6"/>
      <c r="Q234" s="6"/>
    </row>
    <row r="235" spans="1:17" x14ac:dyDescent="0.2">
      <c r="A235" s="257" t="s">
        <v>250</v>
      </c>
      <c r="B235" s="258">
        <v>46128</v>
      </c>
      <c r="C235" s="259" t="s">
        <v>255</v>
      </c>
      <c r="D235" s="260" t="s">
        <v>134</v>
      </c>
      <c r="E235" s="260">
        <v>20020001</v>
      </c>
      <c r="F235" s="261" t="s">
        <v>88</v>
      </c>
      <c r="G235" s="260" t="s">
        <v>246</v>
      </c>
      <c r="H235" s="261"/>
      <c r="I235" s="261" t="s">
        <v>88</v>
      </c>
      <c r="J235" s="262" t="s">
        <v>141</v>
      </c>
      <c r="K235" s="263">
        <v>0</v>
      </c>
      <c r="L235" s="260">
        <v>1250</v>
      </c>
      <c r="M235" s="260">
        <v>526</v>
      </c>
      <c r="N235" s="6"/>
      <c r="O235" s="63" t="s">
        <v>59</v>
      </c>
      <c r="P235" s="6"/>
      <c r="Q235" s="6"/>
    </row>
    <row r="236" spans="1:17" x14ac:dyDescent="0.2">
      <c r="A236" s="257" t="s">
        <v>250</v>
      </c>
      <c r="B236" s="258">
        <v>46128</v>
      </c>
      <c r="C236" s="259" t="s">
        <v>255</v>
      </c>
      <c r="D236" s="260" t="s">
        <v>134</v>
      </c>
      <c r="E236" s="260">
        <v>20020001</v>
      </c>
      <c r="F236" s="261" t="s">
        <v>88</v>
      </c>
      <c r="G236" s="260" t="s">
        <v>184</v>
      </c>
      <c r="H236" s="261"/>
      <c r="I236" s="261" t="s">
        <v>88</v>
      </c>
      <c r="J236" s="262" t="s">
        <v>141</v>
      </c>
      <c r="K236" s="263">
        <v>0</v>
      </c>
      <c r="L236" s="260">
        <v>1250</v>
      </c>
      <c r="M236" s="260">
        <v>131</v>
      </c>
      <c r="N236" s="6"/>
      <c r="O236" s="63" t="s">
        <v>59</v>
      </c>
      <c r="P236" s="6"/>
      <c r="Q236" s="6"/>
    </row>
    <row r="237" spans="1:17" x14ac:dyDescent="0.2">
      <c r="A237" s="257" t="s">
        <v>250</v>
      </c>
      <c r="B237" s="258">
        <v>46128</v>
      </c>
      <c r="C237" s="259" t="s">
        <v>255</v>
      </c>
      <c r="D237" s="260" t="s">
        <v>134</v>
      </c>
      <c r="E237" s="260">
        <v>20020001</v>
      </c>
      <c r="F237" s="261" t="s">
        <v>88</v>
      </c>
      <c r="G237" s="260" t="s">
        <v>155</v>
      </c>
      <c r="H237" s="261"/>
      <c r="I237" s="261" t="s">
        <v>88</v>
      </c>
      <c r="J237" s="262" t="s">
        <v>141</v>
      </c>
      <c r="K237" s="263">
        <v>2</v>
      </c>
      <c r="L237" s="260">
        <v>1250</v>
      </c>
      <c r="M237" s="260">
        <v>2500</v>
      </c>
      <c r="N237" s="6"/>
      <c r="O237" s="63" t="s">
        <v>59</v>
      </c>
      <c r="P237" s="6"/>
      <c r="Q237" s="6"/>
    </row>
    <row r="238" spans="1:17" x14ac:dyDescent="0.2">
      <c r="A238" s="257" t="s">
        <v>250</v>
      </c>
      <c r="B238" s="258">
        <v>46128</v>
      </c>
      <c r="C238" s="259" t="s">
        <v>255</v>
      </c>
      <c r="D238" s="260" t="s">
        <v>134</v>
      </c>
      <c r="E238" s="260">
        <v>20020001</v>
      </c>
      <c r="F238" s="261" t="s">
        <v>88</v>
      </c>
      <c r="G238" s="260" t="s">
        <v>137</v>
      </c>
      <c r="H238" s="261"/>
      <c r="I238" s="261" t="s">
        <v>88</v>
      </c>
      <c r="J238" s="262" t="s">
        <v>141</v>
      </c>
      <c r="K238" s="263">
        <v>1</v>
      </c>
      <c r="L238" s="260">
        <v>1250</v>
      </c>
      <c r="M238" s="260">
        <v>1250</v>
      </c>
      <c r="N238" s="6"/>
      <c r="O238" s="63" t="s">
        <v>59</v>
      </c>
      <c r="P238" s="6"/>
      <c r="Q238" s="6"/>
    </row>
    <row r="239" spans="1:17" x14ac:dyDescent="0.2">
      <c r="A239" s="257" t="s">
        <v>250</v>
      </c>
      <c r="B239" s="258">
        <v>46128</v>
      </c>
      <c r="C239" s="259" t="s">
        <v>255</v>
      </c>
      <c r="D239" s="260" t="s">
        <v>134</v>
      </c>
      <c r="E239" s="260">
        <v>20020001</v>
      </c>
      <c r="F239" s="261" t="s">
        <v>88</v>
      </c>
      <c r="G239" s="260" t="s">
        <v>140</v>
      </c>
      <c r="H239" s="261"/>
      <c r="I239" s="261" t="s">
        <v>88</v>
      </c>
      <c r="J239" s="262" t="s">
        <v>141</v>
      </c>
      <c r="K239" s="263">
        <v>1</v>
      </c>
      <c r="L239" s="260">
        <v>1250</v>
      </c>
      <c r="M239" s="260">
        <v>1250</v>
      </c>
      <c r="N239" s="6"/>
      <c r="O239" s="63" t="s">
        <v>59</v>
      </c>
      <c r="P239" s="6"/>
      <c r="Q239" s="6"/>
    </row>
    <row r="240" spans="1:17" x14ac:dyDescent="0.2">
      <c r="A240" s="257" t="s">
        <v>250</v>
      </c>
      <c r="B240" s="258">
        <v>46128</v>
      </c>
      <c r="C240" s="259" t="s">
        <v>255</v>
      </c>
      <c r="D240" s="260" t="s">
        <v>134</v>
      </c>
      <c r="E240" s="260">
        <v>20020001</v>
      </c>
      <c r="F240" s="261" t="s">
        <v>88</v>
      </c>
      <c r="G240" s="260" t="s">
        <v>186</v>
      </c>
      <c r="H240" s="261"/>
      <c r="I240" s="261" t="s">
        <v>88</v>
      </c>
      <c r="J240" s="262" t="s">
        <v>141</v>
      </c>
      <c r="K240" s="263">
        <v>1</v>
      </c>
      <c r="L240" s="260">
        <v>1250</v>
      </c>
      <c r="M240" s="260">
        <v>1250</v>
      </c>
      <c r="N240" s="6"/>
      <c r="O240" s="63" t="s">
        <v>59</v>
      </c>
      <c r="P240" s="6"/>
      <c r="Q240" s="6"/>
    </row>
    <row r="241" spans="1:17" x14ac:dyDescent="0.2">
      <c r="A241" s="257" t="s">
        <v>250</v>
      </c>
      <c r="B241" s="258">
        <v>46128</v>
      </c>
      <c r="C241" s="259" t="s">
        <v>255</v>
      </c>
      <c r="D241" s="260" t="s">
        <v>134</v>
      </c>
      <c r="E241" s="260">
        <v>20070024</v>
      </c>
      <c r="F241" s="261" t="s">
        <v>238</v>
      </c>
      <c r="G241" s="260" t="s">
        <v>155</v>
      </c>
      <c r="H241" s="261"/>
      <c r="I241" s="261" t="s">
        <v>99</v>
      </c>
      <c r="J241" s="262" t="s">
        <v>141</v>
      </c>
      <c r="K241" s="263">
        <v>0</v>
      </c>
      <c r="L241" s="260">
        <v>1250</v>
      </c>
      <c r="M241" s="260">
        <v>8844</v>
      </c>
      <c r="N241" s="6"/>
      <c r="O241" s="63" t="s">
        <v>59</v>
      </c>
      <c r="P241" s="6"/>
      <c r="Q241" s="6"/>
    </row>
    <row r="242" spans="1:17" x14ac:dyDescent="0.2">
      <c r="A242" s="257" t="s">
        <v>250</v>
      </c>
      <c r="B242" s="258">
        <v>46128</v>
      </c>
      <c r="C242" s="259" t="s">
        <v>255</v>
      </c>
      <c r="D242" s="260" t="s">
        <v>134</v>
      </c>
      <c r="E242" s="260">
        <v>20020002</v>
      </c>
      <c r="F242" s="261" t="s">
        <v>259</v>
      </c>
      <c r="G242" s="260" t="s">
        <v>158</v>
      </c>
      <c r="H242" s="261"/>
      <c r="I242" s="261" t="s">
        <v>88</v>
      </c>
      <c r="J242" s="262" t="s">
        <v>141</v>
      </c>
      <c r="K242" s="263">
        <v>1</v>
      </c>
      <c r="L242" s="260">
        <v>1250</v>
      </c>
      <c r="M242" s="260">
        <v>1250</v>
      </c>
      <c r="N242" s="6"/>
      <c r="O242" s="63" t="s">
        <v>59</v>
      </c>
      <c r="P242" s="6"/>
      <c r="Q242" s="6"/>
    </row>
    <row r="243" spans="1:17" x14ac:dyDescent="0.2">
      <c r="A243" s="257" t="s">
        <v>250</v>
      </c>
      <c r="B243" s="258">
        <v>46128</v>
      </c>
      <c r="C243" s="259" t="s">
        <v>255</v>
      </c>
      <c r="D243" s="260" t="s">
        <v>134</v>
      </c>
      <c r="E243" s="260">
        <v>20020002</v>
      </c>
      <c r="F243" s="261" t="s">
        <v>259</v>
      </c>
      <c r="G243" s="260" t="s">
        <v>260</v>
      </c>
      <c r="H243" s="261"/>
      <c r="I243" s="261" t="s">
        <v>88</v>
      </c>
      <c r="J243" s="262" t="s">
        <v>141</v>
      </c>
      <c r="K243" s="263">
        <v>1</v>
      </c>
      <c r="L243" s="260">
        <v>1250</v>
      </c>
      <c r="M243" s="260">
        <v>1250</v>
      </c>
      <c r="N243" s="6"/>
      <c r="O243" s="63" t="s">
        <v>59</v>
      </c>
      <c r="P243" s="6"/>
      <c r="Q243" s="6"/>
    </row>
    <row r="244" spans="1:17" x14ac:dyDescent="0.2">
      <c r="A244" s="257" t="s">
        <v>250</v>
      </c>
      <c r="B244" s="258">
        <v>46128</v>
      </c>
      <c r="C244" s="259" t="s">
        <v>255</v>
      </c>
      <c r="D244" s="260" t="s">
        <v>134</v>
      </c>
      <c r="E244" s="260">
        <v>20020002</v>
      </c>
      <c r="F244" s="261" t="s">
        <v>259</v>
      </c>
      <c r="G244" s="260" t="s">
        <v>198</v>
      </c>
      <c r="H244" s="261"/>
      <c r="I244" s="261" t="s">
        <v>88</v>
      </c>
      <c r="J244" s="262" t="s">
        <v>141</v>
      </c>
      <c r="K244" s="263">
        <v>1</v>
      </c>
      <c r="L244" s="260">
        <v>1250</v>
      </c>
      <c r="M244" s="260">
        <v>1250</v>
      </c>
      <c r="N244" s="6"/>
      <c r="O244" s="63" t="s">
        <v>59</v>
      </c>
      <c r="P244" s="6"/>
      <c r="Q244" s="6"/>
    </row>
    <row r="245" spans="1:17" x14ac:dyDescent="0.2">
      <c r="A245" s="257" t="s">
        <v>250</v>
      </c>
      <c r="B245" s="258">
        <v>46128</v>
      </c>
      <c r="C245" s="259" t="s">
        <v>255</v>
      </c>
      <c r="D245" s="260" t="s">
        <v>134</v>
      </c>
      <c r="E245" s="260">
        <v>20020020</v>
      </c>
      <c r="F245" s="261" t="s">
        <v>126</v>
      </c>
      <c r="G245" s="260" t="s">
        <v>137</v>
      </c>
      <c r="H245" s="261"/>
      <c r="I245" s="261" t="s">
        <v>88</v>
      </c>
      <c r="J245" s="262" t="s">
        <v>141</v>
      </c>
      <c r="K245" s="263">
        <v>0</v>
      </c>
      <c r="L245" s="260">
        <v>1250</v>
      </c>
      <c r="M245" s="260">
        <v>690</v>
      </c>
      <c r="N245" s="6"/>
      <c r="O245" s="63" t="s">
        <v>59</v>
      </c>
      <c r="P245" s="6"/>
      <c r="Q245" s="6"/>
    </row>
    <row r="246" spans="1:17" x14ac:dyDescent="0.2">
      <c r="A246" s="257" t="s">
        <v>250</v>
      </c>
      <c r="B246" s="258">
        <v>46128</v>
      </c>
      <c r="C246" s="259" t="s">
        <v>255</v>
      </c>
      <c r="D246" s="260" t="s">
        <v>134</v>
      </c>
      <c r="E246" s="260">
        <v>20020020</v>
      </c>
      <c r="F246" s="261" t="s">
        <v>126</v>
      </c>
      <c r="G246" s="260" t="s">
        <v>139</v>
      </c>
      <c r="H246" s="261"/>
      <c r="I246" s="261" t="s">
        <v>88</v>
      </c>
      <c r="J246" s="262" t="s">
        <v>141</v>
      </c>
      <c r="K246" s="263">
        <v>0</v>
      </c>
      <c r="L246" s="260">
        <v>1250</v>
      </c>
      <c r="M246" s="260">
        <v>922</v>
      </c>
      <c r="N246" s="6"/>
      <c r="O246" s="63" t="s">
        <v>59</v>
      </c>
      <c r="P246" s="6"/>
      <c r="Q246" s="6"/>
    </row>
    <row r="247" spans="1:17" x14ac:dyDescent="0.2">
      <c r="A247" s="257" t="s">
        <v>250</v>
      </c>
      <c r="B247" s="258">
        <v>46128</v>
      </c>
      <c r="C247" s="259" t="s">
        <v>255</v>
      </c>
      <c r="D247" s="260" t="s">
        <v>134</v>
      </c>
      <c r="E247" s="260">
        <v>20020020</v>
      </c>
      <c r="F247" s="261" t="s">
        <v>126</v>
      </c>
      <c r="G247" s="260" t="s">
        <v>240</v>
      </c>
      <c r="H247" s="261"/>
      <c r="I247" s="261" t="s">
        <v>88</v>
      </c>
      <c r="J247" s="262" t="s">
        <v>141</v>
      </c>
      <c r="K247" s="263">
        <v>0</v>
      </c>
      <c r="L247" s="260">
        <v>1250</v>
      </c>
      <c r="M247" s="260">
        <v>1354</v>
      </c>
      <c r="N247" s="6"/>
      <c r="O247" s="63" t="s">
        <v>59</v>
      </c>
      <c r="P247" s="6"/>
      <c r="Q247" s="6"/>
    </row>
    <row r="248" spans="1:17" x14ac:dyDescent="0.2">
      <c r="A248" s="257" t="s">
        <v>250</v>
      </c>
      <c r="B248" s="258">
        <v>46128</v>
      </c>
      <c r="C248" s="259" t="s">
        <v>255</v>
      </c>
      <c r="D248" s="260" t="s">
        <v>134</v>
      </c>
      <c r="E248" s="260">
        <v>20020020</v>
      </c>
      <c r="F248" s="261" t="s">
        <v>126</v>
      </c>
      <c r="G248" s="260" t="s">
        <v>138</v>
      </c>
      <c r="H248" s="261"/>
      <c r="I248" s="261" t="s">
        <v>88</v>
      </c>
      <c r="J248" s="262" t="s">
        <v>141</v>
      </c>
      <c r="K248" s="263">
        <v>1</v>
      </c>
      <c r="L248" s="260">
        <v>1250</v>
      </c>
      <c r="M248" s="260">
        <v>1250</v>
      </c>
      <c r="N248" s="6"/>
      <c r="O248" s="63" t="s">
        <v>59</v>
      </c>
      <c r="P248" s="6"/>
      <c r="Q248" s="6"/>
    </row>
    <row r="249" spans="1:17" x14ac:dyDescent="0.2">
      <c r="A249" s="257" t="s">
        <v>250</v>
      </c>
      <c r="B249" s="258">
        <v>46128</v>
      </c>
      <c r="C249" s="259" t="s">
        <v>255</v>
      </c>
      <c r="D249" s="260" t="s">
        <v>134</v>
      </c>
      <c r="E249" s="260">
        <v>20020020</v>
      </c>
      <c r="F249" s="261" t="s">
        <v>126</v>
      </c>
      <c r="G249" s="260" t="s">
        <v>186</v>
      </c>
      <c r="H249" s="261"/>
      <c r="I249" s="261" t="s">
        <v>88</v>
      </c>
      <c r="J249" s="262" t="s">
        <v>141</v>
      </c>
      <c r="K249" s="263">
        <v>1</v>
      </c>
      <c r="L249" s="260">
        <v>1250</v>
      </c>
      <c r="M249" s="260">
        <v>1250</v>
      </c>
      <c r="N249" s="6"/>
      <c r="O249" s="63" t="s">
        <v>59</v>
      </c>
      <c r="P249" s="6"/>
      <c r="Q249" s="6"/>
    </row>
    <row r="250" spans="1:17" x14ac:dyDescent="0.2">
      <c r="A250" s="257" t="s">
        <v>250</v>
      </c>
      <c r="B250" s="258">
        <v>46128</v>
      </c>
      <c r="C250" s="259" t="s">
        <v>255</v>
      </c>
      <c r="D250" s="260" t="s">
        <v>134</v>
      </c>
      <c r="E250" s="260">
        <v>20020020</v>
      </c>
      <c r="F250" s="261" t="s">
        <v>126</v>
      </c>
      <c r="G250" s="260" t="s">
        <v>261</v>
      </c>
      <c r="H250" s="261"/>
      <c r="I250" s="261" t="s">
        <v>88</v>
      </c>
      <c r="J250" s="262" t="s">
        <v>141</v>
      </c>
      <c r="K250" s="263">
        <v>1</v>
      </c>
      <c r="L250" s="260">
        <v>1250</v>
      </c>
      <c r="M250" s="260">
        <v>884</v>
      </c>
      <c r="N250" s="6"/>
      <c r="O250" s="63" t="s">
        <v>59</v>
      </c>
      <c r="P250" s="6"/>
      <c r="Q250" s="6"/>
    </row>
    <row r="251" spans="1:17" x14ac:dyDescent="0.2">
      <c r="A251" s="257" t="s">
        <v>250</v>
      </c>
      <c r="B251" s="258">
        <v>46128</v>
      </c>
      <c r="C251" s="259" t="s">
        <v>255</v>
      </c>
      <c r="D251" s="260" t="s">
        <v>134</v>
      </c>
      <c r="E251" s="260">
        <v>20020025</v>
      </c>
      <c r="F251" s="261" t="s">
        <v>262</v>
      </c>
      <c r="G251" s="260" t="s">
        <v>155</v>
      </c>
      <c r="H251" s="261"/>
      <c r="I251" s="261"/>
      <c r="J251" s="262" t="s">
        <v>141</v>
      </c>
      <c r="K251" s="263">
        <v>6</v>
      </c>
      <c r="L251" s="260">
        <v>1250</v>
      </c>
      <c r="M251" s="260">
        <v>5782</v>
      </c>
      <c r="N251" s="6"/>
      <c r="O251" s="63" t="s">
        <v>59</v>
      </c>
      <c r="P251" s="6"/>
      <c r="Q251" s="6"/>
    </row>
    <row r="252" spans="1:17" x14ac:dyDescent="0.2">
      <c r="A252" s="257" t="s">
        <v>250</v>
      </c>
      <c r="B252" s="258">
        <v>46128</v>
      </c>
      <c r="C252" s="259" t="s">
        <v>255</v>
      </c>
      <c r="D252" s="260" t="s">
        <v>134</v>
      </c>
      <c r="E252" s="260">
        <v>20050001</v>
      </c>
      <c r="F252" s="261" t="s">
        <v>263</v>
      </c>
      <c r="G252" s="260" t="s">
        <v>264</v>
      </c>
      <c r="H252" s="261"/>
      <c r="I252" s="261" t="s">
        <v>97</v>
      </c>
      <c r="J252" s="262" t="s">
        <v>141</v>
      </c>
      <c r="K252" s="263">
        <v>2</v>
      </c>
      <c r="L252" s="260">
        <v>1250</v>
      </c>
      <c r="M252" s="260">
        <v>2500</v>
      </c>
      <c r="N252" s="6"/>
      <c r="O252" s="63" t="s">
        <v>59</v>
      </c>
      <c r="P252" s="6"/>
      <c r="Q252" s="6"/>
    </row>
    <row r="253" spans="1:17" x14ac:dyDescent="0.2">
      <c r="A253" s="257" t="s">
        <v>250</v>
      </c>
      <c r="B253" s="258">
        <v>46128</v>
      </c>
      <c r="C253" s="259" t="s">
        <v>255</v>
      </c>
      <c r="D253" s="260" t="s">
        <v>134</v>
      </c>
      <c r="E253" s="260">
        <v>20050003</v>
      </c>
      <c r="F253" s="261" t="s">
        <v>265</v>
      </c>
      <c r="G253" s="260" t="s">
        <v>155</v>
      </c>
      <c r="H253" s="261"/>
      <c r="I253" s="261"/>
      <c r="J253" s="262" t="s">
        <v>141</v>
      </c>
      <c r="K253" s="263">
        <v>3</v>
      </c>
      <c r="L253" s="260">
        <v>1250</v>
      </c>
      <c r="M253" s="260">
        <v>3750</v>
      </c>
      <c r="N253" s="6"/>
      <c r="O253" s="63" t="s">
        <v>59</v>
      </c>
      <c r="P253" s="6"/>
      <c r="Q253" s="6"/>
    </row>
    <row r="254" spans="1:17" x14ac:dyDescent="0.2">
      <c r="A254" s="257" t="s">
        <v>250</v>
      </c>
      <c r="B254" s="258">
        <v>46128</v>
      </c>
      <c r="C254" s="259" t="s">
        <v>255</v>
      </c>
      <c r="D254" s="260" t="s">
        <v>134</v>
      </c>
      <c r="E254" s="260">
        <v>20090015</v>
      </c>
      <c r="F254" s="261" t="s">
        <v>266</v>
      </c>
      <c r="G254" s="260" t="s">
        <v>155</v>
      </c>
      <c r="H254" s="261"/>
      <c r="I254" s="261" t="s">
        <v>124</v>
      </c>
      <c r="J254" s="262" t="s">
        <v>141</v>
      </c>
      <c r="K254" s="263">
        <v>1</v>
      </c>
      <c r="L254" s="260">
        <v>1250</v>
      </c>
      <c r="M254" s="260">
        <v>616</v>
      </c>
      <c r="N254" s="6"/>
      <c r="O254" s="63" t="s">
        <v>59</v>
      </c>
      <c r="P254" s="6"/>
      <c r="Q254" s="6"/>
    </row>
    <row r="255" spans="1:17" x14ac:dyDescent="0.2">
      <c r="A255" s="257" t="s">
        <v>250</v>
      </c>
      <c r="B255" s="258">
        <v>46128</v>
      </c>
      <c r="C255" s="259" t="s">
        <v>255</v>
      </c>
      <c r="D255" s="260" t="s">
        <v>134</v>
      </c>
      <c r="E255" s="260">
        <v>20090015</v>
      </c>
      <c r="F255" s="261" t="s">
        <v>266</v>
      </c>
      <c r="G255" s="260" t="s">
        <v>231</v>
      </c>
      <c r="H255" s="261"/>
      <c r="I255" s="261" t="s">
        <v>124</v>
      </c>
      <c r="J255" s="262" t="s">
        <v>141</v>
      </c>
      <c r="K255" s="263">
        <v>1</v>
      </c>
      <c r="L255" s="260">
        <v>1250</v>
      </c>
      <c r="M255" s="260">
        <v>1121</v>
      </c>
      <c r="N255" s="6"/>
      <c r="O255" s="63" t="s">
        <v>59</v>
      </c>
      <c r="P255" s="6"/>
      <c r="Q255" s="6"/>
    </row>
    <row r="256" spans="1:17" x14ac:dyDescent="0.2">
      <c r="A256" s="257" t="s">
        <v>250</v>
      </c>
      <c r="B256" s="258">
        <v>46128</v>
      </c>
      <c r="C256" s="259" t="s">
        <v>255</v>
      </c>
      <c r="D256" s="260" t="s">
        <v>134</v>
      </c>
      <c r="E256" s="260">
        <v>20090017</v>
      </c>
      <c r="F256" s="261" t="s">
        <v>129</v>
      </c>
      <c r="G256" s="260" t="s">
        <v>158</v>
      </c>
      <c r="H256" s="261"/>
      <c r="I256" s="261" t="s">
        <v>124</v>
      </c>
      <c r="J256" s="262" t="s">
        <v>141</v>
      </c>
      <c r="K256" s="263">
        <v>2</v>
      </c>
      <c r="L256" s="260">
        <v>1250</v>
      </c>
      <c r="M256" s="260">
        <v>2500</v>
      </c>
      <c r="N256" s="6"/>
      <c r="O256" s="63" t="s">
        <v>59</v>
      </c>
      <c r="P256" s="6"/>
      <c r="Q256" s="6"/>
    </row>
    <row r="257" spans="1:17" x14ac:dyDescent="0.2">
      <c r="A257" s="257" t="s">
        <v>250</v>
      </c>
      <c r="B257" s="258">
        <v>46128</v>
      </c>
      <c r="C257" s="259" t="s">
        <v>255</v>
      </c>
      <c r="D257" s="260" t="s">
        <v>134</v>
      </c>
      <c r="E257" s="260">
        <v>20090011</v>
      </c>
      <c r="F257" s="261" t="s">
        <v>131</v>
      </c>
      <c r="G257" s="260" t="s">
        <v>215</v>
      </c>
      <c r="H257" s="261"/>
      <c r="I257" s="261" t="s">
        <v>124</v>
      </c>
      <c r="J257" s="262" t="s">
        <v>141</v>
      </c>
      <c r="K257" s="263">
        <v>1</v>
      </c>
      <c r="L257" s="260">
        <v>1250</v>
      </c>
      <c r="M257" s="260">
        <v>1250</v>
      </c>
      <c r="N257" s="6"/>
      <c r="O257" s="63" t="s">
        <v>59</v>
      </c>
      <c r="P257" s="6"/>
      <c r="Q257" s="6"/>
    </row>
    <row r="258" spans="1:17" x14ac:dyDescent="0.2">
      <c r="A258" s="257" t="s">
        <v>250</v>
      </c>
      <c r="B258" s="258">
        <v>46128</v>
      </c>
      <c r="C258" s="259" t="s">
        <v>255</v>
      </c>
      <c r="D258" s="260" t="s">
        <v>134</v>
      </c>
      <c r="E258" s="260">
        <v>20090011</v>
      </c>
      <c r="F258" s="261" t="s">
        <v>131</v>
      </c>
      <c r="G258" s="260" t="s">
        <v>158</v>
      </c>
      <c r="H258" s="261"/>
      <c r="I258" s="261" t="s">
        <v>124</v>
      </c>
      <c r="J258" s="262" t="s">
        <v>141</v>
      </c>
      <c r="K258" s="263">
        <v>2</v>
      </c>
      <c r="L258" s="260">
        <v>1250</v>
      </c>
      <c r="M258" s="260">
        <v>2500</v>
      </c>
      <c r="N258" s="6"/>
      <c r="O258" s="63" t="s">
        <v>59</v>
      </c>
      <c r="P258" s="6"/>
      <c r="Q258" s="6"/>
    </row>
    <row r="259" spans="1:17" x14ac:dyDescent="0.2">
      <c r="A259" s="257" t="s">
        <v>250</v>
      </c>
      <c r="B259" s="258">
        <v>46128</v>
      </c>
      <c r="C259" s="259" t="s">
        <v>255</v>
      </c>
      <c r="D259" s="260" t="s">
        <v>134</v>
      </c>
      <c r="E259" s="260">
        <v>20090023</v>
      </c>
      <c r="F259" s="261" t="s">
        <v>243</v>
      </c>
      <c r="G259" s="260" t="s">
        <v>155</v>
      </c>
      <c r="H259" s="261"/>
      <c r="I259" s="261" t="s">
        <v>124</v>
      </c>
      <c r="J259" s="262" t="s">
        <v>141</v>
      </c>
      <c r="K259" s="263">
        <v>5</v>
      </c>
      <c r="L259" s="260">
        <v>1250</v>
      </c>
      <c r="M259" s="260">
        <v>35</v>
      </c>
      <c r="N259" s="6"/>
      <c r="O259" s="63" t="s">
        <v>59</v>
      </c>
      <c r="P259" s="6"/>
      <c r="Q259" s="6"/>
    </row>
    <row r="260" spans="1:17" x14ac:dyDescent="0.2">
      <c r="A260" s="257" t="s">
        <v>250</v>
      </c>
      <c r="B260" s="258">
        <v>46128</v>
      </c>
      <c r="C260" s="259" t="s">
        <v>255</v>
      </c>
      <c r="D260" s="260" t="s">
        <v>134</v>
      </c>
      <c r="E260" s="260">
        <v>20010053</v>
      </c>
      <c r="F260" s="261" t="s">
        <v>130</v>
      </c>
      <c r="G260" s="260" t="s">
        <v>176</v>
      </c>
      <c r="H260" s="261"/>
      <c r="I260" s="261" t="s">
        <v>124</v>
      </c>
      <c r="J260" s="262" t="s">
        <v>141</v>
      </c>
      <c r="K260" s="263">
        <v>0</v>
      </c>
      <c r="L260" s="260">
        <v>1250</v>
      </c>
      <c r="M260" s="260">
        <v>128</v>
      </c>
      <c r="N260" s="6"/>
      <c r="O260" s="63" t="s">
        <v>59</v>
      </c>
      <c r="P260" s="6"/>
      <c r="Q260" s="6"/>
    </row>
    <row r="261" spans="1:17" x14ac:dyDescent="0.2">
      <c r="A261" s="257" t="s">
        <v>250</v>
      </c>
      <c r="B261" s="258">
        <v>46128</v>
      </c>
      <c r="C261" s="259" t="s">
        <v>255</v>
      </c>
      <c r="D261" s="260" t="s">
        <v>134</v>
      </c>
      <c r="E261" s="260">
        <v>20010053</v>
      </c>
      <c r="F261" s="261" t="s">
        <v>130</v>
      </c>
      <c r="G261" s="260" t="s">
        <v>229</v>
      </c>
      <c r="H261" s="261"/>
      <c r="I261" s="261" t="s">
        <v>124</v>
      </c>
      <c r="J261" s="262" t="s">
        <v>141</v>
      </c>
      <c r="K261" s="263">
        <v>0</v>
      </c>
      <c r="L261" s="260">
        <v>1250</v>
      </c>
      <c r="M261" s="260">
        <v>98</v>
      </c>
      <c r="N261" s="6"/>
      <c r="O261" s="63" t="s">
        <v>59</v>
      </c>
      <c r="P261" s="6"/>
      <c r="Q261" s="6"/>
    </row>
    <row r="262" spans="1:17" x14ac:dyDescent="0.2">
      <c r="A262" s="257" t="s">
        <v>250</v>
      </c>
      <c r="B262" s="258">
        <v>46128</v>
      </c>
      <c r="C262" s="259" t="s">
        <v>255</v>
      </c>
      <c r="D262" s="260" t="s">
        <v>134</v>
      </c>
      <c r="E262" s="260">
        <v>20010053</v>
      </c>
      <c r="F262" s="261" t="s">
        <v>130</v>
      </c>
      <c r="G262" s="260" t="s">
        <v>200</v>
      </c>
      <c r="H262" s="261"/>
      <c r="I262" s="261" t="s">
        <v>124</v>
      </c>
      <c r="J262" s="262" t="s">
        <v>141</v>
      </c>
      <c r="K262" s="263">
        <v>0</v>
      </c>
      <c r="L262" s="260">
        <v>1250</v>
      </c>
      <c r="M262" s="260">
        <v>137</v>
      </c>
      <c r="N262" s="6"/>
      <c r="O262" s="63" t="s">
        <v>59</v>
      </c>
      <c r="P262" s="6"/>
      <c r="Q262" s="6"/>
    </row>
    <row r="263" spans="1:17" x14ac:dyDescent="0.2">
      <c r="A263" s="257" t="s">
        <v>250</v>
      </c>
      <c r="B263" s="258">
        <v>46128</v>
      </c>
      <c r="C263" s="259" t="s">
        <v>255</v>
      </c>
      <c r="D263" s="260" t="s">
        <v>134</v>
      </c>
      <c r="E263" s="260">
        <v>20010053</v>
      </c>
      <c r="F263" s="261" t="s">
        <v>130</v>
      </c>
      <c r="G263" s="260" t="s">
        <v>177</v>
      </c>
      <c r="H263" s="261"/>
      <c r="I263" s="261" t="s">
        <v>124</v>
      </c>
      <c r="J263" s="262" t="s">
        <v>141</v>
      </c>
      <c r="K263" s="263">
        <v>0</v>
      </c>
      <c r="L263" s="260">
        <v>1250</v>
      </c>
      <c r="M263" s="260">
        <v>109</v>
      </c>
      <c r="N263" s="6"/>
      <c r="O263" s="63"/>
      <c r="P263" s="6"/>
      <c r="Q263" s="6"/>
    </row>
    <row r="264" spans="1:17" x14ac:dyDescent="0.2">
      <c r="A264" s="257" t="s">
        <v>250</v>
      </c>
      <c r="B264" s="258">
        <v>46128</v>
      </c>
      <c r="C264" s="259" t="s">
        <v>255</v>
      </c>
      <c r="D264" s="260" t="s">
        <v>134</v>
      </c>
      <c r="E264" s="260">
        <v>20010053</v>
      </c>
      <c r="F264" s="261" t="s">
        <v>130</v>
      </c>
      <c r="G264" s="260" t="s">
        <v>161</v>
      </c>
      <c r="H264" s="261"/>
      <c r="I264" s="261" t="s">
        <v>124</v>
      </c>
      <c r="J264" s="262" t="s">
        <v>141</v>
      </c>
      <c r="K264" s="263">
        <v>0</v>
      </c>
      <c r="L264" s="260">
        <v>1250</v>
      </c>
      <c r="M264" s="260">
        <v>113</v>
      </c>
      <c r="N264" s="6"/>
      <c r="O264" s="63"/>
      <c r="P264" s="6"/>
      <c r="Q264" s="6"/>
    </row>
    <row r="265" spans="1:17" x14ac:dyDescent="0.2">
      <c r="A265" s="257" t="s">
        <v>250</v>
      </c>
      <c r="B265" s="258">
        <v>46128</v>
      </c>
      <c r="C265" s="259" t="s">
        <v>255</v>
      </c>
      <c r="D265" s="260" t="s">
        <v>134</v>
      </c>
      <c r="E265" s="260">
        <v>20010053</v>
      </c>
      <c r="F265" s="261" t="s">
        <v>130</v>
      </c>
      <c r="G265" s="260" t="s">
        <v>240</v>
      </c>
      <c r="H265" s="261"/>
      <c r="I265" s="261" t="s">
        <v>124</v>
      </c>
      <c r="J265" s="262" t="s">
        <v>141</v>
      </c>
      <c r="K265" s="263">
        <v>1</v>
      </c>
      <c r="L265" s="260">
        <v>1250</v>
      </c>
      <c r="M265" s="260">
        <v>1250</v>
      </c>
      <c r="N265" s="6"/>
      <c r="O265" s="63" t="s">
        <v>59</v>
      </c>
      <c r="P265" s="6"/>
      <c r="Q265" s="6"/>
    </row>
    <row r="266" spans="1:17" x14ac:dyDescent="0.2">
      <c r="A266" s="257" t="s">
        <v>250</v>
      </c>
      <c r="B266" s="258">
        <v>46128</v>
      </c>
      <c r="C266" s="259" t="s">
        <v>255</v>
      </c>
      <c r="D266" s="260" t="s">
        <v>134</v>
      </c>
      <c r="E266" s="260">
        <v>20090020</v>
      </c>
      <c r="F266" s="261" t="s">
        <v>168</v>
      </c>
      <c r="G266" s="260" t="s">
        <v>155</v>
      </c>
      <c r="H266" s="261"/>
      <c r="I266" s="261" t="s">
        <v>124</v>
      </c>
      <c r="J266" s="262" t="s">
        <v>141</v>
      </c>
      <c r="K266" s="263">
        <v>1</v>
      </c>
      <c r="L266" s="260">
        <v>1250</v>
      </c>
      <c r="M266" s="260">
        <v>1250</v>
      </c>
      <c r="N266" s="6"/>
      <c r="O266" s="63" t="s">
        <v>59</v>
      </c>
      <c r="P266" s="6"/>
      <c r="Q266" s="6"/>
    </row>
    <row r="267" spans="1:17" x14ac:dyDescent="0.2">
      <c r="A267" s="257" t="s">
        <v>250</v>
      </c>
      <c r="B267" s="258">
        <v>46128</v>
      </c>
      <c r="C267" s="259" t="s">
        <v>255</v>
      </c>
      <c r="D267" s="260" t="s">
        <v>134</v>
      </c>
      <c r="E267" s="260">
        <v>20090020</v>
      </c>
      <c r="F267" s="261" t="s">
        <v>168</v>
      </c>
      <c r="G267" s="260" t="s">
        <v>185</v>
      </c>
      <c r="H267" s="261"/>
      <c r="I267" s="261" t="s">
        <v>124</v>
      </c>
      <c r="J267" s="262" t="s">
        <v>141</v>
      </c>
      <c r="K267" s="263">
        <v>2</v>
      </c>
      <c r="L267" s="260">
        <v>1250</v>
      </c>
      <c r="M267" s="260">
        <v>2500</v>
      </c>
      <c r="N267" s="6"/>
      <c r="O267" s="63" t="s">
        <v>59</v>
      </c>
      <c r="P267" s="6"/>
      <c r="Q267" s="6"/>
    </row>
    <row r="268" spans="1:17" x14ac:dyDescent="0.2">
      <c r="A268" s="17" t="s">
        <v>250</v>
      </c>
      <c r="B268" s="258">
        <v>46128</v>
      </c>
      <c r="C268" s="259" t="s">
        <v>255</v>
      </c>
      <c r="D268" s="260" t="s">
        <v>134</v>
      </c>
      <c r="E268" s="260">
        <v>20070009</v>
      </c>
      <c r="F268" s="261" t="s">
        <v>294</v>
      </c>
      <c r="G268" s="68" t="s">
        <v>202</v>
      </c>
      <c r="H268" s="261"/>
      <c r="I268" s="69" t="s">
        <v>99</v>
      </c>
      <c r="J268" s="70" t="s">
        <v>141</v>
      </c>
      <c r="K268" s="263">
        <v>2</v>
      </c>
      <c r="L268" s="260">
        <v>1250</v>
      </c>
      <c r="M268" s="260">
        <v>2500</v>
      </c>
      <c r="N268" s="6"/>
      <c r="O268" s="63" t="s">
        <v>59</v>
      </c>
      <c r="P268" s="6"/>
      <c r="Q268" s="6"/>
    </row>
    <row r="269" spans="1:17" x14ac:dyDescent="0.2">
      <c r="A269" s="257" t="s">
        <v>250</v>
      </c>
      <c r="B269" s="258">
        <v>46128</v>
      </c>
      <c r="C269" s="259" t="s">
        <v>255</v>
      </c>
      <c r="D269" s="260" t="s">
        <v>134</v>
      </c>
      <c r="E269" s="260">
        <v>20010015</v>
      </c>
      <c r="F269" s="261" t="s">
        <v>148</v>
      </c>
      <c r="G269" s="260" t="s">
        <v>202</v>
      </c>
      <c r="H269" s="261"/>
      <c r="I269" s="261" t="s">
        <v>95</v>
      </c>
      <c r="J269" s="262" t="s">
        <v>141</v>
      </c>
      <c r="K269" s="263">
        <v>0</v>
      </c>
      <c r="L269" s="260"/>
      <c r="M269" s="260">
        <v>2000</v>
      </c>
      <c r="N269" s="6"/>
      <c r="O269" s="63" t="s">
        <v>59</v>
      </c>
      <c r="P269" s="6"/>
      <c r="Q269" s="6"/>
    </row>
    <row r="270" spans="1:17" x14ac:dyDescent="0.2">
      <c r="A270" s="257" t="s">
        <v>250</v>
      </c>
      <c r="B270" s="258">
        <v>46135</v>
      </c>
      <c r="C270" s="259" t="s">
        <v>278</v>
      </c>
      <c r="D270" s="260" t="s">
        <v>134</v>
      </c>
      <c r="E270" s="260">
        <v>20010008</v>
      </c>
      <c r="F270" s="261" t="s">
        <v>279</v>
      </c>
      <c r="G270" s="260" t="s">
        <v>187</v>
      </c>
      <c r="H270" s="261"/>
      <c r="I270" s="261" t="s">
        <v>98</v>
      </c>
      <c r="J270" s="262" t="s">
        <v>141</v>
      </c>
      <c r="K270" s="263">
        <v>9</v>
      </c>
      <c r="L270" s="260">
        <v>1250</v>
      </c>
      <c r="M270" s="260">
        <v>11250</v>
      </c>
      <c r="N270" s="6"/>
      <c r="O270" s="63" t="s">
        <v>59</v>
      </c>
      <c r="P270" s="6"/>
      <c r="Q270" s="6"/>
    </row>
    <row r="271" spans="1:17" x14ac:dyDescent="0.2">
      <c r="A271" s="257" t="s">
        <v>250</v>
      </c>
      <c r="B271" s="258">
        <v>46135</v>
      </c>
      <c r="C271" s="259" t="s">
        <v>278</v>
      </c>
      <c r="D271" s="260" t="s">
        <v>134</v>
      </c>
      <c r="E271" s="260">
        <v>20010008</v>
      </c>
      <c r="F271" s="261" t="s">
        <v>279</v>
      </c>
      <c r="G271" s="260" t="s">
        <v>218</v>
      </c>
      <c r="H271" s="261"/>
      <c r="I271" s="261" t="s">
        <v>98</v>
      </c>
      <c r="J271" s="262" t="s">
        <v>141</v>
      </c>
      <c r="K271" s="263">
        <v>1</v>
      </c>
      <c r="L271" s="260">
        <v>1250</v>
      </c>
      <c r="M271" s="260">
        <v>1250</v>
      </c>
      <c r="N271" s="6"/>
      <c r="O271" s="63" t="s">
        <v>59</v>
      </c>
      <c r="P271" s="6"/>
      <c r="Q271" s="6"/>
    </row>
    <row r="272" spans="1:17" x14ac:dyDescent="0.2">
      <c r="A272" s="257" t="s">
        <v>250</v>
      </c>
      <c r="B272" s="258">
        <v>46135</v>
      </c>
      <c r="C272" s="259" t="s">
        <v>278</v>
      </c>
      <c r="D272" s="260" t="s">
        <v>134</v>
      </c>
      <c r="E272" s="260">
        <v>20060009</v>
      </c>
      <c r="F272" s="69" t="s">
        <v>253</v>
      </c>
      <c r="G272" s="260" t="s">
        <v>184</v>
      </c>
      <c r="H272" s="261"/>
      <c r="I272" s="261"/>
      <c r="J272" s="262" t="s">
        <v>141</v>
      </c>
      <c r="K272" s="263">
        <v>1</v>
      </c>
      <c r="L272" s="260">
        <v>1250</v>
      </c>
      <c r="M272" s="260">
        <v>445</v>
      </c>
      <c r="N272" s="6"/>
      <c r="O272" s="63" t="s">
        <v>59</v>
      </c>
      <c r="P272" s="6"/>
      <c r="Q272" s="6"/>
    </row>
    <row r="273" spans="1:17" x14ac:dyDescent="0.2">
      <c r="A273" s="257" t="s">
        <v>250</v>
      </c>
      <c r="B273" s="258">
        <v>46135</v>
      </c>
      <c r="C273" s="259" t="s">
        <v>278</v>
      </c>
      <c r="D273" s="260" t="s">
        <v>134</v>
      </c>
      <c r="E273" s="260">
        <v>20060003</v>
      </c>
      <c r="F273" s="261" t="s">
        <v>93</v>
      </c>
      <c r="G273" s="260" t="s">
        <v>155</v>
      </c>
      <c r="H273" s="261"/>
      <c r="I273" s="261" t="s">
        <v>93</v>
      </c>
      <c r="J273" s="262" t="s">
        <v>141</v>
      </c>
      <c r="K273" s="263">
        <v>20</v>
      </c>
      <c r="L273" s="260">
        <v>1250</v>
      </c>
      <c r="M273" s="260">
        <v>25000</v>
      </c>
      <c r="N273" s="6"/>
      <c r="O273" s="63" t="s">
        <v>59</v>
      </c>
      <c r="P273" s="6"/>
      <c r="Q273" s="6"/>
    </row>
    <row r="274" spans="1:17" x14ac:dyDescent="0.2">
      <c r="A274" s="257" t="s">
        <v>250</v>
      </c>
      <c r="B274" s="258">
        <v>46135</v>
      </c>
      <c r="C274" s="259" t="s">
        <v>278</v>
      </c>
      <c r="D274" s="260" t="s">
        <v>134</v>
      </c>
      <c r="E274" s="260">
        <v>20010001</v>
      </c>
      <c r="F274" s="261" t="s">
        <v>98</v>
      </c>
      <c r="G274" s="260" t="s">
        <v>155</v>
      </c>
      <c r="H274" s="261"/>
      <c r="I274" s="261" t="s">
        <v>98</v>
      </c>
      <c r="J274" s="262" t="s">
        <v>141</v>
      </c>
      <c r="K274" s="263">
        <v>0</v>
      </c>
      <c r="L274" s="260">
        <v>1250</v>
      </c>
      <c r="M274" s="260">
        <v>126000</v>
      </c>
      <c r="N274" s="6"/>
      <c r="O274" s="63" t="s">
        <v>59</v>
      </c>
      <c r="P274" s="6"/>
      <c r="Q274" s="6"/>
    </row>
    <row r="275" spans="1:17" x14ac:dyDescent="0.2">
      <c r="A275" s="257" t="s">
        <v>250</v>
      </c>
      <c r="B275" s="258">
        <v>46135</v>
      </c>
      <c r="C275" s="259" t="s">
        <v>278</v>
      </c>
      <c r="D275" s="260" t="s">
        <v>134</v>
      </c>
      <c r="E275" s="260">
        <v>20010003</v>
      </c>
      <c r="F275" s="261" t="s">
        <v>95</v>
      </c>
      <c r="G275" s="260" t="s">
        <v>158</v>
      </c>
      <c r="H275" s="261"/>
      <c r="I275" s="261" t="s">
        <v>95</v>
      </c>
      <c r="J275" s="262" t="s">
        <v>141</v>
      </c>
      <c r="K275" s="263">
        <v>10</v>
      </c>
      <c r="L275" s="260">
        <v>1250</v>
      </c>
      <c r="M275" s="260">
        <v>12500</v>
      </c>
      <c r="N275" s="6"/>
      <c r="O275" s="63" t="s">
        <v>59</v>
      </c>
      <c r="P275" s="6"/>
      <c r="Q275" s="6"/>
    </row>
    <row r="276" spans="1:17" x14ac:dyDescent="0.2">
      <c r="A276" s="257" t="s">
        <v>250</v>
      </c>
      <c r="B276" s="258">
        <v>46135</v>
      </c>
      <c r="C276" s="259" t="s">
        <v>278</v>
      </c>
      <c r="D276" s="260" t="s">
        <v>134</v>
      </c>
      <c r="E276" s="260">
        <v>20020003</v>
      </c>
      <c r="F276" s="108" t="s">
        <v>142</v>
      </c>
      <c r="G276" s="260" t="s">
        <v>155</v>
      </c>
      <c r="H276" s="261"/>
      <c r="I276" s="261" t="s">
        <v>88</v>
      </c>
      <c r="J276" s="262" t="s">
        <v>141</v>
      </c>
      <c r="K276" s="263">
        <v>5</v>
      </c>
      <c r="L276" s="260">
        <v>1250</v>
      </c>
      <c r="M276" s="260">
        <v>6250</v>
      </c>
      <c r="N276" s="6"/>
      <c r="O276" s="63" t="s">
        <v>59</v>
      </c>
      <c r="P276" s="6"/>
      <c r="Q276" s="6"/>
    </row>
    <row r="277" spans="1:17" x14ac:dyDescent="0.2">
      <c r="A277" s="257" t="s">
        <v>250</v>
      </c>
      <c r="B277" s="258">
        <v>46135</v>
      </c>
      <c r="C277" s="259" t="s">
        <v>278</v>
      </c>
      <c r="D277" s="260" t="s">
        <v>134</v>
      </c>
      <c r="E277" s="260">
        <v>20020025</v>
      </c>
      <c r="F277" s="261" t="s">
        <v>262</v>
      </c>
      <c r="G277" s="260" t="s">
        <v>155</v>
      </c>
      <c r="H277" s="261"/>
      <c r="I277" s="261" t="s">
        <v>88</v>
      </c>
      <c r="J277" s="262" t="s">
        <v>141</v>
      </c>
      <c r="K277" s="263">
        <v>0</v>
      </c>
      <c r="L277" s="260"/>
      <c r="M277" s="260">
        <v>1718</v>
      </c>
      <c r="N277" s="6"/>
      <c r="O277" s="63" t="s">
        <v>59</v>
      </c>
      <c r="P277" s="6"/>
      <c r="Q277" s="6"/>
    </row>
    <row r="278" spans="1:17" x14ac:dyDescent="0.2">
      <c r="A278" s="257" t="s">
        <v>250</v>
      </c>
      <c r="B278" s="258">
        <v>46135</v>
      </c>
      <c r="C278" s="259" t="s">
        <v>278</v>
      </c>
      <c r="D278" s="260" t="s">
        <v>134</v>
      </c>
      <c r="E278" s="260">
        <v>20020025</v>
      </c>
      <c r="F278" s="261" t="s">
        <v>262</v>
      </c>
      <c r="G278" s="260" t="s">
        <v>155</v>
      </c>
      <c r="H278" s="261"/>
      <c r="I278" s="261" t="s">
        <v>88</v>
      </c>
      <c r="J278" s="262" t="s">
        <v>141</v>
      </c>
      <c r="K278" s="263">
        <v>5</v>
      </c>
      <c r="L278" s="260">
        <v>1250</v>
      </c>
      <c r="M278" s="260">
        <v>3123</v>
      </c>
      <c r="N278" s="6"/>
      <c r="O278" s="63" t="s">
        <v>59</v>
      </c>
      <c r="P278" s="6"/>
      <c r="Q278" s="6"/>
    </row>
    <row r="279" spans="1:17" x14ac:dyDescent="0.2">
      <c r="A279" s="257" t="s">
        <v>250</v>
      </c>
      <c r="B279" s="258">
        <v>46135</v>
      </c>
      <c r="C279" s="259" t="s">
        <v>278</v>
      </c>
      <c r="D279" s="260" t="s">
        <v>134</v>
      </c>
      <c r="E279" s="260">
        <v>20070001</v>
      </c>
      <c r="F279" s="246" t="s">
        <v>99</v>
      </c>
      <c r="G279" s="260" t="s">
        <v>155</v>
      </c>
      <c r="H279" s="261"/>
      <c r="I279" s="261" t="s">
        <v>88</v>
      </c>
      <c r="J279" s="262" t="s">
        <v>141</v>
      </c>
      <c r="K279" s="263">
        <v>7</v>
      </c>
      <c r="L279" s="260">
        <v>1250</v>
      </c>
      <c r="M279" s="260">
        <v>8750</v>
      </c>
      <c r="N279" s="6"/>
      <c r="O279" s="63" t="s">
        <v>59</v>
      </c>
      <c r="P279" s="6"/>
      <c r="Q279" s="6"/>
    </row>
    <row r="280" spans="1:17" x14ac:dyDescent="0.2">
      <c r="A280" s="257" t="s">
        <v>250</v>
      </c>
      <c r="B280" s="258">
        <v>46135</v>
      </c>
      <c r="C280" s="259" t="s">
        <v>278</v>
      </c>
      <c r="D280" s="260" t="s">
        <v>134</v>
      </c>
      <c r="E280" s="260">
        <v>20090020</v>
      </c>
      <c r="F280" s="261" t="s">
        <v>280</v>
      </c>
      <c r="G280" s="260" t="s">
        <v>155</v>
      </c>
      <c r="H280" s="261"/>
      <c r="I280" s="261" t="s">
        <v>284</v>
      </c>
      <c r="J280" s="262" t="s">
        <v>141</v>
      </c>
      <c r="K280" s="263">
        <v>1</v>
      </c>
      <c r="L280" s="260">
        <v>1250</v>
      </c>
      <c r="M280" s="260">
        <v>1250</v>
      </c>
      <c r="N280" s="6"/>
      <c r="O280" s="63" t="s">
        <v>59</v>
      </c>
      <c r="P280" s="6"/>
      <c r="Q280" s="6"/>
    </row>
    <row r="281" spans="1:17" x14ac:dyDescent="0.2">
      <c r="A281" s="257" t="s">
        <v>250</v>
      </c>
      <c r="B281" s="258">
        <v>46135</v>
      </c>
      <c r="C281" s="259" t="s">
        <v>278</v>
      </c>
      <c r="D281" s="260" t="s">
        <v>134</v>
      </c>
      <c r="E281" s="260">
        <v>20090020</v>
      </c>
      <c r="F281" s="261" t="s">
        <v>280</v>
      </c>
      <c r="G281" s="260" t="s">
        <v>185</v>
      </c>
      <c r="H281" s="261"/>
      <c r="I281" s="261" t="s">
        <v>284</v>
      </c>
      <c r="J281" s="262" t="s">
        <v>141</v>
      </c>
      <c r="K281" s="263">
        <v>0</v>
      </c>
      <c r="L281" s="260">
        <v>1250</v>
      </c>
      <c r="M281" s="260">
        <v>625</v>
      </c>
      <c r="N281" s="6"/>
      <c r="O281" s="63" t="s">
        <v>59</v>
      </c>
      <c r="P281" s="6"/>
      <c r="Q281" s="6"/>
    </row>
    <row r="282" spans="1:17" x14ac:dyDescent="0.2">
      <c r="A282" s="257" t="s">
        <v>250</v>
      </c>
      <c r="B282" s="258">
        <v>46135</v>
      </c>
      <c r="C282" s="259" t="s">
        <v>278</v>
      </c>
      <c r="D282" s="260" t="s">
        <v>134</v>
      </c>
      <c r="E282" s="260">
        <v>20090015</v>
      </c>
      <c r="F282" s="261" t="s">
        <v>281</v>
      </c>
      <c r="G282" s="260" t="s">
        <v>155</v>
      </c>
      <c r="H282" s="261"/>
      <c r="I282" s="261" t="s">
        <v>284</v>
      </c>
      <c r="J282" s="262" t="s">
        <v>141</v>
      </c>
      <c r="K282" s="263">
        <v>0</v>
      </c>
      <c r="L282" s="260">
        <v>1250</v>
      </c>
      <c r="M282" s="260">
        <v>463</v>
      </c>
      <c r="N282" s="6"/>
      <c r="O282" s="63" t="s">
        <v>59</v>
      </c>
      <c r="P282" s="6"/>
      <c r="Q282" s="6"/>
    </row>
    <row r="283" spans="1:17" x14ac:dyDescent="0.2">
      <c r="A283" s="257" t="s">
        <v>250</v>
      </c>
      <c r="B283" s="258">
        <v>46135</v>
      </c>
      <c r="C283" s="259" t="s">
        <v>278</v>
      </c>
      <c r="D283" s="260" t="s">
        <v>134</v>
      </c>
      <c r="E283" s="260">
        <v>20090015</v>
      </c>
      <c r="F283" s="261" t="s">
        <v>281</v>
      </c>
      <c r="G283" s="260" t="s">
        <v>176</v>
      </c>
      <c r="H283" s="261"/>
      <c r="I283" s="261" t="s">
        <v>284</v>
      </c>
      <c r="J283" s="262" t="s">
        <v>141</v>
      </c>
      <c r="K283" s="263">
        <v>0</v>
      </c>
      <c r="L283" s="260">
        <v>1250</v>
      </c>
      <c r="M283" s="260">
        <v>100</v>
      </c>
      <c r="N283" s="6"/>
      <c r="O283" s="63" t="s">
        <v>59</v>
      </c>
      <c r="P283" s="6"/>
      <c r="Q283" s="6"/>
    </row>
    <row r="284" spans="1:17" x14ac:dyDescent="0.2">
      <c r="A284" s="257" t="s">
        <v>250</v>
      </c>
      <c r="B284" s="258">
        <v>46135</v>
      </c>
      <c r="C284" s="259" t="s">
        <v>278</v>
      </c>
      <c r="D284" s="260" t="s">
        <v>134</v>
      </c>
      <c r="E284" s="260">
        <v>20090015</v>
      </c>
      <c r="F284" s="261" t="s">
        <v>281</v>
      </c>
      <c r="G284" s="260" t="s">
        <v>175</v>
      </c>
      <c r="H284" s="261"/>
      <c r="I284" s="261" t="s">
        <v>284</v>
      </c>
      <c r="J284" s="262" t="s">
        <v>141</v>
      </c>
      <c r="K284" s="263">
        <v>0</v>
      </c>
      <c r="L284" s="260">
        <v>1250</v>
      </c>
      <c r="M284" s="260">
        <v>100</v>
      </c>
      <c r="N284" s="6"/>
      <c r="O284" s="63" t="s">
        <v>59</v>
      </c>
      <c r="P284" s="6"/>
      <c r="Q284" s="6"/>
    </row>
    <row r="285" spans="1:17" x14ac:dyDescent="0.2">
      <c r="A285" s="257" t="s">
        <v>250</v>
      </c>
      <c r="B285" s="258">
        <v>46135</v>
      </c>
      <c r="C285" s="259" t="s">
        <v>278</v>
      </c>
      <c r="D285" s="260" t="s">
        <v>134</v>
      </c>
      <c r="E285" s="260">
        <v>20090015</v>
      </c>
      <c r="F285" s="261" t="s">
        <v>281</v>
      </c>
      <c r="G285" s="260" t="s">
        <v>214</v>
      </c>
      <c r="H285" s="261"/>
      <c r="I285" s="261" t="s">
        <v>284</v>
      </c>
      <c r="J285" s="262" t="s">
        <v>141</v>
      </c>
      <c r="K285" s="263">
        <v>0</v>
      </c>
      <c r="L285" s="260">
        <v>1250</v>
      </c>
      <c r="M285" s="260">
        <v>100</v>
      </c>
      <c r="N285" s="6"/>
      <c r="O285" s="63" t="s">
        <v>59</v>
      </c>
      <c r="P285" s="6"/>
      <c r="Q285" s="6"/>
    </row>
    <row r="286" spans="1:17" x14ac:dyDescent="0.2">
      <c r="A286" s="257" t="s">
        <v>250</v>
      </c>
      <c r="B286" s="258">
        <v>46135</v>
      </c>
      <c r="C286" s="259" t="s">
        <v>278</v>
      </c>
      <c r="D286" s="260" t="s">
        <v>134</v>
      </c>
      <c r="E286" s="260">
        <v>20090015</v>
      </c>
      <c r="F286" s="261" t="s">
        <v>281</v>
      </c>
      <c r="G286" s="260" t="s">
        <v>177</v>
      </c>
      <c r="H286" s="261"/>
      <c r="I286" s="261" t="s">
        <v>284</v>
      </c>
      <c r="J286" s="262" t="s">
        <v>141</v>
      </c>
      <c r="K286" s="263">
        <v>1</v>
      </c>
      <c r="L286" s="260">
        <v>1250</v>
      </c>
      <c r="M286" s="260">
        <v>1158</v>
      </c>
      <c r="N286" s="6"/>
      <c r="O286" s="63" t="s">
        <v>59</v>
      </c>
      <c r="P286" s="6"/>
      <c r="Q286" s="6"/>
    </row>
    <row r="287" spans="1:17" x14ac:dyDescent="0.2">
      <c r="A287" s="257" t="s">
        <v>250</v>
      </c>
      <c r="B287" s="258">
        <v>46135</v>
      </c>
      <c r="C287" s="259" t="s">
        <v>278</v>
      </c>
      <c r="D287" s="260" t="s">
        <v>134</v>
      </c>
      <c r="E287" s="260">
        <v>20090017</v>
      </c>
      <c r="F287" s="261" t="s">
        <v>129</v>
      </c>
      <c r="G287" s="260" t="s">
        <v>158</v>
      </c>
      <c r="H287" s="261"/>
      <c r="I287" s="261" t="s">
        <v>284</v>
      </c>
      <c r="J287" s="262" t="s">
        <v>141</v>
      </c>
      <c r="K287" s="263">
        <v>1</v>
      </c>
      <c r="L287" s="260">
        <v>1250</v>
      </c>
      <c r="M287" s="260">
        <v>1250</v>
      </c>
      <c r="N287" s="6"/>
      <c r="O287" s="63" t="s">
        <v>59</v>
      </c>
      <c r="P287" s="6"/>
      <c r="Q287" s="6"/>
    </row>
    <row r="288" spans="1:17" x14ac:dyDescent="0.2">
      <c r="A288" s="257" t="s">
        <v>250</v>
      </c>
      <c r="B288" s="258">
        <v>46135</v>
      </c>
      <c r="C288" s="259" t="s">
        <v>278</v>
      </c>
      <c r="D288" s="260" t="s">
        <v>134</v>
      </c>
      <c r="E288" s="260">
        <v>20090011</v>
      </c>
      <c r="F288" s="261" t="s">
        <v>282</v>
      </c>
      <c r="G288" s="260" t="s">
        <v>158</v>
      </c>
      <c r="H288" s="261"/>
      <c r="I288" s="261" t="s">
        <v>284</v>
      </c>
      <c r="J288" s="262" t="s">
        <v>141</v>
      </c>
      <c r="K288" s="263">
        <v>1</v>
      </c>
      <c r="L288" s="260">
        <v>1250</v>
      </c>
      <c r="M288" s="260">
        <v>1250</v>
      </c>
      <c r="N288" s="6"/>
      <c r="O288" s="63" t="s">
        <v>59</v>
      </c>
      <c r="P288" s="6"/>
      <c r="Q288" s="6"/>
    </row>
    <row r="289" spans="1:17" x14ac:dyDescent="0.2">
      <c r="A289" s="257" t="s">
        <v>250</v>
      </c>
      <c r="B289" s="258">
        <v>46135</v>
      </c>
      <c r="C289" s="259" t="s">
        <v>278</v>
      </c>
      <c r="D289" s="260" t="s">
        <v>134</v>
      </c>
      <c r="E289" s="260">
        <v>20090025</v>
      </c>
      <c r="F289" s="261" t="s">
        <v>243</v>
      </c>
      <c r="G289" s="260" t="s">
        <v>158</v>
      </c>
      <c r="H289" s="261"/>
      <c r="I289" s="261" t="s">
        <v>284</v>
      </c>
      <c r="J289" s="262" t="s">
        <v>141</v>
      </c>
      <c r="K289" s="263">
        <v>0</v>
      </c>
      <c r="L289" s="260">
        <v>1250</v>
      </c>
      <c r="M289" s="260">
        <v>6215</v>
      </c>
      <c r="N289" s="6"/>
      <c r="O289" s="63"/>
      <c r="P289" s="6"/>
      <c r="Q289" s="6"/>
    </row>
    <row r="290" spans="1:17" x14ac:dyDescent="0.2">
      <c r="A290" s="257" t="s">
        <v>250</v>
      </c>
      <c r="B290" s="258">
        <v>46135</v>
      </c>
      <c r="C290" s="259" t="s">
        <v>278</v>
      </c>
      <c r="D290" s="260" t="s">
        <v>134</v>
      </c>
      <c r="E290" s="260">
        <v>20090026</v>
      </c>
      <c r="F290" s="261" t="s">
        <v>283</v>
      </c>
      <c r="G290" s="260" t="s">
        <v>155</v>
      </c>
      <c r="H290" s="261"/>
      <c r="I290" s="261" t="s">
        <v>284</v>
      </c>
      <c r="J290" s="262" t="s">
        <v>141</v>
      </c>
      <c r="K290" s="263">
        <v>1</v>
      </c>
      <c r="L290" s="260">
        <v>1250</v>
      </c>
      <c r="M290" s="260">
        <v>1250</v>
      </c>
      <c r="N290" s="6"/>
      <c r="O290" s="63" t="s">
        <v>59</v>
      </c>
      <c r="P290" s="6"/>
      <c r="Q290" s="6"/>
    </row>
    <row r="291" spans="1:17" x14ac:dyDescent="0.2">
      <c r="A291" s="257" t="s">
        <v>250</v>
      </c>
      <c r="B291" s="258">
        <v>46135</v>
      </c>
      <c r="C291" s="259" t="s">
        <v>278</v>
      </c>
      <c r="D291" s="260" t="s">
        <v>134</v>
      </c>
      <c r="E291" s="260">
        <v>20090001</v>
      </c>
      <c r="F291" s="261" t="s">
        <v>284</v>
      </c>
      <c r="G291" s="260" t="s">
        <v>155</v>
      </c>
      <c r="H291" s="261"/>
      <c r="I291" s="261" t="s">
        <v>284</v>
      </c>
      <c r="J291" s="262" t="s">
        <v>141</v>
      </c>
      <c r="K291" s="263">
        <v>1</v>
      </c>
      <c r="L291" s="260">
        <v>1250</v>
      </c>
      <c r="M291" s="260">
        <v>1250</v>
      </c>
      <c r="N291" s="6"/>
      <c r="O291" s="63" t="s">
        <v>59</v>
      </c>
      <c r="P291" s="6"/>
      <c r="Q291" s="6"/>
    </row>
    <row r="292" spans="1:17" x14ac:dyDescent="0.2">
      <c r="A292" s="257" t="s">
        <v>250</v>
      </c>
      <c r="B292" s="258">
        <v>46135</v>
      </c>
      <c r="C292" s="259" t="s">
        <v>278</v>
      </c>
      <c r="D292" s="260" t="s">
        <v>134</v>
      </c>
      <c r="E292" s="260">
        <v>20010053</v>
      </c>
      <c r="F292" s="261" t="s">
        <v>285</v>
      </c>
      <c r="G292" s="260" t="s">
        <v>176</v>
      </c>
      <c r="H292" s="261"/>
      <c r="I292" s="261" t="s">
        <v>284</v>
      </c>
      <c r="J292" s="262" t="s">
        <v>141</v>
      </c>
      <c r="K292" s="263">
        <v>0</v>
      </c>
      <c r="L292" s="260">
        <v>1250</v>
      </c>
      <c r="M292" s="260">
        <v>128</v>
      </c>
      <c r="N292" s="6"/>
      <c r="O292" s="63" t="s">
        <v>59</v>
      </c>
      <c r="P292" s="6"/>
      <c r="Q292" s="6"/>
    </row>
    <row r="293" spans="1:17" x14ac:dyDescent="0.2">
      <c r="A293" s="257" t="s">
        <v>250</v>
      </c>
      <c r="B293" s="258">
        <v>46135</v>
      </c>
      <c r="C293" s="259" t="s">
        <v>278</v>
      </c>
      <c r="D293" s="260" t="s">
        <v>134</v>
      </c>
      <c r="E293" s="260">
        <v>20010053</v>
      </c>
      <c r="F293" s="261" t="s">
        <v>285</v>
      </c>
      <c r="G293" s="260" t="s">
        <v>229</v>
      </c>
      <c r="H293" s="261"/>
      <c r="I293" s="261" t="s">
        <v>284</v>
      </c>
      <c r="J293" s="262" t="s">
        <v>141</v>
      </c>
      <c r="K293" s="263">
        <v>0</v>
      </c>
      <c r="L293" s="260">
        <v>1250</v>
      </c>
      <c r="M293" s="260">
        <v>98</v>
      </c>
      <c r="N293" s="6"/>
      <c r="O293" s="63" t="s">
        <v>59</v>
      </c>
      <c r="P293" s="6"/>
      <c r="Q293" s="6"/>
    </row>
    <row r="294" spans="1:17" x14ac:dyDescent="0.2">
      <c r="A294" s="257" t="s">
        <v>250</v>
      </c>
      <c r="B294" s="258">
        <v>46135</v>
      </c>
      <c r="C294" s="259" t="s">
        <v>278</v>
      </c>
      <c r="D294" s="260" t="s">
        <v>134</v>
      </c>
      <c r="E294" s="260">
        <v>20010053</v>
      </c>
      <c r="F294" s="261" t="s">
        <v>285</v>
      </c>
      <c r="G294" s="260" t="s">
        <v>200</v>
      </c>
      <c r="H294" s="261"/>
      <c r="I294" s="261" t="s">
        <v>284</v>
      </c>
      <c r="J294" s="262" t="s">
        <v>141</v>
      </c>
      <c r="K294" s="263">
        <v>0</v>
      </c>
      <c r="L294" s="260">
        <v>1250</v>
      </c>
      <c r="M294" s="260">
        <v>138</v>
      </c>
      <c r="N294" s="6"/>
      <c r="O294" s="63" t="s">
        <v>59</v>
      </c>
      <c r="P294" s="6"/>
      <c r="Q294" s="6"/>
    </row>
    <row r="295" spans="1:17" x14ac:dyDescent="0.2">
      <c r="A295" s="257" t="s">
        <v>250</v>
      </c>
      <c r="B295" s="258">
        <v>46135</v>
      </c>
      <c r="C295" s="259" t="s">
        <v>278</v>
      </c>
      <c r="D295" s="260" t="s">
        <v>134</v>
      </c>
      <c r="E295" s="260">
        <v>20010053</v>
      </c>
      <c r="F295" s="261" t="s">
        <v>285</v>
      </c>
      <c r="G295" s="260" t="s">
        <v>177</v>
      </c>
      <c r="H295" s="261"/>
      <c r="I295" s="261" t="s">
        <v>284</v>
      </c>
      <c r="J295" s="262" t="s">
        <v>141</v>
      </c>
      <c r="K295" s="263">
        <v>0</v>
      </c>
      <c r="L295" s="260"/>
      <c r="M295" s="260">
        <v>79</v>
      </c>
      <c r="N295" s="6"/>
      <c r="O295" s="63" t="s">
        <v>59</v>
      </c>
      <c r="P295" s="6"/>
      <c r="Q295" s="6"/>
    </row>
    <row r="296" spans="1:17" x14ac:dyDescent="0.2">
      <c r="A296" s="257" t="s">
        <v>250</v>
      </c>
      <c r="B296" s="258">
        <v>46135</v>
      </c>
      <c r="C296" s="259" t="s">
        <v>278</v>
      </c>
      <c r="D296" s="260" t="s">
        <v>134</v>
      </c>
      <c r="E296" s="260">
        <v>20010053</v>
      </c>
      <c r="F296" s="261" t="s">
        <v>285</v>
      </c>
      <c r="G296" s="260" t="s">
        <v>177</v>
      </c>
      <c r="H296" s="261"/>
      <c r="I296" s="261" t="s">
        <v>284</v>
      </c>
      <c r="J296" s="262" t="s">
        <v>141</v>
      </c>
      <c r="K296" s="263">
        <v>0</v>
      </c>
      <c r="L296" s="260">
        <v>1250</v>
      </c>
      <c r="M296" s="260">
        <f>103-79</f>
        <v>24</v>
      </c>
      <c r="N296" s="6"/>
      <c r="O296" s="63" t="s">
        <v>59</v>
      </c>
      <c r="P296" s="6"/>
      <c r="Q296" s="6"/>
    </row>
    <row r="297" spans="1:17" x14ac:dyDescent="0.2">
      <c r="A297" s="257" t="s">
        <v>250</v>
      </c>
      <c r="B297" s="258">
        <v>46135</v>
      </c>
      <c r="C297" s="259" t="s">
        <v>278</v>
      </c>
      <c r="D297" s="260" t="s">
        <v>134</v>
      </c>
      <c r="E297" s="260">
        <v>20010053</v>
      </c>
      <c r="F297" s="261" t="s">
        <v>285</v>
      </c>
      <c r="G297" s="260" t="s">
        <v>161</v>
      </c>
      <c r="H297" s="261"/>
      <c r="I297" s="261" t="s">
        <v>284</v>
      </c>
      <c r="J297" s="262" t="s">
        <v>141</v>
      </c>
      <c r="K297" s="263">
        <v>0</v>
      </c>
      <c r="L297" s="260">
        <v>1250</v>
      </c>
      <c r="M297" s="260">
        <v>117</v>
      </c>
      <c r="N297" s="6"/>
      <c r="O297" s="63" t="s">
        <v>59</v>
      </c>
      <c r="P297" s="6"/>
      <c r="Q297" s="6"/>
    </row>
    <row r="298" spans="1:17" x14ac:dyDescent="0.2">
      <c r="A298" s="257" t="s">
        <v>250</v>
      </c>
      <c r="B298" s="258">
        <v>46135</v>
      </c>
      <c r="C298" s="259" t="s">
        <v>278</v>
      </c>
      <c r="D298" s="260" t="s">
        <v>134</v>
      </c>
      <c r="E298" s="260">
        <v>20010053</v>
      </c>
      <c r="F298" s="261" t="s">
        <v>285</v>
      </c>
      <c r="G298" s="260" t="s">
        <v>240</v>
      </c>
      <c r="H298" s="261"/>
      <c r="I298" s="261" t="s">
        <v>284</v>
      </c>
      <c r="J298" s="262" t="s">
        <v>141</v>
      </c>
      <c r="K298" s="263">
        <v>0</v>
      </c>
      <c r="L298" s="260">
        <v>1250</v>
      </c>
      <c r="M298" s="260">
        <v>81</v>
      </c>
      <c r="N298" s="6"/>
      <c r="O298" s="63" t="s">
        <v>59</v>
      </c>
      <c r="P298" s="6"/>
      <c r="Q298" s="6"/>
    </row>
    <row r="299" spans="1:17" x14ac:dyDescent="0.2">
      <c r="A299" s="257" t="s">
        <v>250</v>
      </c>
      <c r="B299" s="258">
        <v>46135</v>
      </c>
      <c r="C299" s="259" t="s">
        <v>278</v>
      </c>
      <c r="D299" s="260" t="s">
        <v>134</v>
      </c>
      <c r="E299" s="260">
        <v>20090023</v>
      </c>
      <c r="F299" s="261" t="s">
        <v>243</v>
      </c>
      <c r="G299" s="260" t="s">
        <v>202</v>
      </c>
      <c r="H299" s="261"/>
      <c r="I299" s="261" t="s">
        <v>284</v>
      </c>
      <c r="J299" s="262" t="s">
        <v>141</v>
      </c>
      <c r="K299" s="263">
        <v>0</v>
      </c>
      <c r="L299" s="260">
        <v>1250</v>
      </c>
      <c r="M299" s="260">
        <v>6215</v>
      </c>
      <c r="N299" s="6"/>
      <c r="O299" s="63" t="s">
        <v>59</v>
      </c>
      <c r="P299" s="6"/>
      <c r="Q299" s="6"/>
    </row>
    <row r="300" spans="1:17" x14ac:dyDescent="0.2">
      <c r="A300" s="257" t="s">
        <v>250</v>
      </c>
      <c r="B300" s="258">
        <v>46135</v>
      </c>
      <c r="C300" s="259" t="s">
        <v>278</v>
      </c>
      <c r="D300" s="260" t="s">
        <v>134</v>
      </c>
      <c r="E300" s="260">
        <v>20010015</v>
      </c>
      <c r="F300" s="261" t="s">
        <v>148</v>
      </c>
      <c r="G300" s="260" t="s">
        <v>202</v>
      </c>
      <c r="H300" s="261"/>
      <c r="I300" s="261" t="s">
        <v>95</v>
      </c>
      <c r="J300" s="262" t="s">
        <v>141</v>
      </c>
      <c r="K300" s="263">
        <v>0</v>
      </c>
      <c r="L300" s="260"/>
      <c r="M300" s="260">
        <v>2000</v>
      </c>
      <c r="N300" s="6"/>
      <c r="O300" s="63" t="s">
        <v>59</v>
      </c>
      <c r="P300" s="6"/>
      <c r="Q300" s="6"/>
    </row>
    <row r="301" spans="1:17" x14ac:dyDescent="0.2">
      <c r="A301" s="17" t="s">
        <v>250</v>
      </c>
      <c r="B301" s="258">
        <v>46142</v>
      </c>
      <c r="C301" s="259" t="s">
        <v>296</v>
      </c>
      <c r="D301" s="260" t="s">
        <v>134</v>
      </c>
      <c r="E301" s="260">
        <v>20090020</v>
      </c>
      <c r="F301" s="261" t="s">
        <v>168</v>
      </c>
      <c r="G301" s="260" t="s">
        <v>185</v>
      </c>
      <c r="H301" s="261"/>
      <c r="I301" s="261" t="s">
        <v>124</v>
      </c>
      <c r="J301" s="262" t="s">
        <v>141</v>
      </c>
      <c r="K301" s="263">
        <v>0</v>
      </c>
      <c r="L301" s="260">
        <v>1250</v>
      </c>
      <c r="M301" s="260">
        <v>625</v>
      </c>
      <c r="N301" s="6"/>
      <c r="O301" s="63" t="s">
        <v>59</v>
      </c>
      <c r="P301" s="6"/>
      <c r="Q301" s="6"/>
    </row>
    <row r="302" spans="1:17" x14ac:dyDescent="0.2">
      <c r="A302" s="17" t="s">
        <v>250</v>
      </c>
      <c r="B302" s="258">
        <v>46142</v>
      </c>
      <c r="C302" s="259" t="s">
        <v>296</v>
      </c>
      <c r="D302" s="260" t="s">
        <v>134</v>
      </c>
      <c r="E302" s="260">
        <v>20090015</v>
      </c>
      <c r="F302" s="261" t="s">
        <v>171</v>
      </c>
      <c r="G302" s="260" t="s">
        <v>177</v>
      </c>
      <c r="H302" s="261"/>
      <c r="I302" s="261" t="s">
        <v>124</v>
      </c>
      <c r="J302" s="262" t="s">
        <v>141</v>
      </c>
      <c r="K302" s="263">
        <v>0</v>
      </c>
      <c r="L302" s="260">
        <v>1250</v>
      </c>
      <c r="M302" s="260">
        <v>92</v>
      </c>
      <c r="N302" s="6"/>
      <c r="O302" s="63" t="s">
        <v>59</v>
      </c>
      <c r="P302" s="6"/>
      <c r="Q302" s="6"/>
    </row>
    <row r="303" spans="1:17" x14ac:dyDescent="0.2">
      <c r="A303" s="17" t="s">
        <v>250</v>
      </c>
      <c r="B303" s="258">
        <v>46142</v>
      </c>
      <c r="C303" s="259" t="s">
        <v>296</v>
      </c>
      <c r="D303" s="260" t="s">
        <v>134</v>
      </c>
      <c r="E303" s="260">
        <v>20090008</v>
      </c>
      <c r="F303" s="261" t="s">
        <v>274</v>
      </c>
      <c r="G303" s="260" t="s">
        <v>185</v>
      </c>
      <c r="H303" s="261"/>
      <c r="I303" s="261" t="s">
        <v>124</v>
      </c>
      <c r="J303" s="262" t="s">
        <v>141</v>
      </c>
      <c r="K303" s="263">
        <v>0</v>
      </c>
      <c r="L303" s="260">
        <v>1250</v>
      </c>
      <c r="M303" s="260">
        <v>625</v>
      </c>
      <c r="N303" s="6"/>
      <c r="O303" s="63" t="s">
        <v>59</v>
      </c>
      <c r="P303" s="6"/>
      <c r="Q303" s="6"/>
    </row>
    <row r="304" spans="1:17" x14ac:dyDescent="0.2">
      <c r="A304" s="17" t="s">
        <v>250</v>
      </c>
      <c r="B304" s="258">
        <v>46142</v>
      </c>
      <c r="C304" s="259" t="s">
        <v>296</v>
      </c>
      <c r="D304" s="260" t="s">
        <v>134</v>
      </c>
      <c r="E304" s="260">
        <v>20020006</v>
      </c>
      <c r="F304" s="261" t="s">
        <v>195</v>
      </c>
      <c r="G304" s="260" t="s">
        <v>155</v>
      </c>
      <c r="H304" s="261"/>
      <c r="I304" s="261" t="s">
        <v>88</v>
      </c>
      <c r="J304" s="262" t="s">
        <v>141</v>
      </c>
      <c r="K304" s="263">
        <v>4</v>
      </c>
      <c r="L304" s="260">
        <v>1250</v>
      </c>
      <c r="M304" s="260">
        <v>5000</v>
      </c>
      <c r="N304" s="6"/>
      <c r="O304" s="63" t="s">
        <v>59</v>
      </c>
      <c r="P304" s="6"/>
      <c r="Q304" s="6"/>
    </row>
    <row r="305" spans="1:17" x14ac:dyDescent="0.2">
      <c r="A305" s="17" t="s">
        <v>250</v>
      </c>
      <c r="B305" s="258">
        <v>46142</v>
      </c>
      <c r="C305" s="259" t="s">
        <v>296</v>
      </c>
      <c r="D305" s="260" t="s">
        <v>134</v>
      </c>
      <c r="E305" s="260">
        <v>20020003</v>
      </c>
      <c r="F305" s="108" t="s">
        <v>142</v>
      </c>
      <c r="G305" s="260" t="s">
        <v>155</v>
      </c>
      <c r="H305" s="261"/>
      <c r="I305" s="261" t="s">
        <v>88</v>
      </c>
      <c r="J305" s="262" t="s">
        <v>141</v>
      </c>
      <c r="K305" s="263">
        <v>10</v>
      </c>
      <c r="L305" s="260">
        <v>1250</v>
      </c>
      <c r="M305" s="260">
        <v>12500</v>
      </c>
      <c r="N305" s="6"/>
      <c r="O305" s="63" t="s">
        <v>59</v>
      </c>
      <c r="P305" s="6"/>
      <c r="Q305" s="6"/>
    </row>
    <row r="306" spans="1:17" x14ac:dyDescent="0.2">
      <c r="A306" s="17" t="s">
        <v>250</v>
      </c>
      <c r="B306" s="258">
        <v>46142</v>
      </c>
      <c r="C306" s="259" t="s">
        <v>296</v>
      </c>
      <c r="D306" s="260" t="s">
        <v>134</v>
      </c>
      <c r="E306" s="260">
        <v>20020025</v>
      </c>
      <c r="F306" s="261" t="s">
        <v>262</v>
      </c>
      <c r="G306" s="260" t="s">
        <v>159</v>
      </c>
      <c r="H306" s="261"/>
      <c r="I306" s="261" t="s">
        <v>88</v>
      </c>
      <c r="J306" s="262" t="s">
        <v>141</v>
      </c>
      <c r="K306" s="263">
        <v>3</v>
      </c>
      <c r="L306" s="260">
        <v>1250</v>
      </c>
      <c r="M306" s="260">
        <v>3750</v>
      </c>
      <c r="N306" s="6"/>
      <c r="O306" s="63" t="s">
        <v>59</v>
      </c>
      <c r="P306" s="6"/>
      <c r="Q306" s="6"/>
    </row>
    <row r="307" spans="1:17" x14ac:dyDescent="0.2">
      <c r="A307" s="17" t="s">
        <v>250</v>
      </c>
      <c r="B307" s="258">
        <v>46142</v>
      </c>
      <c r="C307" s="259" t="s">
        <v>296</v>
      </c>
      <c r="D307" s="260" t="s">
        <v>134</v>
      </c>
      <c r="E307" s="260">
        <v>20030001</v>
      </c>
      <c r="F307" s="261" t="s">
        <v>89</v>
      </c>
      <c r="G307" s="260" t="s">
        <v>161</v>
      </c>
      <c r="H307" s="261"/>
      <c r="I307" s="261" t="s">
        <v>89</v>
      </c>
      <c r="J307" s="262" t="s">
        <v>141</v>
      </c>
      <c r="K307" s="263">
        <v>1</v>
      </c>
      <c r="L307" s="260">
        <v>1250</v>
      </c>
      <c r="M307" s="260">
        <v>1250</v>
      </c>
      <c r="N307" s="6"/>
      <c r="O307" s="63" t="s">
        <v>59</v>
      </c>
      <c r="P307" s="6"/>
      <c r="Q307" s="6"/>
    </row>
    <row r="308" spans="1:17" x14ac:dyDescent="0.2">
      <c r="A308" s="17" t="s">
        <v>250</v>
      </c>
      <c r="B308" s="258">
        <v>46142</v>
      </c>
      <c r="C308" s="259" t="s">
        <v>296</v>
      </c>
      <c r="D308" s="260" t="s">
        <v>134</v>
      </c>
      <c r="E308" s="260">
        <v>20030001</v>
      </c>
      <c r="F308" s="261" t="s">
        <v>89</v>
      </c>
      <c r="G308" s="260" t="s">
        <v>264</v>
      </c>
      <c r="H308" s="261"/>
      <c r="I308" s="261" t="s">
        <v>89</v>
      </c>
      <c r="J308" s="262" t="s">
        <v>141</v>
      </c>
      <c r="K308" s="263">
        <v>2</v>
      </c>
      <c r="L308" s="260">
        <v>1250</v>
      </c>
      <c r="M308" s="260">
        <v>2500</v>
      </c>
      <c r="N308" s="6"/>
      <c r="O308" s="63" t="s">
        <v>59</v>
      </c>
      <c r="P308" s="6"/>
      <c r="Q308" s="6"/>
    </row>
    <row r="309" spans="1:17" x14ac:dyDescent="0.2">
      <c r="A309" s="17" t="s">
        <v>250</v>
      </c>
      <c r="B309" s="258">
        <v>46142</v>
      </c>
      <c r="C309" s="259" t="s">
        <v>296</v>
      </c>
      <c r="D309" s="260" t="s">
        <v>134</v>
      </c>
      <c r="E309" s="260">
        <v>20030001</v>
      </c>
      <c r="F309" s="261" t="s">
        <v>89</v>
      </c>
      <c r="G309" s="260" t="s">
        <v>186</v>
      </c>
      <c r="H309" s="261"/>
      <c r="I309" s="261" t="s">
        <v>89</v>
      </c>
      <c r="J309" s="262" t="s">
        <v>141</v>
      </c>
      <c r="K309" s="263">
        <v>1</v>
      </c>
      <c r="L309" s="260">
        <v>1250</v>
      </c>
      <c r="M309" s="260">
        <v>1250</v>
      </c>
      <c r="N309" s="6"/>
      <c r="O309" s="63" t="s">
        <v>59</v>
      </c>
      <c r="P309" s="6"/>
      <c r="Q309" s="6"/>
    </row>
    <row r="310" spans="1:17" x14ac:dyDescent="0.2">
      <c r="A310" s="17" t="s">
        <v>250</v>
      </c>
      <c r="B310" s="258">
        <v>46142</v>
      </c>
      <c r="C310" s="259" t="s">
        <v>296</v>
      </c>
      <c r="D310" s="260" t="s">
        <v>134</v>
      </c>
      <c r="E310" s="260">
        <v>20050001</v>
      </c>
      <c r="F310" s="261" t="s">
        <v>263</v>
      </c>
      <c r="G310" s="260" t="s">
        <v>264</v>
      </c>
      <c r="H310" s="261"/>
      <c r="I310" s="261" t="s">
        <v>88</v>
      </c>
      <c r="J310" s="262" t="s">
        <v>141</v>
      </c>
      <c r="K310" s="263">
        <v>1</v>
      </c>
      <c r="L310" s="260">
        <v>1250</v>
      </c>
      <c r="M310" s="260">
        <v>1250</v>
      </c>
      <c r="N310" s="6"/>
      <c r="O310" s="63" t="s">
        <v>59</v>
      </c>
      <c r="P310" s="6"/>
      <c r="Q310" s="6"/>
    </row>
    <row r="311" spans="1:17" x14ac:dyDescent="0.2">
      <c r="A311" s="17" t="s">
        <v>250</v>
      </c>
      <c r="B311" s="258">
        <v>46142</v>
      </c>
      <c r="C311" s="259" t="s">
        <v>296</v>
      </c>
      <c r="D311" s="260" t="s">
        <v>134</v>
      </c>
      <c r="E311" s="260">
        <v>20050001</v>
      </c>
      <c r="F311" s="261" t="s">
        <v>263</v>
      </c>
      <c r="G311" s="260" t="s">
        <v>297</v>
      </c>
      <c r="H311" s="261"/>
      <c r="I311" s="261" t="s">
        <v>88</v>
      </c>
      <c r="J311" s="262" t="s">
        <v>141</v>
      </c>
      <c r="K311" s="263">
        <v>1</v>
      </c>
      <c r="L311" s="260">
        <v>1250</v>
      </c>
      <c r="M311" s="260">
        <v>1250</v>
      </c>
      <c r="N311" s="6"/>
      <c r="O311" s="63" t="s">
        <v>59</v>
      </c>
      <c r="P311" s="6"/>
      <c r="Q311" s="6"/>
    </row>
    <row r="312" spans="1:17" x14ac:dyDescent="0.2">
      <c r="A312" s="17" t="s">
        <v>250</v>
      </c>
      <c r="B312" s="258">
        <v>46142</v>
      </c>
      <c r="C312" s="259" t="s">
        <v>296</v>
      </c>
      <c r="D312" s="260" t="s">
        <v>134</v>
      </c>
      <c r="E312" s="260">
        <v>20050001</v>
      </c>
      <c r="F312" s="261" t="s">
        <v>263</v>
      </c>
      <c r="G312" s="260" t="s">
        <v>140</v>
      </c>
      <c r="H312" s="261"/>
      <c r="I312" s="261" t="s">
        <v>88</v>
      </c>
      <c r="J312" s="262" t="s">
        <v>141</v>
      </c>
      <c r="K312" s="263">
        <v>1</v>
      </c>
      <c r="L312" s="260">
        <v>1250</v>
      </c>
      <c r="M312" s="260">
        <v>1097</v>
      </c>
      <c r="N312" s="6"/>
      <c r="O312" s="63" t="s">
        <v>59</v>
      </c>
      <c r="P312" s="6"/>
      <c r="Q312" s="6"/>
    </row>
    <row r="313" spans="1:17" x14ac:dyDescent="0.2">
      <c r="A313" s="17" t="s">
        <v>250</v>
      </c>
      <c r="B313" s="258">
        <v>46142</v>
      </c>
      <c r="C313" s="259" t="s">
        <v>296</v>
      </c>
      <c r="D313" s="260" t="s">
        <v>134</v>
      </c>
      <c r="E313" s="260">
        <v>20050001</v>
      </c>
      <c r="F313" s="261" t="s">
        <v>263</v>
      </c>
      <c r="G313" s="260" t="s">
        <v>298</v>
      </c>
      <c r="H313" s="261"/>
      <c r="I313" s="261" t="s">
        <v>88</v>
      </c>
      <c r="J313" s="262" t="s">
        <v>141</v>
      </c>
      <c r="K313" s="263">
        <v>1</v>
      </c>
      <c r="L313" s="260">
        <v>1250</v>
      </c>
      <c r="M313" s="260">
        <v>1250</v>
      </c>
      <c r="N313" s="6"/>
      <c r="O313" s="63" t="s">
        <v>59</v>
      </c>
      <c r="P313" s="6"/>
      <c r="Q313" s="6"/>
    </row>
    <row r="314" spans="1:17" x14ac:dyDescent="0.2">
      <c r="A314" s="17" t="s">
        <v>250</v>
      </c>
      <c r="B314" s="258">
        <v>46142</v>
      </c>
      <c r="C314" s="259" t="s">
        <v>296</v>
      </c>
      <c r="D314" s="260" t="s">
        <v>134</v>
      </c>
      <c r="E314" s="260">
        <v>20050001</v>
      </c>
      <c r="F314" s="261" t="s">
        <v>263</v>
      </c>
      <c r="G314" s="260" t="s">
        <v>162</v>
      </c>
      <c r="H314" s="261"/>
      <c r="I314" s="261" t="s">
        <v>88</v>
      </c>
      <c r="J314" s="262" t="s">
        <v>141</v>
      </c>
      <c r="K314" s="263">
        <v>1</v>
      </c>
      <c r="L314" s="260">
        <v>1250</v>
      </c>
      <c r="M314" s="260">
        <v>1143</v>
      </c>
      <c r="N314" s="6"/>
      <c r="O314" s="63" t="s">
        <v>59</v>
      </c>
      <c r="P314" s="6"/>
      <c r="Q314" s="6"/>
    </row>
    <row r="315" spans="1:17" x14ac:dyDescent="0.2">
      <c r="A315" s="17" t="s">
        <v>250</v>
      </c>
      <c r="B315" s="258">
        <v>46142</v>
      </c>
      <c r="C315" s="259" t="s">
        <v>296</v>
      </c>
      <c r="D315" s="260" t="s">
        <v>134</v>
      </c>
      <c r="E315" s="260">
        <v>20020020</v>
      </c>
      <c r="F315" s="261" t="s">
        <v>126</v>
      </c>
      <c r="G315" s="260" t="s">
        <v>138</v>
      </c>
      <c r="H315" s="261"/>
      <c r="I315" s="261" t="s">
        <v>88</v>
      </c>
      <c r="J315" s="262" t="s">
        <v>141</v>
      </c>
      <c r="K315" s="263">
        <v>1</v>
      </c>
      <c r="L315" s="260">
        <v>1250</v>
      </c>
      <c r="M315" s="260">
        <v>1250</v>
      </c>
      <c r="N315" s="6"/>
      <c r="O315" s="63" t="s">
        <v>59</v>
      </c>
      <c r="P315" s="6"/>
      <c r="Q315" s="6"/>
    </row>
    <row r="316" spans="1:17" x14ac:dyDescent="0.2">
      <c r="A316" s="17" t="s">
        <v>250</v>
      </c>
      <c r="B316" s="258">
        <v>46142</v>
      </c>
      <c r="C316" s="259" t="s">
        <v>296</v>
      </c>
      <c r="D316" s="260" t="s">
        <v>134</v>
      </c>
      <c r="E316" s="260">
        <v>20020020</v>
      </c>
      <c r="F316" s="261" t="s">
        <v>126</v>
      </c>
      <c r="G316" s="260" t="s">
        <v>177</v>
      </c>
      <c r="H316" s="261"/>
      <c r="I316" s="261" t="s">
        <v>88</v>
      </c>
      <c r="J316" s="262" t="s">
        <v>141</v>
      </c>
      <c r="K316" s="263">
        <v>1</v>
      </c>
      <c r="L316" s="260">
        <v>1250</v>
      </c>
      <c r="M316" s="260">
        <v>1250</v>
      </c>
      <c r="N316" s="6"/>
      <c r="O316" s="63" t="s">
        <v>59</v>
      </c>
      <c r="P316" s="6"/>
      <c r="Q316" s="6"/>
    </row>
    <row r="317" spans="1:17" x14ac:dyDescent="0.2">
      <c r="A317" s="17" t="s">
        <v>250</v>
      </c>
      <c r="B317" s="258">
        <v>46142</v>
      </c>
      <c r="C317" s="259" t="s">
        <v>296</v>
      </c>
      <c r="D317" s="260" t="s">
        <v>134</v>
      </c>
      <c r="E317" s="260">
        <v>20020020</v>
      </c>
      <c r="F317" s="261" t="s">
        <v>126</v>
      </c>
      <c r="G317" s="260" t="s">
        <v>140</v>
      </c>
      <c r="H317" s="261"/>
      <c r="I317" s="261" t="s">
        <v>88</v>
      </c>
      <c r="J317" s="262" t="s">
        <v>141</v>
      </c>
      <c r="K317" s="263">
        <v>1</v>
      </c>
      <c r="L317" s="260">
        <v>1250</v>
      </c>
      <c r="M317" s="260">
        <v>1250</v>
      </c>
      <c r="N317" s="6"/>
      <c r="O317" s="63" t="s">
        <v>59</v>
      </c>
      <c r="P317" s="6"/>
      <c r="Q317" s="6"/>
    </row>
    <row r="318" spans="1:17" x14ac:dyDescent="0.2">
      <c r="A318" s="17" t="s">
        <v>250</v>
      </c>
      <c r="B318" s="258">
        <v>46142</v>
      </c>
      <c r="C318" s="259" t="s">
        <v>296</v>
      </c>
      <c r="D318" s="260" t="s">
        <v>134</v>
      </c>
      <c r="E318" s="260">
        <v>20020020</v>
      </c>
      <c r="F318" s="261" t="s">
        <v>126</v>
      </c>
      <c r="G318" s="260" t="s">
        <v>139</v>
      </c>
      <c r="H318" s="261"/>
      <c r="I318" s="261" t="s">
        <v>88</v>
      </c>
      <c r="J318" s="262" t="s">
        <v>141</v>
      </c>
      <c r="K318" s="263">
        <v>1</v>
      </c>
      <c r="L318" s="260">
        <v>1250</v>
      </c>
      <c r="M318" s="260">
        <v>695</v>
      </c>
      <c r="N318" s="6"/>
      <c r="O318" s="63" t="s">
        <v>59</v>
      </c>
      <c r="P318" s="6"/>
      <c r="Q318" s="6"/>
    </row>
    <row r="319" spans="1:17" x14ac:dyDescent="0.2">
      <c r="A319" s="17" t="s">
        <v>250</v>
      </c>
      <c r="B319" s="258">
        <v>46142</v>
      </c>
      <c r="C319" s="259" t="s">
        <v>296</v>
      </c>
      <c r="D319" s="260" t="s">
        <v>134</v>
      </c>
      <c r="E319" s="260">
        <v>20020020</v>
      </c>
      <c r="F319" s="261" t="s">
        <v>126</v>
      </c>
      <c r="G319" s="260" t="s">
        <v>136</v>
      </c>
      <c r="H319" s="261"/>
      <c r="I319" s="261" t="s">
        <v>88</v>
      </c>
      <c r="J319" s="262" t="s">
        <v>141</v>
      </c>
      <c r="K319" s="263">
        <v>1</v>
      </c>
      <c r="L319" s="260">
        <v>1250</v>
      </c>
      <c r="M319" s="260">
        <v>1250</v>
      </c>
      <c r="N319" s="6"/>
      <c r="O319" s="63" t="s">
        <v>59</v>
      </c>
      <c r="P319" s="6"/>
      <c r="Q319" s="6"/>
    </row>
    <row r="320" spans="1:17" x14ac:dyDescent="0.2">
      <c r="A320" s="17" t="s">
        <v>250</v>
      </c>
      <c r="B320" s="258">
        <v>46142</v>
      </c>
      <c r="C320" s="259" t="s">
        <v>296</v>
      </c>
      <c r="D320" s="260" t="s">
        <v>134</v>
      </c>
      <c r="E320" s="260">
        <v>20020020</v>
      </c>
      <c r="F320" s="261" t="s">
        <v>126</v>
      </c>
      <c r="G320" s="260" t="s">
        <v>240</v>
      </c>
      <c r="H320" s="261"/>
      <c r="I320" s="261" t="s">
        <v>88</v>
      </c>
      <c r="J320" s="262" t="s">
        <v>141</v>
      </c>
      <c r="K320" s="263">
        <v>1</v>
      </c>
      <c r="L320" s="260">
        <v>1250</v>
      </c>
      <c r="M320" s="260">
        <v>1003</v>
      </c>
      <c r="N320" s="6"/>
      <c r="O320" s="63" t="s">
        <v>59</v>
      </c>
      <c r="P320" s="6"/>
      <c r="Q320" s="6"/>
    </row>
    <row r="321" spans="1:17" x14ac:dyDescent="0.2">
      <c r="A321" s="17" t="s">
        <v>250</v>
      </c>
      <c r="B321" s="258">
        <v>46142</v>
      </c>
      <c r="C321" s="259" t="s">
        <v>296</v>
      </c>
      <c r="D321" s="260" t="s">
        <v>134</v>
      </c>
      <c r="E321" s="260">
        <v>20060009</v>
      </c>
      <c r="F321" s="261" t="s">
        <v>253</v>
      </c>
      <c r="G321" s="260" t="s">
        <v>248</v>
      </c>
      <c r="H321" s="261"/>
      <c r="I321" s="261" t="s">
        <v>91</v>
      </c>
      <c r="J321" s="262" t="s">
        <v>141</v>
      </c>
      <c r="K321" s="263">
        <v>2</v>
      </c>
      <c r="L321" s="260">
        <v>1250</v>
      </c>
      <c r="M321" s="260">
        <v>2340</v>
      </c>
      <c r="N321" s="6"/>
      <c r="O321" s="63" t="s">
        <v>59</v>
      </c>
      <c r="P321" s="6"/>
      <c r="Q321" s="6"/>
    </row>
    <row r="322" spans="1:17" x14ac:dyDescent="0.2">
      <c r="A322" s="17" t="s">
        <v>250</v>
      </c>
      <c r="B322" s="258">
        <v>46142</v>
      </c>
      <c r="C322" s="259" t="s">
        <v>296</v>
      </c>
      <c r="D322" s="260" t="s">
        <v>134</v>
      </c>
      <c r="E322" s="260">
        <v>20060003</v>
      </c>
      <c r="F322" s="261" t="s">
        <v>93</v>
      </c>
      <c r="G322" s="260" t="s">
        <v>155</v>
      </c>
      <c r="H322" s="261"/>
      <c r="I322" s="261" t="s">
        <v>93</v>
      </c>
      <c r="J322" s="262" t="s">
        <v>141</v>
      </c>
      <c r="K322" s="263">
        <v>20</v>
      </c>
      <c r="L322" s="260">
        <v>1250</v>
      </c>
      <c r="M322" s="260">
        <v>25000</v>
      </c>
      <c r="N322" s="6"/>
      <c r="O322" s="63" t="s">
        <v>59</v>
      </c>
      <c r="P322" s="6"/>
      <c r="Q322" s="6"/>
    </row>
    <row r="323" spans="1:17" x14ac:dyDescent="0.2">
      <c r="A323" s="17" t="s">
        <v>250</v>
      </c>
      <c r="B323" s="258">
        <v>46142</v>
      </c>
      <c r="C323" s="259" t="s">
        <v>296</v>
      </c>
      <c r="D323" s="260" t="s">
        <v>134</v>
      </c>
      <c r="E323" s="260">
        <v>20060017</v>
      </c>
      <c r="F323" s="261" t="s">
        <v>292</v>
      </c>
      <c r="G323" s="260" t="s">
        <v>244</v>
      </c>
      <c r="H323" s="261"/>
      <c r="I323" s="261"/>
      <c r="J323" s="262" t="s">
        <v>141</v>
      </c>
      <c r="K323" s="263">
        <v>1</v>
      </c>
      <c r="L323" s="260">
        <v>1250</v>
      </c>
      <c r="M323" s="260">
        <v>1250</v>
      </c>
      <c r="N323" s="6"/>
      <c r="O323" s="63" t="s">
        <v>59</v>
      </c>
      <c r="P323" s="6"/>
      <c r="Q323" s="6"/>
    </row>
    <row r="324" spans="1:17" x14ac:dyDescent="0.2">
      <c r="A324" s="17" t="s">
        <v>250</v>
      </c>
      <c r="B324" s="258">
        <v>46142</v>
      </c>
      <c r="C324" s="259" t="s">
        <v>296</v>
      </c>
      <c r="D324" s="260" t="s">
        <v>134</v>
      </c>
      <c r="E324" s="260">
        <v>20060017</v>
      </c>
      <c r="F324" s="261" t="s">
        <v>292</v>
      </c>
      <c r="G324" s="260" t="s">
        <v>227</v>
      </c>
      <c r="H324" s="261"/>
      <c r="I324" s="261"/>
      <c r="J324" s="262" t="s">
        <v>141</v>
      </c>
      <c r="K324" s="263">
        <v>1</v>
      </c>
      <c r="L324" s="260">
        <v>1250</v>
      </c>
      <c r="M324" s="260">
        <v>1250</v>
      </c>
      <c r="N324" s="6"/>
      <c r="O324" s="63" t="s">
        <v>59</v>
      </c>
      <c r="P324" s="6"/>
      <c r="Q324" s="6"/>
    </row>
    <row r="325" spans="1:17" x14ac:dyDescent="0.2">
      <c r="A325" s="17" t="s">
        <v>250</v>
      </c>
      <c r="B325" s="258">
        <v>46142</v>
      </c>
      <c r="C325" s="259" t="s">
        <v>296</v>
      </c>
      <c r="D325" s="260" t="s">
        <v>134</v>
      </c>
      <c r="E325" s="260">
        <v>20060017</v>
      </c>
      <c r="F325" s="261" t="s">
        <v>292</v>
      </c>
      <c r="G325" s="260" t="s">
        <v>158</v>
      </c>
      <c r="H325" s="261"/>
      <c r="I325" s="261"/>
      <c r="J325" s="262" t="s">
        <v>141</v>
      </c>
      <c r="K325" s="263">
        <v>1</v>
      </c>
      <c r="L325" s="260">
        <v>1250</v>
      </c>
      <c r="M325" s="260">
        <v>673</v>
      </c>
      <c r="N325" s="6"/>
      <c r="O325" s="63" t="s">
        <v>59</v>
      </c>
      <c r="P325" s="6"/>
      <c r="Q325" s="6"/>
    </row>
    <row r="326" spans="1:17" x14ac:dyDescent="0.2">
      <c r="A326" s="17" t="s">
        <v>250</v>
      </c>
      <c r="B326" s="258">
        <v>46142</v>
      </c>
      <c r="C326" s="259" t="s">
        <v>296</v>
      </c>
      <c r="D326" s="260" t="s">
        <v>134</v>
      </c>
      <c r="E326" s="260">
        <v>20060001</v>
      </c>
      <c r="F326" s="261" t="s">
        <v>91</v>
      </c>
      <c r="G326" s="260" t="s">
        <v>178</v>
      </c>
      <c r="H326" s="261"/>
      <c r="I326" s="261" t="s">
        <v>91</v>
      </c>
      <c r="J326" s="262" t="s">
        <v>141</v>
      </c>
      <c r="K326" s="263">
        <v>1</v>
      </c>
      <c r="L326" s="260">
        <v>1250</v>
      </c>
      <c r="M326" s="260">
        <v>1250</v>
      </c>
      <c r="N326" s="6"/>
      <c r="O326" s="63" t="s">
        <v>59</v>
      </c>
      <c r="P326" s="6"/>
      <c r="Q326" s="6"/>
    </row>
    <row r="327" spans="1:17" x14ac:dyDescent="0.2">
      <c r="A327" s="17" t="s">
        <v>250</v>
      </c>
      <c r="B327" s="258">
        <v>46142</v>
      </c>
      <c r="C327" s="259" t="s">
        <v>296</v>
      </c>
      <c r="D327" s="260" t="s">
        <v>134</v>
      </c>
      <c r="E327" s="260">
        <v>20060001</v>
      </c>
      <c r="F327" s="261" t="s">
        <v>91</v>
      </c>
      <c r="G327" s="260" t="s">
        <v>138</v>
      </c>
      <c r="H327" s="261"/>
      <c r="I327" s="261" t="s">
        <v>91</v>
      </c>
      <c r="J327" s="262" t="s">
        <v>141</v>
      </c>
      <c r="K327" s="263">
        <v>1</v>
      </c>
      <c r="L327" s="260">
        <v>1250</v>
      </c>
      <c r="M327" s="260">
        <v>1250</v>
      </c>
      <c r="N327" s="6"/>
      <c r="O327" s="63" t="s">
        <v>59</v>
      </c>
      <c r="P327" s="6"/>
      <c r="Q327" s="6"/>
    </row>
    <row r="328" spans="1:17" x14ac:dyDescent="0.2">
      <c r="A328" s="17" t="s">
        <v>250</v>
      </c>
      <c r="B328" s="258">
        <v>46142</v>
      </c>
      <c r="C328" s="67" t="s">
        <v>296</v>
      </c>
      <c r="D328" s="68" t="s">
        <v>134</v>
      </c>
      <c r="E328" s="68">
        <v>20060001</v>
      </c>
      <c r="F328" s="69" t="s">
        <v>91</v>
      </c>
      <c r="G328" s="68" t="s">
        <v>155</v>
      </c>
      <c r="H328" s="69"/>
      <c r="I328" s="69" t="s">
        <v>91</v>
      </c>
      <c r="J328" s="70" t="s">
        <v>141</v>
      </c>
      <c r="K328" s="71">
        <v>1</v>
      </c>
      <c r="L328" s="260">
        <v>1250</v>
      </c>
      <c r="M328" s="68">
        <v>1250</v>
      </c>
      <c r="N328" s="6"/>
      <c r="O328" s="63" t="s">
        <v>59</v>
      </c>
      <c r="P328" s="6"/>
      <c r="Q328" s="6"/>
    </row>
    <row r="329" spans="1:17" x14ac:dyDescent="0.2">
      <c r="A329" s="17" t="s">
        <v>250</v>
      </c>
      <c r="B329" s="258">
        <v>46142</v>
      </c>
      <c r="C329" s="67" t="s">
        <v>296</v>
      </c>
      <c r="D329" s="68" t="s">
        <v>134</v>
      </c>
      <c r="E329" s="68">
        <v>20010003</v>
      </c>
      <c r="F329" s="69" t="s">
        <v>95</v>
      </c>
      <c r="G329" s="68" t="s">
        <v>202</v>
      </c>
      <c r="H329" s="69"/>
      <c r="I329" s="69" t="s">
        <v>95</v>
      </c>
      <c r="J329" s="70" t="s">
        <v>141</v>
      </c>
      <c r="K329" s="71">
        <v>0</v>
      </c>
      <c r="L329" s="260">
        <v>1250</v>
      </c>
      <c r="M329" s="68">
        <v>10000</v>
      </c>
      <c r="N329" s="6"/>
      <c r="O329" s="63" t="s">
        <v>59</v>
      </c>
      <c r="P329" s="6"/>
      <c r="Q329" s="6"/>
    </row>
    <row r="330" spans="1:17" x14ac:dyDescent="0.2">
      <c r="A330" s="17" t="s">
        <v>250</v>
      </c>
      <c r="B330" s="258">
        <v>46142</v>
      </c>
      <c r="C330" s="67" t="s">
        <v>296</v>
      </c>
      <c r="D330" s="68" t="s">
        <v>134</v>
      </c>
      <c r="E330" s="68">
        <v>20020006</v>
      </c>
      <c r="F330" s="69" t="s">
        <v>195</v>
      </c>
      <c r="G330" s="68" t="s">
        <v>202</v>
      </c>
      <c r="H330" s="69"/>
      <c r="I330" s="69" t="s">
        <v>88</v>
      </c>
      <c r="J330" s="70" t="s">
        <v>141</v>
      </c>
      <c r="K330" s="71">
        <v>0</v>
      </c>
      <c r="L330" s="260">
        <v>1250</v>
      </c>
      <c r="M330" s="68">
        <v>1250</v>
      </c>
      <c r="N330" s="6"/>
      <c r="O330" s="63" t="s">
        <v>59</v>
      </c>
      <c r="P330" s="6"/>
      <c r="Q330" s="6"/>
    </row>
    <row r="331" spans="1:17" x14ac:dyDescent="0.2">
      <c r="A331" s="17" t="s">
        <v>250</v>
      </c>
      <c r="B331" s="258">
        <v>46142</v>
      </c>
      <c r="C331" s="67" t="s">
        <v>296</v>
      </c>
      <c r="D331" s="68" t="s">
        <v>134</v>
      </c>
      <c r="E331" s="68">
        <v>20060004</v>
      </c>
      <c r="F331" s="69" t="s">
        <v>92</v>
      </c>
      <c r="G331" s="68" t="s">
        <v>202</v>
      </c>
      <c r="H331" s="69"/>
      <c r="I331" s="69" t="s">
        <v>92</v>
      </c>
      <c r="J331" s="70" t="s">
        <v>141</v>
      </c>
      <c r="K331" s="71">
        <v>0</v>
      </c>
      <c r="L331" s="260">
        <v>1250</v>
      </c>
      <c r="M331" s="68">
        <v>12500</v>
      </c>
      <c r="N331" s="6"/>
      <c r="O331" s="63" t="s">
        <v>59</v>
      </c>
      <c r="P331" s="6"/>
      <c r="Q331" s="6"/>
    </row>
    <row r="332" spans="1:17" x14ac:dyDescent="0.2">
      <c r="A332" s="17" t="s">
        <v>250</v>
      </c>
      <c r="B332" s="258">
        <v>46142</v>
      </c>
      <c r="C332" s="67" t="s">
        <v>296</v>
      </c>
      <c r="D332" s="68" t="s">
        <v>134</v>
      </c>
      <c r="E332" s="68">
        <v>20090011</v>
      </c>
      <c r="F332" s="69" t="s">
        <v>131</v>
      </c>
      <c r="G332" s="68" t="s">
        <v>202</v>
      </c>
      <c r="H332" s="69"/>
      <c r="I332" s="69" t="s">
        <v>124</v>
      </c>
      <c r="J332" s="70" t="s">
        <v>141</v>
      </c>
      <c r="K332" s="71">
        <v>0</v>
      </c>
      <c r="L332" s="260">
        <v>1250</v>
      </c>
      <c r="M332" s="68">
        <v>1250</v>
      </c>
      <c r="N332" s="6"/>
      <c r="O332" s="63" t="s">
        <v>59</v>
      </c>
      <c r="P332" s="6"/>
      <c r="Q332" s="6"/>
    </row>
    <row r="333" spans="1:17" x14ac:dyDescent="0.2">
      <c r="A333" s="17" t="s">
        <v>314</v>
      </c>
      <c r="B333" s="116">
        <v>46149</v>
      </c>
      <c r="C333" s="67" t="s">
        <v>306</v>
      </c>
      <c r="D333" s="18" t="s">
        <v>134</v>
      </c>
      <c r="E333" s="18">
        <v>20060003</v>
      </c>
      <c r="F333" s="271" t="s">
        <v>93</v>
      </c>
      <c r="G333" s="271" t="s">
        <v>155</v>
      </c>
      <c r="H333" s="69"/>
      <c r="I333" s="69"/>
      <c r="J333" s="70"/>
      <c r="K333" s="71">
        <v>20</v>
      </c>
      <c r="L333" s="68"/>
      <c r="M333" s="68">
        <v>25000</v>
      </c>
      <c r="N333" s="6"/>
      <c r="O333" s="63" t="s">
        <v>59</v>
      </c>
      <c r="P333" s="6"/>
      <c r="Q333" s="6"/>
    </row>
    <row r="334" spans="1:17" x14ac:dyDescent="0.2">
      <c r="A334" s="17" t="s">
        <v>314</v>
      </c>
      <c r="B334" s="116">
        <v>46149</v>
      </c>
      <c r="C334" s="67" t="s">
        <v>306</v>
      </c>
      <c r="D334" s="18" t="s">
        <v>134</v>
      </c>
      <c r="E334" s="18">
        <v>20060005</v>
      </c>
      <c r="F334" s="271" t="s">
        <v>253</v>
      </c>
      <c r="G334" s="271" t="s">
        <v>158</v>
      </c>
      <c r="H334" s="69"/>
      <c r="I334" s="69"/>
      <c r="J334" s="70"/>
      <c r="K334" s="71">
        <v>2</v>
      </c>
      <c r="L334" s="68"/>
      <c r="M334" s="68">
        <v>2500</v>
      </c>
      <c r="N334" s="6"/>
      <c r="O334" s="63" t="s">
        <v>59</v>
      </c>
      <c r="P334" s="6"/>
      <c r="Q334" s="6"/>
    </row>
    <row r="335" spans="1:17" x14ac:dyDescent="0.2">
      <c r="A335" s="17" t="s">
        <v>314</v>
      </c>
      <c r="B335" s="116">
        <v>46149</v>
      </c>
      <c r="C335" s="67" t="s">
        <v>306</v>
      </c>
      <c r="D335" s="18" t="s">
        <v>134</v>
      </c>
      <c r="E335" s="18">
        <v>20010003</v>
      </c>
      <c r="F335" s="271" t="s">
        <v>95</v>
      </c>
      <c r="G335" s="271" t="s">
        <v>158</v>
      </c>
      <c r="H335" s="69"/>
      <c r="I335" s="69"/>
      <c r="J335" s="70"/>
      <c r="K335" s="71">
        <v>8</v>
      </c>
      <c r="L335" s="68"/>
      <c r="M335" s="68">
        <v>10000</v>
      </c>
      <c r="N335" s="6"/>
      <c r="O335" s="63" t="s">
        <v>59</v>
      </c>
      <c r="P335" s="6"/>
      <c r="Q335" s="6"/>
    </row>
    <row r="336" spans="1:17" x14ac:dyDescent="0.2">
      <c r="A336" s="17" t="s">
        <v>314</v>
      </c>
      <c r="B336" s="116">
        <v>46149</v>
      </c>
      <c r="C336" s="67" t="s">
        <v>306</v>
      </c>
      <c r="D336" s="18" t="s">
        <v>134</v>
      </c>
      <c r="E336" s="18">
        <v>20020001</v>
      </c>
      <c r="F336" s="271" t="s">
        <v>88</v>
      </c>
      <c r="G336" s="271" t="s">
        <v>158</v>
      </c>
      <c r="H336" s="69"/>
      <c r="I336" s="69"/>
      <c r="J336" s="70"/>
      <c r="K336" s="71">
        <v>1</v>
      </c>
      <c r="L336" s="68"/>
      <c r="M336" s="68">
        <v>1250</v>
      </c>
      <c r="N336" s="6"/>
      <c r="O336" s="63" t="s">
        <v>59</v>
      </c>
      <c r="P336" s="6"/>
      <c r="Q336" s="6"/>
    </row>
    <row r="337" spans="1:17" x14ac:dyDescent="0.2">
      <c r="A337" s="17" t="s">
        <v>314</v>
      </c>
      <c r="B337" s="116">
        <v>46149</v>
      </c>
      <c r="C337" s="67" t="s">
        <v>306</v>
      </c>
      <c r="D337" s="18" t="s">
        <v>134</v>
      </c>
      <c r="E337" s="18">
        <v>20020001</v>
      </c>
      <c r="F337" s="271" t="s">
        <v>88</v>
      </c>
      <c r="G337" s="271" t="s">
        <v>264</v>
      </c>
      <c r="H337" s="69"/>
      <c r="I337" s="69"/>
      <c r="J337" s="70"/>
      <c r="K337" s="71">
        <v>1</v>
      </c>
      <c r="L337" s="68"/>
      <c r="M337" s="68">
        <v>1250</v>
      </c>
      <c r="N337" s="6"/>
      <c r="O337" s="63" t="s">
        <v>59</v>
      </c>
      <c r="P337" s="6"/>
      <c r="Q337" s="6"/>
    </row>
    <row r="338" spans="1:17" x14ac:dyDescent="0.2">
      <c r="A338" s="17" t="s">
        <v>314</v>
      </c>
      <c r="B338" s="116">
        <v>46149</v>
      </c>
      <c r="C338" s="67" t="s">
        <v>306</v>
      </c>
      <c r="D338" s="18" t="s">
        <v>134</v>
      </c>
      <c r="E338" s="18">
        <v>20020001</v>
      </c>
      <c r="F338" s="271" t="s">
        <v>88</v>
      </c>
      <c r="G338" s="24" t="s">
        <v>307</v>
      </c>
      <c r="H338" s="69"/>
      <c r="I338" s="69"/>
      <c r="J338" s="70"/>
      <c r="K338" s="71">
        <v>1</v>
      </c>
      <c r="L338" s="68"/>
      <c r="M338" s="68">
        <v>1250</v>
      </c>
      <c r="N338" s="6"/>
      <c r="O338" s="63" t="s">
        <v>59</v>
      </c>
      <c r="P338" s="6"/>
      <c r="Q338" s="6"/>
    </row>
    <row r="339" spans="1:17" x14ac:dyDescent="0.2">
      <c r="A339" s="17" t="s">
        <v>314</v>
      </c>
      <c r="B339" s="116">
        <v>46149</v>
      </c>
      <c r="C339" s="67" t="s">
        <v>306</v>
      </c>
      <c r="D339" s="18" t="s">
        <v>134</v>
      </c>
      <c r="E339" s="18">
        <v>20020001</v>
      </c>
      <c r="F339" s="271" t="s">
        <v>88</v>
      </c>
      <c r="G339" s="24" t="s">
        <v>308</v>
      </c>
      <c r="H339" s="69"/>
      <c r="I339" s="69"/>
      <c r="J339" s="70"/>
      <c r="K339" s="71">
        <v>1</v>
      </c>
      <c r="L339" s="68"/>
      <c r="M339" s="68">
        <v>0</v>
      </c>
      <c r="N339" s="6"/>
      <c r="O339" s="63" t="s">
        <v>59</v>
      </c>
      <c r="P339" s="6"/>
      <c r="Q339" s="6"/>
    </row>
    <row r="340" spans="1:17" x14ac:dyDescent="0.2">
      <c r="A340" s="17" t="s">
        <v>314</v>
      </c>
      <c r="B340" s="116">
        <v>46149</v>
      </c>
      <c r="C340" s="67" t="s">
        <v>306</v>
      </c>
      <c r="D340" s="18" t="s">
        <v>134</v>
      </c>
      <c r="E340" s="18">
        <v>20020001</v>
      </c>
      <c r="F340" s="271" t="s">
        <v>88</v>
      </c>
      <c r="G340" s="24" t="s">
        <v>201</v>
      </c>
      <c r="H340" s="69"/>
      <c r="I340" s="69"/>
      <c r="J340" s="70"/>
      <c r="K340" s="71">
        <v>1</v>
      </c>
      <c r="L340" s="68"/>
      <c r="M340" s="68">
        <v>1250</v>
      </c>
      <c r="N340" s="6"/>
      <c r="O340" s="63" t="s">
        <v>59</v>
      </c>
      <c r="P340" s="6"/>
      <c r="Q340" s="6"/>
    </row>
    <row r="341" spans="1:17" x14ac:dyDescent="0.2">
      <c r="A341" s="17" t="s">
        <v>314</v>
      </c>
      <c r="B341" s="116">
        <v>46149</v>
      </c>
      <c r="C341" s="67" t="s">
        <v>306</v>
      </c>
      <c r="D341" s="18" t="s">
        <v>134</v>
      </c>
      <c r="E341" s="18">
        <v>20020001</v>
      </c>
      <c r="F341" s="271" t="s">
        <v>88</v>
      </c>
      <c r="G341" s="24" t="s">
        <v>309</v>
      </c>
      <c r="H341" s="69"/>
      <c r="I341" s="69"/>
      <c r="J341" s="70"/>
      <c r="K341" s="71">
        <v>1</v>
      </c>
      <c r="L341" s="68"/>
      <c r="M341" s="68">
        <v>1250</v>
      </c>
      <c r="N341" s="6"/>
      <c r="O341" s="63" t="s">
        <v>59</v>
      </c>
      <c r="P341" s="6"/>
      <c r="Q341" s="6"/>
    </row>
    <row r="342" spans="1:17" x14ac:dyDescent="0.2">
      <c r="A342" s="17" t="s">
        <v>314</v>
      </c>
      <c r="B342" s="116">
        <v>46149</v>
      </c>
      <c r="C342" s="67" t="s">
        <v>306</v>
      </c>
      <c r="D342" s="18" t="s">
        <v>134</v>
      </c>
      <c r="E342" s="18">
        <v>20020001</v>
      </c>
      <c r="F342" s="271" t="s">
        <v>88</v>
      </c>
      <c r="G342" s="24" t="s">
        <v>310</v>
      </c>
      <c r="H342" s="69"/>
      <c r="I342" s="69"/>
      <c r="J342" s="70"/>
      <c r="K342" s="71">
        <v>1</v>
      </c>
      <c r="L342" s="68"/>
      <c r="M342" s="68">
        <v>1250</v>
      </c>
      <c r="N342" s="6"/>
      <c r="O342" s="63" t="s">
        <v>59</v>
      </c>
      <c r="P342" s="6"/>
      <c r="Q342" s="6"/>
    </row>
    <row r="343" spans="1:17" x14ac:dyDescent="0.2">
      <c r="A343" s="17" t="s">
        <v>314</v>
      </c>
      <c r="B343" s="116">
        <v>46149</v>
      </c>
      <c r="C343" s="67" t="s">
        <v>306</v>
      </c>
      <c r="D343" s="18" t="s">
        <v>134</v>
      </c>
      <c r="E343" s="18">
        <v>20020001</v>
      </c>
      <c r="F343" s="271" t="s">
        <v>88</v>
      </c>
      <c r="G343" s="24" t="s">
        <v>311</v>
      </c>
      <c r="H343" s="69"/>
      <c r="I343" s="69"/>
      <c r="J343" s="70"/>
      <c r="K343" s="71">
        <v>1</v>
      </c>
      <c r="L343" s="68"/>
      <c r="M343" s="68">
        <v>1250</v>
      </c>
      <c r="N343" s="6"/>
      <c r="O343" s="63" t="s">
        <v>59</v>
      </c>
      <c r="P343" s="6"/>
      <c r="Q343" s="6"/>
    </row>
    <row r="344" spans="1:17" x14ac:dyDescent="0.2">
      <c r="A344" s="17" t="s">
        <v>314</v>
      </c>
      <c r="B344" s="116">
        <v>46149</v>
      </c>
      <c r="C344" s="67" t="s">
        <v>306</v>
      </c>
      <c r="D344" s="18" t="s">
        <v>134</v>
      </c>
      <c r="E344" s="18">
        <v>20020001</v>
      </c>
      <c r="F344" s="271" t="s">
        <v>88</v>
      </c>
      <c r="G344" s="24" t="s">
        <v>183</v>
      </c>
      <c r="H344" s="69"/>
      <c r="I344" s="69"/>
      <c r="J344" s="70"/>
      <c r="K344" s="71">
        <v>2</v>
      </c>
      <c r="L344" s="68"/>
      <c r="M344" s="68">
        <v>2500</v>
      </c>
      <c r="N344" s="6"/>
      <c r="O344" s="63" t="s">
        <v>59</v>
      </c>
      <c r="P344" s="6"/>
      <c r="Q344" s="6"/>
    </row>
    <row r="345" spans="1:17" x14ac:dyDescent="0.2">
      <c r="A345" s="17" t="s">
        <v>314</v>
      </c>
      <c r="B345" s="116">
        <v>46149</v>
      </c>
      <c r="C345" s="67" t="s">
        <v>306</v>
      </c>
      <c r="D345" s="18" t="s">
        <v>134</v>
      </c>
      <c r="E345" s="18">
        <v>20020001</v>
      </c>
      <c r="F345" s="271" t="s">
        <v>88</v>
      </c>
      <c r="G345" s="24" t="s">
        <v>137</v>
      </c>
      <c r="H345" s="69"/>
      <c r="I345" s="69"/>
      <c r="J345" s="70"/>
      <c r="K345" s="71">
        <v>2</v>
      </c>
      <c r="L345" s="68"/>
      <c r="M345" s="68">
        <v>1855</v>
      </c>
      <c r="N345" s="6"/>
      <c r="O345" s="63" t="s">
        <v>59</v>
      </c>
      <c r="P345" s="6"/>
      <c r="Q345" s="6"/>
    </row>
    <row r="346" spans="1:17" x14ac:dyDescent="0.2">
      <c r="A346" s="17" t="s">
        <v>314</v>
      </c>
      <c r="B346" s="116">
        <v>46149</v>
      </c>
      <c r="C346" s="67" t="s">
        <v>306</v>
      </c>
      <c r="D346" s="18" t="s">
        <v>134</v>
      </c>
      <c r="E346" s="18">
        <v>20020001</v>
      </c>
      <c r="F346" s="271" t="s">
        <v>88</v>
      </c>
      <c r="G346" s="24" t="s">
        <v>312</v>
      </c>
      <c r="H346" s="69"/>
      <c r="I346" s="69"/>
      <c r="J346" s="70"/>
      <c r="K346" s="71">
        <v>3</v>
      </c>
      <c r="L346" s="68"/>
      <c r="M346" s="68">
        <v>3750</v>
      </c>
      <c r="N346" s="6"/>
      <c r="O346" s="63" t="s">
        <v>59</v>
      </c>
      <c r="P346" s="6"/>
      <c r="Q346" s="6"/>
    </row>
    <row r="347" spans="1:17" x14ac:dyDescent="0.2">
      <c r="A347" s="17" t="s">
        <v>314</v>
      </c>
      <c r="B347" s="116">
        <v>46149</v>
      </c>
      <c r="C347" s="67" t="s">
        <v>306</v>
      </c>
      <c r="D347" s="18" t="s">
        <v>134</v>
      </c>
      <c r="E347" s="18">
        <v>20020001</v>
      </c>
      <c r="F347" s="271" t="s">
        <v>88</v>
      </c>
      <c r="G347" s="24" t="s">
        <v>313</v>
      </c>
      <c r="H347" s="69"/>
      <c r="I347" s="69"/>
      <c r="J347" s="70"/>
      <c r="K347" s="71">
        <v>1</v>
      </c>
      <c r="L347" s="68"/>
      <c r="M347" s="68">
        <v>1106</v>
      </c>
      <c r="N347" s="6"/>
      <c r="O347" s="63" t="s">
        <v>59</v>
      </c>
      <c r="P347" s="6"/>
      <c r="Q347" s="6"/>
    </row>
    <row r="348" spans="1:17" x14ac:dyDescent="0.2">
      <c r="A348" s="17" t="s">
        <v>314</v>
      </c>
      <c r="B348" s="116">
        <v>46149</v>
      </c>
      <c r="C348" s="67" t="s">
        <v>306</v>
      </c>
      <c r="D348" s="18" t="s">
        <v>134</v>
      </c>
      <c r="E348" s="18">
        <v>20020002</v>
      </c>
      <c r="F348" s="21" t="s">
        <v>259</v>
      </c>
      <c r="G348" s="24" t="s">
        <v>178</v>
      </c>
      <c r="H348" s="69"/>
      <c r="I348" s="69"/>
      <c r="J348" s="70"/>
      <c r="K348" s="71">
        <v>1</v>
      </c>
      <c r="L348" s="68"/>
      <c r="M348" s="68">
        <v>1250</v>
      </c>
      <c r="N348" s="6"/>
      <c r="O348" s="63" t="s">
        <v>59</v>
      </c>
      <c r="P348" s="6"/>
      <c r="Q348" s="6"/>
    </row>
    <row r="349" spans="1:17" x14ac:dyDescent="0.2">
      <c r="A349" s="17" t="s">
        <v>314</v>
      </c>
      <c r="B349" s="116">
        <v>46149</v>
      </c>
      <c r="C349" s="67" t="s">
        <v>306</v>
      </c>
      <c r="D349" s="18" t="s">
        <v>134</v>
      </c>
      <c r="E349" s="18">
        <v>20020002</v>
      </c>
      <c r="F349" s="21" t="s">
        <v>259</v>
      </c>
      <c r="G349" s="24" t="s">
        <v>198</v>
      </c>
      <c r="H349" s="69"/>
      <c r="I349" s="69"/>
      <c r="J349" s="70"/>
      <c r="K349" s="71">
        <v>1</v>
      </c>
      <c r="L349" s="68"/>
      <c r="M349" s="68">
        <v>1250</v>
      </c>
      <c r="N349" s="6"/>
      <c r="O349" s="63" t="s">
        <v>59</v>
      </c>
      <c r="P349" s="6"/>
      <c r="Q349" s="6"/>
    </row>
    <row r="350" spans="1:17" x14ac:dyDescent="0.2">
      <c r="A350" s="17" t="s">
        <v>314</v>
      </c>
      <c r="B350" s="116">
        <v>46149</v>
      </c>
      <c r="C350" s="67" t="s">
        <v>306</v>
      </c>
      <c r="D350" s="18" t="s">
        <v>134</v>
      </c>
      <c r="E350" s="18">
        <v>20090008</v>
      </c>
      <c r="F350" s="21" t="s">
        <v>274</v>
      </c>
      <c r="G350" s="24" t="s">
        <v>185</v>
      </c>
      <c r="H350" s="69"/>
      <c r="I350" s="69"/>
      <c r="J350" s="70"/>
      <c r="K350" s="71">
        <v>0</v>
      </c>
      <c r="L350" s="68"/>
      <c r="M350" s="68">
        <v>625</v>
      </c>
      <c r="N350" s="6"/>
      <c r="O350" s="63" t="s">
        <v>59</v>
      </c>
      <c r="P350" s="6"/>
      <c r="Q350" s="6"/>
    </row>
    <row r="351" spans="1:17" x14ac:dyDescent="0.2">
      <c r="A351" s="17" t="s">
        <v>314</v>
      </c>
      <c r="B351" s="116">
        <v>46149</v>
      </c>
      <c r="C351" s="67" t="s">
        <v>306</v>
      </c>
      <c r="D351" s="18" t="s">
        <v>134</v>
      </c>
      <c r="E351" s="18">
        <v>20090017</v>
      </c>
      <c r="F351" s="21" t="s">
        <v>129</v>
      </c>
      <c r="G351" s="24" t="s">
        <v>158</v>
      </c>
      <c r="H351" s="69"/>
      <c r="I351" s="69"/>
      <c r="J351" s="70"/>
      <c r="K351" s="71">
        <v>3</v>
      </c>
      <c r="L351" s="68"/>
      <c r="M351" s="68">
        <v>3750</v>
      </c>
      <c r="N351" s="6"/>
      <c r="O351" s="63" t="s">
        <v>59</v>
      </c>
      <c r="P351" s="6"/>
      <c r="Q351" s="6"/>
    </row>
    <row r="352" spans="1:17" x14ac:dyDescent="0.2">
      <c r="A352" s="17" t="s">
        <v>314</v>
      </c>
      <c r="B352" s="116">
        <v>46149</v>
      </c>
      <c r="C352" s="67" t="s">
        <v>306</v>
      </c>
      <c r="D352" s="18" t="s">
        <v>134</v>
      </c>
      <c r="E352" s="18">
        <v>20090015</v>
      </c>
      <c r="F352" s="21" t="s">
        <v>171</v>
      </c>
      <c r="G352" s="24" t="s">
        <v>177</v>
      </c>
      <c r="H352" s="69"/>
      <c r="I352" s="69"/>
      <c r="J352" s="70"/>
      <c r="K352" s="71">
        <v>1</v>
      </c>
      <c r="L352" s="68"/>
      <c r="M352" s="68">
        <v>1027</v>
      </c>
      <c r="N352" s="6"/>
      <c r="O352" s="63" t="s">
        <v>59</v>
      </c>
      <c r="P352" s="6"/>
      <c r="Q352" s="6"/>
    </row>
    <row r="353" spans="1:17" x14ac:dyDescent="0.2">
      <c r="A353" s="17" t="s">
        <v>314</v>
      </c>
      <c r="B353" s="116">
        <v>46149</v>
      </c>
      <c r="C353" s="67" t="s">
        <v>306</v>
      </c>
      <c r="D353" s="18" t="s">
        <v>134</v>
      </c>
      <c r="E353" s="18">
        <v>20090015</v>
      </c>
      <c r="F353" s="21" t="s">
        <v>171</v>
      </c>
      <c r="G353" s="24" t="s">
        <v>231</v>
      </c>
      <c r="H353" s="69"/>
      <c r="I353" s="69"/>
      <c r="J353" s="70"/>
      <c r="K353" s="71">
        <v>1</v>
      </c>
      <c r="L353" s="68"/>
      <c r="M353" s="68">
        <v>446</v>
      </c>
      <c r="N353" s="6"/>
      <c r="O353" s="63" t="s">
        <v>59</v>
      </c>
      <c r="P353" s="6"/>
      <c r="Q353" s="6"/>
    </row>
    <row r="354" spans="1:17" x14ac:dyDescent="0.2">
      <c r="A354" s="17" t="s">
        <v>314</v>
      </c>
      <c r="B354" s="116">
        <v>46149</v>
      </c>
      <c r="C354" s="67" t="s">
        <v>306</v>
      </c>
      <c r="D354" s="18" t="s">
        <v>134</v>
      </c>
      <c r="E354" s="18">
        <v>20090015</v>
      </c>
      <c r="F354" s="21" t="s">
        <v>171</v>
      </c>
      <c r="G354" s="24" t="s">
        <v>155</v>
      </c>
      <c r="H354" s="69"/>
      <c r="I354" s="69"/>
      <c r="J354" s="70"/>
      <c r="K354" s="71">
        <v>1</v>
      </c>
      <c r="L354" s="68"/>
      <c r="M354" s="68">
        <v>753</v>
      </c>
      <c r="N354" s="6"/>
      <c r="O354" s="63" t="s">
        <v>59</v>
      </c>
      <c r="P354" s="6"/>
      <c r="Q354" s="6"/>
    </row>
    <row r="355" spans="1:17" x14ac:dyDescent="0.2">
      <c r="A355" s="17" t="s">
        <v>314</v>
      </c>
      <c r="B355" s="116">
        <v>46149</v>
      </c>
      <c r="C355" s="67" t="s">
        <v>306</v>
      </c>
      <c r="D355" s="18" t="s">
        <v>134</v>
      </c>
      <c r="E355" s="18">
        <v>20090015</v>
      </c>
      <c r="F355" s="21" t="s">
        <v>171</v>
      </c>
      <c r="G355" s="24" t="s">
        <v>175</v>
      </c>
      <c r="H355" s="69"/>
      <c r="I355" s="69"/>
      <c r="J355" s="70"/>
      <c r="K355" s="71">
        <v>1</v>
      </c>
      <c r="L355" s="68"/>
      <c r="M355" s="68">
        <v>1250</v>
      </c>
      <c r="N355" s="6"/>
      <c r="O355" s="63" t="s">
        <v>59</v>
      </c>
      <c r="P355" s="6"/>
      <c r="Q355" s="6"/>
    </row>
    <row r="356" spans="1:17" x14ac:dyDescent="0.2">
      <c r="A356" s="17" t="s">
        <v>314</v>
      </c>
      <c r="B356" s="116">
        <v>46149</v>
      </c>
      <c r="C356" s="67" t="s">
        <v>306</v>
      </c>
      <c r="D356" s="18" t="s">
        <v>134</v>
      </c>
      <c r="E356" s="6">
        <v>20010001</v>
      </c>
      <c r="F356" s="21" t="s">
        <v>87</v>
      </c>
      <c r="G356" s="68" t="s">
        <v>202</v>
      </c>
      <c r="H356" s="69"/>
      <c r="I356" s="69"/>
      <c r="J356" s="70"/>
      <c r="K356" s="71">
        <v>0</v>
      </c>
      <c r="L356" s="68"/>
      <c r="M356" s="68">
        <v>96000</v>
      </c>
      <c r="N356" s="6"/>
      <c r="O356" s="63" t="s">
        <v>59</v>
      </c>
      <c r="P356" s="6"/>
      <c r="Q356" s="6"/>
    </row>
    <row r="357" spans="1:17" x14ac:dyDescent="0.2">
      <c r="A357" s="17" t="s">
        <v>314</v>
      </c>
      <c r="B357" s="116">
        <v>46149</v>
      </c>
      <c r="C357" s="67" t="s">
        <v>306</v>
      </c>
      <c r="D357" s="18" t="s">
        <v>134</v>
      </c>
      <c r="E357" s="6">
        <v>20010016</v>
      </c>
      <c r="F357" s="69"/>
      <c r="G357" s="68" t="s">
        <v>202</v>
      </c>
      <c r="H357" s="69"/>
      <c r="I357" s="69"/>
      <c r="J357" s="70"/>
      <c r="K357" s="71">
        <v>0</v>
      </c>
      <c r="L357" s="68"/>
      <c r="M357" s="68">
        <v>1943</v>
      </c>
      <c r="N357" s="6"/>
      <c r="O357" s="63" t="s">
        <v>59</v>
      </c>
      <c r="P357" s="6"/>
      <c r="Q357" s="6"/>
    </row>
    <row r="358" spans="1:17" x14ac:dyDescent="0.2">
      <c r="A358" s="17" t="s">
        <v>314</v>
      </c>
      <c r="B358" s="116">
        <v>46149</v>
      </c>
      <c r="C358" s="67" t="s">
        <v>306</v>
      </c>
      <c r="D358" s="18" t="s">
        <v>134</v>
      </c>
      <c r="E358" s="6">
        <v>20020003</v>
      </c>
      <c r="F358" s="69"/>
      <c r="G358" s="68" t="s">
        <v>202</v>
      </c>
      <c r="H358" s="69"/>
      <c r="I358" s="69"/>
      <c r="J358" s="70"/>
      <c r="K358" s="71">
        <v>0</v>
      </c>
      <c r="L358" s="68"/>
      <c r="M358" s="68">
        <v>6250</v>
      </c>
      <c r="N358" s="6"/>
      <c r="O358" s="63" t="s">
        <v>59</v>
      </c>
      <c r="P358" s="6"/>
      <c r="Q358" s="6"/>
    </row>
    <row r="359" spans="1:17" x14ac:dyDescent="0.2">
      <c r="A359" s="17" t="s">
        <v>314</v>
      </c>
      <c r="B359" s="116">
        <v>46149</v>
      </c>
      <c r="C359" s="67" t="s">
        <v>306</v>
      </c>
      <c r="D359" s="18" t="s">
        <v>134</v>
      </c>
      <c r="E359" s="6">
        <v>20060017</v>
      </c>
      <c r="F359" s="69"/>
      <c r="G359" s="68" t="s">
        <v>202</v>
      </c>
      <c r="H359" s="69"/>
      <c r="I359" s="69"/>
      <c r="J359" s="70"/>
      <c r="K359" s="71">
        <v>0</v>
      </c>
      <c r="L359" s="68"/>
      <c r="M359" s="68">
        <v>3077</v>
      </c>
      <c r="N359" s="6"/>
      <c r="O359" s="63" t="s">
        <v>59</v>
      </c>
      <c r="P359" s="6"/>
      <c r="Q359" s="6"/>
    </row>
    <row r="360" spans="1:17" x14ac:dyDescent="0.2">
      <c r="A360" s="17" t="s">
        <v>314</v>
      </c>
      <c r="B360" s="116">
        <v>46149</v>
      </c>
      <c r="C360" s="67" t="s">
        <v>306</v>
      </c>
      <c r="D360" s="18" t="s">
        <v>134</v>
      </c>
      <c r="E360" s="6">
        <v>20070001</v>
      </c>
      <c r="F360" s="69"/>
      <c r="G360" s="68" t="s">
        <v>202</v>
      </c>
      <c r="H360" s="69"/>
      <c r="I360" s="69"/>
      <c r="J360" s="70"/>
      <c r="K360" s="71">
        <v>0</v>
      </c>
      <c r="L360" s="68"/>
      <c r="M360" s="68">
        <v>6250</v>
      </c>
      <c r="N360" s="6"/>
      <c r="O360" s="63" t="s">
        <v>59</v>
      </c>
      <c r="P360" s="6"/>
      <c r="Q360" s="6"/>
    </row>
    <row r="361" spans="1:17" x14ac:dyDescent="0.2">
      <c r="A361" s="17" t="s">
        <v>314</v>
      </c>
      <c r="B361" s="116">
        <v>46149</v>
      </c>
      <c r="C361" s="73" t="s">
        <v>306</v>
      </c>
      <c r="D361" s="18" t="s">
        <v>134</v>
      </c>
      <c r="E361" s="6">
        <v>20070010</v>
      </c>
      <c r="F361" s="75"/>
      <c r="G361" s="68" t="s">
        <v>202</v>
      </c>
      <c r="H361" s="75"/>
      <c r="I361" s="75"/>
      <c r="J361" s="76"/>
      <c r="K361" s="232">
        <v>0</v>
      </c>
      <c r="L361" s="74"/>
      <c r="M361" s="68">
        <v>10</v>
      </c>
      <c r="N361" s="26"/>
      <c r="O361" s="64" t="s">
        <v>59</v>
      </c>
      <c r="P361" s="26"/>
      <c r="Q361" s="26"/>
    </row>
  </sheetData>
  <phoneticPr fontId="8" type="noConversion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PnL</vt:lpstr>
      <vt:lpstr>Sheet3</vt:lpstr>
      <vt:lpstr>Purchases</vt:lpstr>
      <vt:lpstr>Sales</vt:lpstr>
      <vt:lpstr>OS 08-14</vt:lpstr>
      <vt:lpstr>Check</vt:lpstr>
      <vt:lpstr>Bank Deposit</vt:lpstr>
      <vt:lpstr>Special Rate</vt:lpstr>
      <vt:lpstr>Month wise Report</vt:lpstr>
      <vt:lpstr>Farmer Deduction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cp:lastPrinted>2024-03-16T04:01:16Z</cp:lastPrinted>
  <dcterms:created xsi:type="dcterms:W3CDTF">2023-12-08T05:45:03Z</dcterms:created>
  <dcterms:modified xsi:type="dcterms:W3CDTF">2026-05-19T04:44:37Z</dcterms:modified>
</cp:coreProperties>
</file>