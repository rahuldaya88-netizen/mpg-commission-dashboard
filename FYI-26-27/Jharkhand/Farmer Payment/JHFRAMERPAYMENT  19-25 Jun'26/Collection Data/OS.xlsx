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9-25 Jun'26\Collection Data\"/>
    </mc:Choice>
  </mc:AlternateContent>
  <xr:revisionPtr revIDLastSave="0" documentId="13_ncr:1_{93396889-B772-45C1-9781-0ADE52909C84}" xr6:coauthVersionLast="47" xr6:coauthVersionMax="47" xr10:uidLastSave="{00000000-0000-0000-0000-000000000000}"/>
  <bookViews>
    <workbookView xWindow="-120" yWindow="-120" windowWidth="29040" windowHeight="15720" xr2:uid="{C98FDCE9-F1CC-4DB2-A9CD-752967171BDF}"/>
  </bookViews>
  <sheets>
    <sheet name="Sheet2" sheetId="2" r:id="rId1"/>
    <sheet name="Sheet1" sheetId="1" r:id="rId2"/>
  </sheets>
  <calcPr calcId="191029"/>
  <pivotCaches>
    <pivotCache cacheId="7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<sst xmlns="http://schemas.openxmlformats.org/spreadsheetml/2006/main" count="46" uniqueCount="28">
  <si>
    <t>Godown</t>
  </si>
  <si>
    <t>Item Name</t>
  </si>
  <si>
    <t>UoM</t>
  </si>
  <si>
    <t>MPG Code</t>
  </si>
  <si>
    <t>MPG Name</t>
  </si>
  <si>
    <t>BMC Name</t>
  </si>
  <si>
    <t>CSP</t>
  </si>
  <si>
    <t>Challan No</t>
  </si>
  <si>
    <t>Qty</t>
  </si>
  <si>
    <t>Rate</t>
  </si>
  <si>
    <t>Total Amount</t>
  </si>
  <si>
    <t>Payment Amount</t>
  </si>
  <si>
    <t>Balance Due</t>
  </si>
  <si>
    <t>Remarks</t>
  </si>
  <si>
    <t>Agening</t>
  </si>
  <si>
    <t>Chanho</t>
  </si>
  <si>
    <t>Gomukh Gold 50KG</t>
  </si>
  <si>
    <t>Bag</t>
  </si>
  <si>
    <t>Naudi</t>
  </si>
  <si>
    <t>Daya Society</t>
  </si>
  <si>
    <t>GANESHPUR</t>
  </si>
  <si>
    <t>Chuttu</t>
  </si>
  <si>
    <t>MANDRO</t>
  </si>
  <si>
    <t>ORMANJHI</t>
  </si>
  <si>
    <t>KUCHU</t>
  </si>
  <si>
    <t>Grand Total</t>
  </si>
  <si>
    <t>Sum of Balance Due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</si>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</sst>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rgb="FF535FC1"/>
      <name val="Roboto"/>
    </font>
    <font>
      <sz val="10"/>
      <color rgb="FFFFFFFF"/>
      <name val="Roboto"/>
    </font>
    <font>
      <sz val="10"/>
      <color theme="1"/>
      <name val="Arial"/>
    </font>
    <font>
      <sz val="10"/>
      <color rgb="FF434343"/>
      <name val="Roboto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35FC1"/>
        <bgColor rgb="FF535FC1"/>
      </patternFill>
    </fill>
    <fill>
      <patternFill patternType="solid">
        <fgColor rgb="FFF6F8F9"/>
        <bgColor rgb="FFF6F8F9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righ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right" vertical="center"/>
    </xf>
    <xf numFmtId="0" fontId="0" fillId="0" borderId="0" xfId="0" pivotButton="1"/>
    <xf numFmtId="0" fontId="6" fillId="6" borderId="2" xfId="0" applyFont="1" applyFill="1" applyBorder="1"/>
    <xf numFmtId="0" fontId="6" fillId="6" borderId="3" xfId="0" applyFont="1" applyFill="1" applyBorder="1"/>
    <xf numFmtId="0" fontId="0" fillId="0" borderId="0" xfId="0" applyNumberFormat="1"/>
    <xf numFmtId="0" fontId="6" fillId="6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03.474976620368" createdVersion="8" refreshedVersion="8" minRefreshableVersion="3" recordCount="4" xr:uid="{01EFEE50-D739-4FE5-A78A-FD155597D27A}">
  <cacheSource type="worksheet">
    <worksheetSource ref="A1:O5" sheet="Sheet1"/>
  </cacheSource>
  <cacheFields count="15">
    <cacheField name="Godown" numFmtId="0">
      <sharedItems/>
    </cacheField>
    <cacheField name="Item Name" numFmtId="0">
      <sharedItems/>
    </cacheField>
    <cacheField name="UoM" numFmtId="0">
      <sharedItems/>
    </cacheField>
    <cacheField name="MPG Code" numFmtId="0">
      <sharedItems containsSemiMixedTypes="0" containsString="0" containsNumber="1" containsInteger="1" minValue="20060002" maxValue="20090008" count="4">
        <n v="20090003"/>
        <n v="20090008"/>
        <n v="20060002"/>
        <n v="20060009"/>
      </sharedItems>
    </cacheField>
    <cacheField name="MPG Name" numFmtId="0">
      <sharedItems/>
    </cacheField>
    <cacheField name="BMC Name" numFmtId="0">
      <sharedItems/>
    </cacheField>
    <cacheField name="CSP" numFmtId="0">
      <sharedItems/>
    </cacheField>
    <cacheField name="Challan No" numFmtId="0">
      <sharedItems containsString="0" containsBlank="1" containsNumber="1" containsInteger="1" minValue="0" maxValue="2894"/>
    </cacheField>
    <cacheField name="Qty" numFmtId="0">
      <sharedItems containsSemiMixedTypes="0" containsString="0" containsNumber="1" containsInteger="1" minValue="1" maxValue="10"/>
    </cacheField>
    <cacheField name="Rate" numFmtId="0">
      <sharedItems containsSemiMixedTypes="0" containsString="0" containsNumber="1" containsInteger="1" minValue="1250" maxValue="1270"/>
    </cacheField>
    <cacheField name="Total Amount" numFmtId="0">
      <sharedItems containsSemiMixedTypes="0" containsString="0" containsNumber="1" containsInteger="1" minValue="1270" maxValue="12500"/>
    </cacheField>
    <cacheField name="Payment Amount" numFmtId="0">
      <sharedItems containsSemiMixedTypes="0" containsString="0" containsNumber="1" containsInteger="1" minValue="635" maxValue="9956"/>
    </cacheField>
    <cacheField name="Balance Due" numFmtId="0">
      <sharedItems containsSemiMixedTypes="0" containsString="0" containsNumber="1" containsInteger="1" minValue="635" maxValue="2544"/>
    </cacheField>
    <cacheField name="Remarks" numFmtId="0">
      <sharedItems containsNonDate="0" containsString="0" containsBlank="1"/>
    </cacheField>
    <cacheField name="Agening" numFmtId="0">
      <sharedItems containsSemiMixedTypes="0" containsString="0" containsNumber="1" containsInteger="1" minValue="19" maxValue="1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s v="Chanho"/>
    <s v="Gomukh Gold 50KG"/>
    <s v="Bag"/>
    <x v="0"/>
    <s v="Naudi"/>
    <s v="Chanho"/>
    <s v="Daya Society"/>
    <m/>
    <n v="10"/>
    <n v="1250"/>
    <n v="12500"/>
    <n v="9956"/>
    <n v="2544"/>
    <m/>
    <n v="115"/>
  </r>
  <r>
    <s v="Chanho"/>
    <s v="Gomukh Gold 50KG"/>
    <s v="Bag"/>
    <x v="1"/>
    <s v="GANESHPUR"/>
    <s v="Chanho"/>
    <s v="Daya Society"/>
    <n v="2894"/>
    <n v="1"/>
    <n v="1270"/>
    <n v="1270"/>
    <n v="635"/>
    <n v="635"/>
    <m/>
    <n v="19"/>
  </r>
  <r>
    <s v="Chuttu"/>
    <s v="Gomukh Gold 50KG"/>
    <s v="Bag"/>
    <x v="2"/>
    <s v="MANDRO"/>
    <s v="ORMANJHI"/>
    <s v="Daya Society"/>
    <n v="0"/>
    <n v="2"/>
    <n v="1270"/>
    <n v="2540"/>
    <n v="1226"/>
    <n v="1314"/>
    <m/>
    <n v="20"/>
  </r>
  <r>
    <s v="Chuttu"/>
    <s v="Gomukh Gold 50KG"/>
    <s v="Bag"/>
    <x v="3"/>
    <s v="KUCHU"/>
    <s v="ORMANJHI"/>
    <s v="Daya Society"/>
    <n v="0"/>
    <n v="4"/>
    <n v="1270"/>
    <n v="5080"/>
    <n v="2540"/>
    <n v="2540"/>
    <m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5AE1D3-3960-4D70-9925-1DAEE3573EEB}" name="PivotTable5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9" firstHeaderRow="2" firstDataRow="2" firstDataCol="1"/>
  <pivotFields count="15"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Balance Du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4F0E-7AD8-475C-B7A8-20869FA34F34}">
  <dimension ref="A3:G9"/>
  <sheetViews>
    <sheetView tabSelected="1" workbookViewId="0">
      <selection activeCell="Q16" sqref="Q16"/>
    </sheetView>
  </sheetViews>
  <sheetFormatPr defaultRowHeight="15" x14ac:dyDescent="0.25"/>
  <cols>
    <col min="1" max="1" width="18.7109375" bestFit="1" customWidth="1"/>
    <col min="2" max="2" width="5.42578125" bestFit="1" customWidth="1"/>
  </cols>
  <sheetData>
    <row r="3" spans="1:7" x14ac:dyDescent="0.25">
      <c r="A3" s="7" t="s">
        <v>26</v>
      </c>
    </row>
    <row r="4" spans="1:7" x14ac:dyDescent="0.25">
      <c r="A4" s="7" t="s">
        <v>3</v>
      </c>
      <c r="B4" t="s">
        <v>27</v>
      </c>
      <c r="F4" s="8" t="s">
        <v>3</v>
      </c>
      <c r="G4" s="8" t="s">
        <v>27</v>
      </c>
    </row>
    <row r="5" spans="1:7" x14ac:dyDescent="0.25">
      <c r="A5">
        <v>20060002</v>
      </c>
      <c r="B5" s="10">
        <v>1314</v>
      </c>
      <c r="F5">
        <v>20060002</v>
      </c>
      <c r="G5" s="10">
        <v>1314</v>
      </c>
    </row>
    <row r="6" spans="1:7" x14ac:dyDescent="0.25">
      <c r="A6">
        <v>20060009</v>
      </c>
      <c r="B6" s="10">
        <v>2540</v>
      </c>
      <c r="F6">
        <v>20060009</v>
      </c>
      <c r="G6" s="10">
        <v>2540</v>
      </c>
    </row>
    <row r="7" spans="1:7" x14ac:dyDescent="0.25">
      <c r="A7">
        <v>20090003</v>
      </c>
      <c r="B7" s="10">
        <v>2544</v>
      </c>
      <c r="F7">
        <v>20090003</v>
      </c>
      <c r="G7" s="10">
        <v>2544</v>
      </c>
    </row>
    <row r="8" spans="1:7" x14ac:dyDescent="0.25">
      <c r="A8">
        <v>20090008</v>
      </c>
      <c r="B8" s="10">
        <v>635</v>
      </c>
      <c r="F8">
        <v>20090008</v>
      </c>
      <c r="G8" s="10">
        <v>635</v>
      </c>
    </row>
    <row r="9" spans="1:7" x14ac:dyDescent="0.25">
      <c r="A9" t="s">
        <v>25</v>
      </c>
      <c r="B9" s="10">
        <v>7033</v>
      </c>
      <c r="F9" s="9" t="s">
        <v>25</v>
      </c>
      <c r="G9" s="11">
        <v>7033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637E6-A2DB-4D52-BBA4-EFA6FD127C39}">
  <dimension ref="A1:O5"/>
  <sheetViews>
    <sheetView workbookViewId="0">
      <selection sqref="A1:O5"/>
    </sheetView>
  </sheetViews>
  <sheetFormatPr defaultRowHeight="15" x14ac:dyDescent="0.25"/>
  <cols>
    <col min="4" max="4" width="10.140625" bestFit="1" customWidth="1"/>
    <col min="5" max="5" width="12.140625" bestFit="1" customWidth="1"/>
    <col min="6" max="6" width="10.5703125" bestFit="1" customWidth="1"/>
    <col min="7" max="7" width="12" bestFit="1" customWidth="1"/>
    <col min="12" max="12" width="15.7109375" bestFit="1" customWidth="1"/>
    <col min="13" max="13" width="11.28515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14</v>
      </c>
    </row>
    <row r="2" spans="1:15" x14ac:dyDescent="0.25">
      <c r="A2" s="5" t="s">
        <v>15</v>
      </c>
      <c r="B2" s="5" t="s">
        <v>16</v>
      </c>
      <c r="C2" s="5" t="s">
        <v>17</v>
      </c>
      <c r="D2" s="5">
        <v>20090003</v>
      </c>
      <c r="E2" s="5" t="s">
        <v>18</v>
      </c>
      <c r="F2" s="5" t="s">
        <v>15</v>
      </c>
      <c r="G2" s="5" t="s">
        <v>19</v>
      </c>
      <c r="H2" s="5"/>
      <c r="I2" s="5">
        <v>10</v>
      </c>
      <c r="J2" s="6">
        <v>1250</v>
      </c>
      <c r="K2" s="5">
        <v>12500</v>
      </c>
      <c r="L2" s="5">
        <v>9956</v>
      </c>
      <c r="M2" s="5">
        <v>2544</v>
      </c>
      <c r="N2" s="5"/>
      <c r="O2" s="5">
        <v>115</v>
      </c>
    </row>
    <row r="3" spans="1:15" x14ac:dyDescent="0.25">
      <c r="A3" s="5" t="s">
        <v>15</v>
      </c>
      <c r="B3" s="5" t="s">
        <v>16</v>
      </c>
      <c r="C3" s="5" t="s">
        <v>17</v>
      </c>
      <c r="D3" s="5">
        <v>20090008</v>
      </c>
      <c r="E3" s="5" t="s">
        <v>20</v>
      </c>
      <c r="F3" s="5" t="s">
        <v>15</v>
      </c>
      <c r="G3" s="5" t="s">
        <v>19</v>
      </c>
      <c r="H3" s="5">
        <v>2894</v>
      </c>
      <c r="I3" s="5">
        <v>1</v>
      </c>
      <c r="J3" s="6">
        <v>1270</v>
      </c>
      <c r="K3" s="5">
        <v>1270</v>
      </c>
      <c r="L3" s="5">
        <v>635</v>
      </c>
      <c r="M3" s="5">
        <v>635</v>
      </c>
      <c r="N3" s="5"/>
      <c r="O3" s="5">
        <v>19</v>
      </c>
    </row>
    <row r="4" spans="1:15" x14ac:dyDescent="0.25">
      <c r="A4" s="5" t="s">
        <v>21</v>
      </c>
      <c r="B4" s="5" t="s">
        <v>16</v>
      </c>
      <c r="C4" s="5" t="s">
        <v>17</v>
      </c>
      <c r="D4" s="5">
        <v>20060002</v>
      </c>
      <c r="E4" s="5" t="s">
        <v>22</v>
      </c>
      <c r="F4" s="5" t="s">
        <v>23</v>
      </c>
      <c r="G4" s="5" t="s">
        <v>19</v>
      </c>
      <c r="H4" s="5">
        <v>0</v>
      </c>
      <c r="I4" s="5">
        <v>2</v>
      </c>
      <c r="J4" s="6">
        <v>1270</v>
      </c>
      <c r="K4" s="5">
        <v>2540</v>
      </c>
      <c r="L4" s="5">
        <v>1226</v>
      </c>
      <c r="M4" s="5">
        <v>1314</v>
      </c>
      <c r="N4" s="5"/>
      <c r="O4" s="5">
        <v>20</v>
      </c>
    </row>
    <row r="5" spans="1:15" x14ac:dyDescent="0.25">
      <c r="A5" s="5" t="s">
        <v>21</v>
      </c>
      <c r="B5" s="5" t="s">
        <v>16</v>
      </c>
      <c r="C5" s="5" t="s">
        <v>17</v>
      </c>
      <c r="D5" s="5">
        <v>20060009</v>
      </c>
      <c r="E5" s="5" t="s">
        <v>24</v>
      </c>
      <c r="F5" s="5" t="s">
        <v>23</v>
      </c>
      <c r="G5" s="5" t="s">
        <v>19</v>
      </c>
      <c r="H5" s="5">
        <v>0</v>
      </c>
      <c r="I5" s="5">
        <v>4</v>
      </c>
      <c r="J5" s="6">
        <v>1270</v>
      </c>
      <c r="K5" s="5">
        <v>5080</v>
      </c>
      <c r="L5" s="5">
        <v>2540</v>
      </c>
      <c r="M5" s="5">
        <v>2540</v>
      </c>
      <c r="N5" s="5"/>
      <c r="O5" s="5">
        <v>20</v>
      </c>
    </row>
  </sheetData>
  <dataValidations count="1">
    <dataValidation type="list" allowBlank="1" sqref="B2:B5" xr:uid="{7CD95C87-0744-402F-BCFB-C9DB8D657EA2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2026-06-29T03:52:10Z</dcterms:created>
  <dcterms:modified xsi:type="dcterms:W3CDTF">2026-06-30T05:58:43Z</dcterms:modified>
</cp:coreProperties>
</file>