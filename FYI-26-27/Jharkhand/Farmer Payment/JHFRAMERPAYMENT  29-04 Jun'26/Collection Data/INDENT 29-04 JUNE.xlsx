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9-04 Jun'26\Collection Data\"/>
    </mc:Choice>
  </mc:AlternateContent>
  <xr:revisionPtr revIDLastSave="0" documentId="13_ncr:1_{3F21FB83-0A88-4B5C-A95C-073C453AE1DE}" xr6:coauthVersionLast="47" xr6:coauthVersionMax="47" xr10:uidLastSave="{00000000-0000-0000-0000-000000000000}"/>
  <bookViews>
    <workbookView xWindow="-120" yWindow="-120" windowWidth="29040" windowHeight="15720" xr2:uid="{9D613DC4-09DC-438D-8F12-A75511D2D594}"/>
  </bookViews>
  <sheets>
    <sheet name="Sheet1" sheetId="2" r:id="rId1"/>
    <sheet name="INDENT 29-04 JUNE" sheetId="1" r:id="rId2"/>
  </sheets>
  <externalReferences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2" l="1"/>
  <c r="L36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L31" i="2" l="1"/>
  <c r="K28" i="2" l="1"/>
  <c r="K30" i="2" l="1"/>
  <c r="K29" i="2"/>
  <c r="K24" i="2" l="1"/>
  <c r="K8" i="2"/>
  <c r="K5" i="2"/>
  <c r="K21" i="2"/>
  <c r="K10" i="2"/>
  <c r="K11" i="2"/>
  <c r="K9" i="2"/>
  <c r="K23" i="2" l="1"/>
  <c r="K22" i="2"/>
  <c r="K15" i="2"/>
  <c r="K12" i="2"/>
  <c r="K14" i="2"/>
  <c r="K13" i="2"/>
  <c r="K16" i="2"/>
  <c r="K17" i="2"/>
  <c r="K18" i="2"/>
  <c r="K19" i="2"/>
  <c r="K20" i="2"/>
  <c r="K27" i="2"/>
  <c r="K25" i="2"/>
  <c r="K26" i="2"/>
  <c r="K6" i="2"/>
  <c r="K7" i="2"/>
</calcChain>
</file>

<file path=xl/sharedStrings.xml><?xml version="1.0" encoding="utf-8"?>
<sst xmlns="http://schemas.openxmlformats.org/spreadsheetml/2006/main" count="299" uniqueCount="99">
  <si>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</si>
  <si>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</si>
  <si>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</si>
  <si>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</si>
  <si>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</si>
  <si>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</si>
  <si>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</si>
  <si>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</si>
  <si>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</si>
  <si>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</si>
  <si>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</si>
  <si>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</si>
  <si>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</si>
  <si>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</si>
  <si>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</si>
  <si>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</si>
  <si>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</si>
  <si>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</si>
  <si>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</si>
  <si>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</si>
  <si>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29-05-2026 to 04-06-2026</t>
  </si>
  <si>
    <t>Gomukh Gold 50KG</t>
  </si>
  <si>
    <t>200600030002</t>
  </si>
  <si>
    <t>DUMARDAGA</t>
  </si>
  <si>
    <t>0002</t>
  </si>
  <si>
    <t>ORMANJHI</t>
  </si>
  <si>
    <t>Daya Society</t>
  </si>
  <si>
    <t>200600040048</t>
  </si>
  <si>
    <t>CHUTTU</t>
  </si>
  <si>
    <t>0048</t>
  </si>
  <si>
    <t>Staff</t>
  </si>
  <si>
    <t>200900220002</t>
  </si>
  <si>
    <t>KATAIYA 2</t>
  </si>
  <si>
    <t>Chanho</t>
  </si>
  <si>
    <t>200900150002</t>
  </si>
  <si>
    <t>PAKARIYO</t>
  </si>
  <si>
    <t>200900150022</t>
  </si>
  <si>
    <t>0022</t>
  </si>
  <si>
    <t>200900150026</t>
  </si>
  <si>
    <t>0026</t>
  </si>
  <si>
    <t>200100540012</t>
  </si>
  <si>
    <t>NARKOPI</t>
  </si>
  <si>
    <t>0012</t>
  </si>
  <si>
    <t>200900170003</t>
  </si>
  <si>
    <t>NAWATAND</t>
  </si>
  <si>
    <t>0003</t>
  </si>
  <si>
    <t>200900250002</t>
  </si>
  <si>
    <t>KULLU</t>
  </si>
  <si>
    <t>200100030003</t>
  </si>
  <si>
    <t>Bero</t>
  </si>
  <si>
    <t>Itki</t>
  </si>
  <si>
    <t>200100080059</t>
  </si>
  <si>
    <t>Erchoro</t>
  </si>
  <si>
    <t>0059</t>
  </si>
  <si>
    <t>200100080035</t>
  </si>
  <si>
    <t>0035</t>
  </si>
  <si>
    <t>200100150027</t>
  </si>
  <si>
    <t>BOREYA</t>
  </si>
  <si>
    <t>0027</t>
  </si>
  <si>
    <t>200600080002</t>
  </si>
  <si>
    <t>ADELHATU</t>
  </si>
  <si>
    <t>200600040044</t>
  </si>
  <si>
    <t>0044</t>
  </si>
  <si>
    <t>Vikash</t>
  </si>
  <si>
    <t>200200030002</t>
  </si>
  <si>
    <t>Bijuliya</t>
  </si>
  <si>
    <t>Paali</t>
  </si>
  <si>
    <t>200200200038</t>
  </si>
  <si>
    <t>TIKO TOLI</t>
  </si>
  <si>
    <t>0038</t>
  </si>
  <si>
    <t>ONLY DUE ADJUSTMENT</t>
  </si>
  <si>
    <t>200200010005</t>
  </si>
  <si>
    <t>0005</t>
  </si>
  <si>
    <t>200500010052</t>
  </si>
  <si>
    <t>Baski 2</t>
  </si>
  <si>
    <t>0052</t>
  </si>
  <si>
    <t>200500010020</t>
  </si>
  <si>
    <t>0020</t>
  </si>
  <si>
    <t>200500010030</t>
  </si>
  <si>
    <t>0030</t>
  </si>
  <si>
    <t>200500010046</t>
  </si>
  <si>
    <t>0046</t>
  </si>
  <si>
    <t>200500010051</t>
  </si>
  <si>
    <t>0051</t>
  </si>
  <si>
    <t>200200200023</t>
  </si>
  <si>
    <t>0023</t>
  </si>
  <si>
    <t>200200200041</t>
  </si>
  <si>
    <t>0041</t>
  </si>
  <si>
    <t>200200200048</t>
  </si>
  <si>
    <t>Grand Total</t>
  </si>
  <si>
    <t>Sum of Final Amount</t>
  </si>
  <si>
    <t>Total</t>
  </si>
  <si>
    <t>Deduction</t>
  </si>
  <si>
    <t>Type</t>
  </si>
  <si>
    <t>Outstanding</t>
  </si>
  <si>
    <t>Direct</t>
  </si>
  <si>
    <t>"A" Total</t>
  </si>
  <si>
    <t>"B" Total</t>
  </si>
  <si>
    <t>Grand Total "A"+"B"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</si>
</sst>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165" fontId="2" fillId="2" borderId="5" xfId="0" applyNumberFormat="1" applyFont="1" applyFill="1" applyBorder="1" applyAlignment="1">
      <alignment horizontal="right" vertical="center"/>
    </xf>
    <xf numFmtId="49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2" fillId="2" borderId="5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165" fontId="2" fillId="3" borderId="5" xfId="0" applyNumberFormat="1" applyFont="1" applyFill="1" applyBorder="1" applyAlignment="1">
      <alignment horizontal="right" vertical="center"/>
    </xf>
    <xf numFmtId="49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right" vertical="center"/>
    </xf>
    <xf numFmtId="0" fontId="2" fillId="3" borderId="5" xfId="0" quotePrefix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49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0" fillId="0" borderId="0" xfId="0" pivotButton="1"/>
    <xf numFmtId="0" fontId="4" fillId="4" borderId="10" xfId="0" applyFont="1" applyFill="1" applyBorder="1"/>
    <xf numFmtId="0" fontId="4" fillId="4" borderId="11" xfId="0" applyFont="1" applyFill="1" applyBorder="1"/>
    <xf numFmtId="0" fontId="4" fillId="0" borderId="10" xfId="0" applyFont="1" applyBorder="1"/>
    <xf numFmtId="0" fontId="4" fillId="0" borderId="0" xfId="0" applyFont="1"/>
  </cellXfs>
  <cellStyles count="1">
    <cellStyle name="Normal" xfId="0" builtinId="0"/>
  </cellStyles>
  <dxfs count="2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07779C47-A879-466F-93B6-9AB61203C501}">
      <tableStyleElement type="wholeTable" size="0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0.%20JH%20Farmer%20Payment-29-04%20May.xlsx" TargetMode="External"/><Relationship Id="rId2" Type="http://schemas.openxmlformats.org/officeDocument/2006/relationships/externalLinkPath" Target="file:///C:\Users\rahul\Desktop\Rahul%20Backup\Farmer%20Payment\FYI-26-27\Jharkhand\Farmer%20Payment\JHFRAMERPAYMENT%20%2029-04%20Jun'26\10.%20JH%20Farmer%20Payment-29-04%20May.xlsx" TargetMode="External"/><Relationship Id="rId1" Type="http://schemas.openxmlformats.org/officeDocument/2006/relationships/externalLinkPath" Target="/Users/rahul/Desktop/Rahul%20Backup/Farmer%20Payment/FYI-26-27/Jharkhand/Farmer%20Payment/JHFRAMERPAYMENT%20%2029-04%20Jun'26/10.%20JH%20Farmer%20Payment-29-04%20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20010016</v>
          </cell>
          <cell r="C11" t="str">
            <v>ITA CHILDRI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20010052</v>
          </cell>
          <cell r="C24" t="str">
            <v>Kumbatoli</v>
          </cell>
          <cell r="D24" t="str">
            <v>MPG</v>
          </cell>
          <cell r="E24" t="str">
            <v>Direct</v>
          </cell>
        </row>
        <row r="25">
          <cell r="B25">
            <v>20010053</v>
          </cell>
          <cell r="C25" t="str">
            <v>TUTLO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Indirect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20020001</v>
          </cell>
          <cell r="C33" t="str">
            <v>Paali</v>
          </cell>
          <cell r="D33" t="str">
            <v>RMC</v>
          </cell>
          <cell r="E33" t="str">
            <v>Direct</v>
          </cell>
        </row>
        <row r="34">
          <cell r="B34">
            <v>20020002</v>
          </cell>
          <cell r="C34" t="str">
            <v>Jari</v>
          </cell>
          <cell r="D34" t="str">
            <v>MPG</v>
          </cell>
          <cell r="E34" t="str">
            <v>Direct</v>
          </cell>
        </row>
        <row r="35">
          <cell r="B35">
            <v>20020003</v>
          </cell>
          <cell r="C35" t="str">
            <v>Bijuliya</v>
          </cell>
          <cell r="D35" t="str">
            <v>MPG</v>
          </cell>
          <cell r="E35" t="str">
            <v>Direct</v>
          </cell>
        </row>
        <row r="36">
          <cell r="B36">
            <v>20020004</v>
          </cell>
          <cell r="C36" t="str">
            <v>Pandra</v>
          </cell>
          <cell r="D36" t="str">
            <v>MPG</v>
          </cell>
          <cell r="E36" t="str">
            <v>Direct</v>
          </cell>
        </row>
        <row r="37">
          <cell r="B37">
            <v>20020005</v>
          </cell>
          <cell r="C37" t="str">
            <v>BASKI</v>
          </cell>
          <cell r="D37" t="str">
            <v>MPG</v>
          </cell>
          <cell r="E37" t="str">
            <v>Direct</v>
          </cell>
        </row>
        <row r="38">
          <cell r="B38">
            <v>20020006</v>
          </cell>
          <cell r="C38" t="str">
            <v>RANIKHATANGA</v>
          </cell>
          <cell r="D38" t="str">
            <v>MPG</v>
          </cell>
          <cell r="E38" t="str">
            <v>Direct</v>
          </cell>
        </row>
        <row r="39">
          <cell r="B39">
            <v>20020007</v>
          </cell>
          <cell r="C39" t="str">
            <v>SURSA</v>
          </cell>
          <cell r="D39" t="str">
            <v>MPG</v>
          </cell>
          <cell r="E39" t="str">
            <v>Direct</v>
          </cell>
        </row>
        <row r="40">
          <cell r="B40">
            <v>20020010</v>
          </cell>
          <cell r="C40" t="str">
            <v>CHIPRA</v>
          </cell>
          <cell r="D40" t="str">
            <v>MPG</v>
          </cell>
          <cell r="E40" t="str">
            <v>Direct</v>
          </cell>
        </row>
        <row r="41">
          <cell r="B41">
            <v>20020011</v>
          </cell>
          <cell r="C41" t="str">
            <v>DHONTHA TOLI</v>
          </cell>
          <cell r="D41" t="str">
            <v>MPG</v>
          </cell>
          <cell r="E41" t="str">
            <v>Direct</v>
          </cell>
        </row>
        <row r="42">
          <cell r="B42">
            <v>20020013</v>
          </cell>
          <cell r="C42" t="str">
            <v>BAJPUR</v>
          </cell>
          <cell r="D42" t="str">
            <v>VLC</v>
          </cell>
          <cell r="E42" t="str">
            <v>Indirect</v>
          </cell>
        </row>
        <row r="43">
          <cell r="B43">
            <v>20020014</v>
          </cell>
          <cell r="C43" t="str">
            <v>BARGARI</v>
          </cell>
          <cell r="D43" t="str">
            <v>MPG</v>
          </cell>
          <cell r="E43" t="str">
            <v>Direct</v>
          </cell>
        </row>
        <row r="44">
          <cell r="B44">
            <v>20020015</v>
          </cell>
          <cell r="C44" t="str">
            <v>PATRATOLI</v>
          </cell>
          <cell r="D44" t="str">
            <v>MPG</v>
          </cell>
          <cell r="E44" t="str">
            <v>Direct</v>
          </cell>
        </row>
        <row r="45">
          <cell r="B45">
            <v>20020016</v>
          </cell>
          <cell r="C45" t="str">
            <v>BANAPIRI</v>
          </cell>
          <cell r="D45" t="str">
            <v>MPG</v>
          </cell>
          <cell r="E45" t="str">
            <v>Indirect</v>
          </cell>
        </row>
        <row r="46">
          <cell r="B46">
            <v>20020020</v>
          </cell>
          <cell r="C46" t="str">
            <v>TIKO TOLI</v>
          </cell>
          <cell r="D46" t="str">
            <v>MPG</v>
          </cell>
          <cell r="E46" t="str">
            <v>Direct</v>
          </cell>
        </row>
        <row r="47">
          <cell r="B47">
            <v>20020021</v>
          </cell>
          <cell r="C47" t="str">
            <v>PUNGI</v>
          </cell>
          <cell r="D47" t="str">
            <v>MPG</v>
          </cell>
          <cell r="E47" t="str">
            <v>Direct</v>
          </cell>
        </row>
        <row r="48">
          <cell r="B48">
            <v>20020023</v>
          </cell>
          <cell r="C48" t="str">
            <v>BARTOLI</v>
          </cell>
          <cell r="D48" t="str">
            <v>MPG</v>
          </cell>
          <cell r="E48" t="str">
            <v>Direct</v>
          </cell>
        </row>
        <row r="49">
          <cell r="B49">
            <v>20020025</v>
          </cell>
          <cell r="C49" t="str">
            <v>AGRU</v>
          </cell>
          <cell r="D49" t="str">
            <v>VLC</v>
          </cell>
          <cell r="E49" t="str">
            <v>Direct</v>
          </cell>
        </row>
        <row r="50">
          <cell r="B50">
            <v>20020026</v>
          </cell>
          <cell r="C50" t="str">
            <v>TIGRA</v>
          </cell>
          <cell r="D50" t="str">
            <v>MPG</v>
          </cell>
          <cell r="E50" t="str">
            <v>Direct</v>
          </cell>
        </row>
        <row r="51">
          <cell r="B51">
            <v>20020027</v>
          </cell>
          <cell r="C51" t="str">
            <v>GARRI</v>
          </cell>
          <cell r="D51" t="str">
            <v>VLC</v>
          </cell>
          <cell r="E51" t="str">
            <v>Direct</v>
          </cell>
        </row>
        <row r="52">
          <cell r="B52">
            <v>20020028</v>
          </cell>
          <cell r="C52" t="str">
            <v xml:space="preserve">HISRI </v>
          </cell>
          <cell r="D52" t="str">
            <v>VLC</v>
          </cell>
          <cell r="E52" t="str">
            <v>Direct</v>
          </cell>
        </row>
        <row r="53">
          <cell r="B53">
            <v>20030001</v>
          </cell>
          <cell r="C53" t="str">
            <v>Hisri Thakurgaon</v>
          </cell>
          <cell r="D53" t="str">
            <v>RMC</v>
          </cell>
          <cell r="E53" t="str">
            <v>Direct</v>
          </cell>
        </row>
        <row r="54">
          <cell r="B54">
            <v>20030002</v>
          </cell>
          <cell r="C54" t="str">
            <v>UMEDANDA</v>
          </cell>
          <cell r="D54" t="str">
            <v>MPG</v>
          </cell>
          <cell r="E54" t="str">
            <v>Direct</v>
          </cell>
        </row>
        <row r="55">
          <cell r="B55">
            <v>20030005</v>
          </cell>
          <cell r="C55" t="str">
            <v>THAKURGAON</v>
          </cell>
          <cell r="D55" t="str">
            <v>VLC</v>
          </cell>
          <cell r="E55" t="str">
            <v>Indirect</v>
          </cell>
        </row>
        <row r="56">
          <cell r="B56">
            <v>20030009</v>
          </cell>
          <cell r="C56" t="str">
            <v>SURID</v>
          </cell>
          <cell r="D56" t="str">
            <v>MPG</v>
          </cell>
          <cell r="E56" t="str">
            <v>Direct</v>
          </cell>
        </row>
        <row r="57">
          <cell r="B57">
            <v>20030012</v>
          </cell>
          <cell r="C57" t="str">
            <v>URUGUTU</v>
          </cell>
          <cell r="D57" t="str">
            <v>VLC</v>
          </cell>
          <cell r="E57" t="str">
            <v>Indirect</v>
          </cell>
        </row>
        <row r="58">
          <cell r="B58">
            <v>20040001</v>
          </cell>
          <cell r="C58" t="str">
            <v>CHOREYA</v>
          </cell>
          <cell r="D58" t="str">
            <v>RMC</v>
          </cell>
          <cell r="E58" t="str">
            <v>Direct</v>
          </cell>
        </row>
        <row r="59">
          <cell r="B59">
            <v>20040006</v>
          </cell>
          <cell r="C59" t="str">
            <v>KADAM TOLI</v>
          </cell>
          <cell r="D59" t="str">
            <v>MPG</v>
          </cell>
          <cell r="E59" t="str">
            <v>Direct</v>
          </cell>
        </row>
        <row r="60">
          <cell r="B60">
            <v>20040007</v>
          </cell>
          <cell r="C60" t="str">
            <v>MADHUKAM</v>
          </cell>
          <cell r="D60" t="str">
            <v>MPG</v>
          </cell>
          <cell r="E60" t="str">
            <v>Direct</v>
          </cell>
        </row>
        <row r="61">
          <cell r="B61">
            <v>20050001</v>
          </cell>
          <cell r="C61" t="str">
            <v>Baski 2</v>
          </cell>
          <cell r="D61" t="str">
            <v>RMC</v>
          </cell>
          <cell r="E61" t="str">
            <v>Direct</v>
          </cell>
        </row>
        <row r="62">
          <cell r="B62">
            <v>20050002</v>
          </cell>
          <cell r="C62" t="str">
            <v>KANBHITHA</v>
          </cell>
          <cell r="D62" t="str">
            <v>MPG</v>
          </cell>
          <cell r="E62" t="str">
            <v>Direct</v>
          </cell>
        </row>
        <row r="63">
          <cell r="B63">
            <v>20050003</v>
          </cell>
          <cell r="C63" t="str">
            <v>UCHARI</v>
          </cell>
          <cell r="D63" t="str">
            <v>MPG</v>
          </cell>
          <cell r="E63" t="str">
            <v>Direct</v>
          </cell>
        </row>
        <row r="64">
          <cell r="B64">
            <v>20060001</v>
          </cell>
          <cell r="C64" t="str">
            <v>ORMANJHI</v>
          </cell>
          <cell r="D64" t="str">
            <v>RMC</v>
          </cell>
          <cell r="E64" t="str">
            <v>Direct</v>
          </cell>
        </row>
        <row r="65">
          <cell r="B65">
            <v>20060002</v>
          </cell>
          <cell r="C65" t="str">
            <v>MANDRO</v>
          </cell>
          <cell r="D65" t="str">
            <v>MPG</v>
          </cell>
          <cell r="E65" t="str">
            <v>Direct</v>
          </cell>
        </row>
        <row r="66">
          <cell r="B66">
            <v>20060003</v>
          </cell>
          <cell r="C66" t="str">
            <v>DUMARDAGA</v>
          </cell>
          <cell r="D66" t="str">
            <v>MPG</v>
          </cell>
          <cell r="E66" t="str">
            <v>Direct</v>
          </cell>
        </row>
        <row r="67">
          <cell r="B67">
            <v>20060004</v>
          </cell>
          <cell r="C67" t="str">
            <v>CHUTTU</v>
          </cell>
          <cell r="D67" t="str">
            <v>MPG</v>
          </cell>
          <cell r="E67" t="str">
            <v>Direct</v>
          </cell>
        </row>
        <row r="68">
          <cell r="B68">
            <v>20060005</v>
          </cell>
          <cell r="C68" t="str">
            <v>JIRABAR</v>
          </cell>
          <cell r="D68" t="str">
            <v>MPG</v>
          </cell>
          <cell r="E68" t="str">
            <v>Direct</v>
          </cell>
        </row>
        <row r="69">
          <cell r="B69">
            <v>20060007</v>
          </cell>
          <cell r="C69" t="str">
            <v>HOCHAR</v>
          </cell>
          <cell r="D69" t="str">
            <v>MPG</v>
          </cell>
          <cell r="E69" t="str">
            <v>Direct</v>
          </cell>
        </row>
        <row r="70">
          <cell r="B70">
            <v>20060008</v>
          </cell>
          <cell r="C70" t="str">
            <v>ADELHATU</v>
          </cell>
          <cell r="D70" t="str">
            <v>VLC</v>
          </cell>
          <cell r="E70" t="str">
            <v>Direct</v>
          </cell>
        </row>
        <row r="71">
          <cell r="B71">
            <v>20060009</v>
          </cell>
          <cell r="C71" t="str">
            <v>KUCHU</v>
          </cell>
          <cell r="D71" t="str">
            <v>MPG</v>
          </cell>
          <cell r="E71" t="str">
            <v>Direct</v>
          </cell>
        </row>
        <row r="72">
          <cell r="B72">
            <v>20060013</v>
          </cell>
          <cell r="C72" t="str">
            <v>CHATAKPUR</v>
          </cell>
          <cell r="D72" t="str">
            <v>VLC</v>
          </cell>
          <cell r="E72" t="str">
            <v>Indirect</v>
          </cell>
        </row>
        <row r="73">
          <cell r="B73">
            <v>20060015</v>
          </cell>
          <cell r="C73" t="str">
            <v>IRBA</v>
          </cell>
          <cell r="D73" t="str">
            <v>VLC</v>
          </cell>
          <cell r="E73" t="str">
            <v>Indirect</v>
          </cell>
        </row>
        <row r="74">
          <cell r="B74">
            <v>20060017</v>
          </cell>
          <cell r="C74" t="str">
            <v>KUKUI</v>
          </cell>
          <cell r="D74" t="str">
            <v>MPG</v>
          </cell>
          <cell r="E74" t="str">
            <v>Direct</v>
          </cell>
        </row>
        <row r="75">
          <cell r="B75">
            <v>20060018</v>
          </cell>
          <cell r="C75" t="str">
            <v>PANCHOLI</v>
          </cell>
          <cell r="D75" t="str">
            <v>MPG</v>
          </cell>
          <cell r="E75" t="str">
            <v>Direct</v>
          </cell>
        </row>
        <row r="76">
          <cell r="B76">
            <v>20060019</v>
          </cell>
          <cell r="C76" t="str">
            <v>HOCHAR 2</v>
          </cell>
          <cell r="D76" t="str">
            <v>MPG</v>
          </cell>
          <cell r="E76" t="str">
            <v>Direct</v>
          </cell>
        </row>
        <row r="77">
          <cell r="B77">
            <v>20060022</v>
          </cell>
          <cell r="C77" t="str">
            <v>MAHESHPUR</v>
          </cell>
          <cell r="D77" t="str">
            <v>MPG</v>
          </cell>
          <cell r="E77" t="str">
            <v>Direct</v>
          </cell>
        </row>
        <row r="78">
          <cell r="B78">
            <v>20060026</v>
          </cell>
          <cell r="C78" t="str">
            <v>SANGRAMPUR</v>
          </cell>
          <cell r="D78" t="str">
            <v>VLC</v>
          </cell>
          <cell r="E78" t="str">
            <v>Indirect</v>
          </cell>
        </row>
        <row r="79">
          <cell r="B79">
            <v>20070001</v>
          </cell>
          <cell r="C79" t="str">
            <v>PIRAGUTU</v>
          </cell>
          <cell r="D79" t="str">
            <v>RMC</v>
          </cell>
          <cell r="E79" t="str">
            <v>Direct</v>
          </cell>
        </row>
        <row r="80">
          <cell r="B80">
            <v>20070002</v>
          </cell>
          <cell r="C80" t="str">
            <v>SARAM</v>
          </cell>
          <cell r="D80" t="str">
            <v>MPG</v>
          </cell>
          <cell r="E80" t="str">
            <v>Direct</v>
          </cell>
        </row>
        <row r="81">
          <cell r="B81">
            <v>20070003</v>
          </cell>
          <cell r="C81" t="str">
            <v>MURUPIRI</v>
          </cell>
          <cell r="D81" t="str">
            <v>MPG</v>
          </cell>
          <cell r="E81" t="str">
            <v>Direct</v>
          </cell>
        </row>
        <row r="82">
          <cell r="B82">
            <v>20070004</v>
          </cell>
          <cell r="C82" t="str">
            <v>KEDAL</v>
          </cell>
          <cell r="D82" t="str">
            <v>MPG</v>
          </cell>
          <cell r="E82" t="str">
            <v>Direct</v>
          </cell>
        </row>
        <row r="83">
          <cell r="B83">
            <v>20070006</v>
          </cell>
          <cell r="C83" t="str">
            <v>SAHEDA</v>
          </cell>
          <cell r="D83" t="str">
            <v>MPG</v>
          </cell>
          <cell r="E83" t="str">
            <v>Direct</v>
          </cell>
        </row>
        <row r="84">
          <cell r="B84">
            <v>20070007</v>
          </cell>
          <cell r="C84" t="str">
            <v>NABATOLI</v>
          </cell>
          <cell r="D84" t="str">
            <v>MPG</v>
          </cell>
          <cell r="E84" t="str">
            <v>Direct</v>
          </cell>
        </row>
        <row r="85">
          <cell r="B85">
            <v>20070009</v>
          </cell>
          <cell r="C85" t="str">
            <v>KARAMBA</v>
          </cell>
          <cell r="D85" t="str">
            <v>MPG</v>
          </cell>
          <cell r="E85" t="str">
            <v>Direct</v>
          </cell>
        </row>
        <row r="86">
          <cell r="B86">
            <v>20070010</v>
          </cell>
          <cell r="C86" t="str">
            <v>KURALU</v>
          </cell>
          <cell r="D86" t="str">
            <v>MPG</v>
          </cell>
          <cell r="E86" t="str">
            <v>Direct</v>
          </cell>
        </row>
        <row r="87">
          <cell r="B87">
            <v>20070016</v>
          </cell>
          <cell r="C87" t="str">
            <v>MAYAPUR</v>
          </cell>
          <cell r="D87" t="str">
            <v>MPG</v>
          </cell>
          <cell r="E87" t="str">
            <v>Direct</v>
          </cell>
        </row>
        <row r="88">
          <cell r="B88">
            <v>20070018</v>
          </cell>
          <cell r="C88" t="str">
            <v>MAKKA</v>
          </cell>
          <cell r="D88" t="str">
            <v>MPG</v>
          </cell>
          <cell r="E88" t="str">
            <v>Direct</v>
          </cell>
        </row>
        <row r="89">
          <cell r="B89">
            <v>20070019</v>
          </cell>
          <cell r="C89" t="str">
            <v>CHORA</v>
          </cell>
          <cell r="D89" t="str">
            <v>MPG</v>
          </cell>
          <cell r="E89" t="str">
            <v>Direct</v>
          </cell>
        </row>
        <row r="90">
          <cell r="B90">
            <v>20070020</v>
          </cell>
          <cell r="C90" t="str">
            <v>ULATU</v>
          </cell>
          <cell r="D90" t="str">
            <v>MPG</v>
          </cell>
          <cell r="E90" t="str">
            <v>Direct</v>
          </cell>
        </row>
        <row r="91">
          <cell r="B91">
            <v>20070021</v>
          </cell>
          <cell r="C91" t="str">
            <v>USKU</v>
          </cell>
          <cell r="D91" t="str">
            <v>MPG</v>
          </cell>
          <cell r="E91" t="str">
            <v>Indirect</v>
          </cell>
        </row>
        <row r="92">
          <cell r="B92">
            <v>20070023</v>
          </cell>
          <cell r="C92" t="str">
            <v>ICHAPIRI</v>
          </cell>
          <cell r="D92" t="str">
            <v>MPG</v>
          </cell>
          <cell r="E92" t="str">
            <v>Direct</v>
          </cell>
        </row>
        <row r="93">
          <cell r="B93">
            <v>20070024</v>
          </cell>
          <cell r="C93" t="str">
            <v>MURPA</v>
          </cell>
          <cell r="D93" t="str">
            <v>MPG</v>
          </cell>
          <cell r="E93" t="str">
            <v>Direct</v>
          </cell>
        </row>
        <row r="94">
          <cell r="B94">
            <v>20070025</v>
          </cell>
          <cell r="C94" t="str">
            <v>SUBHASH NAGAR</v>
          </cell>
          <cell r="D94" t="str">
            <v>MPG</v>
          </cell>
          <cell r="E94" t="str">
            <v>Direct</v>
          </cell>
        </row>
        <row r="95">
          <cell r="B95">
            <v>20070026</v>
          </cell>
          <cell r="C95" t="str">
            <v>NINDRA</v>
          </cell>
          <cell r="D95" t="str">
            <v>MPG</v>
          </cell>
          <cell r="E95" t="str">
            <v>Direct</v>
          </cell>
        </row>
        <row r="96">
          <cell r="B96">
            <v>20080001</v>
          </cell>
          <cell r="C96" t="str">
            <v>CHATTI BHANDRA</v>
          </cell>
          <cell r="D96" t="str">
            <v>RMC</v>
          </cell>
          <cell r="E96" t="str">
            <v>Direct</v>
          </cell>
        </row>
        <row r="97">
          <cell r="B97">
            <v>20080002</v>
          </cell>
          <cell r="C97" t="str">
            <v>BHITTA</v>
          </cell>
          <cell r="D97" t="str">
            <v>MPG</v>
          </cell>
          <cell r="E97" t="str">
            <v>Direct</v>
          </cell>
        </row>
        <row r="98">
          <cell r="B98">
            <v>20080004</v>
          </cell>
          <cell r="C98" t="str">
            <v>Guri</v>
          </cell>
          <cell r="D98" t="str">
            <v>MPG</v>
          </cell>
          <cell r="E98" t="str">
            <v>Direct</v>
          </cell>
        </row>
        <row r="99">
          <cell r="B99">
            <v>20080006</v>
          </cell>
          <cell r="C99" t="str">
            <v>Chitri Ambatoli</v>
          </cell>
          <cell r="D99" t="str">
            <v>MPG</v>
          </cell>
          <cell r="E99" t="str">
            <v>Direct</v>
          </cell>
        </row>
        <row r="100">
          <cell r="B100">
            <v>20080007</v>
          </cell>
          <cell r="C100" t="str">
            <v>Rampur</v>
          </cell>
          <cell r="D100" t="str">
            <v>MPG</v>
          </cell>
          <cell r="E100" t="str">
            <v>Direct</v>
          </cell>
        </row>
        <row r="101">
          <cell r="B101">
            <v>20080008</v>
          </cell>
          <cell r="C101" t="str">
            <v>Ningni</v>
          </cell>
          <cell r="D101" t="str">
            <v>MPG</v>
          </cell>
          <cell r="E101" t="str">
            <v>Direct</v>
          </cell>
        </row>
        <row r="102">
          <cell r="B102">
            <v>20080009</v>
          </cell>
          <cell r="C102" t="str">
            <v>MASHMANO</v>
          </cell>
          <cell r="D102" t="str">
            <v>MPG</v>
          </cell>
          <cell r="E102" t="str">
            <v>Direct</v>
          </cell>
        </row>
        <row r="103">
          <cell r="B103">
            <v>20080010</v>
          </cell>
          <cell r="C103" t="str">
            <v>PAHARKESA</v>
          </cell>
          <cell r="D103" t="str">
            <v>MPG</v>
          </cell>
          <cell r="E103" t="str">
            <v>Direct</v>
          </cell>
        </row>
        <row r="104">
          <cell r="B104">
            <v>20080014</v>
          </cell>
          <cell r="C104" t="str">
            <v>BHUJANIYA</v>
          </cell>
          <cell r="D104" t="str">
            <v>MPG</v>
          </cell>
          <cell r="E104" t="str">
            <v>Indirect</v>
          </cell>
        </row>
        <row r="105">
          <cell r="B105">
            <v>20080025</v>
          </cell>
          <cell r="C105" t="str">
            <v>DAARU</v>
          </cell>
          <cell r="D105" t="str">
            <v>MPG</v>
          </cell>
          <cell r="E105" t="str">
            <v>Indirect</v>
          </cell>
        </row>
        <row r="106">
          <cell r="B106">
            <v>20080026</v>
          </cell>
          <cell r="C106" t="str">
            <v>CHHARDA</v>
          </cell>
          <cell r="D106" t="str">
            <v>MPG</v>
          </cell>
          <cell r="E106" t="str">
            <v>Direct</v>
          </cell>
        </row>
        <row r="107">
          <cell r="B107">
            <v>20080027</v>
          </cell>
          <cell r="C107" t="str">
            <v>NADI NAGRA 2</v>
          </cell>
          <cell r="D107" t="str">
            <v>MPG</v>
          </cell>
          <cell r="E107" t="str">
            <v>Direct</v>
          </cell>
        </row>
        <row r="108">
          <cell r="B108">
            <v>20080028</v>
          </cell>
          <cell r="C108" t="str">
            <v>BASRI NAGRA</v>
          </cell>
          <cell r="D108" t="str">
            <v>MPG</v>
          </cell>
          <cell r="E108" t="str">
            <v>Direct</v>
          </cell>
        </row>
        <row r="109">
          <cell r="B109">
            <v>20080030</v>
          </cell>
          <cell r="C109" t="str">
            <v>SORANDA</v>
          </cell>
          <cell r="D109" t="str">
            <v>MPG</v>
          </cell>
          <cell r="E109" t="str">
            <v>Direct</v>
          </cell>
        </row>
        <row r="110">
          <cell r="B110">
            <v>20080034</v>
          </cell>
          <cell r="C110" t="str">
            <v>ITTA BARHI CHOWK</v>
          </cell>
          <cell r="D110" t="str">
            <v>MPG</v>
          </cell>
          <cell r="E110" t="str">
            <v>Direct</v>
          </cell>
        </row>
        <row r="111">
          <cell r="B111">
            <v>20080035</v>
          </cell>
          <cell r="C111" t="str">
            <v>KUNDO</v>
          </cell>
          <cell r="D111" t="str">
            <v>VLC</v>
          </cell>
          <cell r="E111" t="str">
            <v>Indirect</v>
          </cell>
        </row>
        <row r="112">
          <cell r="B112">
            <v>20080036</v>
          </cell>
          <cell r="C112" t="str">
            <v>MUNDO 2</v>
          </cell>
          <cell r="D112" t="str">
            <v>VLC</v>
          </cell>
          <cell r="E112" t="str">
            <v>Indirect</v>
          </cell>
        </row>
        <row r="113">
          <cell r="B113">
            <v>20080039</v>
          </cell>
          <cell r="C113" t="str">
            <v>LONGA</v>
          </cell>
          <cell r="D113" t="str">
            <v>MPG</v>
          </cell>
          <cell r="E113" t="str">
            <v>Indirect</v>
          </cell>
        </row>
        <row r="114">
          <cell r="B114">
            <v>20080041</v>
          </cell>
          <cell r="C114" t="str">
            <v>KACHMACHI</v>
          </cell>
          <cell r="D114" t="str">
            <v>MPG</v>
          </cell>
          <cell r="E114" t="str">
            <v>Direct</v>
          </cell>
        </row>
        <row r="115">
          <cell r="B115">
            <v>20080043</v>
          </cell>
          <cell r="C115" t="str">
            <v>JATARGARI</v>
          </cell>
          <cell r="D115" t="str">
            <v>MPG</v>
          </cell>
          <cell r="E115" t="str">
            <v>Direct</v>
          </cell>
        </row>
        <row r="116">
          <cell r="B116">
            <v>20080046</v>
          </cell>
          <cell r="C116" t="str">
            <v>KUNDO AMBATOLI</v>
          </cell>
          <cell r="D116" t="str">
            <v>MPG</v>
          </cell>
          <cell r="E116" t="str">
            <v>Indirect</v>
          </cell>
        </row>
        <row r="117">
          <cell r="B117">
            <v>20080047</v>
          </cell>
          <cell r="C117" t="str">
            <v>PAHARKESHA 2</v>
          </cell>
          <cell r="D117" t="str">
            <v>VLC</v>
          </cell>
          <cell r="E117" t="str">
            <v>Indirect</v>
          </cell>
        </row>
        <row r="118">
          <cell r="B118">
            <v>20080049</v>
          </cell>
          <cell r="C118" t="str">
            <v>MALANG TOLI</v>
          </cell>
          <cell r="D118" t="str">
            <v>VLC</v>
          </cell>
          <cell r="E118" t="str">
            <v>Indirect</v>
          </cell>
        </row>
        <row r="119">
          <cell r="B119">
            <v>20080050</v>
          </cell>
          <cell r="C119" t="str">
            <v>KACHMACHI 2</v>
          </cell>
          <cell r="D119" t="str">
            <v>MPG</v>
          </cell>
          <cell r="E119" t="str">
            <v>Direct</v>
          </cell>
        </row>
        <row r="120">
          <cell r="B120">
            <v>20090001</v>
          </cell>
          <cell r="C120" t="str">
            <v>Chanho</v>
          </cell>
          <cell r="D120" t="str">
            <v>RMC</v>
          </cell>
          <cell r="E120" t="str">
            <v>Direct</v>
          </cell>
        </row>
        <row r="121">
          <cell r="B121">
            <v>20090002</v>
          </cell>
          <cell r="C121" t="str">
            <v>Bajra</v>
          </cell>
          <cell r="D121" t="str">
            <v>MPG</v>
          </cell>
          <cell r="E121" t="str">
            <v>Direct</v>
          </cell>
        </row>
        <row r="122">
          <cell r="B122">
            <v>20090004</v>
          </cell>
          <cell r="C122" t="str">
            <v>DUMRI</v>
          </cell>
          <cell r="D122" t="str">
            <v>MPG</v>
          </cell>
          <cell r="E122" t="str">
            <v>Direct</v>
          </cell>
        </row>
        <row r="123">
          <cell r="B123">
            <v>20090006</v>
          </cell>
          <cell r="C123" t="str">
            <v>KATAIYA</v>
          </cell>
          <cell r="D123" t="str">
            <v>VLC</v>
          </cell>
          <cell r="E123" t="str">
            <v>Indirect</v>
          </cell>
        </row>
        <row r="124">
          <cell r="B124">
            <v>20090008</v>
          </cell>
          <cell r="C124" t="str">
            <v>GANESHPUR</v>
          </cell>
          <cell r="D124" t="str">
            <v>MPG</v>
          </cell>
          <cell r="E124" t="str">
            <v>Direct</v>
          </cell>
        </row>
        <row r="125">
          <cell r="B125">
            <v>20090010</v>
          </cell>
          <cell r="C125" t="str">
            <v>CHATWAL</v>
          </cell>
          <cell r="D125" t="str">
            <v>VLC</v>
          </cell>
          <cell r="E125" t="str">
            <v>Indirect</v>
          </cell>
        </row>
        <row r="126">
          <cell r="B126">
            <v>20090012</v>
          </cell>
          <cell r="C126" t="str">
            <v>LUNDRI 2</v>
          </cell>
          <cell r="D126" t="str">
            <v>MPG</v>
          </cell>
          <cell r="E126" t="str">
            <v>Direct</v>
          </cell>
        </row>
        <row r="127">
          <cell r="B127">
            <v>20090013</v>
          </cell>
          <cell r="C127" t="str">
            <v>LUNDRI 1</v>
          </cell>
          <cell r="D127" t="str">
            <v>MPG</v>
          </cell>
          <cell r="E127" t="str">
            <v>Direct</v>
          </cell>
        </row>
        <row r="128">
          <cell r="B128">
            <v>20090014</v>
          </cell>
          <cell r="C128" t="str">
            <v>HUTAR</v>
          </cell>
          <cell r="D128" t="str">
            <v>MPG</v>
          </cell>
          <cell r="E128" t="str">
            <v>Direct</v>
          </cell>
        </row>
        <row r="129">
          <cell r="B129">
            <v>20090015</v>
          </cell>
          <cell r="C129" t="str">
            <v>PAKARIYO</v>
          </cell>
          <cell r="D129" t="str">
            <v>MPG</v>
          </cell>
          <cell r="E129" t="str">
            <v>Direct</v>
          </cell>
        </row>
        <row r="130">
          <cell r="B130">
            <v>20090017</v>
          </cell>
          <cell r="C130" t="str">
            <v>NAWATAND</v>
          </cell>
          <cell r="D130" t="str">
            <v>MPG</v>
          </cell>
          <cell r="E130" t="str">
            <v>Direct</v>
          </cell>
        </row>
        <row r="131">
          <cell r="B131">
            <v>20090018</v>
          </cell>
          <cell r="C131" t="str">
            <v>KOTHI TOLA</v>
          </cell>
          <cell r="D131" t="str">
            <v>MPG</v>
          </cell>
          <cell r="E131" t="str">
            <v>Indirect</v>
          </cell>
        </row>
        <row r="132">
          <cell r="B132">
            <v>20090019</v>
          </cell>
          <cell r="C132" t="str">
            <v>MADINA NAGAR</v>
          </cell>
          <cell r="D132" t="str">
            <v>VLC</v>
          </cell>
          <cell r="E132" t="str">
            <v>Indirect</v>
          </cell>
        </row>
        <row r="133">
          <cell r="B133">
            <v>20090020</v>
          </cell>
          <cell r="C133" t="str">
            <v>PAKARIYO 2</v>
          </cell>
          <cell r="D133" t="str">
            <v>MPG</v>
          </cell>
          <cell r="E133" t="str">
            <v>Direct</v>
          </cell>
        </row>
        <row r="134">
          <cell r="B134">
            <v>20090021</v>
          </cell>
          <cell r="C134" t="str">
            <v>PATRA TOLI</v>
          </cell>
          <cell r="D134" t="str">
            <v>MPG</v>
          </cell>
          <cell r="E134" t="str">
            <v>Direct</v>
          </cell>
        </row>
        <row r="135">
          <cell r="B135">
            <v>20090022</v>
          </cell>
          <cell r="C135" t="str">
            <v>KATAIYA 2</v>
          </cell>
          <cell r="D135" t="str">
            <v>MPG</v>
          </cell>
          <cell r="E135" t="str">
            <v>Direct</v>
          </cell>
        </row>
        <row r="136">
          <cell r="B136">
            <v>20090023</v>
          </cell>
          <cell r="C136" t="str">
            <v>KOKAR</v>
          </cell>
          <cell r="D136" t="str">
            <v>MPG</v>
          </cell>
          <cell r="E136" t="str">
            <v>Direct</v>
          </cell>
        </row>
        <row r="137">
          <cell r="B137">
            <v>20090025</v>
          </cell>
          <cell r="C137" t="str">
            <v>KULLU</v>
          </cell>
          <cell r="D137" t="str">
            <v>VLC</v>
          </cell>
          <cell r="E137" t="str">
            <v>Indirect</v>
          </cell>
        </row>
        <row r="138">
          <cell r="B138">
            <v>20090028</v>
          </cell>
          <cell r="C138" t="str">
            <v>FULDIH 2</v>
          </cell>
          <cell r="D138" t="str">
            <v>VLC</v>
          </cell>
          <cell r="E138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2.490670949075" createdVersion="8" refreshedVersion="8" minRefreshableVersion="3" recordCount="26" xr:uid="{D43E440F-2EDC-414C-93AE-8F612B856EB2}">
  <cacheSource type="worksheet">
    <worksheetSource name="Table7"/>
  </cacheSource>
  <cacheFields count="19">
    <cacheField name="Timestamp" numFmtId="164">
      <sharedItems containsSemiMixedTypes="0" containsNonDate="0" containsDate="1" containsString="0" minDate="2026-06-07T09:05:00" maxDate="2026-06-08T09:46:12"/>
    </cacheField>
    <cacheField name="User Name" numFmtId="0">
      <sharedItems/>
    </cacheField>
    <cacheField name="Order Date" numFmtId="165">
      <sharedItems containsSemiMixedTypes="0" containsNonDate="0" containsDate="1" containsString="0" minDate="2026-06-07T00:00:00" maxDate="2026-06-09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MPG Code" numFmtId="0">
      <sharedItems containsSemiMixedTypes="0" containsString="0" containsNumber="1" containsInteger="1" minValue="20010003" maxValue="20090025" count="15">
        <n v="20060003"/>
        <n v="20060004"/>
        <n v="20090022"/>
        <n v="20090015"/>
        <n v="20010054"/>
        <n v="20090017"/>
        <n v="20090025"/>
        <n v="20010003"/>
        <n v="20010008"/>
        <n v="20010015"/>
        <n v="20060008"/>
        <n v="20020003"/>
        <n v="20020020"/>
        <n v="20020001"/>
        <n v="20050001"/>
      </sharedItems>
    </cacheField>
    <cacheField name="MPG Name" numFmtId="0">
      <sharedItems/>
    </cacheField>
    <cacheField name="Farmer code" numFmtId="0">
      <sharedItems count="19">
        <s v="0002"/>
        <s v="0048"/>
        <s v="0022"/>
        <s v="0026"/>
        <s v="0012"/>
        <s v="0003"/>
        <s v="0059"/>
        <s v="0035"/>
        <s v="0027"/>
        <s v="0044"/>
        <s v="0038"/>
        <s v="0005"/>
        <s v="0052"/>
        <s v="0020"/>
        <s v="0030"/>
        <s v="0046"/>
        <s v="0051"/>
        <s v="0023"/>
        <s v="0041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0"/>
    </cacheField>
    <cacheField name="Rate" numFmtId="0">
      <sharedItems containsSemiMixedTypes="0" containsString="0" containsNumber="1" containsInteger="1" minValue="0" maxValue="1270"/>
    </cacheField>
    <cacheField name="Total Amount" numFmtId="0">
      <sharedItems containsSemiMixedTypes="0" containsString="0" containsNumber="1" containsInteger="1" minValue="0" maxValue="25000"/>
    </cacheField>
    <cacheField name="Other Due Amt" numFmtId="0">
      <sharedItems containsSemiMixedTypes="0" containsString="0" containsNumber="1" containsInteger="1" minValue="0" maxValue="419"/>
    </cacheField>
    <cacheField name="Total Amount (Proposed)" numFmtId="0">
      <sharedItems containsSemiMixedTypes="0" containsString="0" containsNumber="1" containsInteger="1" minValue="0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0" maxValue="250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d v="2026-06-07T09:05:00"/>
    <s v="Satendra kumar"/>
    <d v="2026-06-07T00:00:00"/>
    <s v="29-05-2026 to 04-06-2026"/>
    <s v="Gomukh Gold 50KG"/>
    <s v="200600030002"/>
    <x v="0"/>
    <s v="DUMARDAGA"/>
    <x v="0"/>
    <s v="ORMANJHI"/>
    <s v="Daya Society"/>
    <n v="20"/>
    <n v="1250"/>
    <n v="25000"/>
    <n v="0"/>
    <n v="25000"/>
    <n v="20"/>
    <n v="25000"/>
    <m/>
  </r>
  <r>
    <d v="2026-06-07T09:10:03"/>
    <s v="Satendra kumar"/>
    <d v="2026-06-07T00:00:00"/>
    <s v="29-05-2026 to 04-06-2026"/>
    <s v="Gomukh Gold 50KG"/>
    <s v="200600040048"/>
    <x v="1"/>
    <s v="CHUTTU"/>
    <x v="1"/>
    <s v="ORMANJHI"/>
    <s v="Daya Society"/>
    <n v="6"/>
    <n v="1250"/>
    <n v="7500"/>
    <n v="0"/>
    <n v="7500"/>
    <n v="6"/>
    <n v="7500"/>
    <m/>
  </r>
  <r>
    <d v="2026-06-07T09:10:28"/>
    <s v="Staff"/>
    <d v="2026-06-07T00:00:00"/>
    <s v="29-05-2026 to 04-06-2026"/>
    <s v="Gomukh Gold 50KG"/>
    <s v="200900220002"/>
    <x v="2"/>
    <s v="KATAIYA 2"/>
    <x v="0"/>
    <s v="Chanho"/>
    <s v="Chanho"/>
    <n v="1"/>
    <n v="635"/>
    <n v="635"/>
    <n v="0"/>
    <n v="635"/>
    <n v="1"/>
    <n v="635"/>
    <m/>
  </r>
  <r>
    <d v="2026-06-07T09:11:09"/>
    <s v="Staff"/>
    <d v="2026-06-07T00:00:00"/>
    <s v="29-05-2026 to 04-06-2026"/>
    <s v="Gomukh Gold 50KG"/>
    <s v="200900150002"/>
    <x v="3"/>
    <s v="PAKARIYO"/>
    <x v="0"/>
    <s v="Chanho"/>
    <s v="Chanho"/>
    <n v="0"/>
    <n v="80"/>
    <n v="0"/>
    <n v="0"/>
    <n v="0"/>
    <n v="0"/>
    <n v="0"/>
    <m/>
  </r>
  <r>
    <d v="2026-06-07T09:12:49"/>
    <s v="Staff"/>
    <d v="2026-06-07T00:00:00"/>
    <s v="29-05-2026 to 04-06-2026"/>
    <s v="Gomukh Gold 50KG"/>
    <s v="200900150022"/>
    <x v="3"/>
    <s v="PAKARIYO"/>
    <x v="2"/>
    <s v="Chanho"/>
    <s v="Daya Society"/>
    <n v="1"/>
    <n v="1224"/>
    <n v="1224"/>
    <n v="0"/>
    <n v="1224"/>
    <n v="1"/>
    <n v="1224"/>
    <m/>
  </r>
  <r>
    <d v="2026-06-07T09:13:31"/>
    <s v="Staff"/>
    <d v="2026-06-07T00:00:00"/>
    <s v="29-05-2026 to 04-06-2026"/>
    <s v="Gomukh Gold 50KG"/>
    <s v="200900150026"/>
    <x v="3"/>
    <s v="PAKARIYO"/>
    <x v="3"/>
    <s v="Chanho"/>
    <s v="Daya Society"/>
    <n v="1"/>
    <n v="1245"/>
    <n v="1245"/>
    <n v="0"/>
    <n v="1245"/>
    <n v="1"/>
    <n v="1245"/>
    <m/>
  </r>
  <r>
    <d v="2026-06-07T09:16:27"/>
    <s v="Staff"/>
    <d v="2026-06-07T00:00:00"/>
    <s v="29-05-2026 to 04-06-2026"/>
    <s v="Gomukh Gold 50KG"/>
    <s v="200100540012"/>
    <x v="4"/>
    <s v="NARKOPI"/>
    <x v="4"/>
    <s v="Chanho"/>
    <s v="Daya Society"/>
    <n v="2"/>
    <n v="1270"/>
    <n v="2540"/>
    <n v="0"/>
    <n v="2540"/>
    <n v="2"/>
    <n v="2540"/>
    <m/>
  </r>
  <r>
    <d v="2026-06-07T09:17:06"/>
    <s v="Staff"/>
    <d v="2026-06-07T00:00:00"/>
    <s v="29-05-2026 to 04-06-2026"/>
    <s v="Gomukh Gold 50KG"/>
    <s v="200900170003"/>
    <x v="5"/>
    <s v="NAWATAND"/>
    <x v="5"/>
    <s v="Chanho"/>
    <s v="Daya Society"/>
    <n v="2"/>
    <n v="1270"/>
    <n v="2540"/>
    <n v="0"/>
    <n v="2540"/>
    <n v="2"/>
    <n v="2540"/>
    <m/>
  </r>
  <r>
    <d v="2026-06-07T09:18:06"/>
    <s v="Staff"/>
    <d v="2026-06-07T00:00:00"/>
    <s v="29-05-2026 to 04-06-2026"/>
    <s v="Gomukh Gold 50KG"/>
    <s v="200900250002"/>
    <x v="6"/>
    <s v="KULLU"/>
    <x v="0"/>
    <s v="Chanho"/>
    <s v="Daya Society"/>
    <n v="2"/>
    <n v="1270"/>
    <n v="2540"/>
    <n v="0"/>
    <n v="2540"/>
    <n v="2"/>
    <n v="2540"/>
    <m/>
  </r>
  <r>
    <d v="2026-06-07T09:18:47"/>
    <s v="Satendra kumar"/>
    <d v="2026-06-07T00:00:00"/>
    <s v="29-05-2026 to 04-06-2026"/>
    <s v="Gomukh Gold 50KG"/>
    <s v="200100030003"/>
    <x v="7"/>
    <s v="Bero"/>
    <x v="5"/>
    <s v="Itki"/>
    <s v="Daya Society"/>
    <n v="10"/>
    <n v="1250"/>
    <n v="12500"/>
    <n v="0"/>
    <n v="12500"/>
    <n v="10"/>
    <n v="12500"/>
    <m/>
  </r>
  <r>
    <d v="2026-06-07T09:22:42"/>
    <s v="Satendra kumar"/>
    <d v="2026-06-07T00:00:00"/>
    <s v="29-05-2026 to 04-06-2026"/>
    <s v="Gomukh Gold 50KG"/>
    <s v="200100080059"/>
    <x v="8"/>
    <s v="Erchoro"/>
    <x v="6"/>
    <s v="Itki"/>
    <s v="Daya Society"/>
    <n v="2"/>
    <n v="1250"/>
    <n v="2500"/>
    <n v="0"/>
    <n v="2500"/>
    <n v="2"/>
    <n v="2500"/>
    <m/>
  </r>
  <r>
    <d v="2026-06-07T09:23:26"/>
    <s v="Satendra kumar"/>
    <d v="2026-06-07T00:00:00"/>
    <s v="29-05-2026 to 04-06-2026"/>
    <s v="Gomukh Gold 50KG"/>
    <s v="200100080035"/>
    <x v="8"/>
    <s v="Erchoro"/>
    <x v="7"/>
    <s v="Itki"/>
    <s v="Daya Society"/>
    <n v="11"/>
    <n v="1250"/>
    <n v="13750"/>
    <n v="0"/>
    <n v="13750"/>
    <n v="11"/>
    <n v="13750"/>
    <m/>
  </r>
  <r>
    <d v="2026-06-07T09:25:04"/>
    <s v="Satendra kumar"/>
    <d v="2026-06-07T00:00:00"/>
    <s v="29-05-2026 to 04-06-2026"/>
    <s v="Gomukh Gold 50KG"/>
    <s v="200100150027"/>
    <x v="9"/>
    <s v="BOREYA"/>
    <x v="8"/>
    <s v="Itki"/>
    <s v="Daya Society"/>
    <n v="2"/>
    <n v="1250"/>
    <n v="2500"/>
    <n v="0"/>
    <n v="2500"/>
    <n v="2"/>
    <n v="2500"/>
    <m/>
  </r>
  <r>
    <d v="2026-06-07T09:38:36"/>
    <s v="Satendra kumar"/>
    <d v="2026-06-07T00:00:00"/>
    <s v="29-05-2026 to 04-06-2026"/>
    <s v="Gomukh Gold 50KG"/>
    <s v="200600080002"/>
    <x v="10"/>
    <s v="ADELHATU"/>
    <x v="0"/>
    <s v="ORMANJHI"/>
    <s v="Daya Society"/>
    <n v="20"/>
    <n v="1250"/>
    <n v="25000"/>
    <n v="0"/>
    <n v="25000"/>
    <n v="20"/>
    <n v="25000"/>
    <m/>
  </r>
  <r>
    <d v="2026-06-07T09:45:29"/>
    <s v="Satendra kumar"/>
    <d v="2026-06-07T00:00:00"/>
    <s v="29-05-2026 to 04-06-2026"/>
    <s v="Gomukh Gold 50KG"/>
    <s v="200600040044"/>
    <x v="1"/>
    <s v="CHUTTU"/>
    <x v="9"/>
    <s v="ORMANJHI"/>
    <s v="Daya Society"/>
    <n v="1"/>
    <n v="1250"/>
    <n v="1250"/>
    <n v="0"/>
    <n v="1250"/>
    <n v="1"/>
    <n v="1250"/>
    <m/>
  </r>
  <r>
    <d v="2026-06-07T13:55:37"/>
    <s v="Vikash"/>
    <d v="2026-06-07T00:00:00"/>
    <s v="29-05-2026 to 04-06-2026"/>
    <s v="Gomukh Gold 50KG"/>
    <s v="200200030002"/>
    <x v="11"/>
    <s v="Bijuliya"/>
    <x v="0"/>
    <s v="Paali"/>
    <s v="Daya Society"/>
    <n v="10"/>
    <n v="1270"/>
    <n v="12700"/>
    <n v="0"/>
    <n v="12700"/>
    <n v="10"/>
    <n v="12700"/>
    <m/>
  </r>
  <r>
    <d v="2026-06-07T14:03:31"/>
    <s v="Vikash"/>
    <d v="2026-06-07T00:00:00"/>
    <s v="29-05-2026 to 04-06-2026"/>
    <s v="Gomukh Gold 50KG"/>
    <s v="200200200038"/>
    <x v="12"/>
    <s v="TIKO TOLI"/>
    <x v="10"/>
    <s v="Paali"/>
    <s v="Daya Society"/>
    <n v="0"/>
    <n v="1270"/>
    <n v="0"/>
    <n v="302"/>
    <n v="302"/>
    <n v="0"/>
    <n v="302"/>
    <m/>
  </r>
  <r>
    <d v="2026-06-07T14:06:31"/>
    <s v="Vikash"/>
    <d v="2026-06-07T00:00:00"/>
    <s v="29-05-2026 to 04-06-2026"/>
    <s v="ONLY DUE ADJUSTMENT"/>
    <s v="200200010005"/>
    <x v="13"/>
    <s v="Paali"/>
    <x v="11"/>
    <s v="Paali"/>
    <s v="Daya Society"/>
    <n v="0"/>
    <n v="0"/>
    <n v="0"/>
    <n v="419"/>
    <n v="419"/>
    <n v="0"/>
    <n v="419"/>
    <m/>
  </r>
  <r>
    <d v="2026-06-07T14:15:16"/>
    <s v="Vikash"/>
    <d v="2026-06-07T00:00:00"/>
    <s v="29-05-2026 to 04-06-2026"/>
    <s v="Gomukh Gold 50KG"/>
    <s v="200500010052"/>
    <x v="14"/>
    <s v="Baski 2"/>
    <x v="12"/>
    <s v="Paali"/>
    <s v="Daya Society"/>
    <n v="1"/>
    <n v="1270"/>
    <n v="1270"/>
    <n v="0"/>
    <n v="1270"/>
    <n v="1"/>
    <n v="1270"/>
    <m/>
  </r>
  <r>
    <d v="2026-06-07T14:15:48"/>
    <s v="Vikash"/>
    <d v="2026-06-07T00:00:00"/>
    <s v="29-05-2026 to 04-06-2026"/>
    <s v="Gomukh Gold 50KG"/>
    <s v="200500010020"/>
    <x v="14"/>
    <s v="Baski 2"/>
    <x v="13"/>
    <s v="Paali"/>
    <s v="Daya Society"/>
    <n v="1"/>
    <n v="1270"/>
    <n v="1270"/>
    <n v="0"/>
    <n v="1270"/>
    <n v="1"/>
    <n v="1270"/>
    <m/>
  </r>
  <r>
    <d v="2026-06-07T14:16:15"/>
    <s v="Vikash"/>
    <d v="2026-06-07T00:00:00"/>
    <s v="29-05-2026 to 04-06-2026"/>
    <s v="Gomukh Gold 50KG"/>
    <s v="200500010030"/>
    <x v="14"/>
    <s v="Baski 2"/>
    <x v="14"/>
    <s v="Paali"/>
    <s v="Daya Society"/>
    <n v="1"/>
    <n v="1270"/>
    <n v="1270"/>
    <n v="0"/>
    <n v="1270"/>
    <n v="1"/>
    <n v="1270"/>
    <m/>
  </r>
  <r>
    <d v="2026-06-07T14:16:40"/>
    <s v="Vikash"/>
    <d v="2026-06-07T00:00:00"/>
    <s v="29-05-2026 to 04-06-2026"/>
    <s v="Gomukh Gold 50KG"/>
    <s v="200500010046"/>
    <x v="14"/>
    <s v="Baski 2"/>
    <x v="15"/>
    <s v="Paali"/>
    <s v="Daya Society"/>
    <n v="1"/>
    <n v="1270"/>
    <n v="1270"/>
    <n v="0"/>
    <n v="1270"/>
    <n v="1"/>
    <n v="1270"/>
    <m/>
  </r>
  <r>
    <d v="2026-06-07T14:17:02"/>
    <s v="Vikash"/>
    <d v="2026-06-07T00:00:00"/>
    <s v="29-05-2026 to 04-06-2026"/>
    <s v="Gomukh Gold 50KG"/>
    <s v="200500010051"/>
    <x v="14"/>
    <s v="Baski 2"/>
    <x v="16"/>
    <s v="Paali"/>
    <s v="Daya Society"/>
    <n v="1"/>
    <n v="1270"/>
    <n v="1270"/>
    <n v="0"/>
    <n v="1270"/>
    <n v="1"/>
    <n v="1270"/>
    <m/>
  </r>
  <r>
    <d v="2026-06-08T09:45:22"/>
    <s v="Vikash"/>
    <d v="2026-06-08T00:00:00"/>
    <s v="29-05-2026 to 04-06-2026"/>
    <s v="Gomukh Gold 50KG"/>
    <s v="200200200023"/>
    <x v="12"/>
    <s v="TIKO TOLI"/>
    <x v="17"/>
    <s v="Paali"/>
    <s v="Daya Society"/>
    <n v="3"/>
    <n v="1270"/>
    <n v="3810"/>
    <n v="0"/>
    <n v="3810"/>
    <n v="3"/>
    <n v="3810"/>
    <m/>
  </r>
  <r>
    <d v="2026-06-08T09:45:49"/>
    <s v="Vikash"/>
    <d v="2026-06-08T00:00:00"/>
    <s v="29-05-2026 to 04-06-2026"/>
    <s v="Gomukh Gold 50KG"/>
    <s v="200200200041"/>
    <x v="12"/>
    <s v="TIKO TOLI"/>
    <x v="18"/>
    <s v="Paali"/>
    <s v="Daya Society"/>
    <n v="1"/>
    <n v="1270"/>
    <n v="1270"/>
    <n v="0"/>
    <n v="1270"/>
    <n v="1"/>
    <n v="1270"/>
    <m/>
  </r>
  <r>
    <d v="2026-06-08T09:46:12"/>
    <s v="Vikash"/>
    <d v="2026-06-08T00:00:00"/>
    <s v="29-05-2026 to 04-06-2026"/>
    <s v="Gomukh Gold 50KG"/>
    <s v="200200200048"/>
    <x v="12"/>
    <s v="TIKO TOLI"/>
    <x v="1"/>
    <s v="Paali"/>
    <s v="Daya Society"/>
    <n v="1"/>
    <n v="1270"/>
    <n v="1270"/>
    <n v="0"/>
    <n v="1270"/>
    <n v="1"/>
    <n v="12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C02B6-8207-4BA7-AD6F-9FCA63E7A4D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1" firstHeaderRow="2" firstDataRow="2" firstDataCol="2"/>
  <pivotFields count="19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7"/>
        <item x="8"/>
        <item x="9"/>
        <item x="4"/>
        <item x="13"/>
        <item x="11"/>
        <item x="12"/>
        <item x="14"/>
        <item x="0"/>
        <item x="1"/>
        <item x="10"/>
        <item x="3"/>
        <item x="5"/>
        <item x="2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0">
        <item x="0"/>
        <item x="5"/>
        <item x="11"/>
        <item x="4"/>
        <item x="13"/>
        <item x="2"/>
        <item x="17"/>
        <item x="3"/>
        <item x="8"/>
        <item x="14"/>
        <item x="7"/>
        <item x="10"/>
        <item x="18"/>
        <item x="9"/>
        <item x="15"/>
        <item x="1"/>
        <item x="16"/>
        <item x="1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27">
    <i>
      <x/>
      <x v="1"/>
    </i>
    <i>
      <x v="1"/>
      <x v="10"/>
    </i>
    <i r="1">
      <x v="18"/>
    </i>
    <i>
      <x v="2"/>
      <x v="8"/>
    </i>
    <i>
      <x v="3"/>
      <x v="3"/>
    </i>
    <i>
      <x v="4"/>
      <x v="2"/>
    </i>
    <i>
      <x v="5"/>
      <x/>
    </i>
    <i>
      <x v="6"/>
      <x v="6"/>
    </i>
    <i r="1">
      <x v="11"/>
    </i>
    <i r="1">
      <x v="12"/>
    </i>
    <i r="1">
      <x v="15"/>
    </i>
    <i>
      <x v="7"/>
      <x v="4"/>
    </i>
    <i r="1">
      <x v="9"/>
    </i>
    <i r="1">
      <x v="14"/>
    </i>
    <i r="1">
      <x v="16"/>
    </i>
    <i r="1">
      <x v="17"/>
    </i>
    <i>
      <x v="8"/>
      <x/>
    </i>
    <i>
      <x v="9"/>
      <x v="13"/>
    </i>
    <i r="1">
      <x v="15"/>
    </i>
    <i>
      <x v="10"/>
      <x/>
    </i>
    <i>
      <x v="11"/>
      <x/>
    </i>
    <i r="1">
      <x v="5"/>
    </i>
    <i r="1">
      <x v="7"/>
    </i>
    <i>
      <x v="12"/>
      <x v="1"/>
    </i>
    <i>
      <x v="13"/>
      <x/>
    </i>
    <i>
      <x v="14"/>
      <x/>
    </i>
    <i t="grand">
      <x/>
    </i>
  </rowItems>
  <colItems count="1">
    <i/>
  </colItems>
  <dataFields count="1">
    <dataField name="Sum of Final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DF89C-31A0-4D99-B1EB-B023F98E62E5}" name="Table7" displayName="Table7" ref="A1:S27" headerRowDxfId="22" totalsRowDxfId="19" headerRowBorderDxfId="21" tableBorderDxfId="20">
  <tableColumns count="19">
    <tableColumn id="1" xr3:uid="{0C9CCDD7-7ECD-465B-8278-351BA5F88837}" name="Timestamp" dataDxfId="18"/>
    <tableColumn id="2" xr3:uid="{A613E74A-C9FB-4459-8F03-789618B4E959}" name="User Name" dataDxfId="17"/>
    <tableColumn id="3" xr3:uid="{A2E61056-3FA8-4A93-9762-1EBB75779353}" name="Order Date" dataDxfId="16"/>
    <tableColumn id="4" xr3:uid="{86024DC3-A431-4F42-8DC5-EB7B22635113}" name="Deduction Cycle" dataDxfId="15"/>
    <tableColumn id="5" xr3:uid="{D031C87C-7BFD-4EDB-9490-70155685982C}" name="Item Name" dataDxfId="14"/>
    <tableColumn id="6" xr3:uid="{49EE81D8-4BE0-4C57-A83A-6C483DD5FC26}" name="ID" dataDxfId="13"/>
    <tableColumn id="7" xr3:uid="{9FBE0192-ECFA-4E0D-B6CD-036E2A2B7D4A}" name="MPG Code" dataDxfId="12"/>
    <tableColumn id="8" xr3:uid="{2553B226-EF2A-4CB9-8925-2A55CC9CA15C}" name="MPG Name" dataDxfId="11"/>
    <tableColumn id="9" xr3:uid="{4280807A-8C16-4FB6-AC64-D730C47C21B0}" name="Farmer code" dataDxfId="10"/>
    <tableColumn id="10" xr3:uid="{7ACA2DC5-97B8-4232-81CA-718F8D054D00}" name="BMC Name" dataDxfId="9"/>
    <tableColumn id="11" xr3:uid="{E12B6BE6-4FB3-447F-B821-266EAAEE07E6}" name="CSP" dataDxfId="8"/>
    <tableColumn id="12" xr3:uid="{B6582C29-6547-4BCB-A0A7-A9C7BB1D4EB6}" name="Qty" dataDxfId="7"/>
    <tableColumn id="13" xr3:uid="{5CE5FDE6-3D08-47D2-BFC8-3636A708E170}" name="Rate" dataDxfId="6"/>
    <tableColumn id="14" xr3:uid="{E4E2088C-346D-4ED0-838D-CD5972A0B9A4}" name="Total Amount" dataDxfId="5"/>
    <tableColumn id="15" xr3:uid="{4627A458-96FE-480D-890A-A96250FAAE84}" name="Other Due Amt" dataDxfId="4"/>
    <tableColumn id="16" xr3:uid="{4046FD8B-0F51-4C40-B355-5D0E101820D7}" name="Total Amount (Proposed)" dataDxfId="3"/>
    <tableColumn id="17" xr3:uid="{296BA6A1-B765-4C9E-B047-885F3F9D9FBE}" name="Final Qty" dataDxfId="2"/>
    <tableColumn id="18" xr3:uid="{A50A3852-9EE6-4EFC-A939-3F0D18B130C0}" name="Final Amount" dataDxfId="1"/>
    <tableColumn id="19" xr3:uid="{B0C0A3B7-36C6-410D-883E-B271928FC66E}" name="Milk Amonnt" dataDxfId="0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A3B0-D15D-4388-BBE9-AA2ADF1A8A14}">
  <dimension ref="A3:L38"/>
  <sheetViews>
    <sheetView tabSelected="1" topLeftCell="A8" workbookViewId="0">
      <selection activeCell="Q24" sqref="Q24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7" bestFit="1" customWidth="1"/>
    <col min="7" max="7" width="19.42578125" bestFit="1" customWidth="1"/>
    <col min="12" max="12" width="10.140625" bestFit="1" customWidth="1"/>
  </cols>
  <sheetData>
    <row r="3" spans="1:12" x14ac:dyDescent="0.25">
      <c r="A3" s="24" t="s">
        <v>90</v>
      </c>
    </row>
    <row r="4" spans="1:12" x14ac:dyDescent="0.25">
      <c r="A4" s="24" t="s">
        <v>6</v>
      </c>
      <c r="B4" s="24" t="s">
        <v>8</v>
      </c>
      <c r="C4" t="s">
        <v>91</v>
      </c>
      <c r="G4" s="25" t="s">
        <v>5</v>
      </c>
      <c r="H4" s="25" t="s">
        <v>6</v>
      </c>
      <c r="I4" s="25" t="s">
        <v>8</v>
      </c>
      <c r="J4" s="25" t="s">
        <v>91</v>
      </c>
      <c r="K4" s="25" t="s">
        <v>93</v>
      </c>
      <c r="L4" s="25" t="s">
        <v>92</v>
      </c>
    </row>
    <row r="5" spans="1:12" x14ac:dyDescent="0.25">
      <c r="A5">
        <v>20010003</v>
      </c>
      <c r="B5" t="s">
        <v>45</v>
      </c>
      <c r="C5">
        <v>12500</v>
      </c>
      <c r="G5" t="str">
        <f>CONCATENATE(H5,I5)</f>
        <v>200100030003</v>
      </c>
      <c r="H5" s="27">
        <v>20010003</v>
      </c>
      <c r="I5" t="s">
        <v>45</v>
      </c>
      <c r="J5">
        <v>12500</v>
      </c>
      <c r="K5" t="str">
        <f>VLOOKUP(H5,'[1]MPG Payment'!$B$3:$E$138,4,0)</f>
        <v>Direct</v>
      </c>
      <c r="L5">
        <v>12500</v>
      </c>
    </row>
    <row r="6" spans="1:12" x14ac:dyDescent="0.25">
      <c r="A6">
        <v>20010008</v>
      </c>
      <c r="B6" t="s">
        <v>55</v>
      </c>
      <c r="C6">
        <v>13750</v>
      </c>
      <c r="G6" t="str">
        <f t="shared" ref="G6:G30" si="0">CONCATENATE(H6,I6)</f>
        <v>200100080035</v>
      </c>
      <c r="H6" s="28">
        <v>20010008</v>
      </c>
      <c r="I6" t="s">
        <v>55</v>
      </c>
      <c r="J6">
        <v>13750</v>
      </c>
      <c r="K6" t="str">
        <f>VLOOKUP(H6,'[1]MPG Payment'!$B$3:$E$138,4,0)</f>
        <v>Direct</v>
      </c>
      <c r="L6">
        <v>13750</v>
      </c>
    </row>
    <row r="7" spans="1:12" x14ac:dyDescent="0.25">
      <c r="A7">
        <v>20010008</v>
      </c>
      <c r="B7" t="s">
        <v>53</v>
      </c>
      <c r="C7">
        <v>2500</v>
      </c>
      <c r="G7" t="str">
        <f t="shared" si="0"/>
        <v>200100080059</v>
      </c>
      <c r="H7" s="27">
        <v>20010008</v>
      </c>
      <c r="I7" t="s">
        <v>53</v>
      </c>
      <c r="J7">
        <v>2500</v>
      </c>
      <c r="K7" t="str">
        <f>VLOOKUP(H7,'[1]MPG Payment'!$B$3:$E$138,4,0)</f>
        <v>Direct</v>
      </c>
      <c r="L7">
        <v>2500</v>
      </c>
    </row>
    <row r="8" spans="1:12" x14ac:dyDescent="0.25">
      <c r="A8">
        <v>20010015</v>
      </c>
      <c r="B8" t="s">
        <v>58</v>
      </c>
      <c r="C8">
        <v>2500</v>
      </c>
      <c r="G8" t="str">
        <f t="shared" si="0"/>
        <v>200100150027</v>
      </c>
      <c r="H8" s="27">
        <v>20010015</v>
      </c>
      <c r="I8" t="s">
        <v>58</v>
      </c>
      <c r="J8">
        <v>2500</v>
      </c>
      <c r="K8" t="str">
        <f>VLOOKUP(H8,'[1]MPG Payment'!$B$3:$E$138,4,0)</f>
        <v>Direct</v>
      </c>
      <c r="L8">
        <v>2500</v>
      </c>
    </row>
    <row r="9" spans="1:12" x14ac:dyDescent="0.25">
      <c r="A9">
        <v>20010054</v>
      </c>
      <c r="B9" t="s">
        <v>42</v>
      </c>
      <c r="C9">
        <v>2540</v>
      </c>
      <c r="G9" t="str">
        <f t="shared" si="0"/>
        <v>200100540012</v>
      </c>
      <c r="H9" s="27">
        <v>20010054</v>
      </c>
      <c r="I9" t="s">
        <v>42</v>
      </c>
      <c r="J9">
        <v>2540</v>
      </c>
      <c r="K9" t="str">
        <f>VLOOKUP(H9,'[1]MPG Payment'!$B$3:$E$138,4,0)</f>
        <v>Direct</v>
      </c>
      <c r="L9">
        <v>2540</v>
      </c>
    </row>
    <row r="10" spans="1:12" x14ac:dyDescent="0.25">
      <c r="A10">
        <v>20020001</v>
      </c>
      <c r="B10" t="s">
        <v>72</v>
      </c>
      <c r="C10">
        <v>419</v>
      </c>
      <c r="G10" t="str">
        <f t="shared" si="0"/>
        <v>200200010005</v>
      </c>
      <c r="H10" s="27">
        <v>20020001</v>
      </c>
      <c r="I10" t="s">
        <v>72</v>
      </c>
      <c r="J10">
        <v>419</v>
      </c>
      <c r="K10" t="str">
        <f>VLOOKUP(H10,'[1]MPG Payment'!$B$3:$E$138,4,0)</f>
        <v>Direct</v>
      </c>
      <c r="L10">
        <v>419</v>
      </c>
    </row>
    <row r="11" spans="1:12" x14ac:dyDescent="0.25">
      <c r="A11">
        <v>20020003</v>
      </c>
      <c r="B11" t="s">
        <v>24</v>
      </c>
      <c r="C11">
        <v>12700</v>
      </c>
      <c r="G11" t="str">
        <f t="shared" si="0"/>
        <v>200200030002</v>
      </c>
      <c r="H11" s="27">
        <v>20020003</v>
      </c>
      <c r="I11" t="s">
        <v>24</v>
      </c>
      <c r="J11">
        <v>12700</v>
      </c>
      <c r="K11" t="str">
        <f>VLOOKUP(H11,'[1]MPG Payment'!$B$3:$E$138,4,0)</f>
        <v>Direct</v>
      </c>
      <c r="L11">
        <v>12700</v>
      </c>
    </row>
    <row r="12" spans="1:12" x14ac:dyDescent="0.25">
      <c r="A12">
        <v>20020020</v>
      </c>
      <c r="B12" t="s">
        <v>85</v>
      </c>
      <c r="C12">
        <v>3810</v>
      </c>
      <c r="G12" t="str">
        <f t="shared" si="0"/>
        <v>200200200023</v>
      </c>
      <c r="H12" s="28">
        <v>20020020</v>
      </c>
      <c r="I12" t="s">
        <v>85</v>
      </c>
      <c r="J12">
        <v>3810</v>
      </c>
      <c r="K12" t="str">
        <f>VLOOKUP(H12,'[1]MPG Payment'!$B$3:$E$138,4,0)</f>
        <v>Direct</v>
      </c>
      <c r="L12">
        <v>3810</v>
      </c>
    </row>
    <row r="13" spans="1:12" x14ac:dyDescent="0.25">
      <c r="A13">
        <v>20020020</v>
      </c>
      <c r="B13" t="s">
        <v>69</v>
      </c>
      <c r="C13">
        <v>302</v>
      </c>
      <c r="G13" t="str">
        <f t="shared" si="0"/>
        <v>200200200038</v>
      </c>
      <c r="H13" s="28">
        <v>20020020</v>
      </c>
      <c r="I13" t="s">
        <v>69</v>
      </c>
      <c r="J13">
        <v>302</v>
      </c>
      <c r="K13" t="str">
        <f>VLOOKUP(H13,'[1]MPG Payment'!$B$3:$E$138,4,0)</f>
        <v>Direct</v>
      </c>
      <c r="L13">
        <v>302</v>
      </c>
    </row>
    <row r="14" spans="1:12" x14ac:dyDescent="0.25">
      <c r="A14">
        <v>20020020</v>
      </c>
      <c r="B14" t="s">
        <v>87</v>
      </c>
      <c r="C14">
        <v>1270</v>
      </c>
      <c r="G14" t="str">
        <f t="shared" si="0"/>
        <v>200200200041</v>
      </c>
      <c r="H14" s="28">
        <v>20020020</v>
      </c>
      <c r="I14" t="s">
        <v>87</v>
      </c>
      <c r="J14">
        <v>1270</v>
      </c>
      <c r="K14" t="str">
        <f>VLOOKUP(H14,'[1]MPG Payment'!$B$3:$E$138,4,0)</f>
        <v>Direct</v>
      </c>
      <c r="L14">
        <v>1270</v>
      </c>
    </row>
    <row r="15" spans="1:12" x14ac:dyDescent="0.25">
      <c r="A15">
        <v>20020020</v>
      </c>
      <c r="B15" t="s">
        <v>29</v>
      </c>
      <c r="C15">
        <v>1270</v>
      </c>
      <c r="G15" t="str">
        <f t="shared" si="0"/>
        <v>200200200048</v>
      </c>
      <c r="H15" s="27">
        <v>20020020</v>
      </c>
      <c r="I15" t="s">
        <v>29</v>
      </c>
      <c r="J15">
        <v>1270</v>
      </c>
      <c r="K15" t="str">
        <f>VLOOKUP(H15,'[1]MPG Payment'!$B$3:$E$138,4,0)</f>
        <v>Direct</v>
      </c>
      <c r="L15">
        <v>785</v>
      </c>
    </row>
    <row r="16" spans="1:12" x14ac:dyDescent="0.25">
      <c r="A16">
        <v>20050001</v>
      </c>
      <c r="B16" t="s">
        <v>77</v>
      </c>
      <c r="C16">
        <v>1270</v>
      </c>
      <c r="G16" t="str">
        <f t="shared" si="0"/>
        <v>200500010020</v>
      </c>
      <c r="H16" s="28">
        <v>20050001</v>
      </c>
      <c r="I16" t="s">
        <v>77</v>
      </c>
      <c r="J16">
        <v>1270</v>
      </c>
      <c r="K16" t="str">
        <f>VLOOKUP(H16,'[1]MPG Payment'!$B$3:$E$138,4,0)</f>
        <v>Direct</v>
      </c>
      <c r="L16">
        <v>1072</v>
      </c>
    </row>
    <row r="17" spans="1:12" x14ac:dyDescent="0.25">
      <c r="A17">
        <v>20050001</v>
      </c>
      <c r="B17" t="s">
        <v>79</v>
      </c>
      <c r="C17">
        <v>1270</v>
      </c>
      <c r="G17" t="str">
        <f t="shared" si="0"/>
        <v>200500010030</v>
      </c>
      <c r="H17" s="28">
        <v>20050001</v>
      </c>
      <c r="I17" t="s">
        <v>79</v>
      </c>
      <c r="J17">
        <v>1270</v>
      </c>
      <c r="K17" t="str">
        <f>VLOOKUP(H17,'[1]MPG Payment'!$B$3:$E$138,4,0)</f>
        <v>Direct</v>
      </c>
      <c r="L17">
        <v>1270</v>
      </c>
    </row>
    <row r="18" spans="1:12" x14ac:dyDescent="0.25">
      <c r="A18">
        <v>20050001</v>
      </c>
      <c r="B18" t="s">
        <v>81</v>
      </c>
      <c r="C18">
        <v>1270</v>
      </c>
      <c r="G18" t="str">
        <f t="shared" si="0"/>
        <v>200500010046</v>
      </c>
      <c r="H18" s="28">
        <v>20050001</v>
      </c>
      <c r="I18" t="s">
        <v>81</v>
      </c>
      <c r="J18">
        <v>1270</v>
      </c>
      <c r="K18" t="str">
        <f>VLOOKUP(H18,'[1]MPG Payment'!$B$3:$E$138,4,0)</f>
        <v>Direct</v>
      </c>
      <c r="L18">
        <v>1270</v>
      </c>
    </row>
    <row r="19" spans="1:12" x14ac:dyDescent="0.25">
      <c r="A19">
        <v>20050001</v>
      </c>
      <c r="B19" t="s">
        <v>83</v>
      </c>
      <c r="C19">
        <v>1270</v>
      </c>
      <c r="G19" t="str">
        <f t="shared" si="0"/>
        <v>200500010051</v>
      </c>
      <c r="H19" s="28">
        <v>20050001</v>
      </c>
      <c r="I19" t="s">
        <v>83</v>
      </c>
      <c r="J19">
        <v>1270</v>
      </c>
      <c r="K19" t="str">
        <f>VLOOKUP(H19,'[1]MPG Payment'!$B$3:$E$138,4,0)</f>
        <v>Direct</v>
      </c>
      <c r="L19">
        <v>1270</v>
      </c>
    </row>
    <row r="20" spans="1:12" x14ac:dyDescent="0.25">
      <c r="A20">
        <v>20050001</v>
      </c>
      <c r="B20" t="s">
        <v>75</v>
      </c>
      <c r="C20">
        <v>1270</v>
      </c>
      <c r="G20" t="str">
        <f t="shared" si="0"/>
        <v>200500010052</v>
      </c>
      <c r="H20" s="27">
        <v>20050001</v>
      </c>
      <c r="I20" t="s">
        <v>75</v>
      </c>
      <c r="J20">
        <v>1270</v>
      </c>
      <c r="K20" t="str">
        <f>VLOOKUP(H20,'[1]MPG Payment'!$B$3:$E$138,4,0)</f>
        <v>Direct</v>
      </c>
      <c r="L20">
        <v>1263</v>
      </c>
    </row>
    <row r="21" spans="1:12" x14ac:dyDescent="0.25">
      <c r="A21">
        <v>20060003</v>
      </c>
      <c r="B21" t="s">
        <v>24</v>
      </c>
      <c r="C21">
        <v>25000</v>
      </c>
      <c r="G21" t="str">
        <f t="shared" si="0"/>
        <v>200600030002</v>
      </c>
      <c r="H21" s="27">
        <v>20060003</v>
      </c>
      <c r="I21" t="s">
        <v>24</v>
      </c>
      <c r="J21">
        <v>25000</v>
      </c>
      <c r="K21" t="str">
        <f>VLOOKUP(H21,'[1]MPG Payment'!$B$3:$E$138,4,0)</f>
        <v>Direct</v>
      </c>
      <c r="L21">
        <v>25000</v>
      </c>
    </row>
    <row r="22" spans="1:12" x14ac:dyDescent="0.25">
      <c r="A22">
        <v>20060004</v>
      </c>
      <c r="B22" t="s">
        <v>62</v>
      </c>
      <c r="C22">
        <v>1250</v>
      </c>
      <c r="G22" t="str">
        <f t="shared" si="0"/>
        <v>200600040044</v>
      </c>
      <c r="H22" s="28">
        <v>20060004</v>
      </c>
      <c r="I22" t="s">
        <v>62</v>
      </c>
      <c r="J22">
        <v>1250</v>
      </c>
      <c r="K22" t="str">
        <f>VLOOKUP(H22,'[1]MPG Payment'!$B$3:$E$138,4,0)</f>
        <v>Direct</v>
      </c>
      <c r="L22">
        <v>1250</v>
      </c>
    </row>
    <row r="23" spans="1:12" x14ac:dyDescent="0.25">
      <c r="A23">
        <v>20060004</v>
      </c>
      <c r="B23" t="s">
        <v>29</v>
      </c>
      <c r="C23">
        <v>7500</v>
      </c>
      <c r="G23" t="str">
        <f t="shared" si="0"/>
        <v>200600040048</v>
      </c>
      <c r="H23" s="27">
        <v>20060004</v>
      </c>
      <c r="I23" t="s">
        <v>29</v>
      </c>
      <c r="J23">
        <v>7500</v>
      </c>
      <c r="K23" t="str">
        <f>VLOOKUP(H23,'[1]MPG Payment'!$B$3:$E$138,4,0)</f>
        <v>Direct</v>
      </c>
      <c r="L23">
        <v>2550</v>
      </c>
    </row>
    <row r="24" spans="1:12" x14ac:dyDescent="0.25">
      <c r="A24">
        <v>20060008</v>
      </c>
      <c r="B24" t="s">
        <v>24</v>
      </c>
      <c r="C24">
        <v>25000</v>
      </c>
      <c r="G24" t="str">
        <f t="shared" si="0"/>
        <v>200600080002</v>
      </c>
      <c r="H24" s="27">
        <v>20060008</v>
      </c>
      <c r="I24" t="s">
        <v>24</v>
      </c>
      <c r="J24">
        <v>25000</v>
      </c>
      <c r="K24" t="str">
        <f>VLOOKUP(H24,'[1]MPG Payment'!$B$3:$E$138,4,0)</f>
        <v>Direct</v>
      </c>
      <c r="L24">
        <v>25000</v>
      </c>
    </row>
    <row r="25" spans="1:12" x14ac:dyDescent="0.25">
      <c r="A25">
        <v>20090015</v>
      </c>
      <c r="B25" t="s">
        <v>24</v>
      </c>
      <c r="C25">
        <v>0</v>
      </c>
      <c r="G25" t="str">
        <f t="shared" si="0"/>
        <v>200900150002</v>
      </c>
      <c r="H25" s="28">
        <v>20090015</v>
      </c>
      <c r="I25" t="s">
        <v>24</v>
      </c>
      <c r="J25">
        <v>0</v>
      </c>
      <c r="K25" t="str">
        <f>VLOOKUP(H25,'[1]MPG Payment'!$B$3:$E$138,4,0)</f>
        <v>Direct</v>
      </c>
      <c r="L25">
        <v>0</v>
      </c>
    </row>
    <row r="26" spans="1:12" x14ac:dyDescent="0.25">
      <c r="A26">
        <v>20090015</v>
      </c>
      <c r="B26" t="s">
        <v>37</v>
      </c>
      <c r="C26">
        <v>1224</v>
      </c>
      <c r="G26" t="str">
        <f t="shared" si="0"/>
        <v>200900150022</v>
      </c>
      <c r="H26" s="28">
        <v>20090015</v>
      </c>
      <c r="I26" t="s">
        <v>37</v>
      </c>
      <c r="J26">
        <v>1224</v>
      </c>
      <c r="K26" t="str">
        <f>VLOOKUP(H26,'[1]MPG Payment'!$B$3:$E$138,4,0)</f>
        <v>Direct</v>
      </c>
      <c r="L26">
        <v>1224</v>
      </c>
    </row>
    <row r="27" spans="1:12" x14ac:dyDescent="0.25">
      <c r="A27">
        <v>20090015</v>
      </c>
      <c r="B27" t="s">
        <v>39</v>
      </c>
      <c r="C27">
        <v>1245</v>
      </c>
      <c r="G27" t="str">
        <f t="shared" si="0"/>
        <v>200900150026</v>
      </c>
      <c r="H27" s="27">
        <v>20090015</v>
      </c>
      <c r="I27" t="s">
        <v>39</v>
      </c>
      <c r="J27">
        <v>1245</v>
      </c>
      <c r="K27" t="str">
        <f>VLOOKUP(H27,'[1]MPG Payment'!$B$3:$E$138,4,0)</f>
        <v>Direct</v>
      </c>
      <c r="L27">
        <v>1245</v>
      </c>
    </row>
    <row r="28" spans="1:12" x14ac:dyDescent="0.25">
      <c r="A28">
        <v>20090017</v>
      </c>
      <c r="B28" t="s">
        <v>45</v>
      </c>
      <c r="C28">
        <v>2540</v>
      </c>
      <c r="G28" t="str">
        <f t="shared" si="0"/>
        <v>200900170003</v>
      </c>
      <c r="H28" s="27">
        <v>20090017</v>
      </c>
      <c r="I28" t="s">
        <v>45</v>
      </c>
      <c r="J28">
        <v>2540</v>
      </c>
      <c r="K28" t="str">
        <f>VLOOKUP(H28,'[1]MPG Payment'!$B$3:$E$138,4,0)</f>
        <v>Direct</v>
      </c>
      <c r="L28">
        <v>2540</v>
      </c>
    </row>
    <row r="29" spans="1:12" x14ac:dyDescent="0.25">
      <c r="A29">
        <v>20090022</v>
      </c>
      <c r="B29" t="s">
        <v>24</v>
      </c>
      <c r="C29">
        <v>635</v>
      </c>
      <c r="G29" t="str">
        <f t="shared" si="0"/>
        <v>200900220002</v>
      </c>
      <c r="H29" s="27">
        <v>20090022</v>
      </c>
      <c r="I29" t="s">
        <v>24</v>
      </c>
      <c r="J29">
        <v>635</v>
      </c>
      <c r="K29" t="str">
        <f>VLOOKUP(H29,'[1]MPG Payment'!$B$3:$E$138,4,0)</f>
        <v>Direct</v>
      </c>
      <c r="L29">
        <v>635</v>
      </c>
    </row>
    <row r="30" spans="1:12" x14ac:dyDescent="0.25">
      <c r="A30">
        <v>20090025</v>
      </c>
      <c r="B30" t="s">
        <v>24</v>
      </c>
      <c r="C30">
        <v>2540</v>
      </c>
      <c r="G30" t="str">
        <f t="shared" si="0"/>
        <v>200900250002</v>
      </c>
      <c r="H30" s="27">
        <v>20090025</v>
      </c>
      <c r="I30" t="s">
        <v>24</v>
      </c>
      <c r="J30">
        <v>2540</v>
      </c>
      <c r="K30" t="str">
        <f>VLOOKUP(H30,'[1]MPG Payment'!$B$3:$E$138,4,0)</f>
        <v>Indirect</v>
      </c>
      <c r="L30">
        <v>2540</v>
      </c>
    </row>
    <row r="31" spans="1:12" x14ac:dyDescent="0.25">
      <c r="A31" t="s">
        <v>89</v>
      </c>
      <c r="C31">
        <v>126845</v>
      </c>
      <c r="G31" s="26" t="s">
        <v>96</v>
      </c>
      <c r="H31" s="26"/>
      <c r="I31" s="26"/>
      <c r="J31" s="26">
        <v>126845</v>
      </c>
      <c r="K31" s="26"/>
      <c r="L31" s="26">
        <f>SUM(L5:L30)</f>
        <v>121205</v>
      </c>
    </row>
    <row r="33" spans="7:12" x14ac:dyDescent="0.25">
      <c r="G33" t="s">
        <v>94</v>
      </c>
      <c r="H33">
        <v>20020025</v>
      </c>
      <c r="K33" t="s">
        <v>95</v>
      </c>
      <c r="L33">
        <v>35</v>
      </c>
    </row>
    <row r="34" spans="7:12" x14ac:dyDescent="0.25">
      <c r="G34" t="s">
        <v>94</v>
      </c>
      <c r="H34">
        <v>20060001</v>
      </c>
      <c r="K34" t="s">
        <v>95</v>
      </c>
      <c r="L34">
        <v>7500</v>
      </c>
    </row>
    <row r="35" spans="7:12" x14ac:dyDescent="0.25">
      <c r="G35" t="s">
        <v>94</v>
      </c>
      <c r="H35">
        <v>20060004</v>
      </c>
      <c r="K35" t="s">
        <v>95</v>
      </c>
      <c r="L35">
        <v>2450</v>
      </c>
    </row>
    <row r="36" spans="7:12" x14ac:dyDescent="0.25">
      <c r="G36" s="26" t="s">
        <v>97</v>
      </c>
      <c r="H36" s="26"/>
      <c r="I36" s="26"/>
      <c r="J36" s="26"/>
      <c r="K36" s="26"/>
      <c r="L36" s="26">
        <f>SUM(L33:L35)</f>
        <v>9985</v>
      </c>
    </row>
    <row r="38" spans="7:12" x14ac:dyDescent="0.25">
      <c r="G38" s="26" t="s">
        <v>98</v>
      </c>
      <c r="H38" s="26"/>
      <c r="I38" s="26"/>
      <c r="J38" s="26"/>
      <c r="K38" s="26"/>
      <c r="L38" s="26">
        <f>L31+L36</f>
        <v>131190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9B36-2F2A-44DA-A7D1-94ABEF9AC21A}">
  <dimension ref="A1:S36"/>
  <sheetViews>
    <sheetView workbookViewId="0">
      <selection activeCell="R26" sqref="R26"/>
    </sheetView>
  </sheetViews>
  <sheetFormatPr defaultRowHeight="15" x14ac:dyDescent="0.25"/>
  <cols>
    <col min="1" max="1" width="16.85546875" bestFit="1" customWidth="1"/>
    <col min="2" max="2" width="14.42578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2.42578125" bestFit="1" customWidth="1"/>
    <col min="10" max="10" width="10.5703125" bestFit="1" customWidth="1"/>
    <col min="11" max="11" width="11.7109375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x14ac:dyDescent="0.25">
      <c r="A2" s="4">
        <v>46180.378468379626</v>
      </c>
      <c r="B2" s="5" t="s">
        <v>19</v>
      </c>
      <c r="C2" s="6">
        <v>46180</v>
      </c>
      <c r="D2" s="5" t="s">
        <v>20</v>
      </c>
      <c r="E2" s="5" t="s">
        <v>21</v>
      </c>
      <c r="F2" s="7" t="s">
        <v>22</v>
      </c>
      <c r="G2" s="8">
        <v>20060003</v>
      </c>
      <c r="H2" s="5" t="s">
        <v>23</v>
      </c>
      <c r="I2" s="9" t="s">
        <v>24</v>
      </c>
      <c r="J2" s="5" t="s">
        <v>25</v>
      </c>
      <c r="K2" s="5" t="s">
        <v>26</v>
      </c>
      <c r="L2" s="8">
        <v>20</v>
      </c>
      <c r="M2" s="8">
        <v>1250</v>
      </c>
      <c r="N2" s="8">
        <v>25000</v>
      </c>
      <c r="O2" s="8">
        <v>0</v>
      </c>
      <c r="P2" s="8">
        <v>25000</v>
      </c>
      <c r="Q2" s="8">
        <v>20</v>
      </c>
      <c r="R2" s="8">
        <v>25000</v>
      </c>
      <c r="S2" s="10"/>
    </row>
    <row r="3" spans="1:19" x14ac:dyDescent="0.25">
      <c r="A3" s="11">
        <v>46180.38198056713</v>
      </c>
      <c r="B3" s="12" t="s">
        <v>19</v>
      </c>
      <c r="C3" s="13">
        <v>46180</v>
      </c>
      <c r="D3" s="5" t="s">
        <v>20</v>
      </c>
      <c r="E3" s="12" t="s">
        <v>21</v>
      </c>
      <c r="F3" s="14" t="s">
        <v>27</v>
      </c>
      <c r="G3" s="15">
        <v>20060004</v>
      </c>
      <c r="H3" s="12" t="s">
        <v>28</v>
      </c>
      <c r="I3" s="16" t="s">
        <v>29</v>
      </c>
      <c r="J3" s="12" t="s">
        <v>25</v>
      </c>
      <c r="K3" s="12" t="s">
        <v>26</v>
      </c>
      <c r="L3" s="15">
        <v>6</v>
      </c>
      <c r="M3" s="15">
        <v>1250</v>
      </c>
      <c r="N3" s="15">
        <v>7500</v>
      </c>
      <c r="O3" s="15">
        <v>0</v>
      </c>
      <c r="P3" s="15">
        <v>7500</v>
      </c>
      <c r="Q3" s="15">
        <v>6</v>
      </c>
      <c r="R3" s="15">
        <v>7500</v>
      </c>
      <c r="S3" s="17"/>
    </row>
    <row r="4" spans="1:19" x14ac:dyDescent="0.25">
      <c r="A4" s="4">
        <v>46180.382263171297</v>
      </c>
      <c r="B4" s="5" t="s">
        <v>30</v>
      </c>
      <c r="C4" s="6">
        <v>46180</v>
      </c>
      <c r="D4" s="5" t="s">
        <v>20</v>
      </c>
      <c r="E4" s="5" t="s">
        <v>21</v>
      </c>
      <c r="F4" s="7" t="s">
        <v>31</v>
      </c>
      <c r="G4" s="8">
        <v>20090022</v>
      </c>
      <c r="H4" s="5" t="s">
        <v>32</v>
      </c>
      <c r="I4" s="9" t="s">
        <v>24</v>
      </c>
      <c r="J4" s="5" t="s">
        <v>33</v>
      </c>
      <c r="K4" s="5" t="s">
        <v>33</v>
      </c>
      <c r="L4" s="8">
        <v>1</v>
      </c>
      <c r="M4" s="8">
        <v>635</v>
      </c>
      <c r="N4" s="8">
        <v>635</v>
      </c>
      <c r="O4" s="8">
        <v>0</v>
      </c>
      <c r="P4" s="8">
        <v>635</v>
      </c>
      <c r="Q4" s="8">
        <v>1</v>
      </c>
      <c r="R4" s="8">
        <v>635</v>
      </c>
      <c r="S4" s="10"/>
    </row>
    <row r="5" spans="1:19" x14ac:dyDescent="0.25">
      <c r="A5" s="11">
        <v>46180.38274674768</v>
      </c>
      <c r="B5" s="12" t="s">
        <v>30</v>
      </c>
      <c r="C5" s="13">
        <v>46180</v>
      </c>
      <c r="D5" s="5" t="s">
        <v>20</v>
      </c>
      <c r="E5" s="12" t="s">
        <v>21</v>
      </c>
      <c r="F5" s="14" t="s">
        <v>34</v>
      </c>
      <c r="G5" s="15">
        <v>20090015</v>
      </c>
      <c r="H5" s="12" t="s">
        <v>35</v>
      </c>
      <c r="I5" s="16" t="s">
        <v>24</v>
      </c>
      <c r="J5" s="12" t="s">
        <v>33</v>
      </c>
      <c r="K5" s="12" t="s">
        <v>33</v>
      </c>
      <c r="L5" s="15">
        <v>0</v>
      </c>
      <c r="M5" s="15">
        <v>80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7"/>
    </row>
    <row r="6" spans="1:19" x14ac:dyDescent="0.25">
      <c r="A6" s="4">
        <v>46180.383898935186</v>
      </c>
      <c r="B6" s="5" t="s">
        <v>30</v>
      </c>
      <c r="C6" s="6">
        <v>46180</v>
      </c>
      <c r="D6" s="5" t="s">
        <v>20</v>
      </c>
      <c r="E6" s="5" t="s">
        <v>21</v>
      </c>
      <c r="F6" s="7" t="s">
        <v>36</v>
      </c>
      <c r="G6" s="8">
        <v>20090015</v>
      </c>
      <c r="H6" s="5" t="s">
        <v>35</v>
      </c>
      <c r="I6" s="9" t="s">
        <v>37</v>
      </c>
      <c r="J6" s="5" t="s">
        <v>33</v>
      </c>
      <c r="K6" s="5" t="s">
        <v>26</v>
      </c>
      <c r="L6" s="8">
        <v>1</v>
      </c>
      <c r="M6" s="8">
        <v>1224</v>
      </c>
      <c r="N6" s="8">
        <v>1224</v>
      </c>
      <c r="O6" s="8">
        <v>0</v>
      </c>
      <c r="P6" s="8">
        <v>1224</v>
      </c>
      <c r="Q6" s="8">
        <v>1</v>
      </c>
      <c r="R6" s="8">
        <v>1224</v>
      </c>
      <c r="S6" s="10"/>
    </row>
    <row r="7" spans="1:19" x14ac:dyDescent="0.25">
      <c r="A7" s="11">
        <v>46180.384389143517</v>
      </c>
      <c r="B7" s="12" t="s">
        <v>30</v>
      </c>
      <c r="C7" s="13">
        <v>46180</v>
      </c>
      <c r="D7" s="5" t="s">
        <v>20</v>
      </c>
      <c r="E7" s="12" t="s">
        <v>21</v>
      </c>
      <c r="F7" s="14" t="s">
        <v>38</v>
      </c>
      <c r="G7" s="15">
        <v>20090015</v>
      </c>
      <c r="H7" s="12" t="s">
        <v>35</v>
      </c>
      <c r="I7" s="16" t="s">
        <v>39</v>
      </c>
      <c r="J7" s="12" t="s">
        <v>33</v>
      </c>
      <c r="K7" s="12" t="s">
        <v>26</v>
      </c>
      <c r="L7" s="15">
        <v>1</v>
      </c>
      <c r="M7" s="15">
        <v>1245</v>
      </c>
      <c r="N7" s="15">
        <v>1245</v>
      </c>
      <c r="O7" s="15">
        <v>0</v>
      </c>
      <c r="P7" s="15">
        <v>1245</v>
      </c>
      <c r="Q7" s="15">
        <v>1</v>
      </c>
      <c r="R7" s="15">
        <v>1245</v>
      </c>
      <c r="S7" s="17"/>
    </row>
    <row r="8" spans="1:19" x14ac:dyDescent="0.25">
      <c r="A8" s="4">
        <v>46180.386427708334</v>
      </c>
      <c r="B8" s="5" t="s">
        <v>30</v>
      </c>
      <c r="C8" s="6">
        <v>46180</v>
      </c>
      <c r="D8" s="5" t="s">
        <v>20</v>
      </c>
      <c r="E8" s="5" t="s">
        <v>21</v>
      </c>
      <c r="F8" s="7" t="s">
        <v>40</v>
      </c>
      <c r="G8" s="8">
        <v>20010054</v>
      </c>
      <c r="H8" s="5" t="s">
        <v>41</v>
      </c>
      <c r="I8" s="9" t="s">
        <v>42</v>
      </c>
      <c r="J8" s="5" t="s">
        <v>33</v>
      </c>
      <c r="K8" s="5" t="s">
        <v>26</v>
      </c>
      <c r="L8" s="8">
        <v>2</v>
      </c>
      <c r="M8" s="8">
        <v>1270</v>
      </c>
      <c r="N8" s="8">
        <v>2540</v>
      </c>
      <c r="O8" s="8">
        <v>0</v>
      </c>
      <c r="P8" s="8">
        <v>2540</v>
      </c>
      <c r="Q8" s="8">
        <v>2</v>
      </c>
      <c r="R8" s="8">
        <v>2540</v>
      </c>
      <c r="S8" s="10"/>
    </row>
    <row r="9" spans="1:19" x14ac:dyDescent="0.25">
      <c r="A9" s="11">
        <v>46180.386872754629</v>
      </c>
      <c r="B9" s="12" t="s">
        <v>30</v>
      </c>
      <c r="C9" s="13">
        <v>46180</v>
      </c>
      <c r="D9" s="5" t="s">
        <v>20</v>
      </c>
      <c r="E9" s="12" t="s">
        <v>21</v>
      </c>
      <c r="F9" s="14" t="s">
        <v>43</v>
      </c>
      <c r="G9" s="15">
        <v>20090017</v>
      </c>
      <c r="H9" s="12" t="s">
        <v>44</v>
      </c>
      <c r="I9" s="16" t="s">
        <v>45</v>
      </c>
      <c r="J9" s="12" t="s">
        <v>33</v>
      </c>
      <c r="K9" s="12" t="s">
        <v>26</v>
      </c>
      <c r="L9" s="15">
        <v>2</v>
      </c>
      <c r="M9" s="15">
        <v>1270</v>
      </c>
      <c r="N9" s="15">
        <v>2540</v>
      </c>
      <c r="O9" s="15">
        <v>0</v>
      </c>
      <c r="P9" s="15">
        <v>2540</v>
      </c>
      <c r="Q9" s="15">
        <v>2</v>
      </c>
      <c r="R9" s="15">
        <v>2540</v>
      </c>
      <c r="S9" s="17"/>
    </row>
    <row r="10" spans="1:19" x14ac:dyDescent="0.25">
      <c r="A10" s="11">
        <v>46180.387570069448</v>
      </c>
      <c r="B10" s="12" t="s">
        <v>30</v>
      </c>
      <c r="C10" s="13">
        <v>46180</v>
      </c>
      <c r="D10" s="5" t="s">
        <v>20</v>
      </c>
      <c r="E10" s="12" t="s">
        <v>21</v>
      </c>
      <c r="F10" s="14" t="s">
        <v>46</v>
      </c>
      <c r="G10" s="15">
        <v>20090025</v>
      </c>
      <c r="H10" s="12" t="s">
        <v>47</v>
      </c>
      <c r="I10" s="16" t="s">
        <v>24</v>
      </c>
      <c r="J10" s="12" t="s">
        <v>33</v>
      </c>
      <c r="K10" s="12" t="s">
        <v>26</v>
      </c>
      <c r="L10" s="15">
        <v>2</v>
      </c>
      <c r="M10" s="15">
        <v>1270</v>
      </c>
      <c r="N10" s="15">
        <v>2540</v>
      </c>
      <c r="O10" s="15">
        <v>0</v>
      </c>
      <c r="P10" s="15">
        <v>2540</v>
      </c>
      <c r="Q10" s="15">
        <v>2</v>
      </c>
      <c r="R10" s="15">
        <v>2540</v>
      </c>
      <c r="S10" s="17"/>
    </row>
    <row r="11" spans="1:19" x14ac:dyDescent="0.25">
      <c r="A11" s="4">
        <v>46180.388047731481</v>
      </c>
      <c r="B11" s="5" t="s">
        <v>19</v>
      </c>
      <c r="C11" s="6">
        <v>46180</v>
      </c>
      <c r="D11" s="5" t="s">
        <v>20</v>
      </c>
      <c r="E11" s="5" t="s">
        <v>21</v>
      </c>
      <c r="F11" s="7" t="s">
        <v>48</v>
      </c>
      <c r="G11" s="8">
        <v>20010003</v>
      </c>
      <c r="H11" s="5" t="s">
        <v>49</v>
      </c>
      <c r="I11" s="9" t="s">
        <v>45</v>
      </c>
      <c r="J11" s="5" t="s">
        <v>50</v>
      </c>
      <c r="K11" s="5" t="s">
        <v>26</v>
      </c>
      <c r="L11" s="8">
        <v>10</v>
      </c>
      <c r="M11" s="8">
        <v>1250</v>
      </c>
      <c r="N11" s="8">
        <v>12500</v>
      </c>
      <c r="O11" s="8">
        <v>0</v>
      </c>
      <c r="P11" s="8">
        <v>12500</v>
      </c>
      <c r="Q11" s="8">
        <v>10</v>
      </c>
      <c r="R11" s="8">
        <v>12500</v>
      </c>
      <c r="S11" s="10"/>
    </row>
    <row r="12" spans="1:19" x14ac:dyDescent="0.25">
      <c r="A12" s="11">
        <v>46180.390765115742</v>
      </c>
      <c r="B12" s="12" t="s">
        <v>19</v>
      </c>
      <c r="C12" s="13">
        <v>46180</v>
      </c>
      <c r="D12" s="5" t="s">
        <v>20</v>
      </c>
      <c r="E12" s="12" t="s">
        <v>21</v>
      </c>
      <c r="F12" s="14" t="s">
        <v>51</v>
      </c>
      <c r="G12" s="15">
        <v>20010008</v>
      </c>
      <c r="H12" s="12" t="s">
        <v>52</v>
      </c>
      <c r="I12" s="16" t="s">
        <v>53</v>
      </c>
      <c r="J12" s="12" t="s">
        <v>50</v>
      </c>
      <c r="K12" s="12" t="s">
        <v>26</v>
      </c>
      <c r="L12" s="15">
        <v>2</v>
      </c>
      <c r="M12" s="15">
        <v>1250</v>
      </c>
      <c r="N12" s="15">
        <v>2500</v>
      </c>
      <c r="O12" s="15">
        <v>0</v>
      </c>
      <c r="P12" s="15">
        <v>2500</v>
      </c>
      <c r="Q12" s="15">
        <v>2</v>
      </c>
      <c r="R12" s="15">
        <v>2500</v>
      </c>
      <c r="S12" s="17"/>
    </row>
    <row r="13" spans="1:19" x14ac:dyDescent="0.25">
      <c r="A13" s="4">
        <v>46180.391270763888</v>
      </c>
      <c r="B13" s="5" t="s">
        <v>19</v>
      </c>
      <c r="C13" s="6">
        <v>46180</v>
      </c>
      <c r="D13" s="5" t="s">
        <v>20</v>
      </c>
      <c r="E13" s="5" t="s">
        <v>21</v>
      </c>
      <c r="F13" s="7" t="s">
        <v>54</v>
      </c>
      <c r="G13" s="8">
        <v>20010008</v>
      </c>
      <c r="H13" s="5" t="s">
        <v>52</v>
      </c>
      <c r="I13" s="9" t="s">
        <v>55</v>
      </c>
      <c r="J13" s="5" t="s">
        <v>50</v>
      </c>
      <c r="K13" s="5" t="s">
        <v>26</v>
      </c>
      <c r="L13" s="8">
        <v>11</v>
      </c>
      <c r="M13" s="8">
        <v>1250</v>
      </c>
      <c r="N13" s="8">
        <v>13750</v>
      </c>
      <c r="O13" s="8">
        <v>0</v>
      </c>
      <c r="P13" s="8">
        <v>13750</v>
      </c>
      <c r="Q13" s="8">
        <v>11</v>
      </c>
      <c r="R13" s="8">
        <v>13750</v>
      </c>
      <c r="S13" s="10"/>
    </row>
    <row r="14" spans="1:19" x14ac:dyDescent="0.25">
      <c r="A14" s="11">
        <v>46180.392403310187</v>
      </c>
      <c r="B14" s="12" t="s">
        <v>19</v>
      </c>
      <c r="C14" s="13">
        <v>46180</v>
      </c>
      <c r="D14" s="5" t="s">
        <v>20</v>
      </c>
      <c r="E14" s="12" t="s">
        <v>21</v>
      </c>
      <c r="F14" s="14" t="s">
        <v>56</v>
      </c>
      <c r="G14" s="15">
        <v>20010015</v>
      </c>
      <c r="H14" s="12" t="s">
        <v>57</v>
      </c>
      <c r="I14" s="16" t="s">
        <v>58</v>
      </c>
      <c r="J14" s="12" t="s">
        <v>50</v>
      </c>
      <c r="K14" s="12" t="s">
        <v>26</v>
      </c>
      <c r="L14" s="15">
        <v>2</v>
      </c>
      <c r="M14" s="15">
        <v>1250</v>
      </c>
      <c r="N14" s="15">
        <v>2500</v>
      </c>
      <c r="O14" s="15">
        <v>0</v>
      </c>
      <c r="P14" s="15">
        <v>2500</v>
      </c>
      <c r="Q14" s="15">
        <v>2</v>
      </c>
      <c r="R14" s="15">
        <v>2500</v>
      </c>
      <c r="S14" s="17"/>
    </row>
    <row r="15" spans="1:19" x14ac:dyDescent="0.25">
      <c r="A15" s="4">
        <v>46180.401804525463</v>
      </c>
      <c r="B15" s="5" t="s">
        <v>19</v>
      </c>
      <c r="C15" s="6">
        <v>46180</v>
      </c>
      <c r="D15" s="5" t="s">
        <v>20</v>
      </c>
      <c r="E15" s="5" t="s">
        <v>21</v>
      </c>
      <c r="F15" s="7" t="s">
        <v>59</v>
      </c>
      <c r="G15" s="8">
        <v>20060008</v>
      </c>
      <c r="H15" s="5" t="s">
        <v>60</v>
      </c>
      <c r="I15" s="9" t="s">
        <v>24</v>
      </c>
      <c r="J15" s="5" t="s">
        <v>25</v>
      </c>
      <c r="K15" s="5" t="s">
        <v>26</v>
      </c>
      <c r="L15" s="8">
        <v>20</v>
      </c>
      <c r="M15" s="8">
        <v>1250</v>
      </c>
      <c r="N15" s="8">
        <v>25000</v>
      </c>
      <c r="O15" s="8">
        <v>0</v>
      </c>
      <c r="P15" s="8">
        <v>25000</v>
      </c>
      <c r="Q15" s="8">
        <v>20</v>
      </c>
      <c r="R15" s="8">
        <v>25000</v>
      </c>
      <c r="S15" s="10"/>
    </row>
    <row r="16" spans="1:19" x14ac:dyDescent="0.25">
      <c r="A16" s="11">
        <v>46180.406588252314</v>
      </c>
      <c r="B16" s="12" t="s">
        <v>19</v>
      </c>
      <c r="C16" s="13">
        <v>46180</v>
      </c>
      <c r="D16" s="5" t="s">
        <v>20</v>
      </c>
      <c r="E16" s="12" t="s">
        <v>21</v>
      </c>
      <c r="F16" s="14" t="s">
        <v>61</v>
      </c>
      <c r="G16" s="15">
        <v>20060004</v>
      </c>
      <c r="H16" s="12" t="s">
        <v>28</v>
      </c>
      <c r="I16" s="16" t="s">
        <v>62</v>
      </c>
      <c r="J16" s="12" t="s">
        <v>25</v>
      </c>
      <c r="K16" s="12" t="s">
        <v>26</v>
      </c>
      <c r="L16" s="15">
        <v>1</v>
      </c>
      <c r="M16" s="15">
        <v>1250</v>
      </c>
      <c r="N16" s="15">
        <v>1250</v>
      </c>
      <c r="O16" s="15">
        <v>0</v>
      </c>
      <c r="P16" s="15">
        <v>1250</v>
      </c>
      <c r="Q16" s="15">
        <v>1</v>
      </c>
      <c r="R16" s="15">
        <v>1250</v>
      </c>
      <c r="S16" s="17"/>
    </row>
    <row r="17" spans="1:19" x14ac:dyDescent="0.25">
      <c r="A17" s="4">
        <v>46180.580294201391</v>
      </c>
      <c r="B17" s="5" t="s">
        <v>63</v>
      </c>
      <c r="C17" s="6">
        <v>46180</v>
      </c>
      <c r="D17" s="5" t="s">
        <v>20</v>
      </c>
      <c r="E17" s="5" t="s">
        <v>21</v>
      </c>
      <c r="F17" s="7" t="s">
        <v>64</v>
      </c>
      <c r="G17" s="8">
        <v>20020003</v>
      </c>
      <c r="H17" s="5" t="s">
        <v>65</v>
      </c>
      <c r="I17" s="9" t="s">
        <v>24</v>
      </c>
      <c r="J17" s="5" t="s">
        <v>66</v>
      </c>
      <c r="K17" s="5" t="s">
        <v>26</v>
      </c>
      <c r="L17" s="8">
        <v>10</v>
      </c>
      <c r="M17" s="8">
        <v>1270</v>
      </c>
      <c r="N17" s="8">
        <v>12700</v>
      </c>
      <c r="O17" s="8">
        <v>0</v>
      </c>
      <c r="P17" s="8">
        <v>12700</v>
      </c>
      <c r="Q17" s="8">
        <v>10</v>
      </c>
      <c r="R17" s="8">
        <v>12700</v>
      </c>
      <c r="S17" s="10"/>
    </row>
    <row r="18" spans="1:19" x14ac:dyDescent="0.25">
      <c r="A18" s="11">
        <v>46180.585770486112</v>
      </c>
      <c r="B18" s="12" t="s">
        <v>63</v>
      </c>
      <c r="C18" s="13">
        <v>46180</v>
      </c>
      <c r="D18" s="5" t="s">
        <v>20</v>
      </c>
      <c r="E18" s="12" t="s">
        <v>21</v>
      </c>
      <c r="F18" s="14" t="s">
        <v>67</v>
      </c>
      <c r="G18" s="15">
        <v>20020020</v>
      </c>
      <c r="H18" s="12" t="s">
        <v>68</v>
      </c>
      <c r="I18" s="16" t="s">
        <v>69</v>
      </c>
      <c r="J18" s="12" t="s">
        <v>66</v>
      </c>
      <c r="K18" s="12" t="s">
        <v>26</v>
      </c>
      <c r="L18" s="15">
        <v>0</v>
      </c>
      <c r="M18" s="15">
        <v>1270</v>
      </c>
      <c r="N18" s="15">
        <v>0</v>
      </c>
      <c r="O18" s="15">
        <v>302</v>
      </c>
      <c r="P18" s="15">
        <v>302</v>
      </c>
      <c r="Q18" s="15">
        <v>0</v>
      </c>
      <c r="R18" s="15">
        <v>302</v>
      </c>
      <c r="S18" s="17"/>
    </row>
    <row r="19" spans="1:19" x14ac:dyDescent="0.25">
      <c r="A19" s="4">
        <v>46180.587861030093</v>
      </c>
      <c r="B19" s="5" t="s">
        <v>63</v>
      </c>
      <c r="C19" s="6">
        <v>46180</v>
      </c>
      <c r="D19" s="5" t="s">
        <v>20</v>
      </c>
      <c r="E19" s="5" t="s">
        <v>70</v>
      </c>
      <c r="F19" s="7" t="s">
        <v>71</v>
      </c>
      <c r="G19" s="8">
        <v>20020001</v>
      </c>
      <c r="H19" s="5" t="s">
        <v>66</v>
      </c>
      <c r="I19" s="9" t="s">
        <v>72</v>
      </c>
      <c r="J19" s="5" t="s">
        <v>66</v>
      </c>
      <c r="K19" s="5" t="s">
        <v>26</v>
      </c>
      <c r="L19" s="8">
        <v>0</v>
      </c>
      <c r="M19" s="8">
        <v>0</v>
      </c>
      <c r="N19" s="8">
        <v>0</v>
      </c>
      <c r="O19" s="8">
        <v>419</v>
      </c>
      <c r="P19" s="8">
        <v>419</v>
      </c>
      <c r="Q19" s="8">
        <v>0</v>
      </c>
      <c r="R19" s="8">
        <v>419</v>
      </c>
      <c r="S19" s="10"/>
    </row>
    <row r="20" spans="1:19" x14ac:dyDescent="0.25">
      <c r="A20" s="11">
        <v>46180.593939108796</v>
      </c>
      <c r="B20" s="12" t="s">
        <v>63</v>
      </c>
      <c r="C20" s="13">
        <v>46180</v>
      </c>
      <c r="D20" s="5" t="s">
        <v>20</v>
      </c>
      <c r="E20" s="12" t="s">
        <v>21</v>
      </c>
      <c r="F20" s="14" t="s">
        <v>73</v>
      </c>
      <c r="G20" s="15">
        <v>20050001</v>
      </c>
      <c r="H20" s="12" t="s">
        <v>74</v>
      </c>
      <c r="I20" s="16" t="s">
        <v>75</v>
      </c>
      <c r="J20" s="12" t="s">
        <v>66</v>
      </c>
      <c r="K20" s="12" t="s">
        <v>26</v>
      </c>
      <c r="L20" s="15">
        <v>1</v>
      </c>
      <c r="M20" s="15">
        <v>1270</v>
      </c>
      <c r="N20" s="15">
        <v>1270</v>
      </c>
      <c r="O20" s="15">
        <v>0</v>
      </c>
      <c r="P20" s="15">
        <v>1270</v>
      </c>
      <c r="Q20" s="15">
        <v>1</v>
      </c>
      <c r="R20" s="15">
        <v>1270</v>
      </c>
      <c r="S20" s="17"/>
    </row>
    <row r="21" spans="1:19" x14ac:dyDescent="0.25">
      <c r="A21" s="4">
        <v>46180.594300081022</v>
      </c>
      <c r="B21" s="5" t="s">
        <v>63</v>
      </c>
      <c r="C21" s="6">
        <v>46180</v>
      </c>
      <c r="D21" s="5" t="s">
        <v>20</v>
      </c>
      <c r="E21" s="5" t="s">
        <v>21</v>
      </c>
      <c r="F21" s="7" t="s">
        <v>76</v>
      </c>
      <c r="G21" s="8">
        <v>20050001</v>
      </c>
      <c r="H21" s="5" t="s">
        <v>74</v>
      </c>
      <c r="I21" s="9" t="s">
        <v>77</v>
      </c>
      <c r="J21" s="5" t="s">
        <v>66</v>
      </c>
      <c r="K21" s="5" t="s">
        <v>26</v>
      </c>
      <c r="L21" s="8">
        <v>1</v>
      </c>
      <c r="M21" s="8">
        <v>1270</v>
      </c>
      <c r="N21" s="8">
        <v>1270</v>
      </c>
      <c r="O21" s="8">
        <v>0</v>
      </c>
      <c r="P21" s="8">
        <v>1270</v>
      </c>
      <c r="Q21" s="8">
        <v>1</v>
      </c>
      <c r="R21" s="8">
        <v>1270</v>
      </c>
      <c r="S21" s="10"/>
    </row>
    <row r="22" spans="1:19" x14ac:dyDescent="0.25">
      <c r="A22" s="11">
        <v>46180.594615069444</v>
      </c>
      <c r="B22" s="12" t="s">
        <v>63</v>
      </c>
      <c r="C22" s="13">
        <v>46180</v>
      </c>
      <c r="D22" s="5" t="s">
        <v>20</v>
      </c>
      <c r="E22" s="12" t="s">
        <v>21</v>
      </c>
      <c r="F22" s="14" t="s">
        <v>78</v>
      </c>
      <c r="G22" s="15">
        <v>20050001</v>
      </c>
      <c r="H22" s="12" t="s">
        <v>74</v>
      </c>
      <c r="I22" s="16" t="s">
        <v>79</v>
      </c>
      <c r="J22" s="12" t="s">
        <v>66</v>
      </c>
      <c r="K22" s="12" t="s">
        <v>26</v>
      </c>
      <c r="L22" s="15">
        <v>1</v>
      </c>
      <c r="M22" s="15">
        <v>1270</v>
      </c>
      <c r="N22" s="15">
        <v>1270</v>
      </c>
      <c r="O22" s="15">
        <v>0</v>
      </c>
      <c r="P22" s="15">
        <v>1270</v>
      </c>
      <c r="Q22" s="15">
        <v>1</v>
      </c>
      <c r="R22" s="15">
        <v>1270</v>
      </c>
      <c r="S22" s="17"/>
    </row>
    <row r="23" spans="1:19" x14ac:dyDescent="0.25">
      <c r="A23" s="4">
        <v>46180.594905706021</v>
      </c>
      <c r="B23" s="5" t="s">
        <v>63</v>
      </c>
      <c r="C23" s="6">
        <v>46180</v>
      </c>
      <c r="D23" s="5" t="s">
        <v>20</v>
      </c>
      <c r="E23" s="5" t="s">
        <v>21</v>
      </c>
      <c r="F23" s="7" t="s">
        <v>80</v>
      </c>
      <c r="G23" s="8">
        <v>20050001</v>
      </c>
      <c r="H23" s="5" t="s">
        <v>74</v>
      </c>
      <c r="I23" s="9" t="s">
        <v>81</v>
      </c>
      <c r="J23" s="5" t="s">
        <v>66</v>
      </c>
      <c r="K23" s="5" t="s">
        <v>26</v>
      </c>
      <c r="L23" s="8">
        <v>1</v>
      </c>
      <c r="M23" s="8">
        <v>1270</v>
      </c>
      <c r="N23" s="8">
        <v>1270</v>
      </c>
      <c r="O23" s="8">
        <v>0</v>
      </c>
      <c r="P23" s="8">
        <v>1270</v>
      </c>
      <c r="Q23" s="8">
        <v>1</v>
      </c>
      <c r="R23" s="8">
        <v>1270</v>
      </c>
      <c r="S23" s="10"/>
    </row>
    <row r="24" spans="1:19" x14ac:dyDescent="0.25">
      <c r="A24" s="11">
        <v>46180.595167326392</v>
      </c>
      <c r="B24" s="12" t="s">
        <v>63</v>
      </c>
      <c r="C24" s="13">
        <v>46180</v>
      </c>
      <c r="D24" s="5" t="s">
        <v>20</v>
      </c>
      <c r="E24" s="12" t="s">
        <v>21</v>
      </c>
      <c r="F24" s="14" t="s">
        <v>82</v>
      </c>
      <c r="G24" s="15">
        <v>20050001</v>
      </c>
      <c r="H24" s="12" t="s">
        <v>74</v>
      </c>
      <c r="I24" s="16" t="s">
        <v>83</v>
      </c>
      <c r="J24" s="12" t="s">
        <v>66</v>
      </c>
      <c r="K24" s="12" t="s">
        <v>26</v>
      </c>
      <c r="L24" s="15">
        <v>1</v>
      </c>
      <c r="M24" s="15">
        <v>1270</v>
      </c>
      <c r="N24" s="15">
        <v>1270</v>
      </c>
      <c r="O24" s="15">
        <v>0</v>
      </c>
      <c r="P24" s="15">
        <v>1270</v>
      </c>
      <c r="Q24" s="15">
        <v>1</v>
      </c>
      <c r="R24" s="15">
        <v>1270</v>
      </c>
      <c r="S24" s="17"/>
    </row>
    <row r="25" spans="1:19" x14ac:dyDescent="0.25">
      <c r="A25" s="4">
        <v>46181.406502013888</v>
      </c>
      <c r="B25" s="5" t="s">
        <v>63</v>
      </c>
      <c r="C25" s="6">
        <v>46181</v>
      </c>
      <c r="D25" s="5" t="s">
        <v>20</v>
      </c>
      <c r="E25" s="5" t="s">
        <v>21</v>
      </c>
      <c r="F25" s="7" t="s">
        <v>84</v>
      </c>
      <c r="G25" s="8">
        <v>20020020</v>
      </c>
      <c r="H25" s="5" t="s">
        <v>68</v>
      </c>
      <c r="I25" s="9" t="s">
        <v>85</v>
      </c>
      <c r="J25" s="5" t="s">
        <v>66</v>
      </c>
      <c r="K25" s="5" t="s">
        <v>26</v>
      </c>
      <c r="L25" s="8">
        <v>3</v>
      </c>
      <c r="M25" s="8">
        <v>1270</v>
      </c>
      <c r="N25" s="8">
        <v>3810</v>
      </c>
      <c r="O25" s="8">
        <v>0</v>
      </c>
      <c r="P25" s="8">
        <v>3810</v>
      </c>
      <c r="Q25" s="8">
        <v>3</v>
      </c>
      <c r="R25" s="8">
        <v>3810</v>
      </c>
      <c r="S25" s="10"/>
    </row>
    <row r="26" spans="1:19" x14ac:dyDescent="0.25">
      <c r="A26" s="11">
        <v>46181.406812025467</v>
      </c>
      <c r="B26" s="12" t="s">
        <v>63</v>
      </c>
      <c r="C26" s="13">
        <v>46181</v>
      </c>
      <c r="D26" s="5" t="s">
        <v>20</v>
      </c>
      <c r="E26" s="12" t="s">
        <v>21</v>
      </c>
      <c r="F26" s="14" t="s">
        <v>86</v>
      </c>
      <c r="G26" s="15">
        <v>20020020</v>
      </c>
      <c r="H26" s="12" t="s">
        <v>68</v>
      </c>
      <c r="I26" s="16" t="s">
        <v>87</v>
      </c>
      <c r="J26" s="12" t="s">
        <v>66</v>
      </c>
      <c r="K26" s="12" t="s">
        <v>26</v>
      </c>
      <c r="L26" s="15">
        <v>1</v>
      </c>
      <c r="M26" s="15">
        <v>1270</v>
      </c>
      <c r="N26" s="15">
        <v>1270</v>
      </c>
      <c r="O26" s="15">
        <v>0</v>
      </c>
      <c r="P26" s="15">
        <v>1270</v>
      </c>
      <c r="Q26" s="15">
        <v>1</v>
      </c>
      <c r="R26" s="15">
        <v>1270</v>
      </c>
      <c r="S26" s="17"/>
    </row>
    <row r="27" spans="1:19" x14ac:dyDescent="0.25">
      <c r="A27" s="4">
        <v>46181.407087858795</v>
      </c>
      <c r="B27" s="5" t="s">
        <v>63</v>
      </c>
      <c r="C27" s="6">
        <v>46181</v>
      </c>
      <c r="D27" s="5" t="s">
        <v>20</v>
      </c>
      <c r="E27" s="5" t="s">
        <v>21</v>
      </c>
      <c r="F27" s="7" t="s">
        <v>88</v>
      </c>
      <c r="G27" s="8">
        <v>20020020</v>
      </c>
      <c r="H27" s="5" t="s">
        <v>68</v>
      </c>
      <c r="I27" s="9" t="s">
        <v>29</v>
      </c>
      <c r="J27" s="5" t="s">
        <v>66</v>
      </c>
      <c r="K27" s="5" t="s">
        <v>26</v>
      </c>
      <c r="L27" s="8">
        <v>1</v>
      </c>
      <c r="M27" s="8">
        <v>1270</v>
      </c>
      <c r="N27" s="8">
        <v>1270</v>
      </c>
      <c r="O27" s="8">
        <v>0</v>
      </c>
      <c r="P27" s="8">
        <v>1270</v>
      </c>
      <c r="Q27" s="8">
        <v>1</v>
      </c>
      <c r="R27" s="8">
        <v>1270</v>
      </c>
      <c r="S27" s="10"/>
    </row>
    <row r="28" spans="1:19" x14ac:dyDescent="0.25">
      <c r="A28" s="11"/>
      <c r="B28" s="12"/>
      <c r="C28" s="13"/>
      <c r="D28" s="12"/>
      <c r="E28" s="12"/>
      <c r="F28" s="14"/>
      <c r="G28" s="15"/>
      <c r="H28" s="12"/>
      <c r="I28" s="12"/>
      <c r="J28" s="12"/>
      <c r="K28" s="12"/>
      <c r="L28" s="15"/>
      <c r="M28" s="15"/>
      <c r="N28" s="15"/>
      <c r="O28" s="15"/>
      <c r="P28" s="15"/>
      <c r="Q28" s="15"/>
      <c r="R28" s="15"/>
      <c r="S28" s="17"/>
    </row>
    <row r="29" spans="1:19" x14ac:dyDescent="0.25">
      <c r="A29" s="4"/>
      <c r="B29" s="5"/>
      <c r="C29" s="6"/>
      <c r="D29" s="5"/>
      <c r="E29" s="5"/>
      <c r="F29" s="7"/>
      <c r="G29" s="8"/>
      <c r="H29" s="5"/>
      <c r="I29" s="5"/>
      <c r="J29" s="5"/>
      <c r="K29" s="5"/>
      <c r="L29" s="8"/>
      <c r="M29" s="8"/>
      <c r="N29" s="8"/>
      <c r="O29" s="8"/>
      <c r="P29" s="8"/>
      <c r="Q29" s="8"/>
      <c r="R29" s="8"/>
      <c r="S29" s="10"/>
    </row>
    <row r="30" spans="1:19" x14ac:dyDescent="0.25">
      <c r="A30" s="11"/>
      <c r="B30" s="12"/>
      <c r="C30" s="13"/>
      <c r="D30" s="12"/>
      <c r="E30" s="12"/>
      <c r="F30" s="14"/>
      <c r="G30" s="15"/>
      <c r="H30" s="12"/>
      <c r="I30" s="12"/>
      <c r="J30" s="12"/>
      <c r="K30" s="12"/>
      <c r="L30" s="15"/>
      <c r="M30" s="15"/>
      <c r="N30" s="15"/>
      <c r="O30" s="15"/>
      <c r="P30" s="15"/>
      <c r="Q30" s="15"/>
      <c r="R30" s="15"/>
      <c r="S30" s="17"/>
    </row>
    <row r="31" spans="1:19" x14ac:dyDescent="0.25">
      <c r="A31" s="4"/>
      <c r="B31" s="5"/>
      <c r="C31" s="6"/>
      <c r="D31" s="5"/>
      <c r="E31" s="5"/>
      <c r="F31" s="7"/>
      <c r="G31" s="8"/>
      <c r="H31" s="5"/>
      <c r="I31" s="5"/>
      <c r="J31" s="5"/>
      <c r="K31" s="5"/>
      <c r="L31" s="8"/>
      <c r="M31" s="8"/>
      <c r="N31" s="8"/>
      <c r="O31" s="8"/>
      <c r="P31" s="8"/>
      <c r="Q31" s="8"/>
      <c r="R31" s="8"/>
      <c r="S31" s="10"/>
    </row>
    <row r="32" spans="1:19" x14ac:dyDescent="0.25">
      <c r="A32" s="4"/>
      <c r="B32" s="5"/>
      <c r="C32" s="6"/>
      <c r="D32" s="5"/>
      <c r="E32" s="5"/>
      <c r="F32" s="7"/>
      <c r="G32" s="8"/>
      <c r="H32" s="5"/>
      <c r="I32" s="5"/>
      <c r="J32" s="5"/>
      <c r="K32" s="5"/>
      <c r="L32" s="8"/>
      <c r="M32" s="8"/>
      <c r="N32" s="8"/>
      <c r="O32" s="8"/>
      <c r="P32" s="8"/>
      <c r="Q32" s="8"/>
      <c r="R32" s="8"/>
      <c r="S32" s="10"/>
    </row>
    <row r="33" spans="1:19" x14ac:dyDescent="0.25">
      <c r="A33" s="4"/>
      <c r="B33" s="5"/>
      <c r="C33" s="6"/>
      <c r="D33" s="5"/>
      <c r="E33" s="5"/>
      <c r="F33" s="7"/>
      <c r="G33" s="8"/>
      <c r="H33" s="5"/>
      <c r="I33" s="5"/>
      <c r="J33" s="5"/>
      <c r="K33" s="5"/>
      <c r="L33" s="8"/>
      <c r="M33" s="8"/>
      <c r="N33" s="8"/>
      <c r="O33" s="8"/>
      <c r="P33" s="8"/>
      <c r="Q33" s="8"/>
      <c r="R33" s="8"/>
      <c r="S33" s="10"/>
    </row>
    <row r="34" spans="1:19" x14ac:dyDescent="0.25">
      <c r="A34" s="4"/>
      <c r="B34" s="5"/>
      <c r="C34" s="6"/>
      <c r="D34" s="5"/>
      <c r="E34" s="5"/>
      <c r="F34" s="7"/>
      <c r="G34" s="8"/>
      <c r="H34" s="5"/>
      <c r="I34" s="5"/>
      <c r="J34" s="5"/>
      <c r="K34" s="5"/>
      <c r="L34" s="8"/>
      <c r="M34" s="8"/>
      <c r="N34" s="8"/>
      <c r="O34" s="8"/>
      <c r="P34" s="8"/>
      <c r="Q34" s="8"/>
      <c r="R34" s="8"/>
      <c r="S34" s="10"/>
    </row>
    <row r="35" spans="1:19" x14ac:dyDescent="0.25">
      <c r="A35" s="4"/>
      <c r="B35" s="5"/>
      <c r="C35" s="6"/>
      <c r="D35" s="5"/>
      <c r="E35" s="5"/>
      <c r="F35" s="7"/>
      <c r="G35" s="8"/>
      <c r="H35" s="5"/>
      <c r="I35" s="5"/>
      <c r="J35" s="5"/>
      <c r="K35" s="5"/>
      <c r="L35" s="8"/>
      <c r="M35" s="8"/>
      <c r="N35" s="8"/>
      <c r="O35" s="8"/>
      <c r="P35" s="8"/>
      <c r="Q35" s="8"/>
      <c r="R35" s="8"/>
      <c r="S35" s="10"/>
    </row>
    <row r="36" spans="1:19" x14ac:dyDescent="0.25">
      <c r="A36" s="18"/>
      <c r="B36" s="19"/>
      <c r="C36" s="20"/>
      <c r="D36" s="19"/>
      <c r="E36" s="19"/>
      <c r="F36" s="21"/>
      <c r="G36" s="22"/>
      <c r="H36" s="19"/>
      <c r="I36" s="19"/>
      <c r="J36" s="19"/>
      <c r="K36" s="19"/>
      <c r="L36" s="22"/>
      <c r="M36" s="22"/>
      <c r="N36" s="22"/>
      <c r="O36" s="22"/>
      <c r="P36" s="22"/>
      <c r="Q36" s="22"/>
      <c r="R36" s="22"/>
      <c r="S36" s="23"/>
    </row>
  </sheetData>
  <dataValidations disablePrompts="1" count="2">
    <dataValidation type="list" allowBlank="1" sqref="E2:E27" xr:uid="{11507CDC-E4BC-49E2-B352-CF60EDA904BA}">
      <formula1>#REF!</formula1>
    </dataValidation>
    <dataValidation allowBlank="1" showDropDown="1" sqref="F2:F27" xr:uid="{BA41CA69-A619-472A-B885-3CE64D4861C1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INDENT 29-04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2026-06-08T05:48:18Z</dcterms:created>
  <dcterms:modified xsi:type="dcterms:W3CDTF">2026-06-12T08:50:43Z</dcterms:modified>
</cp:coreProperties>
</file>