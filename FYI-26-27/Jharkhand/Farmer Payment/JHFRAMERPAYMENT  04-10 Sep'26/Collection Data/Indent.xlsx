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4-10 Sep'26\Collection Data\"/>
    </mc:Choice>
  </mc:AlternateContent>
  <xr:revisionPtr revIDLastSave="0" documentId="13_ncr:1_{0A5F7C19-5038-4FBA-8CC8-6B1471046976}" xr6:coauthVersionLast="47" xr6:coauthVersionMax="47" xr10:uidLastSave="{00000000-0000-0000-0000-000000000000}"/>
  <bookViews>
    <workbookView xWindow="-120" yWindow="-120" windowWidth="29040" windowHeight="15720" activeTab="1" xr2:uid="{F3C779D6-F966-4921-AD6A-769381A871EB}"/>
  </bookViews>
  <sheets>
    <sheet name="Sheet2" sheetId="2" r:id="rId1"/>
    <sheet name="Sheet1" sheetId="1" r:id="rId2"/>
  </sheets>
  <externalReferences>
    <externalReference r:id="rId3"/>
  </externalReferences>
  <calcPr calcId="191029"/>
  <pivotCaches>
    <pivotCache cacheId="4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4" i="1" l="1"/>
  <c r="T33" i="1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S30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T30" i="1" l="1"/>
  <c r="H10" i="1" l="1"/>
  <c r="H9" i="1"/>
  <c r="H11" i="1" l="1"/>
  <c r="H22" i="1" l="1"/>
  <c r="H8" i="1" l="1"/>
  <c r="H3" i="1"/>
  <c r="H4" i="1"/>
  <c r="H29" i="1"/>
  <c r="H14" i="1"/>
  <c r="H20" i="1"/>
  <c r="H27" i="1"/>
  <c r="H2" i="1"/>
  <c r="H28" i="1"/>
  <c r="H21" i="1"/>
  <c r="H6" i="1" l="1"/>
  <c r="H5" i="1"/>
  <c r="H7" i="1"/>
  <c r="H19" i="1"/>
  <c r="H18" i="1"/>
  <c r="H17" i="1"/>
  <c r="H15" i="1"/>
  <c r="H16" i="1"/>
  <c r="H24" i="1"/>
  <c r="H26" i="1"/>
  <c r="H23" i="1"/>
  <c r="H25" i="1"/>
  <c r="H13" i="1"/>
  <c r="H12" i="1"/>
</calcChain>
</file>

<file path=xl/sharedStrings.xml><?xml version="1.0" encoding="utf-8"?>
<sst xmlns="http://schemas.openxmlformats.org/spreadsheetml/2006/main" count="341" uniqueCount="73">
  <si>
    <t>Timestamp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</si>
  <si>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</si>
  <si>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</si>
  <si>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</si>
  <si>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</si>
  <si>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</si>
  <si>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</si>
  <si>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</si>
  <si>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</si>
  <si>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</si>
  <si>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</si>
  <si>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</si>
  <si>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</si>
  <si>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</si>
  <si>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</si>
  <si>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</si>
  <si>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</si>
  <si>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</si>
  <si>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Milk Amonnt</t>
  </si>
  <si>
    <t>Gomukh Gold 50KG</t>
  </si>
  <si>
    <t>DUMARDAGA</t>
  </si>
  <si>
    <t>0002</t>
  </si>
  <si>
    <t>ORMANJHI</t>
  </si>
  <si>
    <t>Daya Society</t>
  </si>
  <si>
    <t>CHUTTU</t>
  </si>
  <si>
    <t>Chanho</t>
  </si>
  <si>
    <t>PAKARIYO</t>
  </si>
  <si>
    <t>NARKOPI</t>
  </si>
  <si>
    <t>0012</t>
  </si>
  <si>
    <t>0003</t>
  </si>
  <si>
    <t>Bero</t>
  </si>
  <si>
    <t>Itki</t>
  </si>
  <si>
    <t>Erchoro</t>
  </si>
  <si>
    <t>0059</t>
  </si>
  <si>
    <t>0035</t>
  </si>
  <si>
    <t>Vikash</t>
  </si>
  <si>
    <t>Bijuliya</t>
  </si>
  <si>
    <t>Paali</t>
  </si>
  <si>
    <t>TIKO TOLI</t>
  </si>
  <si>
    <t>0005</t>
  </si>
  <si>
    <t>0023</t>
  </si>
  <si>
    <t>Amar sahu</t>
  </si>
  <si>
    <t>GANESHPUR</t>
  </si>
  <si>
    <t>PAKARIYO 2</t>
  </si>
  <si>
    <t>CHOREYA</t>
  </si>
  <si>
    <t>0024</t>
  </si>
  <si>
    <t>0028</t>
  </si>
  <si>
    <t>GARRI</t>
  </si>
  <si>
    <t>0009</t>
  </si>
  <si>
    <t>0018</t>
  </si>
  <si>
    <t>Kumbatoli</t>
  </si>
  <si>
    <t>0032</t>
  </si>
  <si>
    <t>PIRAGUTU</t>
  </si>
  <si>
    <t>0016</t>
  </si>
  <si>
    <t>0071</t>
  </si>
  <si>
    <t>Satendra Kumar</t>
  </si>
  <si>
    <t>04-09-2026 TO 10-09-2026</t>
  </si>
  <si>
    <t>BAJPUR</t>
  </si>
  <si>
    <t>Payaswini Min Boon</t>
  </si>
  <si>
    <t>MADHUKAM</t>
  </si>
  <si>
    <t>0019</t>
  </si>
  <si>
    <t>0061</t>
  </si>
  <si>
    <t>Type</t>
  </si>
  <si>
    <t>Deduction</t>
  </si>
  <si>
    <t>Grand Total</t>
  </si>
  <si>
    <t>Sum of Final Amount</t>
  </si>
  <si>
    <t>Total</t>
  </si>
  <si>
    <t>Direct</t>
  </si>
  <si>
    <t>Direct Total</t>
  </si>
  <si>
    <t>Indirect</t>
  </si>
  <si>
    <t>Indirect Total</t>
  </si>
  <si>
    <t>OS1</t>
  </si>
  <si>
    <t>Indent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</si>
</sst>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2" fillId="2" borderId="5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quotePrefix="1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vertical="center"/>
    </xf>
    <xf numFmtId="165" fontId="2" fillId="2" borderId="8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right" vertical="center"/>
    </xf>
    <xf numFmtId="0" fontId="2" fillId="2" borderId="8" xfId="0" quotePrefix="1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0" fillId="3" borderId="0" xfId="0" applyFill="1"/>
    <xf numFmtId="22" fontId="2" fillId="4" borderId="7" xfId="0" applyNumberFormat="1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14" fontId="2" fillId="4" borderId="8" xfId="0" applyNumberFormat="1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horizontal="right" vertical="center" wrapText="1"/>
    </xf>
    <xf numFmtId="0" fontId="3" fillId="4" borderId="9" xfId="0" applyFont="1" applyFill="1" applyBorder="1" applyAlignment="1">
      <alignment vertical="center" wrapText="1"/>
    </xf>
    <xf numFmtId="0" fontId="2" fillId="4" borderId="8" xfId="0" quotePrefix="1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right" vertical="center"/>
    </xf>
    <xf numFmtId="0" fontId="2" fillId="4" borderId="9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/>
    </xf>
    <xf numFmtId="0" fontId="0" fillId="0" borderId="0" xfId="0" pivotButton="1"/>
    <xf numFmtId="0" fontId="4" fillId="5" borderId="11" xfId="0" applyFont="1" applyFill="1" applyBorder="1"/>
    <xf numFmtId="0" fontId="4" fillId="0" borderId="11" xfId="0" applyFont="1" applyBorder="1"/>
    <xf numFmtId="0" fontId="4" fillId="0" borderId="10" xfId="0" applyFont="1" applyBorder="1"/>
    <xf numFmtId="0" fontId="4" fillId="0" borderId="0" xfId="0" applyFont="1"/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2" defaultPivotStyle="PivotStyleLight16">
    <tableStyle name="Indent-style" pivot="0" count="4" xr9:uid="{36625BEE-1EA5-44A3-B2B9-E258D5B5B0D6}">
      <tableStyleElement type="wholeTable" size="0" dxfId="29"/>
      <tableStyleElement type="headerRow" dxfId="28"/>
      <tableStyleElement type="firstRowStripe" dxfId="27"/>
      <tableStyleElement type="secondRowStripe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4.%20JH%20Farmer%20Payment-04-10%20Sep.xlsx" TargetMode="External"/><Relationship Id="rId2" Type="http://schemas.openxmlformats.org/officeDocument/2006/relationships/externalLinkPath" Target="file:///C:\Users\rahul\Desktop\Rahul%20Backup\Farmer%20Payment\FYI-26-27\Jharkhand\Farmer%20Payment\JHFRAMERPAYMENT%20%2004-10%20Sep'26\24.%20JH%20Farmer%20Payment-04-10%20Sep.xlsx" TargetMode="External"/><Relationship Id="rId1" Type="http://schemas.openxmlformats.org/officeDocument/2006/relationships/externalLinkPath" Target="/Users/rahul/Desktop/Rahul%20Backup/Farmer%20Payment/FYI-26-27/Jharkhand/Farmer%20Payment/JHFRAMERPAYMENT%20%2004-10%20Sep'26/24.%20JH%20Farmer%20Payment-04-10%20Se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PG PIVOT"/>
      <sheetName val="MGP PDF"/>
      <sheetName val="Farmer PDF"/>
      <sheetName val="MPG Performance"/>
      <sheetName val="FAR PIVOT"/>
      <sheetName val="FARMER"/>
      <sheetName val="MPG Payment"/>
      <sheetName val="Farmer Payment Calc"/>
      <sheetName val="Loss"/>
      <sheetName val="Bank Master"/>
      <sheetName val="Rulles"/>
      <sheetName val="GPT cache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 t="str">
            <v xml:space="preserve">Code </v>
          </cell>
          <cell r="C3" t="str">
            <v xml:space="preserve">MPG NAME </v>
          </cell>
          <cell r="D3" t="str">
            <v>Type</v>
          </cell>
          <cell r="E3" t="str">
            <v>Farmer Payment</v>
          </cell>
        </row>
        <row r="4">
          <cell r="B4">
            <v>20010001</v>
          </cell>
          <cell r="C4" t="str">
            <v>Itki</v>
          </cell>
          <cell r="D4" t="str">
            <v>RMC</v>
          </cell>
          <cell r="E4" t="str">
            <v>Direct</v>
          </cell>
        </row>
        <row r="5">
          <cell r="B5">
            <v>20010003</v>
          </cell>
          <cell r="C5" t="str">
            <v>Bero</v>
          </cell>
          <cell r="D5" t="str">
            <v>MPG</v>
          </cell>
          <cell r="E5" t="str">
            <v>Direct</v>
          </cell>
        </row>
        <row r="6">
          <cell r="B6">
            <v>20010005</v>
          </cell>
          <cell r="C6" t="str">
            <v>Basila</v>
          </cell>
          <cell r="D6" t="str">
            <v>MPG</v>
          </cell>
          <cell r="E6" t="str">
            <v>Direct</v>
          </cell>
        </row>
        <row r="7">
          <cell r="B7">
            <v>20010008</v>
          </cell>
          <cell r="C7" t="str">
            <v>Erchoro</v>
          </cell>
          <cell r="D7" t="str">
            <v>MPG</v>
          </cell>
          <cell r="E7" t="str">
            <v>Direct</v>
          </cell>
        </row>
        <row r="8">
          <cell r="B8">
            <v>20010009</v>
          </cell>
          <cell r="C8" t="str">
            <v>Makunda</v>
          </cell>
          <cell r="D8" t="str">
            <v>MPG</v>
          </cell>
          <cell r="E8" t="str">
            <v>Direct</v>
          </cell>
        </row>
        <row r="9">
          <cell r="B9">
            <v>20010012</v>
          </cell>
          <cell r="C9" t="str">
            <v>NAGRI</v>
          </cell>
          <cell r="D9" t="str">
            <v>VLC</v>
          </cell>
          <cell r="E9" t="str">
            <v>Indirect</v>
          </cell>
        </row>
        <row r="10">
          <cell r="B10">
            <v>20010015</v>
          </cell>
          <cell r="C10" t="str">
            <v>BOREYA</v>
          </cell>
          <cell r="D10" t="str">
            <v>MPG</v>
          </cell>
          <cell r="E10" t="str">
            <v>Direct</v>
          </cell>
        </row>
        <row r="11">
          <cell r="B11">
            <v>20010017</v>
          </cell>
          <cell r="C11" t="str">
            <v>DIGHIYA</v>
          </cell>
          <cell r="D11" t="str">
            <v>MPG</v>
          </cell>
          <cell r="E11" t="str">
            <v>Direct</v>
          </cell>
        </row>
        <row r="12">
          <cell r="B12">
            <v>20010023</v>
          </cell>
          <cell r="C12" t="str">
            <v>KATARPA</v>
          </cell>
          <cell r="D12" t="str">
            <v>MPG</v>
          </cell>
          <cell r="E12" t="str">
            <v>Direct</v>
          </cell>
        </row>
        <row r="13">
          <cell r="B13">
            <v>20010027</v>
          </cell>
          <cell r="C13" t="str">
            <v>MURTO</v>
          </cell>
          <cell r="D13" t="str">
            <v>MPG</v>
          </cell>
          <cell r="E13" t="str">
            <v>Direct</v>
          </cell>
        </row>
        <row r="14">
          <cell r="B14">
            <v>20010033</v>
          </cell>
          <cell r="C14" t="str">
            <v>KHATRIKHATANGA</v>
          </cell>
          <cell r="D14" t="str">
            <v>MPG</v>
          </cell>
          <cell r="E14" t="str">
            <v>Direct</v>
          </cell>
        </row>
        <row r="15">
          <cell r="B15">
            <v>20010034</v>
          </cell>
          <cell r="C15" t="str">
            <v>GARGAON</v>
          </cell>
          <cell r="D15" t="str">
            <v>MPG</v>
          </cell>
          <cell r="E15" t="str">
            <v>Indirect</v>
          </cell>
        </row>
        <row r="16">
          <cell r="B16">
            <v>20010036</v>
          </cell>
          <cell r="C16" t="str">
            <v>GHAGHRA</v>
          </cell>
          <cell r="D16" t="str">
            <v>MPG</v>
          </cell>
          <cell r="E16" t="str">
            <v>Direct</v>
          </cell>
        </row>
        <row r="17">
          <cell r="B17">
            <v>20010037</v>
          </cell>
          <cell r="C17" t="str">
            <v>CHACHGURA</v>
          </cell>
          <cell r="D17" t="str">
            <v>MPG</v>
          </cell>
          <cell r="E17" t="str">
            <v>Indirect</v>
          </cell>
        </row>
        <row r="18">
          <cell r="B18">
            <v>20010038</v>
          </cell>
          <cell r="C18" t="str">
            <v>TIKRA TOLI</v>
          </cell>
          <cell r="D18" t="str">
            <v>MPG</v>
          </cell>
          <cell r="E18" t="str">
            <v>Direct</v>
          </cell>
        </row>
        <row r="19">
          <cell r="B19">
            <v>20010040</v>
          </cell>
          <cell r="C19" t="str">
            <v>Gargaon2</v>
          </cell>
          <cell r="D19" t="str">
            <v>MPG</v>
          </cell>
          <cell r="E19" t="str">
            <v>Direct</v>
          </cell>
        </row>
        <row r="20">
          <cell r="B20">
            <v>20010041</v>
          </cell>
          <cell r="C20" t="str">
            <v>TERO</v>
          </cell>
          <cell r="D20" t="str">
            <v>MPG</v>
          </cell>
          <cell r="E20" t="str">
            <v>Direct</v>
          </cell>
        </row>
        <row r="21">
          <cell r="B21">
            <v>20010042</v>
          </cell>
          <cell r="C21" t="str">
            <v>RONHE</v>
          </cell>
          <cell r="D21" t="str">
            <v>MPG</v>
          </cell>
          <cell r="E21" t="str">
            <v>Direct</v>
          </cell>
        </row>
        <row r="22">
          <cell r="B22">
            <v>20010043</v>
          </cell>
          <cell r="C22" t="str">
            <v>DARKHANDREY</v>
          </cell>
          <cell r="D22" t="str">
            <v>MPG</v>
          </cell>
          <cell r="E22" t="str">
            <v>Direct</v>
          </cell>
        </row>
        <row r="23">
          <cell r="B23">
            <v>20010050</v>
          </cell>
          <cell r="C23" t="str">
            <v>SARNA TOLI</v>
          </cell>
          <cell r="D23" t="str">
            <v>VLC</v>
          </cell>
          <cell r="E23" t="str">
            <v>Direct</v>
          </cell>
        </row>
        <row r="24">
          <cell r="B24">
            <v>20010052</v>
          </cell>
          <cell r="C24" t="str">
            <v>Kumbatoli</v>
          </cell>
          <cell r="D24" t="str">
            <v>MPG</v>
          </cell>
          <cell r="E24" t="str">
            <v>Direct</v>
          </cell>
        </row>
        <row r="25">
          <cell r="B25">
            <v>20010054</v>
          </cell>
          <cell r="C25" t="str">
            <v>NARKOPI</v>
          </cell>
          <cell r="D25" t="str">
            <v>MPG</v>
          </cell>
          <cell r="E25" t="str">
            <v>Direct</v>
          </cell>
        </row>
        <row r="26">
          <cell r="B26">
            <v>20010055</v>
          </cell>
          <cell r="C26" t="str">
            <v>MASU</v>
          </cell>
          <cell r="D26" t="str">
            <v>MPG</v>
          </cell>
          <cell r="E26" t="str">
            <v>Direct</v>
          </cell>
        </row>
        <row r="27">
          <cell r="B27">
            <v>20010057</v>
          </cell>
          <cell r="C27" t="str">
            <v>PANDEPARA</v>
          </cell>
          <cell r="D27" t="str">
            <v>VLC</v>
          </cell>
          <cell r="E27" t="str">
            <v>Direct</v>
          </cell>
        </row>
        <row r="28">
          <cell r="B28">
            <v>20010059</v>
          </cell>
          <cell r="C28" t="str">
            <v>KARANJI 2</v>
          </cell>
          <cell r="D28" t="str">
            <v>MPG</v>
          </cell>
          <cell r="E28" t="str">
            <v>Direct</v>
          </cell>
        </row>
        <row r="29">
          <cell r="B29">
            <v>20010060</v>
          </cell>
          <cell r="C29" t="str">
            <v>ITKI 2</v>
          </cell>
          <cell r="D29" t="str">
            <v>VLC</v>
          </cell>
          <cell r="E29" t="str">
            <v>Indirect</v>
          </cell>
        </row>
        <row r="30">
          <cell r="B30">
            <v>20010061</v>
          </cell>
          <cell r="C30" t="str">
            <v>SEMRA</v>
          </cell>
          <cell r="D30" t="str">
            <v>MPG</v>
          </cell>
          <cell r="E30" t="str">
            <v>Direct</v>
          </cell>
        </row>
        <row r="31">
          <cell r="B31">
            <v>20010062</v>
          </cell>
          <cell r="C31" t="str">
            <v>PISKA</v>
          </cell>
          <cell r="D31" t="str">
            <v>MPG</v>
          </cell>
          <cell r="E31" t="str">
            <v>Direct</v>
          </cell>
        </row>
        <row r="32">
          <cell r="B32">
            <v>20010063</v>
          </cell>
          <cell r="C32" t="str">
            <v xml:space="preserve">BANDHIYA </v>
          </cell>
          <cell r="D32" t="str">
            <v>VLC</v>
          </cell>
          <cell r="E32" t="str">
            <v>Indirect</v>
          </cell>
        </row>
        <row r="33">
          <cell r="B33">
            <v>20020001</v>
          </cell>
          <cell r="C33" t="str">
            <v>Paali</v>
          </cell>
          <cell r="D33" t="str">
            <v>RMC</v>
          </cell>
          <cell r="E33" t="str">
            <v>Direct</v>
          </cell>
        </row>
        <row r="34">
          <cell r="B34">
            <v>20020002</v>
          </cell>
          <cell r="C34" t="str">
            <v>Jari</v>
          </cell>
          <cell r="D34" t="str">
            <v>MPG</v>
          </cell>
          <cell r="E34" t="str">
            <v>Direct</v>
          </cell>
        </row>
        <row r="35">
          <cell r="B35">
            <v>20020003</v>
          </cell>
          <cell r="C35" t="str">
            <v>Bijuliya</v>
          </cell>
          <cell r="D35" t="str">
            <v>MPG</v>
          </cell>
          <cell r="E35" t="str">
            <v>Direct</v>
          </cell>
        </row>
        <row r="36">
          <cell r="B36">
            <v>20020004</v>
          </cell>
          <cell r="C36" t="str">
            <v>Pandra</v>
          </cell>
          <cell r="D36" t="str">
            <v>MPG</v>
          </cell>
          <cell r="E36" t="str">
            <v>Direct</v>
          </cell>
        </row>
        <row r="37">
          <cell r="B37">
            <v>20020005</v>
          </cell>
          <cell r="C37" t="str">
            <v>BASKI</v>
          </cell>
          <cell r="D37" t="str">
            <v>MPG</v>
          </cell>
          <cell r="E37" t="str">
            <v>Direct</v>
          </cell>
        </row>
        <row r="38">
          <cell r="B38">
            <v>20020006</v>
          </cell>
          <cell r="C38" t="str">
            <v>RANIKHATANGA</v>
          </cell>
          <cell r="D38" t="str">
            <v>MPG</v>
          </cell>
          <cell r="E38" t="str">
            <v>Direct</v>
          </cell>
        </row>
        <row r="39">
          <cell r="B39">
            <v>20020007</v>
          </cell>
          <cell r="C39" t="str">
            <v>SURSA</v>
          </cell>
          <cell r="D39" t="str">
            <v>MPG</v>
          </cell>
          <cell r="E39" t="str">
            <v>Direct</v>
          </cell>
        </row>
        <row r="40">
          <cell r="B40">
            <v>20020011</v>
          </cell>
          <cell r="C40" t="str">
            <v>DHONTHA TOLI</v>
          </cell>
          <cell r="D40" t="str">
            <v>MPG</v>
          </cell>
          <cell r="E40" t="str">
            <v>Direct</v>
          </cell>
        </row>
        <row r="41">
          <cell r="B41">
            <v>20020013</v>
          </cell>
          <cell r="C41" t="str">
            <v>BAJPUR</v>
          </cell>
          <cell r="D41" t="str">
            <v>VLC</v>
          </cell>
          <cell r="E41" t="str">
            <v>Indirect</v>
          </cell>
        </row>
        <row r="42">
          <cell r="B42">
            <v>20020014</v>
          </cell>
          <cell r="C42" t="str">
            <v>BARGARI</v>
          </cell>
          <cell r="D42" t="str">
            <v>MPG</v>
          </cell>
          <cell r="E42" t="str">
            <v>Direct</v>
          </cell>
        </row>
        <row r="43">
          <cell r="B43">
            <v>20020015</v>
          </cell>
          <cell r="C43" t="str">
            <v>PATRATOLI</v>
          </cell>
          <cell r="D43" t="str">
            <v>MPG</v>
          </cell>
          <cell r="E43" t="str">
            <v>Direct</v>
          </cell>
        </row>
        <row r="44">
          <cell r="B44">
            <v>20020016</v>
          </cell>
          <cell r="C44" t="str">
            <v>BANAPIRI</v>
          </cell>
          <cell r="D44" t="str">
            <v>MPG</v>
          </cell>
          <cell r="E44" t="str">
            <v>Indirect</v>
          </cell>
        </row>
        <row r="45">
          <cell r="B45">
            <v>20020020</v>
          </cell>
          <cell r="C45" t="str">
            <v>TIKO TOLI</v>
          </cell>
          <cell r="D45" t="str">
            <v>MPG</v>
          </cell>
          <cell r="E45" t="str">
            <v>Direct</v>
          </cell>
        </row>
        <row r="46">
          <cell r="B46">
            <v>20020021</v>
          </cell>
          <cell r="C46" t="str">
            <v>PUNGI</v>
          </cell>
          <cell r="D46" t="str">
            <v>MPG</v>
          </cell>
          <cell r="E46" t="str">
            <v>Direct</v>
          </cell>
        </row>
        <row r="47">
          <cell r="B47">
            <v>20020023</v>
          </cell>
          <cell r="C47" t="str">
            <v>BARTOLI</v>
          </cell>
          <cell r="D47" t="str">
            <v>MPG</v>
          </cell>
          <cell r="E47" t="str">
            <v>Direct</v>
          </cell>
        </row>
        <row r="48">
          <cell r="B48">
            <v>20020025</v>
          </cell>
          <cell r="C48" t="str">
            <v>AGRU</v>
          </cell>
          <cell r="D48" t="str">
            <v>VLC</v>
          </cell>
          <cell r="E48" t="str">
            <v>Direct</v>
          </cell>
        </row>
        <row r="49">
          <cell r="B49">
            <v>20020026</v>
          </cell>
          <cell r="C49" t="str">
            <v>TIGRA</v>
          </cell>
          <cell r="D49" t="str">
            <v>MPG</v>
          </cell>
          <cell r="E49" t="str">
            <v>Direct</v>
          </cell>
        </row>
        <row r="50">
          <cell r="B50">
            <v>20020027</v>
          </cell>
          <cell r="C50" t="str">
            <v>GARRI</v>
          </cell>
          <cell r="D50" t="str">
            <v>VLC</v>
          </cell>
          <cell r="E50" t="str">
            <v>Direct</v>
          </cell>
        </row>
        <row r="51">
          <cell r="B51">
            <v>20020028</v>
          </cell>
          <cell r="C51" t="str">
            <v xml:space="preserve">HISRI </v>
          </cell>
          <cell r="D51" t="str">
            <v>VLC</v>
          </cell>
          <cell r="E51" t="str">
            <v>Direct</v>
          </cell>
        </row>
        <row r="52">
          <cell r="B52">
            <v>20020029</v>
          </cell>
          <cell r="C52" t="str">
            <v>MURMA</v>
          </cell>
          <cell r="D52" t="str">
            <v>VLC</v>
          </cell>
          <cell r="E52" t="str">
            <v>Direct</v>
          </cell>
        </row>
        <row r="53">
          <cell r="B53">
            <v>20020030</v>
          </cell>
          <cell r="C53" t="str">
            <v>NAYASARIYA</v>
          </cell>
          <cell r="D53" t="str">
            <v>VLC</v>
          </cell>
          <cell r="E53" t="str">
            <v>Indirect</v>
          </cell>
        </row>
        <row r="54">
          <cell r="B54">
            <v>20030001</v>
          </cell>
          <cell r="C54" t="str">
            <v>Hisri Thakurgaon</v>
          </cell>
          <cell r="D54" t="str">
            <v>RMC</v>
          </cell>
          <cell r="E54" t="str">
            <v>Direct</v>
          </cell>
        </row>
        <row r="55">
          <cell r="B55">
            <v>20030002</v>
          </cell>
          <cell r="C55" t="str">
            <v>UMEDANDA</v>
          </cell>
          <cell r="D55" t="str">
            <v>MPG</v>
          </cell>
          <cell r="E55" t="str">
            <v>Direct</v>
          </cell>
        </row>
        <row r="56">
          <cell r="B56">
            <v>20030005</v>
          </cell>
          <cell r="C56" t="str">
            <v>THAKURGAON</v>
          </cell>
          <cell r="D56" t="str">
            <v>VLC</v>
          </cell>
          <cell r="E56" t="str">
            <v>Indirect</v>
          </cell>
        </row>
        <row r="57">
          <cell r="B57">
            <v>20030009</v>
          </cell>
          <cell r="C57" t="str">
            <v>SURID</v>
          </cell>
          <cell r="D57" t="str">
            <v>MPG</v>
          </cell>
          <cell r="E57" t="str">
            <v>Direct</v>
          </cell>
        </row>
        <row r="58">
          <cell r="B58">
            <v>20030012</v>
          </cell>
          <cell r="C58" t="str">
            <v>URUGUTU</v>
          </cell>
          <cell r="D58" t="str">
            <v>VLC</v>
          </cell>
          <cell r="E58" t="str">
            <v>Indirect</v>
          </cell>
        </row>
        <row r="59">
          <cell r="B59">
            <v>20040001</v>
          </cell>
          <cell r="C59" t="str">
            <v>CHOREYA</v>
          </cell>
          <cell r="D59" t="str">
            <v>RMC</v>
          </cell>
          <cell r="E59" t="str">
            <v>Direct</v>
          </cell>
        </row>
        <row r="60">
          <cell r="B60">
            <v>20040006</v>
          </cell>
          <cell r="C60" t="str">
            <v>KADAM TOLI</v>
          </cell>
          <cell r="D60" t="str">
            <v>MPG</v>
          </cell>
          <cell r="E60" t="str">
            <v>Direct</v>
          </cell>
        </row>
        <row r="61">
          <cell r="B61">
            <v>20040007</v>
          </cell>
          <cell r="C61" t="str">
            <v>MADHUKAM</v>
          </cell>
          <cell r="D61" t="str">
            <v>MPG</v>
          </cell>
          <cell r="E61" t="str">
            <v>Direct</v>
          </cell>
        </row>
        <row r="62">
          <cell r="B62">
            <v>20050001</v>
          </cell>
          <cell r="C62" t="str">
            <v>Baski 2</v>
          </cell>
          <cell r="D62" t="str">
            <v>RMC</v>
          </cell>
          <cell r="E62" t="str">
            <v>Direct</v>
          </cell>
        </row>
        <row r="63">
          <cell r="B63">
            <v>20050003</v>
          </cell>
          <cell r="C63" t="str">
            <v>UCHARI</v>
          </cell>
          <cell r="D63" t="str">
            <v>MPG</v>
          </cell>
          <cell r="E63" t="str">
            <v>Direct</v>
          </cell>
        </row>
        <row r="64">
          <cell r="B64">
            <v>20060001</v>
          </cell>
          <cell r="C64" t="str">
            <v>ORMANJHI</v>
          </cell>
          <cell r="D64" t="str">
            <v>RMC</v>
          </cell>
          <cell r="E64" t="str">
            <v>Direct</v>
          </cell>
        </row>
        <row r="65">
          <cell r="B65">
            <v>20060002</v>
          </cell>
          <cell r="C65" t="str">
            <v>MANDRO</v>
          </cell>
          <cell r="D65" t="str">
            <v>MPG</v>
          </cell>
          <cell r="E65" t="str">
            <v>Direct</v>
          </cell>
        </row>
        <row r="66">
          <cell r="B66">
            <v>20060003</v>
          </cell>
          <cell r="C66" t="str">
            <v>DUMARDAGA</v>
          </cell>
          <cell r="D66" t="str">
            <v>MPG</v>
          </cell>
          <cell r="E66" t="str">
            <v>Direct</v>
          </cell>
        </row>
        <row r="67">
          <cell r="B67">
            <v>20060004</v>
          </cell>
          <cell r="C67" t="str">
            <v>CHUTTU</v>
          </cell>
          <cell r="D67" t="str">
            <v>MPG</v>
          </cell>
          <cell r="E67" t="str">
            <v>Direct</v>
          </cell>
        </row>
        <row r="68">
          <cell r="B68">
            <v>20060005</v>
          </cell>
          <cell r="C68" t="str">
            <v>JIRABAR</v>
          </cell>
          <cell r="D68" t="str">
            <v>MPG</v>
          </cell>
          <cell r="E68" t="str">
            <v>Direct</v>
          </cell>
        </row>
        <row r="69">
          <cell r="B69">
            <v>20060007</v>
          </cell>
          <cell r="C69" t="str">
            <v>HOCHAR</v>
          </cell>
          <cell r="D69" t="str">
            <v>MPG</v>
          </cell>
          <cell r="E69" t="str">
            <v>Direct</v>
          </cell>
        </row>
        <row r="70">
          <cell r="B70">
            <v>20060008</v>
          </cell>
          <cell r="C70" t="str">
            <v>ADELHATU</v>
          </cell>
          <cell r="D70" t="str">
            <v>MPG</v>
          </cell>
          <cell r="E70" t="str">
            <v>Direct</v>
          </cell>
        </row>
        <row r="71">
          <cell r="B71">
            <v>20060009</v>
          </cell>
          <cell r="C71" t="str">
            <v>KUCHU</v>
          </cell>
          <cell r="D71" t="str">
            <v>MPG</v>
          </cell>
          <cell r="E71" t="str">
            <v>Direct</v>
          </cell>
        </row>
        <row r="72">
          <cell r="B72">
            <v>20060013</v>
          </cell>
          <cell r="C72" t="str">
            <v>CHATAKPUR</v>
          </cell>
          <cell r="D72" t="str">
            <v>VLC</v>
          </cell>
          <cell r="E72" t="str">
            <v>Indirect</v>
          </cell>
        </row>
        <row r="73">
          <cell r="B73">
            <v>20060017</v>
          </cell>
          <cell r="C73" t="str">
            <v>KUKUI</v>
          </cell>
          <cell r="D73" t="str">
            <v>MPG</v>
          </cell>
          <cell r="E73" t="str">
            <v>Direct</v>
          </cell>
        </row>
        <row r="74">
          <cell r="B74">
            <v>20060018</v>
          </cell>
          <cell r="C74" t="str">
            <v>PANCHOLI</v>
          </cell>
          <cell r="D74" t="str">
            <v>MPG</v>
          </cell>
          <cell r="E74" t="str">
            <v>Direct</v>
          </cell>
        </row>
        <row r="75">
          <cell r="B75">
            <v>20060019</v>
          </cell>
          <cell r="C75" t="str">
            <v>HOCHAR 2</v>
          </cell>
          <cell r="D75" t="str">
            <v>MPG</v>
          </cell>
          <cell r="E75" t="str">
            <v>Direct</v>
          </cell>
        </row>
        <row r="76">
          <cell r="B76">
            <v>20060022</v>
          </cell>
          <cell r="C76" t="str">
            <v>MAHESHPUR</v>
          </cell>
          <cell r="D76" t="str">
            <v>MPG</v>
          </cell>
          <cell r="E76" t="str">
            <v>Direct</v>
          </cell>
        </row>
        <row r="77">
          <cell r="B77">
            <v>20060028</v>
          </cell>
          <cell r="C77" t="str">
            <v>SANTI</v>
          </cell>
          <cell r="D77" t="str">
            <v>VLC</v>
          </cell>
          <cell r="E77" t="str">
            <v>Direct</v>
          </cell>
        </row>
        <row r="78">
          <cell r="B78">
            <v>20070001</v>
          </cell>
          <cell r="C78" t="str">
            <v>PIRAGUTU</v>
          </cell>
          <cell r="D78" t="str">
            <v>RMC</v>
          </cell>
          <cell r="E78" t="str">
            <v>Direct</v>
          </cell>
        </row>
        <row r="79">
          <cell r="B79">
            <v>20070002</v>
          </cell>
          <cell r="C79" t="str">
            <v>SARAM</v>
          </cell>
          <cell r="D79" t="str">
            <v>MPG</v>
          </cell>
          <cell r="E79" t="str">
            <v>Direct</v>
          </cell>
        </row>
        <row r="80">
          <cell r="B80">
            <v>20070003</v>
          </cell>
          <cell r="C80" t="str">
            <v>MURUPIRI</v>
          </cell>
          <cell r="D80" t="str">
            <v>MPG</v>
          </cell>
          <cell r="E80" t="str">
            <v>Direct</v>
          </cell>
        </row>
        <row r="81">
          <cell r="B81">
            <v>20070004</v>
          </cell>
          <cell r="C81" t="str">
            <v>KEDAL</v>
          </cell>
          <cell r="D81" t="str">
            <v>MPG</v>
          </cell>
          <cell r="E81" t="str">
            <v>Direct</v>
          </cell>
        </row>
        <row r="82">
          <cell r="B82">
            <v>20070006</v>
          </cell>
          <cell r="C82" t="str">
            <v>SAHEDA</v>
          </cell>
          <cell r="D82" t="str">
            <v>MPG</v>
          </cell>
          <cell r="E82" t="str">
            <v>Direct</v>
          </cell>
        </row>
        <row r="83">
          <cell r="B83">
            <v>20070007</v>
          </cell>
          <cell r="C83" t="str">
            <v>NABATOLI</v>
          </cell>
          <cell r="D83" t="str">
            <v>MPG</v>
          </cell>
          <cell r="E83" t="str">
            <v>Direct</v>
          </cell>
        </row>
        <row r="84">
          <cell r="B84">
            <v>20070009</v>
          </cell>
          <cell r="C84" t="str">
            <v>KARAMBA</v>
          </cell>
          <cell r="D84" t="str">
            <v>MPG</v>
          </cell>
          <cell r="E84" t="str">
            <v>Direct</v>
          </cell>
        </row>
        <row r="85">
          <cell r="B85">
            <v>20070010</v>
          </cell>
          <cell r="C85" t="str">
            <v>KURALU</v>
          </cell>
          <cell r="D85" t="str">
            <v>MPG</v>
          </cell>
          <cell r="E85" t="str">
            <v>Direct</v>
          </cell>
        </row>
        <row r="86">
          <cell r="B86">
            <v>20070018</v>
          </cell>
          <cell r="C86" t="str">
            <v>MAKKA</v>
          </cell>
          <cell r="D86" t="str">
            <v>MPG</v>
          </cell>
          <cell r="E86" t="str">
            <v>Direct</v>
          </cell>
        </row>
        <row r="87">
          <cell r="B87">
            <v>20070019</v>
          </cell>
          <cell r="C87" t="str">
            <v>CHORA</v>
          </cell>
          <cell r="D87" t="str">
            <v>MPG</v>
          </cell>
          <cell r="E87" t="str">
            <v>Direct</v>
          </cell>
        </row>
        <row r="88">
          <cell r="B88">
            <v>20070020</v>
          </cell>
          <cell r="C88" t="str">
            <v>ULATU</v>
          </cell>
          <cell r="D88" t="str">
            <v>MPG</v>
          </cell>
          <cell r="E88" t="str">
            <v>Direct</v>
          </cell>
        </row>
        <row r="89">
          <cell r="B89">
            <v>20070021</v>
          </cell>
          <cell r="C89" t="str">
            <v>USKU</v>
          </cell>
          <cell r="D89" t="str">
            <v>MPG</v>
          </cell>
          <cell r="E89" t="str">
            <v>Direct</v>
          </cell>
        </row>
        <row r="90">
          <cell r="B90">
            <v>20070023</v>
          </cell>
          <cell r="C90" t="str">
            <v>ICHAPIRI</v>
          </cell>
          <cell r="D90" t="str">
            <v>MPG</v>
          </cell>
          <cell r="E90" t="str">
            <v>Direct</v>
          </cell>
        </row>
        <row r="91">
          <cell r="B91">
            <v>20070024</v>
          </cell>
          <cell r="C91" t="str">
            <v>MURPA</v>
          </cell>
          <cell r="D91" t="str">
            <v>MPG</v>
          </cell>
          <cell r="E91" t="str">
            <v>Direct</v>
          </cell>
        </row>
        <row r="92">
          <cell r="B92">
            <v>20070025</v>
          </cell>
          <cell r="C92" t="str">
            <v>SUBHASH NAGAR</v>
          </cell>
          <cell r="D92" t="str">
            <v>MPG</v>
          </cell>
          <cell r="E92" t="str">
            <v>Direct</v>
          </cell>
        </row>
        <row r="93">
          <cell r="B93">
            <v>20070026</v>
          </cell>
          <cell r="C93" t="str">
            <v>NINDRA</v>
          </cell>
          <cell r="D93" t="str">
            <v>MPG</v>
          </cell>
          <cell r="E93" t="str">
            <v>Direct</v>
          </cell>
        </row>
        <row r="94">
          <cell r="B94">
            <v>20070027</v>
          </cell>
          <cell r="C94" t="str">
            <v>BELGARA</v>
          </cell>
          <cell r="D94" t="str">
            <v>VLC</v>
          </cell>
          <cell r="E94" t="str">
            <v>Direct</v>
          </cell>
        </row>
        <row r="95">
          <cell r="B95">
            <v>20070028</v>
          </cell>
          <cell r="C95" t="str">
            <v>SIRAM</v>
          </cell>
          <cell r="D95" t="str">
            <v>MPG</v>
          </cell>
          <cell r="E95" t="str">
            <v>Direct</v>
          </cell>
        </row>
        <row r="96">
          <cell r="B96">
            <v>20080001</v>
          </cell>
          <cell r="C96" t="str">
            <v>CHATTI BHANDRA</v>
          </cell>
          <cell r="D96" t="str">
            <v>RMC</v>
          </cell>
          <cell r="E96" t="str">
            <v>Direct</v>
          </cell>
        </row>
        <row r="97">
          <cell r="B97">
            <v>20080004</v>
          </cell>
          <cell r="C97" t="str">
            <v>Guri</v>
          </cell>
          <cell r="D97" t="str">
            <v>MPG</v>
          </cell>
          <cell r="E97" t="str">
            <v>Indirect</v>
          </cell>
        </row>
        <row r="98">
          <cell r="B98">
            <v>20080006</v>
          </cell>
          <cell r="C98" t="str">
            <v>Chitri Ambatoli</v>
          </cell>
          <cell r="D98" t="str">
            <v>MPG</v>
          </cell>
          <cell r="E98" t="str">
            <v>Direct</v>
          </cell>
        </row>
        <row r="99">
          <cell r="B99">
            <v>20080007</v>
          </cell>
          <cell r="C99" t="str">
            <v>Rampur</v>
          </cell>
          <cell r="D99" t="str">
            <v>MPG</v>
          </cell>
          <cell r="E99" t="str">
            <v>Direct</v>
          </cell>
        </row>
        <row r="100">
          <cell r="B100">
            <v>20080008</v>
          </cell>
          <cell r="C100" t="str">
            <v>Ningni</v>
          </cell>
          <cell r="D100" t="str">
            <v>MPG</v>
          </cell>
          <cell r="E100" t="str">
            <v>Direct</v>
          </cell>
        </row>
        <row r="101">
          <cell r="B101">
            <v>20080009</v>
          </cell>
          <cell r="C101" t="str">
            <v>MASHMANO</v>
          </cell>
          <cell r="D101" t="str">
            <v>MPG</v>
          </cell>
          <cell r="E101" t="str">
            <v>Direct</v>
          </cell>
        </row>
        <row r="102">
          <cell r="B102">
            <v>20080010</v>
          </cell>
          <cell r="C102" t="str">
            <v>PAHARKESA</v>
          </cell>
          <cell r="D102" t="str">
            <v>MPG</v>
          </cell>
          <cell r="E102" t="str">
            <v>Direct</v>
          </cell>
        </row>
        <row r="103">
          <cell r="B103">
            <v>20080014</v>
          </cell>
          <cell r="C103" t="str">
            <v>BHUJANIYA</v>
          </cell>
          <cell r="D103" t="str">
            <v>MPG</v>
          </cell>
          <cell r="E103" t="str">
            <v>Indirect</v>
          </cell>
        </row>
        <row r="104">
          <cell r="B104">
            <v>20080018</v>
          </cell>
          <cell r="C104" t="str">
            <v>SITHIO</v>
          </cell>
          <cell r="D104" t="str">
            <v>VLC</v>
          </cell>
          <cell r="E104" t="str">
            <v>Indirect</v>
          </cell>
        </row>
        <row r="105">
          <cell r="B105">
            <v>20080026</v>
          </cell>
          <cell r="C105" t="str">
            <v>CHHARDA</v>
          </cell>
          <cell r="D105" t="str">
            <v>MPG</v>
          </cell>
          <cell r="E105" t="str">
            <v>Direct</v>
          </cell>
        </row>
        <row r="106">
          <cell r="B106">
            <v>20080027</v>
          </cell>
          <cell r="C106" t="str">
            <v>NADI NAGRA 2</v>
          </cell>
          <cell r="D106" t="str">
            <v>MPG</v>
          </cell>
          <cell r="E106" t="str">
            <v>Direct</v>
          </cell>
        </row>
        <row r="107">
          <cell r="B107">
            <v>20080028</v>
          </cell>
          <cell r="C107" t="str">
            <v>BASRI NAGRA</v>
          </cell>
          <cell r="D107" t="str">
            <v>MPG</v>
          </cell>
          <cell r="E107" t="str">
            <v>Direct</v>
          </cell>
        </row>
        <row r="108">
          <cell r="B108">
            <v>20080030</v>
          </cell>
          <cell r="C108" t="str">
            <v>SORANDA</v>
          </cell>
          <cell r="D108" t="str">
            <v>MPG</v>
          </cell>
          <cell r="E108" t="str">
            <v>Direct</v>
          </cell>
        </row>
        <row r="109">
          <cell r="B109">
            <v>20080034</v>
          </cell>
          <cell r="C109" t="str">
            <v>ITTA BARHI CHOWK</v>
          </cell>
          <cell r="D109" t="str">
            <v>MPG</v>
          </cell>
          <cell r="E109" t="str">
            <v>Direct</v>
          </cell>
        </row>
        <row r="110">
          <cell r="B110">
            <v>20080036</v>
          </cell>
          <cell r="C110" t="str">
            <v>MUNDO 2</v>
          </cell>
          <cell r="D110" t="str">
            <v>VLC</v>
          </cell>
          <cell r="E110" t="str">
            <v>Indirect</v>
          </cell>
        </row>
        <row r="111">
          <cell r="B111">
            <v>20080039</v>
          </cell>
          <cell r="C111" t="str">
            <v>LONGA</v>
          </cell>
          <cell r="D111" t="str">
            <v>MPG</v>
          </cell>
          <cell r="E111" t="str">
            <v>Direct</v>
          </cell>
        </row>
        <row r="112">
          <cell r="B112">
            <v>20080041</v>
          </cell>
          <cell r="C112" t="str">
            <v>KACHMACHI</v>
          </cell>
          <cell r="D112" t="str">
            <v>MPG</v>
          </cell>
          <cell r="E112" t="str">
            <v>Direct</v>
          </cell>
        </row>
        <row r="113">
          <cell r="B113">
            <v>20080043</v>
          </cell>
          <cell r="C113" t="str">
            <v>JATARGARI</v>
          </cell>
          <cell r="D113" t="str">
            <v>MPG</v>
          </cell>
          <cell r="E113" t="str">
            <v>Direct</v>
          </cell>
        </row>
        <row r="114">
          <cell r="B114">
            <v>20080047</v>
          </cell>
          <cell r="C114" t="str">
            <v>PAHARKESHA 2</v>
          </cell>
          <cell r="D114" t="str">
            <v>VLC</v>
          </cell>
          <cell r="E114" t="str">
            <v>Direct</v>
          </cell>
        </row>
        <row r="115">
          <cell r="B115">
            <v>20080050</v>
          </cell>
          <cell r="C115" t="str">
            <v>KACHMACHI 2</v>
          </cell>
          <cell r="D115" t="str">
            <v>MPG</v>
          </cell>
          <cell r="E115" t="str">
            <v>Direct</v>
          </cell>
        </row>
        <row r="116">
          <cell r="B116">
            <v>20090001</v>
          </cell>
          <cell r="C116" t="str">
            <v>Chanho</v>
          </cell>
          <cell r="D116" t="str">
            <v>RMC</v>
          </cell>
          <cell r="E116" t="str">
            <v>Direct</v>
          </cell>
        </row>
        <row r="117">
          <cell r="B117">
            <v>20090004</v>
          </cell>
          <cell r="C117" t="str">
            <v>DUMRI</v>
          </cell>
          <cell r="D117" t="str">
            <v>MPG</v>
          </cell>
          <cell r="E117" t="str">
            <v>Direct</v>
          </cell>
        </row>
        <row r="118">
          <cell r="B118">
            <v>20090008</v>
          </cell>
          <cell r="C118" t="str">
            <v>GANESHPUR</v>
          </cell>
          <cell r="D118" t="str">
            <v>MPG</v>
          </cell>
          <cell r="E118" t="str">
            <v>Direct</v>
          </cell>
        </row>
        <row r="119">
          <cell r="B119">
            <v>20090010</v>
          </cell>
          <cell r="C119" t="str">
            <v>CHATWAL</v>
          </cell>
          <cell r="D119" t="str">
            <v>VLC</v>
          </cell>
          <cell r="E119" t="str">
            <v>Indirect</v>
          </cell>
        </row>
        <row r="120">
          <cell r="B120">
            <v>20090012</v>
          </cell>
          <cell r="C120" t="str">
            <v>LUNDRI 2</v>
          </cell>
          <cell r="D120" t="str">
            <v>MPG</v>
          </cell>
          <cell r="E120" t="str">
            <v>Indirect</v>
          </cell>
        </row>
        <row r="121">
          <cell r="B121">
            <v>20090013</v>
          </cell>
          <cell r="C121" t="str">
            <v>LUNDRI 1</v>
          </cell>
          <cell r="D121" t="str">
            <v>MPG</v>
          </cell>
          <cell r="E121" t="str">
            <v>Direct</v>
          </cell>
        </row>
        <row r="122">
          <cell r="B122">
            <v>20090014</v>
          </cell>
          <cell r="C122" t="str">
            <v>HUTAR</v>
          </cell>
          <cell r="D122" t="str">
            <v>MPG</v>
          </cell>
          <cell r="E122" t="str">
            <v>Direct</v>
          </cell>
        </row>
        <row r="123">
          <cell r="B123">
            <v>20090015</v>
          </cell>
          <cell r="C123" t="str">
            <v>PAKARIYO</v>
          </cell>
          <cell r="D123" t="str">
            <v>MPG</v>
          </cell>
          <cell r="E123" t="str">
            <v>Direct</v>
          </cell>
        </row>
        <row r="124">
          <cell r="B124">
            <v>20090017</v>
          </cell>
          <cell r="C124" t="str">
            <v>NAWATAND</v>
          </cell>
          <cell r="D124" t="str">
            <v>MPG</v>
          </cell>
          <cell r="E124" t="str">
            <v>Direct</v>
          </cell>
        </row>
        <row r="125">
          <cell r="B125">
            <v>20090020</v>
          </cell>
          <cell r="C125" t="str">
            <v>PAKARIYO 2</v>
          </cell>
          <cell r="D125" t="str">
            <v>MPG</v>
          </cell>
          <cell r="E125" t="str">
            <v>Direct</v>
          </cell>
        </row>
        <row r="126">
          <cell r="B126">
            <v>20090022</v>
          </cell>
          <cell r="C126" t="str">
            <v>KATAIYA 2</v>
          </cell>
          <cell r="D126" t="str">
            <v>MPG</v>
          </cell>
          <cell r="E126" t="str">
            <v>Indirect</v>
          </cell>
        </row>
        <row r="127">
          <cell r="B127">
            <v>20090023</v>
          </cell>
          <cell r="C127" t="str">
            <v>KOKAR</v>
          </cell>
          <cell r="D127" t="str">
            <v>MPG</v>
          </cell>
          <cell r="E127" t="str">
            <v>Direct</v>
          </cell>
        </row>
        <row r="128">
          <cell r="B128">
            <v>20090025</v>
          </cell>
          <cell r="C128" t="str">
            <v>KULLU</v>
          </cell>
          <cell r="D128" t="str">
            <v>VLC</v>
          </cell>
          <cell r="E128" t="str">
            <v>Indirect</v>
          </cell>
        </row>
        <row r="129">
          <cell r="B129">
            <v>20090028</v>
          </cell>
          <cell r="C129" t="str">
            <v>FULDIH 2</v>
          </cell>
          <cell r="D129" t="str">
            <v>VLC</v>
          </cell>
          <cell r="E129" t="str">
            <v>Indirect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79.484508333335" createdVersion="8" refreshedVersion="8" minRefreshableVersion="3" recordCount="28" xr:uid="{C7E1EA4B-2678-42A6-BE61-7C628A268556}">
  <cacheSource type="worksheet">
    <worksheetSource name="Table7"/>
  </cacheSource>
  <cacheFields count="21">
    <cacheField name="Timestamp" numFmtId="0">
      <sharedItems containsSemiMixedTypes="0" containsNonDate="0" containsDate="1" containsString="0" minDate="2026-09-12T06:27:11" maxDate="2026-09-12T16:06:28"/>
    </cacheField>
    <cacheField name="User Name" numFmtId="0">
      <sharedItems/>
    </cacheField>
    <cacheField name="Order Date" numFmtId="0">
      <sharedItems containsSemiMixedTypes="0" containsNonDate="0" containsDate="1" containsString="0" minDate="2026-09-12T00:00:00" maxDate="2026-09-13T00:00:00"/>
    </cacheField>
    <cacheField name="Deduction Cycle" numFmtId="0">
      <sharedItems/>
    </cacheField>
    <cacheField name="Item Name" numFmtId="0">
      <sharedItems/>
    </cacheField>
    <cacheField name="ID" numFmtId="0">
      <sharedItems/>
    </cacheField>
    <cacheField name="MPG Code" numFmtId="0">
      <sharedItems containsSemiMixedTypes="0" containsString="0" containsNumber="1" containsInteger="1" minValue="20010001" maxValue="20090020" count="17">
        <n v="20020003"/>
        <n v="20020020"/>
        <n v="20070001"/>
        <n v="20020027"/>
        <n v="20090008"/>
        <n v="20090015"/>
        <n v="20090020"/>
        <n v="20040001"/>
        <n v="20010054"/>
        <n v="20040007"/>
        <n v="20010003"/>
        <n v="20010052"/>
        <n v="20010001"/>
        <n v="20010008"/>
        <n v="20060003"/>
        <n v="20060004"/>
        <n v="20020013"/>
      </sharedItems>
    </cacheField>
    <cacheField name="Type" numFmtId="0">
      <sharedItems count="2">
        <s v="Direct"/>
        <s v="Indirect"/>
      </sharedItems>
    </cacheField>
    <cacheField name="MPG Name" numFmtId="0">
      <sharedItems/>
    </cacheField>
    <cacheField name="Farmer code" numFmtId="0">
      <sharedItems count="16">
        <s v="0002"/>
        <s v="0023"/>
        <s v="0009"/>
        <s v="0003"/>
        <s v="0005"/>
        <s v="0032"/>
        <s v="0028"/>
        <s v="0071"/>
        <s v="0012"/>
        <s v="0019"/>
        <s v="0018"/>
        <s v="0016"/>
        <s v="0024"/>
        <s v="0035"/>
        <s v="0059"/>
        <s v="0061"/>
      </sharedItems>
    </cacheField>
    <cacheField name="BMC Name" numFmtId="0">
      <sharedItems/>
    </cacheField>
    <cacheField name="CSP" numFmtId="0">
      <sharedItems/>
    </cacheField>
    <cacheField name="Qty" numFmtId="0">
      <sharedItems containsSemiMixedTypes="0" containsString="0" containsNumber="1" containsInteger="1" minValue="0" maxValue="100"/>
    </cacheField>
    <cacheField name="Rate" numFmtId="0">
      <sharedItems containsSemiMixedTypes="0" containsString="0" containsNumber="1" containsInteger="1" minValue="250" maxValue="1270"/>
    </cacheField>
    <cacheField name="Total Amount" numFmtId="0">
      <sharedItems containsSemiMixedTypes="0" containsString="0" containsNumber="1" containsInteger="1" minValue="0" maxValue="122000"/>
    </cacheField>
    <cacheField name="Other Due Amt" numFmtId="0">
      <sharedItems containsSemiMixedTypes="0" containsString="0" containsNumber="1" containsInteger="1" minValue="0" maxValue="835"/>
    </cacheField>
    <cacheField name="Total Amount (Proposed)" numFmtId="0">
      <sharedItems containsSemiMixedTypes="0" containsString="0" containsNumber="1" containsInteger="1" minValue="250" maxValue="122000"/>
    </cacheField>
    <cacheField name="Final Qty" numFmtId="0">
      <sharedItems containsSemiMixedTypes="0" containsString="0" containsNumber="1" containsInteger="1" minValue="0" maxValue="100"/>
    </cacheField>
    <cacheField name="Final Amount" numFmtId="0">
      <sharedItems containsSemiMixedTypes="0" containsString="0" containsNumber="1" containsInteger="1" minValue="250" maxValue="122000"/>
    </cacheField>
    <cacheField name="Deduction" numFmtId="0">
      <sharedItems containsNonDate="0" containsString="0" containsBlank="1"/>
    </cacheField>
    <cacheField name="Milk Amon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6-09-12T13:38:37"/>
    <s v="Vikash"/>
    <d v="2026-09-12T00:00:00"/>
    <s v="04-09-2026 TO 10-09-2026"/>
    <s v="Gomukh Gold 50KG"/>
    <s v="200200030002"/>
    <x v="0"/>
    <x v="0"/>
    <s v="Bijuliya"/>
    <x v="0"/>
    <s v="Paali"/>
    <s v="Daya Society"/>
    <n v="10"/>
    <n v="1270"/>
    <n v="12700"/>
    <n v="0"/>
    <n v="12700"/>
    <n v="10"/>
    <n v="12700"/>
    <m/>
    <m/>
  </r>
  <r>
    <d v="2026-09-12T13:39:09"/>
    <s v="Vikash"/>
    <d v="2026-09-12T00:00:00"/>
    <s v="04-09-2026 TO 10-09-2026"/>
    <s v="Gomukh Gold 50KG"/>
    <s v="200200200023"/>
    <x v="1"/>
    <x v="0"/>
    <s v="TIKO TOLI"/>
    <x v="1"/>
    <s v="Paali"/>
    <s v="Daya Society"/>
    <n v="2"/>
    <n v="1270"/>
    <n v="2540"/>
    <n v="0"/>
    <n v="2540"/>
    <n v="2"/>
    <n v="2540"/>
    <m/>
    <m/>
  </r>
  <r>
    <d v="2026-09-12T13:45:08"/>
    <s v="Vikash"/>
    <d v="2026-09-12T00:00:00"/>
    <s v="04-09-2026 TO 10-09-2026"/>
    <s v="Gomukh Gold 50KG"/>
    <s v="200700010002"/>
    <x v="2"/>
    <x v="0"/>
    <s v="PIRAGUTU"/>
    <x v="0"/>
    <s v="PIRAGUTU"/>
    <s v="Daya Society"/>
    <n v="10"/>
    <n v="1270"/>
    <n v="12700"/>
    <n v="0"/>
    <n v="12700"/>
    <n v="10"/>
    <n v="12700"/>
    <m/>
    <m/>
  </r>
  <r>
    <d v="2026-09-12T13:53:06"/>
    <s v="Vikash"/>
    <d v="2026-09-12T00:00:00"/>
    <s v="04-09-2026 TO 10-09-2026"/>
    <s v="Gomukh Gold 50KG"/>
    <s v="200200270009"/>
    <x v="3"/>
    <x v="0"/>
    <s v="GARRI"/>
    <x v="2"/>
    <s v="Paali"/>
    <s v="Daya Society"/>
    <n v="1"/>
    <n v="1270"/>
    <n v="1270"/>
    <n v="0"/>
    <n v="1270"/>
    <n v="1"/>
    <n v="1270"/>
    <m/>
    <m/>
  </r>
  <r>
    <d v="2026-09-12T13:53:32"/>
    <s v="Vikash"/>
    <d v="2026-09-12T00:00:00"/>
    <s v="04-09-2026 TO 10-09-2026"/>
    <s v="Gomukh Gold 50KG"/>
    <s v="200200270009"/>
    <x v="3"/>
    <x v="0"/>
    <s v="GARRI"/>
    <x v="2"/>
    <s v="Paali"/>
    <s v="Daya Society"/>
    <n v="0"/>
    <n v="1270"/>
    <n v="0"/>
    <n v="835"/>
    <n v="835"/>
    <n v="0"/>
    <n v="835"/>
    <m/>
    <m/>
  </r>
  <r>
    <d v="2026-09-12T13:53:58"/>
    <s v="Vikash"/>
    <d v="2026-09-12T00:00:00"/>
    <s v="04-09-2026 TO 10-09-2026"/>
    <s v="Gomukh Gold 50KG"/>
    <s v="200200270003"/>
    <x v="3"/>
    <x v="0"/>
    <s v="GARRI"/>
    <x v="3"/>
    <s v="Paali"/>
    <s v="Daya Society"/>
    <n v="1"/>
    <n v="1270"/>
    <n v="1270"/>
    <n v="0"/>
    <n v="1270"/>
    <n v="1"/>
    <n v="1270"/>
    <m/>
    <m/>
  </r>
  <r>
    <d v="2026-09-12T14:13:52"/>
    <s v="Amar sahu"/>
    <d v="2026-09-12T00:00:00"/>
    <s v="04-09-2026 TO 10-09-2026"/>
    <s v="Gomukh Gold 50KG"/>
    <s v="200900080005"/>
    <x v="4"/>
    <x v="0"/>
    <s v="GANESHPUR"/>
    <x v="4"/>
    <s v="Chanho"/>
    <s v="Daya Society"/>
    <n v="0"/>
    <n v="1270"/>
    <n v="0"/>
    <n v="635"/>
    <n v="635"/>
    <n v="0"/>
    <n v="635"/>
    <m/>
    <m/>
  </r>
  <r>
    <d v="2026-09-12T14:14:51"/>
    <s v="Amar sahu"/>
    <d v="2026-09-12T00:00:00"/>
    <s v="04-09-2026 TO 10-09-2026"/>
    <s v="Gomukh Gold 50KG"/>
    <s v="200900150032"/>
    <x v="5"/>
    <x v="0"/>
    <s v="PAKARIYO"/>
    <x v="5"/>
    <s v="Chanho"/>
    <s v="Chanho"/>
    <n v="1"/>
    <n v="1270"/>
    <n v="1270"/>
    <n v="0"/>
    <n v="1270"/>
    <n v="1"/>
    <n v="1270"/>
    <m/>
    <m/>
  </r>
  <r>
    <d v="2026-09-12T14:15:15"/>
    <s v="Amar sahu"/>
    <d v="2026-09-12T00:00:00"/>
    <s v="04-09-2026 TO 10-09-2026"/>
    <s v="Gomukh Gold 50KG"/>
    <s v="200900150028"/>
    <x v="5"/>
    <x v="0"/>
    <s v="PAKARIYO"/>
    <x v="6"/>
    <s v="Chanho"/>
    <s v="Chanho"/>
    <n v="1"/>
    <n v="1270"/>
    <n v="1270"/>
    <n v="0"/>
    <n v="1270"/>
    <n v="1"/>
    <n v="1270"/>
    <m/>
    <m/>
  </r>
  <r>
    <d v="2026-09-12T14:15:55"/>
    <s v="Amar sahu"/>
    <d v="2026-09-12T00:00:00"/>
    <s v="04-09-2026 TO 10-09-2026"/>
    <s v="Gomukh Gold 50KG"/>
    <s v="200900200002"/>
    <x v="6"/>
    <x v="0"/>
    <s v="PAKARIYO 2"/>
    <x v="0"/>
    <s v="Chanho"/>
    <s v="Chanho"/>
    <n v="0"/>
    <n v="1270"/>
    <n v="0"/>
    <n v="635"/>
    <n v="635"/>
    <n v="0"/>
    <n v="635"/>
    <m/>
    <m/>
  </r>
  <r>
    <d v="2026-09-12T14:16:16"/>
    <s v="Amar sahu"/>
    <d v="2026-09-12T00:00:00"/>
    <s v="04-09-2026 TO 10-09-2026"/>
    <s v="Gomukh Gold 50KG"/>
    <s v="200400010003"/>
    <x v="7"/>
    <x v="0"/>
    <s v="CHOREYA"/>
    <x v="3"/>
    <s v="CHOREYA"/>
    <s v="Chanho"/>
    <n v="2"/>
    <n v="1270"/>
    <n v="2540"/>
    <n v="0"/>
    <n v="2540"/>
    <n v="2"/>
    <n v="2540"/>
    <m/>
    <m/>
  </r>
  <r>
    <d v="2026-09-12T14:16:43"/>
    <s v="Amar sahu"/>
    <d v="2026-09-12T00:00:00"/>
    <s v="04-09-2026 TO 10-09-2026"/>
    <s v="Gomukh Gold 50KG"/>
    <s v="200400010071"/>
    <x v="7"/>
    <x v="0"/>
    <s v="CHOREYA"/>
    <x v="7"/>
    <s v="CHOREYA"/>
    <s v="Chanho"/>
    <n v="1"/>
    <n v="1270"/>
    <n v="1270"/>
    <n v="0"/>
    <n v="1270"/>
    <n v="1"/>
    <n v="1270"/>
    <m/>
    <m/>
  </r>
  <r>
    <d v="2026-09-12T14:17:08"/>
    <s v="Amar sahu"/>
    <d v="2026-09-12T00:00:00"/>
    <s v="04-09-2026 TO 10-09-2026"/>
    <s v="Payaswini Min Boon"/>
    <s v="200100540012"/>
    <x v="8"/>
    <x v="0"/>
    <s v="NARKOPI"/>
    <x v="8"/>
    <s v="Chanho"/>
    <s v="Chanho"/>
    <n v="1"/>
    <n v="250"/>
    <n v="250"/>
    <n v="0"/>
    <n v="250"/>
    <n v="1"/>
    <n v="250"/>
    <m/>
    <m/>
  </r>
  <r>
    <d v="2026-09-12T14:19:55"/>
    <s v="Amar sahu"/>
    <d v="2026-09-12T00:00:00"/>
    <s v="04-09-2026 TO 10-09-2026"/>
    <s v="Payaswini Min Boon"/>
    <s v="200400070005"/>
    <x v="9"/>
    <x v="0"/>
    <s v="MADHUKAM"/>
    <x v="4"/>
    <s v="CHOREYA"/>
    <s v="Chanho"/>
    <n v="1"/>
    <n v="250"/>
    <n v="250"/>
    <n v="0"/>
    <n v="250"/>
    <n v="1"/>
    <n v="250"/>
    <m/>
    <m/>
  </r>
  <r>
    <d v="2026-09-12T14:20:26"/>
    <s v="Amar sahu"/>
    <d v="2026-09-12T00:00:00"/>
    <s v="04-09-2026 TO 10-09-2026"/>
    <s v="Payaswini Min Boon"/>
    <s v="200400070019"/>
    <x v="9"/>
    <x v="0"/>
    <s v="MADHUKAM"/>
    <x v="9"/>
    <s v="CHOREYA"/>
    <s v="Chanho"/>
    <n v="1"/>
    <n v="250"/>
    <n v="250"/>
    <n v="0"/>
    <n v="250"/>
    <n v="1"/>
    <n v="250"/>
    <m/>
    <m/>
  </r>
  <r>
    <d v="2026-09-12T14:23:41"/>
    <s v="Amar sahu"/>
    <d v="2026-09-12T00:00:00"/>
    <s v="04-09-2026 TO 10-09-2026"/>
    <s v="Payaswini Min Boon"/>
    <s v="200400070003"/>
    <x v="9"/>
    <x v="0"/>
    <s v="MADHUKAM"/>
    <x v="3"/>
    <s v="CHOREYA"/>
    <s v="Chanho"/>
    <n v="1"/>
    <n v="250"/>
    <n v="250"/>
    <n v="0"/>
    <n v="250"/>
    <n v="1"/>
    <n v="250"/>
    <m/>
    <m/>
  </r>
  <r>
    <d v="2026-09-12T14:24:06"/>
    <s v="Amar sahu"/>
    <d v="2026-09-12T00:00:00"/>
    <s v="04-09-2026 TO 10-09-2026"/>
    <s v="Payaswini Min Boon"/>
    <s v="200400070018"/>
    <x v="9"/>
    <x v="0"/>
    <s v="MADHUKAM"/>
    <x v="10"/>
    <s v="CHOREYA"/>
    <s v="Chanho"/>
    <n v="1"/>
    <n v="250"/>
    <n v="250"/>
    <n v="0"/>
    <n v="250"/>
    <n v="1"/>
    <n v="250"/>
    <m/>
    <m/>
  </r>
  <r>
    <d v="2026-09-12T14:24:25"/>
    <s v="Amar sahu"/>
    <d v="2026-09-12T00:00:00"/>
    <s v="04-09-2026 TO 10-09-2026"/>
    <s v="Payaswini Min Boon"/>
    <s v="200400070016"/>
    <x v="9"/>
    <x v="0"/>
    <s v="MADHUKAM"/>
    <x v="11"/>
    <s v="CHOREYA"/>
    <s v="Chanho"/>
    <n v="1"/>
    <n v="250"/>
    <n v="250"/>
    <n v="0"/>
    <n v="250"/>
    <n v="1"/>
    <n v="250"/>
    <m/>
    <m/>
  </r>
  <r>
    <d v="2026-09-12T14:36:49"/>
    <s v="Satendra Kumar"/>
    <d v="2026-09-12T00:00:00"/>
    <s v="04-09-2026 TO 10-09-2026"/>
    <s v="Gomukh Gold 50KG"/>
    <s v="200100030003"/>
    <x v="10"/>
    <x v="0"/>
    <s v="Bero"/>
    <x v="3"/>
    <s v="Itki"/>
    <s v="Daya Society"/>
    <n v="10"/>
    <n v="1270"/>
    <n v="12700"/>
    <n v="0"/>
    <n v="12700"/>
    <n v="10"/>
    <n v="12700"/>
    <m/>
    <m/>
  </r>
  <r>
    <d v="2026-09-12T14:37:39"/>
    <s v="Satendra Kumar"/>
    <d v="2026-09-12T00:00:00"/>
    <s v="04-09-2026 TO 10-09-2026"/>
    <s v="Gomukh Gold 50KG"/>
    <s v="200100520002"/>
    <x v="11"/>
    <x v="0"/>
    <s v="Kumbatoli"/>
    <x v="0"/>
    <s v="Itki"/>
    <s v="Daya Society"/>
    <n v="5"/>
    <n v="1270"/>
    <n v="6350"/>
    <n v="0"/>
    <n v="6350"/>
    <n v="5"/>
    <n v="6350"/>
    <m/>
    <m/>
  </r>
  <r>
    <d v="2026-09-12T14:39:22"/>
    <s v="Satendra Kumar"/>
    <d v="2026-09-12T00:00:00"/>
    <s v="04-09-2026 TO 10-09-2026"/>
    <s v="Gomukh Gold 50KG"/>
    <s v="200100010002"/>
    <x v="12"/>
    <x v="0"/>
    <s v="Itki"/>
    <x v="0"/>
    <s v="Itki"/>
    <s v="Daya Society"/>
    <n v="100"/>
    <n v="1220"/>
    <n v="122000"/>
    <n v="0"/>
    <n v="122000"/>
    <n v="100"/>
    <n v="122000"/>
    <m/>
    <m/>
  </r>
  <r>
    <d v="2026-09-12T14:45:33"/>
    <s v="Satendra Kumar"/>
    <d v="2026-09-12T00:00:00"/>
    <s v="04-09-2026 TO 10-09-2026"/>
    <s v="Gomukh Gold 50KG"/>
    <s v="200100080024"/>
    <x v="13"/>
    <x v="0"/>
    <s v="Erchoro"/>
    <x v="12"/>
    <s v="Itki"/>
    <s v="Daya Society"/>
    <n v="1"/>
    <n v="1270"/>
    <n v="1270"/>
    <n v="0"/>
    <n v="1270"/>
    <n v="1"/>
    <n v="1270"/>
    <m/>
    <m/>
  </r>
  <r>
    <d v="2026-09-12T14:46:34"/>
    <s v="Satendra Kumar"/>
    <d v="2026-09-12T00:00:00"/>
    <s v="04-09-2026 TO 10-09-2026"/>
    <s v="Gomukh Gold 50KG"/>
    <s v="200100080035"/>
    <x v="13"/>
    <x v="0"/>
    <s v="Erchoro"/>
    <x v="13"/>
    <s v="Itki"/>
    <s v="Daya Society"/>
    <n v="14"/>
    <n v="1270"/>
    <n v="17780"/>
    <n v="0"/>
    <n v="17780"/>
    <n v="14"/>
    <n v="17780"/>
    <m/>
    <m/>
  </r>
  <r>
    <d v="2026-09-12T14:48:39"/>
    <s v="Satendra Kumar"/>
    <d v="2026-09-12T00:00:00"/>
    <s v="04-09-2026 TO 10-09-2026"/>
    <s v="Gomukh Gold 50KG"/>
    <s v="200100080059"/>
    <x v="13"/>
    <x v="0"/>
    <s v="Erchoro"/>
    <x v="14"/>
    <s v="Itki"/>
    <s v="Daya Society"/>
    <n v="4"/>
    <n v="1270"/>
    <n v="5080"/>
    <n v="0"/>
    <n v="5080"/>
    <n v="4"/>
    <n v="5080"/>
    <m/>
    <m/>
  </r>
  <r>
    <d v="2026-09-12T14:49:17"/>
    <s v="Satendra Kumar"/>
    <d v="2026-09-12T00:00:00"/>
    <s v="04-09-2026 TO 10-09-2026"/>
    <s v="Gomukh Gold 50KG"/>
    <s v="200100080061"/>
    <x v="13"/>
    <x v="0"/>
    <s v="Erchoro"/>
    <x v="15"/>
    <s v="Itki"/>
    <s v="Daya Society"/>
    <n v="1"/>
    <n v="1270"/>
    <n v="1270"/>
    <n v="0"/>
    <n v="1270"/>
    <n v="1"/>
    <n v="1270"/>
    <m/>
    <m/>
  </r>
  <r>
    <d v="2026-09-12T14:55:25"/>
    <s v="Satendra Kumar"/>
    <d v="2026-09-12T00:00:00"/>
    <s v="04-09-2026 TO 10-09-2026"/>
    <s v="Gomukh Gold 50KG"/>
    <s v="200600030002"/>
    <x v="14"/>
    <x v="0"/>
    <s v="DUMARDAGA"/>
    <x v="0"/>
    <s v="ORMANJHI"/>
    <s v="Daya Society"/>
    <n v="13"/>
    <n v="1270"/>
    <n v="16510"/>
    <n v="0"/>
    <n v="16510"/>
    <n v="13"/>
    <n v="16510"/>
    <m/>
    <m/>
  </r>
  <r>
    <d v="2026-09-12T16:06:28"/>
    <s v="Satendra Kumar"/>
    <d v="2026-09-12T00:00:00"/>
    <s v="04-09-2026 TO 10-09-2026"/>
    <s v="Gomukh Gold 50KG"/>
    <s v="200600040002"/>
    <x v="15"/>
    <x v="0"/>
    <s v="CHUTTU"/>
    <x v="0"/>
    <s v="ORMANJHI"/>
    <s v="Daya Society"/>
    <n v="5"/>
    <n v="1270"/>
    <n v="6350"/>
    <n v="0"/>
    <n v="6350"/>
    <n v="5"/>
    <n v="6350"/>
    <m/>
    <m/>
  </r>
  <r>
    <d v="2026-09-12T06:27:11"/>
    <s v="Vikash"/>
    <d v="2026-09-12T00:00:00"/>
    <s v="04-09-2026 TO 10-09-2026"/>
    <s v="Gomukh Gold 50KG"/>
    <s v="200200130002"/>
    <x v="16"/>
    <x v="1"/>
    <s v="BAJPUR"/>
    <x v="0"/>
    <s v="Paali"/>
    <s v="Daya Society"/>
    <n v="5"/>
    <n v="1270"/>
    <n v="6350"/>
    <n v="0"/>
    <n v="6350"/>
    <n v="5"/>
    <n v="635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CC130-210D-4B04-BF1E-1AB24704E2AC}" name="PivotTable4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34" firstHeaderRow="2" firstDataRow="2" firstDataCol="3"/>
  <pivotFields count="21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">
        <item x="12"/>
        <item x="10"/>
        <item x="13"/>
        <item x="11"/>
        <item x="8"/>
        <item x="0"/>
        <item x="16"/>
        <item x="1"/>
        <item x="3"/>
        <item x="7"/>
        <item x="9"/>
        <item x="14"/>
        <item x="15"/>
        <item x="2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7">
        <item x="0"/>
        <item x="3"/>
        <item x="4"/>
        <item x="2"/>
        <item x="8"/>
        <item x="11"/>
        <item x="10"/>
        <item x="9"/>
        <item x="1"/>
        <item x="12"/>
        <item x="6"/>
        <item x="5"/>
        <item x="13"/>
        <item x="14"/>
        <item x="15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6"/>
    <field x="9"/>
  </rowFields>
  <rowItems count="30">
    <i>
      <x/>
      <x/>
      <x/>
    </i>
    <i r="1">
      <x v="1"/>
      <x v="1"/>
    </i>
    <i r="1">
      <x v="2"/>
      <x v="9"/>
    </i>
    <i r="2">
      <x v="12"/>
    </i>
    <i r="2">
      <x v="13"/>
    </i>
    <i r="2">
      <x v="14"/>
    </i>
    <i r="1">
      <x v="3"/>
      <x/>
    </i>
    <i r="1">
      <x v="4"/>
      <x v="4"/>
    </i>
    <i r="1">
      <x v="5"/>
      <x/>
    </i>
    <i r="1">
      <x v="7"/>
      <x v="8"/>
    </i>
    <i r="1">
      <x v="8"/>
      <x v="1"/>
    </i>
    <i r="2">
      <x v="3"/>
    </i>
    <i r="1">
      <x v="9"/>
      <x v="1"/>
    </i>
    <i r="2">
      <x v="15"/>
    </i>
    <i r="1">
      <x v="10"/>
      <x v="1"/>
    </i>
    <i r="2">
      <x v="2"/>
    </i>
    <i r="2">
      <x v="5"/>
    </i>
    <i r="2">
      <x v="6"/>
    </i>
    <i r="2">
      <x v="7"/>
    </i>
    <i r="1">
      <x v="11"/>
      <x/>
    </i>
    <i r="1">
      <x v="12"/>
      <x/>
    </i>
    <i r="1">
      <x v="13"/>
      <x/>
    </i>
    <i r="1">
      <x v="14"/>
      <x v="2"/>
    </i>
    <i r="1">
      <x v="15"/>
      <x v="10"/>
    </i>
    <i r="2">
      <x v="11"/>
    </i>
    <i r="1">
      <x v="16"/>
      <x/>
    </i>
    <i t="default">
      <x/>
    </i>
    <i>
      <x v="1"/>
      <x v="6"/>
      <x/>
    </i>
    <i t="default">
      <x v="1"/>
    </i>
    <i t="grand">
      <x/>
    </i>
  </rowItems>
  <colItems count="1">
    <i/>
  </colItems>
  <dataFields count="1">
    <dataField name="Sum of Final Amoun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9632B5-809E-4783-BC32-C138AC86AEE1}" name="Table7" displayName="Table7" ref="A1:U30" totalsRowCount="1" headerRowDxfId="25" totalsRowDxfId="22" headerRowBorderDxfId="24" tableBorderDxfId="23">
  <autoFilter ref="A1:U29" xr:uid="{009632B5-809E-4783-BC32-C138AC86AEE1}"/>
  <sortState xmlns:xlrd2="http://schemas.microsoft.com/office/spreadsheetml/2017/richdata2" ref="A2:U29">
    <sortCondition ref="H1:H29"/>
  </sortState>
  <tableColumns count="21">
    <tableColumn id="1" xr3:uid="{9B79393A-CBAB-465F-80EE-07EEB24B7355}" name="Timestamp" dataDxfId="21"/>
    <tableColumn id="2" xr3:uid="{0B69BD22-5892-437F-8F39-CE8D2AF3A6F0}" name="User Name" dataDxfId="20"/>
    <tableColumn id="3" xr3:uid="{3A83120C-CEDA-4E12-A16B-192704B0A5E5}" name="Order Date" dataDxfId="19"/>
    <tableColumn id="4" xr3:uid="{85E4B08C-D0B3-4E50-9B6E-5E4D999BA76A}" name="Deduction Cycle" dataDxfId="18"/>
    <tableColumn id="5" xr3:uid="{C502F42D-0942-4E06-B587-5B50496A6676}" name="Item Name" dataDxfId="17"/>
    <tableColumn id="6" xr3:uid="{4B1A1A2B-106D-4DED-953D-B8D3F71D0681}" name="ID" dataDxfId="16">
      <calculatedColumnFormula>CONCATENATE(Table7[[#This Row],[MPG Code]],Table7[[#This Row],[Farmer code]])</calculatedColumnFormula>
    </tableColumn>
    <tableColumn id="7" xr3:uid="{B8C97352-3DC2-436A-9847-78C9F0AE209E}" name="MPG Code" dataDxfId="15"/>
    <tableColumn id="20" xr3:uid="{A014827E-57ED-4FD0-9375-5D4ED5A7D43C}" name="Type" dataDxfId="14">
      <calculatedColumnFormula>VLOOKUP(Table7[[#This Row],[MPG Code]],'[1]MPG Payment'!$B$3:$E$129,4,0)</calculatedColumnFormula>
    </tableColumn>
    <tableColumn id="8" xr3:uid="{B47C84FB-80F0-4E1C-8E0B-1AF2C21D3EAA}" name="MPG Name" dataDxfId="13"/>
    <tableColumn id="9" xr3:uid="{7B309EC5-5E2D-4287-AC22-5A4B18AA9574}" name="Farmer code" dataDxfId="12"/>
    <tableColumn id="10" xr3:uid="{F9BE07A2-8FAD-4E62-A522-1F6D29F12A7E}" name="BMC Name" dataDxfId="11"/>
    <tableColumn id="11" xr3:uid="{7E738F62-53A2-438A-BB79-7349EA30F008}" name="CSP" dataDxfId="10"/>
    <tableColumn id="12" xr3:uid="{EE7020FE-B5AC-446B-8346-D9CEB6DA26E4}" name="Qty" dataDxfId="9"/>
    <tableColumn id="13" xr3:uid="{28D99181-F943-4BB1-A41C-E006B4409127}" name="Rate" dataDxfId="8"/>
    <tableColumn id="14" xr3:uid="{19F82291-7623-499D-822B-29EE476AD127}" name="Total Amount" dataDxfId="7"/>
    <tableColumn id="15" xr3:uid="{67239930-A0AC-44CD-ACB0-C7B7CAE5BFF3}" name="Other Due Amt" dataDxfId="6"/>
    <tableColumn id="16" xr3:uid="{C2A22D23-CFC0-4DFE-B234-6095B679C70E}" name="Total Amount (Proposed)" dataDxfId="5"/>
    <tableColumn id="17" xr3:uid="{EC179A52-2A01-40A2-A5C8-E7D1FA5D974A}" name="Final Qty" dataDxfId="4"/>
    <tableColumn id="18" xr3:uid="{C63D14ED-8F45-4FF2-97B3-F29B03FCABEF}" name="Final Amount" totalsRowFunction="sum" dataDxfId="3"/>
    <tableColumn id="21" xr3:uid="{51036A47-0408-49B4-B3D6-0F0EDB9F4D08}" name="Deduction" totalsRowFunction="sum" dataDxfId="2"/>
    <tableColumn id="19" xr3:uid="{8F67FA6A-04BB-4018-910A-2B3A93A0F8BF}" name="Milk Amonnt" dataDxfId="1"/>
  </tableColumns>
  <tableStyleInfo name="TableStyleLight2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6C849-1B01-4471-900F-1557CF723C9A}">
  <dimension ref="A3:L34"/>
  <sheetViews>
    <sheetView workbookViewId="0">
      <selection activeCell="L31" sqref="L31"/>
    </sheetView>
  </sheetViews>
  <sheetFormatPr defaultRowHeight="15" x14ac:dyDescent="0.25"/>
  <cols>
    <col min="1" max="1" width="12.7109375" bestFit="1" customWidth="1"/>
    <col min="2" max="3" width="14.28515625" bestFit="1" customWidth="1"/>
    <col min="4" max="4" width="7" bestFit="1" customWidth="1"/>
  </cols>
  <sheetData>
    <row r="3" spans="1:12" x14ac:dyDescent="0.25">
      <c r="A3" s="26" t="s">
        <v>65</v>
      </c>
    </row>
    <row r="4" spans="1:12" x14ac:dyDescent="0.25">
      <c r="A4" s="26" t="s">
        <v>62</v>
      </c>
      <c r="B4" s="26" t="s">
        <v>6</v>
      </c>
      <c r="C4" s="26" t="s">
        <v>8</v>
      </c>
      <c r="D4" t="s">
        <v>66</v>
      </c>
      <c r="G4" s="27" t="s">
        <v>5</v>
      </c>
      <c r="H4" s="27" t="s">
        <v>62</v>
      </c>
      <c r="I4" s="27" t="s">
        <v>6</v>
      </c>
      <c r="J4" s="27" t="s">
        <v>8</v>
      </c>
      <c r="K4" s="27" t="s">
        <v>66</v>
      </c>
      <c r="L4" s="27" t="s">
        <v>63</v>
      </c>
    </row>
    <row r="5" spans="1:12" x14ac:dyDescent="0.25">
      <c r="A5" t="s">
        <v>67</v>
      </c>
      <c r="B5">
        <v>20010001</v>
      </c>
      <c r="C5" t="s">
        <v>21</v>
      </c>
      <c r="D5">
        <v>122000</v>
      </c>
      <c r="G5" t="str">
        <f>CONCATENATE(I5,J5)</f>
        <v>200100010002</v>
      </c>
      <c r="H5" s="30" t="s">
        <v>67</v>
      </c>
      <c r="I5" s="30">
        <v>20010001</v>
      </c>
      <c r="J5" t="s">
        <v>21</v>
      </c>
      <c r="K5">
        <v>122000</v>
      </c>
    </row>
    <row r="6" spans="1:12" x14ac:dyDescent="0.25">
      <c r="A6" t="s">
        <v>67</v>
      </c>
      <c r="B6">
        <v>20010003</v>
      </c>
      <c r="C6" t="s">
        <v>29</v>
      </c>
      <c r="D6">
        <v>12700</v>
      </c>
      <c r="G6" t="str">
        <f t="shared" ref="G6:G30" si="0">CONCATENATE(I6,J6)</f>
        <v>200100030003</v>
      </c>
      <c r="H6" s="30" t="s">
        <v>67</v>
      </c>
      <c r="I6" s="30">
        <v>20010003</v>
      </c>
      <c r="J6" t="s">
        <v>29</v>
      </c>
      <c r="K6">
        <v>12700</v>
      </c>
    </row>
    <row r="7" spans="1:12" x14ac:dyDescent="0.25">
      <c r="A7" t="s">
        <v>67</v>
      </c>
      <c r="B7">
        <v>20010008</v>
      </c>
      <c r="C7" t="s">
        <v>45</v>
      </c>
      <c r="D7">
        <v>1270</v>
      </c>
      <c r="G7" t="str">
        <f t="shared" si="0"/>
        <v>200100080024</v>
      </c>
      <c r="H7" s="30" t="s">
        <v>67</v>
      </c>
      <c r="I7" s="30">
        <v>20010008</v>
      </c>
      <c r="J7" t="s">
        <v>45</v>
      </c>
      <c r="K7">
        <v>1270</v>
      </c>
    </row>
    <row r="8" spans="1:12" x14ac:dyDescent="0.25">
      <c r="A8" t="s">
        <v>67</v>
      </c>
      <c r="B8">
        <v>20010008</v>
      </c>
      <c r="C8" t="s">
        <v>34</v>
      </c>
      <c r="D8">
        <v>17780</v>
      </c>
      <c r="G8" t="str">
        <f t="shared" si="0"/>
        <v>200100080035</v>
      </c>
      <c r="H8" s="30" t="s">
        <v>67</v>
      </c>
      <c r="I8" s="30">
        <v>20010008</v>
      </c>
      <c r="J8" t="s">
        <v>34</v>
      </c>
      <c r="K8">
        <v>17780</v>
      </c>
    </row>
    <row r="9" spans="1:12" x14ac:dyDescent="0.25">
      <c r="A9" t="s">
        <v>67</v>
      </c>
      <c r="B9">
        <v>20010008</v>
      </c>
      <c r="C9" t="s">
        <v>33</v>
      </c>
      <c r="D9">
        <v>5080</v>
      </c>
      <c r="G9" t="str">
        <f t="shared" si="0"/>
        <v>200100080059</v>
      </c>
      <c r="H9" s="30" t="s">
        <v>67</v>
      </c>
      <c r="I9" s="30">
        <v>20010008</v>
      </c>
      <c r="J9" t="s">
        <v>33</v>
      </c>
      <c r="K9">
        <v>5080</v>
      </c>
    </row>
    <row r="10" spans="1:12" x14ac:dyDescent="0.25">
      <c r="A10" t="s">
        <v>67</v>
      </c>
      <c r="B10">
        <v>20010008</v>
      </c>
      <c r="C10" t="s">
        <v>61</v>
      </c>
      <c r="D10">
        <v>1270</v>
      </c>
      <c r="G10" t="str">
        <f t="shared" si="0"/>
        <v>200100080061</v>
      </c>
      <c r="H10" s="30" t="s">
        <v>67</v>
      </c>
      <c r="I10" s="30">
        <v>20010008</v>
      </c>
      <c r="J10" t="s">
        <v>61</v>
      </c>
      <c r="K10">
        <v>1270</v>
      </c>
    </row>
    <row r="11" spans="1:12" x14ac:dyDescent="0.25">
      <c r="A11" t="s">
        <v>67</v>
      </c>
      <c r="B11">
        <v>20010052</v>
      </c>
      <c r="C11" t="s">
        <v>21</v>
      </c>
      <c r="D11">
        <v>6350</v>
      </c>
      <c r="G11" t="str">
        <f t="shared" si="0"/>
        <v>200100520002</v>
      </c>
      <c r="H11" s="30" t="s">
        <v>67</v>
      </c>
      <c r="I11" s="30">
        <v>20010052</v>
      </c>
      <c r="J11" t="s">
        <v>21</v>
      </c>
      <c r="K11">
        <v>6350</v>
      </c>
    </row>
    <row r="12" spans="1:12" x14ac:dyDescent="0.25">
      <c r="A12" t="s">
        <v>67</v>
      </c>
      <c r="B12">
        <v>20010054</v>
      </c>
      <c r="C12" t="s">
        <v>28</v>
      </c>
      <c r="D12">
        <v>250</v>
      </c>
      <c r="G12" t="str">
        <f t="shared" si="0"/>
        <v>200100540012</v>
      </c>
      <c r="H12" s="30" t="s">
        <v>67</v>
      </c>
      <c r="I12" s="30">
        <v>20010054</v>
      </c>
      <c r="J12" t="s">
        <v>28</v>
      </c>
      <c r="K12">
        <v>250</v>
      </c>
    </row>
    <row r="13" spans="1:12" x14ac:dyDescent="0.25">
      <c r="A13" t="s">
        <v>67</v>
      </c>
      <c r="B13">
        <v>20020003</v>
      </c>
      <c r="C13" t="s">
        <v>21</v>
      </c>
      <c r="D13">
        <v>12700</v>
      </c>
      <c r="G13" t="str">
        <f t="shared" si="0"/>
        <v>200200030002</v>
      </c>
      <c r="H13" s="30" t="s">
        <v>67</v>
      </c>
      <c r="I13" s="30">
        <v>20020003</v>
      </c>
      <c r="J13" t="s">
        <v>21</v>
      </c>
      <c r="K13">
        <v>12700</v>
      </c>
    </row>
    <row r="14" spans="1:12" x14ac:dyDescent="0.25">
      <c r="A14" t="s">
        <v>67</v>
      </c>
      <c r="B14">
        <v>20020020</v>
      </c>
      <c r="C14" t="s">
        <v>40</v>
      </c>
      <c r="D14">
        <v>2540</v>
      </c>
      <c r="G14" t="str">
        <f t="shared" si="0"/>
        <v>200200200023</v>
      </c>
      <c r="H14" s="30" t="s">
        <v>67</v>
      </c>
      <c r="I14" s="30">
        <v>20020020</v>
      </c>
      <c r="J14" t="s">
        <v>40</v>
      </c>
      <c r="K14">
        <v>2540</v>
      </c>
    </row>
    <row r="15" spans="1:12" x14ac:dyDescent="0.25">
      <c r="A15" t="s">
        <v>67</v>
      </c>
      <c r="B15">
        <v>20020027</v>
      </c>
      <c r="C15" t="s">
        <v>29</v>
      </c>
      <c r="D15">
        <v>1270</v>
      </c>
      <c r="G15" t="str">
        <f t="shared" si="0"/>
        <v>200200270003</v>
      </c>
      <c r="H15" s="30" t="s">
        <v>67</v>
      </c>
      <c r="I15" s="30">
        <v>20020027</v>
      </c>
      <c r="J15" t="s">
        <v>29</v>
      </c>
      <c r="K15">
        <v>1270</v>
      </c>
    </row>
    <row r="16" spans="1:12" x14ac:dyDescent="0.25">
      <c r="A16" t="s">
        <v>67</v>
      </c>
      <c r="B16">
        <v>20020027</v>
      </c>
      <c r="C16" t="s">
        <v>48</v>
      </c>
      <c r="D16">
        <v>2105</v>
      </c>
      <c r="G16" t="str">
        <f t="shared" si="0"/>
        <v>200200270009</v>
      </c>
      <c r="H16" s="30" t="s">
        <v>67</v>
      </c>
      <c r="I16" s="30">
        <v>20020027</v>
      </c>
      <c r="J16" t="s">
        <v>48</v>
      </c>
      <c r="K16">
        <v>2105</v>
      </c>
    </row>
    <row r="17" spans="1:12" x14ac:dyDescent="0.25">
      <c r="A17" t="s">
        <v>67</v>
      </c>
      <c r="B17">
        <v>20040001</v>
      </c>
      <c r="C17" t="s">
        <v>29</v>
      </c>
      <c r="D17">
        <v>2540</v>
      </c>
      <c r="G17" t="str">
        <f t="shared" si="0"/>
        <v>200400010003</v>
      </c>
      <c r="H17" s="30" t="s">
        <v>67</v>
      </c>
      <c r="I17" s="30">
        <v>20040001</v>
      </c>
      <c r="J17" t="s">
        <v>29</v>
      </c>
      <c r="K17">
        <v>2540</v>
      </c>
    </row>
    <row r="18" spans="1:12" x14ac:dyDescent="0.25">
      <c r="A18" t="s">
        <v>67</v>
      </c>
      <c r="B18">
        <v>20040001</v>
      </c>
      <c r="C18" t="s">
        <v>54</v>
      </c>
      <c r="D18">
        <v>1270</v>
      </c>
      <c r="G18" t="str">
        <f t="shared" si="0"/>
        <v>200400010071</v>
      </c>
      <c r="H18" s="30" t="s">
        <v>67</v>
      </c>
      <c r="I18" s="30">
        <v>20040001</v>
      </c>
      <c r="J18" t="s">
        <v>54</v>
      </c>
      <c r="K18">
        <v>1270</v>
      </c>
    </row>
    <row r="19" spans="1:12" x14ac:dyDescent="0.25">
      <c r="A19" t="s">
        <v>67</v>
      </c>
      <c r="B19">
        <v>20040007</v>
      </c>
      <c r="C19" t="s">
        <v>29</v>
      </c>
      <c r="D19">
        <v>250</v>
      </c>
      <c r="G19" t="str">
        <f t="shared" si="0"/>
        <v>200400070003</v>
      </c>
      <c r="H19" s="30" t="s">
        <v>67</v>
      </c>
      <c r="I19" s="30">
        <v>20040007</v>
      </c>
      <c r="J19" t="s">
        <v>29</v>
      </c>
      <c r="K19">
        <v>250</v>
      </c>
    </row>
    <row r="20" spans="1:12" x14ac:dyDescent="0.25">
      <c r="A20" t="s">
        <v>67</v>
      </c>
      <c r="B20">
        <v>20040007</v>
      </c>
      <c r="C20" t="s">
        <v>39</v>
      </c>
      <c r="D20">
        <v>250</v>
      </c>
      <c r="G20" t="str">
        <f t="shared" si="0"/>
        <v>200400070005</v>
      </c>
      <c r="H20" s="30" t="s">
        <v>67</v>
      </c>
      <c r="I20" s="30">
        <v>20040007</v>
      </c>
      <c r="J20" t="s">
        <v>39</v>
      </c>
      <c r="K20">
        <v>250</v>
      </c>
    </row>
    <row r="21" spans="1:12" x14ac:dyDescent="0.25">
      <c r="A21" t="s">
        <v>67</v>
      </c>
      <c r="B21">
        <v>20040007</v>
      </c>
      <c r="C21" t="s">
        <v>53</v>
      </c>
      <c r="D21">
        <v>250</v>
      </c>
      <c r="G21" t="str">
        <f t="shared" si="0"/>
        <v>200400070016</v>
      </c>
      <c r="H21" s="30" t="s">
        <v>67</v>
      </c>
      <c r="I21" s="30">
        <v>20040007</v>
      </c>
      <c r="J21" t="s">
        <v>53</v>
      </c>
      <c r="K21">
        <v>250</v>
      </c>
    </row>
    <row r="22" spans="1:12" x14ac:dyDescent="0.25">
      <c r="A22" t="s">
        <v>67</v>
      </c>
      <c r="B22">
        <v>20040007</v>
      </c>
      <c r="C22" t="s">
        <v>49</v>
      </c>
      <c r="D22">
        <v>250</v>
      </c>
      <c r="G22" t="str">
        <f t="shared" si="0"/>
        <v>200400070018</v>
      </c>
      <c r="H22" s="30" t="s">
        <v>67</v>
      </c>
      <c r="I22" s="30">
        <v>20040007</v>
      </c>
      <c r="J22" t="s">
        <v>49</v>
      </c>
      <c r="K22">
        <v>250</v>
      </c>
    </row>
    <row r="23" spans="1:12" x14ac:dyDescent="0.25">
      <c r="A23" t="s">
        <v>67</v>
      </c>
      <c r="B23">
        <v>20040007</v>
      </c>
      <c r="C23" t="s">
        <v>60</v>
      </c>
      <c r="D23">
        <v>250</v>
      </c>
      <c r="G23" t="str">
        <f t="shared" si="0"/>
        <v>200400070019</v>
      </c>
      <c r="H23" s="30" t="s">
        <v>67</v>
      </c>
      <c r="I23" s="30">
        <v>20040007</v>
      </c>
      <c r="J23" t="s">
        <v>60</v>
      </c>
      <c r="K23">
        <v>250</v>
      </c>
    </row>
    <row r="24" spans="1:12" x14ac:dyDescent="0.25">
      <c r="A24" t="s">
        <v>67</v>
      </c>
      <c r="B24">
        <v>20060003</v>
      </c>
      <c r="C24" t="s">
        <v>21</v>
      </c>
      <c r="D24">
        <v>16510</v>
      </c>
      <c r="G24" t="str">
        <f t="shared" si="0"/>
        <v>200600030002</v>
      </c>
      <c r="H24" s="30" t="s">
        <v>67</v>
      </c>
      <c r="I24" s="30">
        <v>20060003</v>
      </c>
      <c r="J24" t="s">
        <v>21</v>
      </c>
      <c r="K24">
        <v>16510</v>
      </c>
    </row>
    <row r="25" spans="1:12" x14ac:dyDescent="0.25">
      <c r="A25" t="s">
        <v>67</v>
      </c>
      <c r="B25">
        <v>20060004</v>
      </c>
      <c r="C25" t="s">
        <v>21</v>
      </c>
      <c r="D25">
        <v>6350</v>
      </c>
      <c r="G25" t="str">
        <f t="shared" si="0"/>
        <v>200600040002</v>
      </c>
      <c r="H25" s="30" t="s">
        <v>67</v>
      </c>
      <c r="I25" s="30">
        <v>20060004</v>
      </c>
      <c r="J25" t="s">
        <v>21</v>
      </c>
      <c r="K25">
        <v>6350</v>
      </c>
    </row>
    <row r="26" spans="1:12" x14ac:dyDescent="0.25">
      <c r="A26" t="s">
        <v>67</v>
      </c>
      <c r="B26">
        <v>20070001</v>
      </c>
      <c r="C26" t="s">
        <v>21</v>
      </c>
      <c r="D26">
        <v>12700</v>
      </c>
      <c r="G26" t="str">
        <f t="shared" si="0"/>
        <v>200700010002</v>
      </c>
      <c r="H26" s="30" t="s">
        <v>67</v>
      </c>
      <c r="I26" s="30">
        <v>20070001</v>
      </c>
      <c r="J26" t="s">
        <v>21</v>
      </c>
      <c r="K26">
        <v>12700</v>
      </c>
    </row>
    <row r="27" spans="1:12" x14ac:dyDescent="0.25">
      <c r="A27" t="s">
        <v>67</v>
      </c>
      <c r="B27">
        <v>20090008</v>
      </c>
      <c r="C27" t="s">
        <v>39</v>
      </c>
      <c r="D27">
        <v>635</v>
      </c>
      <c r="G27" t="str">
        <f t="shared" si="0"/>
        <v>200900080005</v>
      </c>
      <c r="H27" s="30" t="s">
        <v>67</v>
      </c>
      <c r="I27" s="30">
        <v>20090008</v>
      </c>
      <c r="J27" t="s">
        <v>39</v>
      </c>
      <c r="K27">
        <v>635</v>
      </c>
    </row>
    <row r="28" spans="1:12" x14ac:dyDescent="0.25">
      <c r="A28" t="s">
        <v>67</v>
      </c>
      <c r="B28">
        <v>20090015</v>
      </c>
      <c r="C28" t="s">
        <v>46</v>
      </c>
      <c r="D28">
        <v>1270</v>
      </c>
      <c r="G28" t="str">
        <f t="shared" si="0"/>
        <v>200900150028</v>
      </c>
      <c r="H28" s="30" t="s">
        <v>67</v>
      </c>
      <c r="I28" s="30">
        <v>20090015</v>
      </c>
      <c r="J28" t="s">
        <v>46</v>
      </c>
      <c r="K28">
        <v>1270</v>
      </c>
    </row>
    <row r="29" spans="1:12" x14ac:dyDescent="0.25">
      <c r="A29" t="s">
        <v>67</v>
      </c>
      <c r="B29">
        <v>20090015</v>
      </c>
      <c r="C29" t="s">
        <v>51</v>
      </c>
      <c r="D29">
        <v>1270</v>
      </c>
      <c r="G29" t="str">
        <f t="shared" si="0"/>
        <v>200900150032</v>
      </c>
      <c r="H29" s="30" t="s">
        <v>67</v>
      </c>
      <c r="I29" s="30">
        <v>20090015</v>
      </c>
      <c r="J29" t="s">
        <v>51</v>
      </c>
      <c r="K29">
        <v>1270</v>
      </c>
    </row>
    <row r="30" spans="1:12" x14ac:dyDescent="0.25">
      <c r="A30" t="s">
        <v>67</v>
      </c>
      <c r="B30">
        <v>20090020</v>
      </c>
      <c r="C30" t="s">
        <v>21</v>
      </c>
      <c r="D30">
        <v>635</v>
      </c>
      <c r="G30" t="str">
        <f t="shared" si="0"/>
        <v>200900200002</v>
      </c>
      <c r="H30" s="28" t="s">
        <v>67</v>
      </c>
      <c r="I30" s="30">
        <v>20090020</v>
      </c>
      <c r="J30" t="s">
        <v>21</v>
      </c>
      <c r="K30">
        <v>635</v>
      </c>
    </row>
    <row r="31" spans="1:12" x14ac:dyDescent="0.25">
      <c r="A31" t="s">
        <v>68</v>
      </c>
      <c r="D31">
        <v>229745</v>
      </c>
      <c r="G31" s="29" t="s">
        <v>68</v>
      </c>
      <c r="H31" s="29"/>
      <c r="I31" s="29"/>
      <c r="J31" s="29"/>
      <c r="K31" s="29">
        <v>229745</v>
      </c>
      <c r="L31" s="29"/>
    </row>
    <row r="32" spans="1:12" x14ac:dyDescent="0.25">
      <c r="A32" t="s">
        <v>69</v>
      </c>
      <c r="B32">
        <v>20020013</v>
      </c>
      <c r="C32" t="s">
        <v>21</v>
      </c>
      <c r="D32">
        <v>6350</v>
      </c>
    </row>
    <row r="33" spans="1:4" x14ac:dyDescent="0.25">
      <c r="A33" t="s">
        <v>70</v>
      </c>
      <c r="D33">
        <v>6350</v>
      </c>
    </row>
    <row r="34" spans="1:4" x14ac:dyDescent="0.25">
      <c r="A34" t="s">
        <v>64</v>
      </c>
      <c r="D34">
        <v>236095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34006-81DE-4D8A-AFD8-353BD097257F}">
  <dimension ref="A1:U34"/>
  <sheetViews>
    <sheetView tabSelected="1" workbookViewId="0">
      <selection activeCell="J35" sqref="J35"/>
    </sheetView>
  </sheetViews>
  <sheetFormatPr defaultRowHeight="15" x14ac:dyDescent="0.25"/>
  <cols>
    <col min="1" max="1" width="18.140625" bestFit="1" customWidth="1"/>
    <col min="2" max="2" width="18.5703125" bestFit="1" customWidth="1"/>
    <col min="3" max="3" width="11" bestFit="1" customWidth="1"/>
    <col min="4" max="4" width="24.7109375" bestFit="1" customWidth="1"/>
    <col min="5" max="5" width="22.7109375" bestFit="1" customWidth="1"/>
    <col min="6" max="6" width="14.42578125" bestFit="1" customWidth="1"/>
    <col min="7" max="7" width="10.140625" bestFit="1" customWidth="1"/>
    <col min="8" max="8" width="10.140625" customWidth="1"/>
    <col min="9" max="9" width="15.42578125" bestFit="1" customWidth="1"/>
    <col min="11" max="11" width="16.7109375" bestFit="1" customWidth="1"/>
    <col min="12" max="12" width="11.7109375" bestFit="1" customWidth="1"/>
  </cols>
  <sheetData>
    <row r="1" spans="1:21" s="16" customFormat="1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62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5" t="s">
        <v>63</v>
      </c>
      <c r="U1" s="15" t="s">
        <v>18</v>
      </c>
    </row>
    <row r="2" spans="1:21" x14ac:dyDescent="0.25">
      <c r="A2" s="1">
        <v>46277.56848180556</v>
      </c>
      <c r="B2" s="2" t="s">
        <v>35</v>
      </c>
      <c r="C2" s="3">
        <v>46277</v>
      </c>
      <c r="D2" s="2" t="s">
        <v>56</v>
      </c>
      <c r="E2" s="2" t="s">
        <v>19</v>
      </c>
      <c r="F2" t="str">
        <f>CONCATENATE(Table7[[#This Row],[MPG Code]],Table7[[#This Row],[Farmer code]])</f>
        <v>200200030002</v>
      </c>
      <c r="G2" s="4">
        <v>20020003</v>
      </c>
      <c r="H2" s="4" t="str">
        <f>VLOOKUP(Table7[[#This Row],[MPG Code]],'[1]MPG Payment'!$B$3:$E$129,4,0)</f>
        <v>Direct</v>
      </c>
      <c r="I2" s="2" t="s">
        <v>36</v>
      </c>
      <c r="J2" s="5" t="s">
        <v>21</v>
      </c>
      <c r="K2" s="2" t="s">
        <v>37</v>
      </c>
      <c r="L2" s="2" t="s">
        <v>23</v>
      </c>
      <c r="M2" s="4">
        <v>10</v>
      </c>
      <c r="N2" s="4">
        <v>1270</v>
      </c>
      <c r="O2" s="4">
        <v>12700</v>
      </c>
      <c r="P2" s="4">
        <v>0</v>
      </c>
      <c r="Q2" s="4">
        <v>12700</v>
      </c>
      <c r="R2" s="4">
        <v>10</v>
      </c>
      <c r="S2" s="4">
        <v>12700</v>
      </c>
      <c r="T2" s="23">
        <v>12700</v>
      </c>
      <c r="U2" s="6"/>
    </row>
    <row r="3" spans="1:21" x14ac:dyDescent="0.25">
      <c r="A3" s="1">
        <v>46277.568848483796</v>
      </c>
      <c r="B3" s="2" t="s">
        <v>35</v>
      </c>
      <c r="C3" s="3">
        <v>46277</v>
      </c>
      <c r="D3" s="2" t="s">
        <v>56</v>
      </c>
      <c r="E3" s="2" t="s">
        <v>19</v>
      </c>
      <c r="F3" t="str">
        <f>CONCATENATE(Table7[[#This Row],[MPG Code]],Table7[[#This Row],[Farmer code]])</f>
        <v>200200200023</v>
      </c>
      <c r="G3" s="4">
        <v>20020020</v>
      </c>
      <c r="H3" s="4" t="str">
        <f>VLOOKUP(Table7[[#This Row],[MPG Code]],'[1]MPG Payment'!$B$3:$E$129,4,0)</f>
        <v>Direct</v>
      </c>
      <c r="I3" s="2" t="s">
        <v>38</v>
      </c>
      <c r="J3" s="5" t="s">
        <v>40</v>
      </c>
      <c r="K3" s="2" t="s">
        <v>37</v>
      </c>
      <c r="L3" s="2" t="s">
        <v>23</v>
      </c>
      <c r="M3" s="4">
        <v>2</v>
      </c>
      <c r="N3" s="4">
        <v>1270</v>
      </c>
      <c r="O3" s="4">
        <v>2540</v>
      </c>
      <c r="P3" s="4">
        <v>0</v>
      </c>
      <c r="Q3" s="4">
        <v>2540</v>
      </c>
      <c r="R3" s="4">
        <v>2</v>
      </c>
      <c r="S3" s="4">
        <v>2540</v>
      </c>
      <c r="T3" s="23">
        <v>2540</v>
      </c>
      <c r="U3" s="6"/>
    </row>
    <row r="4" spans="1:21" x14ac:dyDescent="0.25">
      <c r="A4" s="1">
        <v>46277.573012013891</v>
      </c>
      <c r="B4" s="2" t="s">
        <v>35</v>
      </c>
      <c r="C4" s="3">
        <v>46277</v>
      </c>
      <c r="D4" s="2" t="s">
        <v>56</v>
      </c>
      <c r="E4" s="2" t="s">
        <v>19</v>
      </c>
      <c r="F4" t="str">
        <f>CONCATENATE(Table7[[#This Row],[MPG Code]],Table7[[#This Row],[Farmer code]])</f>
        <v>200700010002</v>
      </c>
      <c r="G4" s="4">
        <v>20070001</v>
      </c>
      <c r="H4" s="4" t="str">
        <f>VLOOKUP(Table7[[#This Row],[MPG Code]],'[1]MPG Payment'!$B$3:$E$129,4,0)</f>
        <v>Direct</v>
      </c>
      <c r="I4" s="2" t="s">
        <v>52</v>
      </c>
      <c r="J4" s="5" t="s">
        <v>21</v>
      </c>
      <c r="K4" s="2" t="s">
        <v>52</v>
      </c>
      <c r="L4" s="2" t="s">
        <v>23</v>
      </c>
      <c r="M4" s="4">
        <v>10</v>
      </c>
      <c r="N4" s="4">
        <v>1270</v>
      </c>
      <c r="O4" s="4">
        <v>12700</v>
      </c>
      <c r="P4" s="4">
        <v>0</v>
      </c>
      <c r="Q4" s="4">
        <v>12700</v>
      </c>
      <c r="R4" s="4">
        <v>10</v>
      </c>
      <c r="S4" s="4">
        <v>12700</v>
      </c>
      <c r="T4" s="23">
        <v>12700</v>
      </c>
      <c r="U4" s="6"/>
    </row>
    <row r="5" spans="1:21" x14ac:dyDescent="0.25">
      <c r="A5" s="1">
        <v>46277.578546805555</v>
      </c>
      <c r="B5" s="2" t="s">
        <v>35</v>
      </c>
      <c r="C5" s="3">
        <v>46277</v>
      </c>
      <c r="D5" s="2" t="s">
        <v>56</v>
      </c>
      <c r="E5" s="2" t="s">
        <v>19</v>
      </c>
      <c r="F5" t="str">
        <f>CONCATENATE(Table7[[#This Row],[MPG Code]],Table7[[#This Row],[Farmer code]])</f>
        <v>200200270009</v>
      </c>
      <c r="G5" s="4">
        <v>20020027</v>
      </c>
      <c r="H5" s="4" t="str">
        <f>VLOOKUP(Table7[[#This Row],[MPG Code]],'[1]MPG Payment'!$B$3:$E$129,4,0)</f>
        <v>Direct</v>
      </c>
      <c r="I5" s="2" t="s">
        <v>47</v>
      </c>
      <c r="J5" s="5" t="s">
        <v>48</v>
      </c>
      <c r="K5" s="2" t="s">
        <v>37</v>
      </c>
      <c r="L5" s="2" t="s">
        <v>23</v>
      </c>
      <c r="M5" s="4">
        <v>1</v>
      </c>
      <c r="N5" s="4">
        <v>1270</v>
      </c>
      <c r="O5" s="4">
        <v>1270</v>
      </c>
      <c r="P5" s="4">
        <v>0</v>
      </c>
      <c r="Q5" s="4">
        <v>1270</v>
      </c>
      <c r="R5" s="4">
        <v>1</v>
      </c>
      <c r="S5" s="4">
        <v>1270</v>
      </c>
      <c r="T5" s="23">
        <v>1270</v>
      </c>
      <c r="U5" s="6"/>
    </row>
    <row r="6" spans="1:21" x14ac:dyDescent="0.25">
      <c r="A6" s="1">
        <v>46277.578843935189</v>
      </c>
      <c r="B6" s="2" t="s">
        <v>35</v>
      </c>
      <c r="C6" s="3">
        <v>46277</v>
      </c>
      <c r="D6" s="2" t="s">
        <v>56</v>
      </c>
      <c r="E6" s="2" t="s">
        <v>19</v>
      </c>
      <c r="F6" t="str">
        <f>CONCATENATE(Table7[[#This Row],[MPG Code]],Table7[[#This Row],[Farmer code]])</f>
        <v>200200270009</v>
      </c>
      <c r="G6" s="4">
        <v>20020027</v>
      </c>
      <c r="H6" s="4" t="str">
        <f>VLOOKUP(Table7[[#This Row],[MPG Code]],'[1]MPG Payment'!$B$3:$E$129,4,0)</f>
        <v>Direct</v>
      </c>
      <c r="I6" s="2" t="s">
        <v>47</v>
      </c>
      <c r="J6" s="5" t="s">
        <v>48</v>
      </c>
      <c r="K6" s="2" t="s">
        <v>37</v>
      </c>
      <c r="L6" s="2" t="s">
        <v>23</v>
      </c>
      <c r="M6" s="4">
        <v>0</v>
      </c>
      <c r="N6" s="4">
        <v>1270</v>
      </c>
      <c r="O6" s="4">
        <v>0</v>
      </c>
      <c r="P6" s="4">
        <v>835</v>
      </c>
      <c r="Q6" s="4">
        <v>835</v>
      </c>
      <c r="R6" s="4">
        <v>0</v>
      </c>
      <c r="S6" s="4">
        <v>835</v>
      </c>
      <c r="T6" s="23">
        <v>0</v>
      </c>
      <c r="U6" s="6"/>
    </row>
    <row r="7" spans="1:21" x14ac:dyDescent="0.25">
      <c r="A7" s="1">
        <v>46277.579141747687</v>
      </c>
      <c r="B7" s="2" t="s">
        <v>35</v>
      </c>
      <c r="C7" s="3">
        <v>46277</v>
      </c>
      <c r="D7" s="2" t="s">
        <v>56</v>
      </c>
      <c r="E7" s="2" t="s">
        <v>19</v>
      </c>
      <c r="F7" t="str">
        <f>CONCATENATE(Table7[[#This Row],[MPG Code]],Table7[[#This Row],[Farmer code]])</f>
        <v>200200270003</v>
      </c>
      <c r="G7" s="4">
        <v>20020027</v>
      </c>
      <c r="H7" s="4" t="str">
        <f>VLOOKUP(Table7[[#This Row],[MPG Code]],'[1]MPG Payment'!$B$3:$E$129,4,0)</f>
        <v>Direct</v>
      </c>
      <c r="I7" s="2" t="s">
        <v>47</v>
      </c>
      <c r="J7" s="5" t="s">
        <v>29</v>
      </c>
      <c r="K7" s="2" t="s">
        <v>37</v>
      </c>
      <c r="L7" s="2" t="s">
        <v>23</v>
      </c>
      <c r="M7" s="4">
        <v>1</v>
      </c>
      <c r="N7" s="4">
        <v>1270</v>
      </c>
      <c r="O7" s="4">
        <v>1270</v>
      </c>
      <c r="P7" s="4">
        <v>0</v>
      </c>
      <c r="Q7" s="4">
        <v>1270</v>
      </c>
      <c r="R7" s="4">
        <v>1</v>
      </c>
      <c r="S7" s="4">
        <v>1270</v>
      </c>
      <c r="T7" s="23">
        <v>955</v>
      </c>
      <c r="U7" s="6"/>
    </row>
    <row r="8" spans="1:21" x14ac:dyDescent="0.25">
      <c r="A8" s="1">
        <v>46277.592963831019</v>
      </c>
      <c r="B8" s="2" t="s">
        <v>41</v>
      </c>
      <c r="C8" s="3">
        <v>46277</v>
      </c>
      <c r="D8" s="2" t="s">
        <v>56</v>
      </c>
      <c r="E8" s="2" t="s">
        <v>19</v>
      </c>
      <c r="F8" t="str">
        <f>CONCATENATE(Table7[[#This Row],[MPG Code]],Table7[[#This Row],[Farmer code]])</f>
        <v>200900080005</v>
      </c>
      <c r="G8" s="4">
        <v>20090008</v>
      </c>
      <c r="H8" s="4" t="str">
        <f>VLOOKUP(Table7[[#This Row],[MPG Code]],'[1]MPG Payment'!$B$3:$E$129,4,0)</f>
        <v>Direct</v>
      </c>
      <c r="I8" s="2" t="s">
        <v>42</v>
      </c>
      <c r="J8" s="5" t="s">
        <v>39</v>
      </c>
      <c r="K8" s="2" t="s">
        <v>25</v>
      </c>
      <c r="L8" s="2" t="s">
        <v>23</v>
      </c>
      <c r="M8" s="4">
        <v>0</v>
      </c>
      <c r="N8" s="4">
        <v>1270</v>
      </c>
      <c r="O8" s="4">
        <v>0</v>
      </c>
      <c r="P8" s="4">
        <v>635</v>
      </c>
      <c r="Q8" s="4">
        <v>635</v>
      </c>
      <c r="R8" s="4">
        <v>0</v>
      </c>
      <c r="S8" s="4">
        <v>635</v>
      </c>
      <c r="T8" s="23">
        <v>635</v>
      </c>
      <c r="U8" s="6"/>
    </row>
    <row r="9" spans="1:21" x14ac:dyDescent="0.25">
      <c r="A9" s="1">
        <v>46277.593640636573</v>
      </c>
      <c r="B9" s="2" t="s">
        <v>41</v>
      </c>
      <c r="C9" s="3">
        <v>46277</v>
      </c>
      <c r="D9" s="2" t="s">
        <v>56</v>
      </c>
      <c r="E9" s="2" t="s">
        <v>19</v>
      </c>
      <c r="F9" t="str">
        <f>CONCATENATE(Table7[[#This Row],[MPG Code]],Table7[[#This Row],[Farmer code]])</f>
        <v>200900150032</v>
      </c>
      <c r="G9" s="4">
        <v>20090015</v>
      </c>
      <c r="H9" s="4" t="str">
        <f>VLOOKUP(Table7[[#This Row],[MPG Code]],'[1]MPG Payment'!$B$3:$E$129,4,0)</f>
        <v>Direct</v>
      </c>
      <c r="I9" s="2" t="s">
        <v>26</v>
      </c>
      <c r="J9" s="5" t="s">
        <v>51</v>
      </c>
      <c r="K9" s="2" t="s">
        <v>25</v>
      </c>
      <c r="L9" s="2" t="s">
        <v>25</v>
      </c>
      <c r="M9" s="4">
        <v>1</v>
      </c>
      <c r="N9" s="4">
        <v>1270</v>
      </c>
      <c r="O9" s="4">
        <v>1270</v>
      </c>
      <c r="P9" s="4">
        <v>0</v>
      </c>
      <c r="Q9" s="4">
        <v>1270</v>
      </c>
      <c r="R9" s="4">
        <v>1</v>
      </c>
      <c r="S9" s="4">
        <v>1270</v>
      </c>
      <c r="T9" s="23">
        <v>1270</v>
      </c>
      <c r="U9" s="6"/>
    </row>
    <row r="10" spans="1:21" x14ac:dyDescent="0.25">
      <c r="A10" s="1">
        <v>46277.593921192129</v>
      </c>
      <c r="B10" s="2" t="s">
        <v>41</v>
      </c>
      <c r="C10" s="3">
        <v>46277</v>
      </c>
      <c r="D10" s="2" t="s">
        <v>56</v>
      </c>
      <c r="E10" s="2" t="s">
        <v>19</v>
      </c>
      <c r="F10" t="str">
        <f>CONCATENATE(Table7[[#This Row],[MPG Code]],Table7[[#This Row],[Farmer code]])</f>
        <v>200900150028</v>
      </c>
      <c r="G10" s="4">
        <v>20090015</v>
      </c>
      <c r="H10" s="4" t="str">
        <f>VLOOKUP(Table7[[#This Row],[MPG Code]],'[1]MPG Payment'!$B$3:$E$129,4,0)</f>
        <v>Direct</v>
      </c>
      <c r="I10" s="2" t="s">
        <v>26</v>
      </c>
      <c r="J10" s="5" t="s">
        <v>46</v>
      </c>
      <c r="K10" s="2" t="s">
        <v>25</v>
      </c>
      <c r="L10" s="2" t="s">
        <v>25</v>
      </c>
      <c r="M10" s="4">
        <v>1</v>
      </c>
      <c r="N10" s="4">
        <v>1270</v>
      </c>
      <c r="O10" s="4">
        <v>1270</v>
      </c>
      <c r="P10" s="4">
        <v>0</v>
      </c>
      <c r="Q10" s="4">
        <v>1270</v>
      </c>
      <c r="R10" s="4">
        <v>1</v>
      </c>
      <c r="S10" s="4">
        <v>1270</v>
      </c>
      <c r="T10" s="23">
        <v>1224</v>
      </c>
      <c r="U10" s="6"/>
    </row>
    <row r="11" spans="1:21" x14ac:dyDescent="0.25">
      <c r="A11" s="1">
        <v>46277.594384791664</v>
      </c>
      <c r="B11" s="2" t="s">
        <v>41</v>
      </c>
      <c r="C11" s="3">
        <v>46277</v>
      </c>
      <c r="D11" s="2" t="s">
        <v>56</v>
      </c>
      <c r="E11" s="2" t="s">
        <v>19</v>
      </c>
      <c r="F11" t="str">
        <f>CONCATENATE(Table7[[#This Row],[MPG Code]],Table7[[#This Row],[Farmer code]])</f>
        <v>200900200002</v>
      </c>
      <c r="G11" s="4">
        <v>20090020</v>
      </c>
      <c r="H11" s="4" t="str">
        <f>VLOOKUP(Table7[[#This Row],[MPG Code]],'[1]MPG Payment'!$B$3:$E$129,4,0)</f>
        <v>Direct</v>
      </c>
      <c r="I11" s="2" t="s">
        <v>43</v>
      </c>
      <c r="J11" s="5" t="s">
        <v>21</v>
      </c>
      <c r="K11" s="2" t="s">
        <v>25</v>
      </c>
      <c r="L11" s="2" t="s">
        <v>25</v>
      </c>
      <c r="M11" s="4">
        <v>0</v>
      </c>
      <c r="N11" s="4">
        <v>1270</v>
      </c>
      <c r="O11" s="4">
        <v>0</v>
      </c>
      <c r="P11" s="4">
        <v>635</v>
      </c>
      <c r="Q11" s="4">
        <v>635</v>
      </c>
      <c r="R11" s="4">
        <v>0</v>
      </c>
      <c r="S11" s="4">
        <v>635</v>
      </c>
      <c r="T11" s="23">
        <v>635</v>
      </c>
      <c r="U11" s="6"/>
    </row>
    <row r="12" spans="1:21" x14ac:dyDescent="0.25">
      <c r="A12" s="1">
        <v>46277.594628206018</v>
      </c>
      <c r="B12" s="2" t="s">
        <v>41</v>
      </c>
      <c r="C12" s="3">
        <v>46277</v>
      </c>
      <c r="D12" s="2" t="s">
        <v>56</v>
      </c>
      <c r="E12" s="2" t="s">
        <v>19</v>
      </c>
      <c r="F12" t="str">
        <f>CONCATENATE(Table7[[#This Row],[MPG Code]],Table7[[#This Row],[Farmer code]])</f>
        <v>200400010003</v>
      </c>
      <c r="G12" s="4">
        <v>20040001</v>
      </c>
      <c r="H12" s="4" t="str">
        <f>VLOOKUP(Table7[[#This Row],[MPG Code]],'[1]MPG Payment'!$B$3:$E$129,4,0)</f>
        <v>Direct</v>
      </c>
      <c r="I12" s="2" t="s">
        <v>44</v>
      </c>
      <c r="J12" s="5" t="s">
        <v>29</v>
      </c>
      <c r="K12" s="2" t="s">
        <v>44</v>
      </c>
      <c r="L12" s="2" t="s">
        <v>25</v>
      </c>
      <c r="M12" s="4">
        <v>2</v>
      </c>
      <c r="N12" s="4">
        <v>1270</v>
      </c>
      <c r="O12" s="4">
        <v>2540</v>
      </c>
      <c r="P12" s="4">
        <v>0</v>
      </c>
      <c r="Q12" s="4">
        <v>2540</v>
      </c>
      <c r="R12" s="4">
        <v>2</v>
      </c>
      <c r="S12" s="4">
        <v>2540</v>
      </c>
      <c r="T12" s="23">
        <v>2540</v>
      </c>
      <c r="U12" s="6"/>
    </row>
    <row r="13" spans="1:21" x14ac:dyDescent="0.25">
      <c r="A13" s="1">
        <v>46277.594937499998</v>
      </c>
      <c r="B13" s="2" t="s">
        <v>41</v>
      </c>
      <c r="C13" s="3">
        <v>46277</v>
      </c>
      <c r="D13" s="2" t="s">
        <v>56</v>
      </c>
      <c r="E13" s="2" t="s">
        <v>19</v>
      </c>
      <c r="F13" t="str">
        <f>CONCATENATE(Table7[[#This Row],[MPG Code]],Table7[[#This Row],[Farmer code]])</f>
        <v>200400010071</v>
      </c>
      <c r="G13" s="4">
        <v>20040001</v>
      </c>
      <c r="H13" s="4" t="str">
        <f>VLOOKUP(Table7[[#This Row],[MPG Code]],'[1]MPG Payment'!$B$3:$E$129,4,0)</f>
        <v>Direct</v>
      </c>
      <c r="I13" s="2" t="s">
        <v>44</v>
      </c>
      <c r="J13" s="5" t="s">
        <v>54</v>
      </c>
      <c r="K13" s="2" t="s">
        <v>44</v>
      </c>
      <c r="L13" s="2" t="s">
        <v>25</v>
      </c>
      <c r="M13" s="4">
        <v>1</v>
      </c>
      <c r="N13" s="4">
        <v>1270</v>
      </c>
      <c r="O13" s="4">
        <v>1270</v>
      </c>
      <c r="P13" s="4">
        <v>0</v>
      </c>
      <c r="Q13" s="4">
        <v>1270</v>
      </c>
      <c r="R13" s="4">
        <v>1</v>
      </c>
      <c r="S13" s="4">
        <v>1270</v>
      </c>
      <c r="T13" s="23">
        <v>1270</v>
      </c>
      <c r="U13" s="6"/>
    </row>
    <row r="14" spans="1:21" x14ac:dyDescent="0.25">
      <c r="A14" s="1">
        <v>46277.595226504629</v>
      </c>
      <c r="B14" s="2" t="s">
        <v>41</v>
      </c>
      <c r="C14" s="3">
        <v>46277</v>
      </c>
      <c r="D14" s="2" t="s">
        <v>56</v>
      </c>
      <c r="E14" s="2" t="s">
        <v>58</v>
      </c>
      <c r="F14" t="str">
        <f>CONCATENATE(Table7[[#This Row],[MPG Code]],Table7[[#This Row],[Farmer code]])</f>
        <v>200100540012</v>
      </c>
      <c r="G14" s="4">
        <v>20010054</v>
      </c>
      <c r="H14" s="4" t="str">
        <f>VLOOKUP(Table7[[#This Row],[MPG Code]],'[1]MPG Payment'!$B$3:$E$129,4,0)</f>
        <v>Direct</v>
      </c>
      <c r="I14" s="2" t="s">
        <v>27</v>
      </c>
      <c r="J14" s="5" t="s">
        <v>28</v>
      </c>
      <c r="K14" s="2" t="s">
        <v>25</v>
      </c>
      <c r="L14" s="2" t="s">
        <v>25</v>
      </c>
      <c r="M14" s="4">
        <v>1</v>
      </c>
      <c r="N14" s="4">
        <v>250</v>
      </c>
      <c r="O14" s="4">
        <v>250</v>
      </c>
      <c r="P14" s="4">
        <v>0</v>
      </c>
      <c r="Q14" s="4">
        <v>250</v>
      </c>
      <c r="R14" s="4">
        <v>1</v>
      </c>
      <c r="S14" s="4">
        <v>250</v>
      </c>
      <c r="T14" s="23">
        <v>250</v>
      </c>
      <c r="U14" s="6"/>
    </row>
    <row r="15" spans="1:21" x14ac:dyDescent="0.25">
      <c r="A15" s="1">
        <v>46277.597169050925</v>
      </c>
      <c r="B15" s="2" t="s">
        <v>41</v>
      </c>
      <c r="C15" s="3">
        <v>46277</v>
      </c>
      <c r="D15" s="2" t="s">
        <v>56</v>
      </c>
      <c r="E15" s="2" t="s">
        <v>58</v>
      </c>
      <c r="F15" t="str">
        <f>CONCATENATE(Table7[[#This Row],[MPG Code]],Table7[[#This Row],[Farmer code]])</f>
        <v>200400070005</v>
      </c>
      <c r="G15" s="4">
        <v>20040007</v>
      </c>
      <c r="H15" s="4" t="str">
        <f>VLOOKUP(Table7[[#This Row],[MPG Code]],'[1]MPG Payment'!$B$3:$E$129,4,0)</f>
        <v>Direct</v>
      </c>
      <c r="I15" s="2" t="s">
        <v>59</v>
      </c>
      <c r="J15" s="5" t="s">
        <v>39</v>
      </c>
      <c r="K15" s="2" t="s">
        <v>44</v>
      </c>
      <c r="L15" s="2" t="s">
        <v>25</v>
      </c>
      <c r="M15" s="4">
        <v>1</v>
      </c>
      <c r="N15" s="4">
        <v>250</v>
      </c>
      <c r="O15" s="4">
        <v>250</v>
      </c>
      <c r="P15" s="4">
        <v>0</v>
      </c>
      <c r="Q15" s="4">
        <v>250</v>
      </c>
      <c r="R15" s="4">
        <v>1</v>
      </c>
      <c r="S15" s="4">
        <v>250</v>
      </c>
      <c r="T15" s="23">
        <v>250</v>
      </c>
      <c r="U15" s="6"/>
    </row>
    <row r="16" spans="1:21" x14ac:dyDescent="0.25">
      <c r="A16" s="1">
        <v>46277.59752505787</v>
      </c>
      <c r="B16" s="2" t="s">
        <v>41</v>
      </c>
      <c r="C16" s="3">
        <v>46277</v>
      </c>
      <c r="D16" s="2" t="s">
        <v>56</v>
      </c>
      <c r="E16" s="2" t="s">
        <v>58</v>
      </c>
      <c r="F16" t="str">
        <f>CONCATENATE(Table7[[#This Row],[MPG Code]],Table7[[#This Row],[Farmer code]])</f>
        <v>200400070019</v>
      </c>
      <c r="G16" s="4">
        <v>20040007</v>
      </c>
      <c r="H16" s="4" t="str">
        <f>VLOOKUP(Table7[[#This Row],[MPG Code]],'[1]MPG Payment'!$B$3:$E$129,4,0)</f>
        <v>Direct</v>
      </c>
      <c r="I16" s="2" t="s">
        <v>59</v>
      </c>
      <c r="J16" s="5" t="s">
        <v>60</v>
      </c>
      <c r="K16" s="2" t="s">
        <v>44</v>
      </c>
      <c r="L16" s="2" t="s">
        <v>25</v>
      </c>
      <c r="M16" s="4">
        <v>1</v>
      </c>
      <c r="N16" s="4">
        <v>250</v>
      </c>
      <c r="O16" s="4">
        <v>250</v>
      </c>
      <c r="P16" s="4">
        <v>0</v>
      </c>
      <c r="Q16" s="4">
        <v>250</v>
      </c>
      <c r="R16" s="4">
        <v>1</v>
      </c>
      <c r="S16" s="4">
        <v>250</v>
      </c>
      <c r="T16" s="23">
        <v>250</v>
      </c>
      <c r="U16" s="6"/>
    </row>
    <row r="17" spans="1:21" x14ac:dyDescent="0.25">
      <c r="A17" s="1">
        <v>46277.599783472222</v>
      </c>
      <c r="B17" s="2" t="s">
        <v>41</v>
      </c>
      <c r="C17" s="3">
        <v>46277</v>
      </c>
      <c r="D17" s="2" t="s">
        <v>56</v>
      </c>
      <c r="E17" s="2" t="s">
        <v>58</v>
      </c>
      <c r="F17" t="str">
        <f>CONCATENATE(Table7[[#This Row],[MPG Code]],Table7[[#This Row],[Farmer code]])</f>
        <v>200400070003</v>
      </c>
      <c r="G17" s="4">
        <v>20040007</v>
      </c>
      <c r="H17" s="4" t="str">
        <f>VLOOKUP(Table7[[#This Row],[MPG Code]],'[1]MPG Payment'!$B$3:$E$129,4,0)</f>
        <v>Direct</v>
      </c>
      <c r="I17" s="2" t="s">
        <v>59</v>
      </c>
      <c r="J17" s="5" t="s">
        <v>29</v>
      </c>
      <c r="K17" s="2" t="s">
        <v>44</v>
      </c>
      <c r="L17" s="2" t="s">
        <v>25</v>
      </c>
      <c r="M17" s="4">
        <v>1</v>
      </c>
      <c r="N17" s="4">
        <v>250</v>
      </c>
      <c r="O17" s="4">
        <v>250</v>
      </c>
      <c r="P17" s="4">
        <v>0</v>
      </c>
      <c r="Q17" s="4">
        <v>250</v>
      </c>
      <c r="R17" s="4">
        <v>1</v>
      </c>
      <c r="S17" s="4">
        <v>250</v>
      </c>
      <c r="T17" s="23">
        <v>250</v>
      </c>
      <c r="U17" s="6"/>
    </row>
    <row r="18" spans="1:21" x14ac:dyDescent="0.25">
      <c r="A18" s="1">
        <v>46277.600070023153</v>
      </c>
      <c r="B18" s="2" t="s">
        <v>41</v>
      </c>
      <c r="C18" s="3">
        <v>46277</v>
      </c>
      <c r="D18" s="2" t="s">
        <v>56</v>
      </c>
      <c r="E18" s="2" t="s">
        <v>58</v>
      </c>
      <c r="F18" t="str">
        <f>CONCATENATE(Table7[[#This Row],[MPG Code]],Table7[[#This Row],[Farmer code]])</f>
        <v>200400070018</v>
      </c>
      <c r="G18" s="4">
        <v>20040007</v>
      </c>
      <c r="H18" s="4" t="str">
        <f>VLOOKUP(Table7[[#This Row],[MPG Code]],'[1]MPG Payment'!$B$3:$E$129,4,0)</f>
        <v>Direct</v>
      </c>
      <c r="I18" s="2" t="s">
        <v>59</v>
      </c>
      <c r="J18" s="5" t="s">
        <v>49</v>
      </c>
      <c r="K18" s="2" t="s">
        <v>44</v>
      </c>
      <c r="L18" s="2" t="s">
        <v>25</v>
      </c>
      <c r="M18" s="4">
        <v>1</v>
      </c>
      <c r="N18" s="4">
        <v>250</v>
      </c>
      <c r="O18" s="4">
        <v>250</v>
      </c>
      <c r="P18" s="4">
        <v>0</v>
      </c>
      <c r="Q18" s="4">
        <v>250</v>
      </c>
      <c r="R18" s="4">
        <v>1</v>
      </c>
      <c r="S18" s="4">
        <v>250</v>
      </c>
      <c r="T18" s="23">
        <v>250</v>
      </c>
      <c r="U18" s="6"/>
    </row>
    <row r="19" spans="1:21" x14ac:dyDescent="0.25">
      <c r="A19" s="1">
        <v>46277.600290231479</v>
      </c>
      <c r="B19" s="2" t="s">
        <v>41</v>
      </c>
      <c r="C19" s="3">
        <v>46277</v>
      </c>
      <c r="D19" s="2" t="s">
        <v>56</v>
      </c>
      <c r="E19" s="2" t="s">
        <v>58</v>
      </c>
      <c r="F19" t="str">
        <f>CONCATENATE(Table7[[#This Row],[MPG Code]],Table7[[#This Row],[Farmer code]])</f>
        <v>200400070016</v>
      </c>
      <c r="G19" s="4">
        <v>20040007</v>
      </c>
      <c r="H19" s="4" t="str">
        <f>VLOOKUP(Table7[[#This Row],[MPG Code]],'[1]MPG Payment'!$B$3:$E$129,4,0)</f>
        <v>Direct</v>
      </c>
      <c r="I19" s="2" t="s">
        <v>59</v>
      </c>
      <c r="J19" s="5" t="s">
        <v>53</v>
      </c>
      <c r="K19" s="2" t="s">
        <v>44</v>
      </c>
      <c r="L19" s="2" t="s">
        <v>25</v>
      </c>
      <c r="M19" s="4">
        <v>1</v>
      </c>
      <c r="N19" s="4">
        <v>250</v>
      </c>
      <c r="O19" s="4">
        <v>250</v>
      </c>
      <c r="P19" s="4">
        <v>0</v>
      </c>
      <c r="Q19" s="4">
        <v>250</v>
      </c>
      <c r="R19" s="4">
        <v>1</v>
      </c>
      <c r="S19" s="4">
        <v>250</v>
      </c>
      <c r="T19" s="23">
        <v>250</v>
      </c>
      <c r="U19" s="6"/>
    </row>
    <row r="20" spans="1:21" x14ac:dyDescent="0.25">
      <c r="A20" s="1">
        <v>46277.608897141203</v>
      </c>
      <c r="B20" s="2" t="s">
        <v>55</v>
      </c>
      <c r="C20" s="3">
        <v>46277</v>
      </c>
      <c r="D20" s="2" t="s">
        <v>56</v>
      </c>
      <c r="E20" s="2" t="s">
        <v>19</v>
      </c>
      <c r="F20" t="str">
        <f>CONCATENATE(Table7[[#This Row],[MPG Code]],Table7[[#This Row],[Farmer code]])</f>
        <v>200100030003</v>
      </c>
      <c r="G20" s="4">
        <v>20010003</v>
      </c>
      <c r="H20" s="4" t="str">
        <f>VLOOKUP(Table7[[#This Row],[MPG Code]],'[1]MPG Payment'!$B$3:$E$129,4,0)</f>
        <v>Direct</v>
      </c>
      <c r="I20" s="2" t="s">
        <v>30</v>
      </c>
      <c r="J20" s="5" t="s">
        <v>29</v>
      </c>
      <c r="K20" s="2" t="s">
        <v>31</v>
      </c>
      <c r="L20" s="2" t="s">
        <v>23</v>
      </c>
      <c r="M20" s="4">
        <v>10</v>
      </c>
      <c r="N20" s="4">
        <v>1270</v>
      </c>
      <c r="O20" s="4">
        <v>12700</v>
      </c>
      <c r="P20" s="4">
        <v>0</v>
      </c>
      <c r="Q20" s="4">
        <v>12700</v>
      </c>
      <c r="R20" s="4">
        <v>10</v>
      </c>
      <c r="S20" s="4">
        <v>12700</v>
      </c>
      <c r="T20" s="23">
        <v>12700</v>
      </c>
      <c r="U20" s="6"/>
    </row>
    <row r="21" spans="1:21" x14ac:dyDescent="0.25">
      <c r="A21" s="1">
        <v>46277.609483645836</v>
      </c>
      <c r="B21" s="2" t="s">
        <v>55</v>
      </c>
      <c r="C21" s="3">
        <v>46277</v>
      </c>
      <c r="D21" s="2" t="s">
        <v>56</v>
      </c>
      <c r="E21" s="2" t="s">
        <v>19</v>
      </c>
      <c r="F21" t="str">
        <f>CONCATENATE(Table7[[#This Row],[MPG Code]],Table7[[#This Row],[Farmer code]])</f>
        <v>200100520002</v>
      </c>
      <c r="G21" s="4">
        <v>20010052</v>
      </c>
      <c r="H21" s="4" t="str">
        <f>VLOOKUP(Table7[[#This Row],[MPG Code]],'[1]MPG Payment'!$B$3:$E$129,4,0)</f>
        <v>Direct</v>
      </c>
      <c r="I21" s="2" t="s">
        <v>50</v>
      </c>
      <c r="J21" s="5" t="s">
        <v>21</v>
      </c>
      <c r="K21" s="2" t="s">
        <v>31</v>
      </c>
      <c r="L21" s="2" t="s">
        <v>23</v>
      </c>
      <c r="M21" s="4">
        <v>5</v>
      </c>
      <c r="N21" s="4">
        <v>1270</v>
      </c>
      <c r="O21" s="4">
        <v>6350</v>
      </c>
      <c r="P21" s="4">
        <v>0</v>
      </c>
      <c r="Q21" s="4">
        <v>6350</v>
      </c>
      <c r="R21" s="4">
        <v>5</v>
      </c>
      <c r="S21" s="4">
        <v>6350</v>
      </c>
      <c r="T21" s="23">
        <v>6350</v>
      </c>
      <c r="U21" s="6"/>
    </row>
    <row r="22" spans="1:21" x14ac:dyDescent="0.25">
      <c r="A22" s="1">
        <v>46277.610672847222</v>
      </c>
      <c r="B22" s="2" t="s">
        <v>55</v>
      </c>
      <c r="C22" s="3">
        <v>46277</v>
      </c>
      <c r="D22" s="2" t="s">
        <v>56</v>
      </c>
      <c r="E22" s="2" t="s">
        <v>19</v>
      </c>
      <c r="F22" t="str">
        <f>CONCATENATE(Table7[[#This Row],[MPG Code]],Table7[[#This Row],[Farmer code]])</f>
        <v>200100010002</v>
      </c>
      <c r="G22" s="4">
        <v>20010001</v>
      </c>
      <c r="H22" s="4" t="str">
        <f>VLOOKUP(Table7[[#This Row],[MPG Code]],'[1]MPG Payment'!$B$3:$E$129,4,0)</f>
        <v>Direct</v>
      </c>
      <c r="I22" s="2" t="s">
        <v>31</v>
      </c>
      <c r="J22" s="5" t="s">
        <v>21</v>
      </c>
      <c r="K22" s="2" t="s">
        <v>31</v>
      </c>
      <c r="L22" s="2" t="s">
        <v>23</v>
      </c>
      <c r="M22" s="4">
        <v>100</v>
      </c>
      <c r="N22" s="4">
        <v>1220</v>
      </c>
      <c r="O22" s="4">
        <v>122000</v>
      </c>
      <c r="P22" s="4">
        <v>0</v>
      </c>
      <c r="Q22" s="4">
        <v>122000</v>
      </c>
      <c r="R22" s="4">
        <v>100</v>
      </c>
      <c r="S22" s="4">
        <v>122000</v>
      </c>
      <c r="T22" s="23">
        <v>122000</v>
      </c>
      <c r="U22" s="6"/>
    </row>
    <row r="23" spans="1:21" x14ac:dyDescent="0.25">
      <c r="A23" s="1">
        <v>46277.61496806713</v>
      </c>
      <c r="B23" s="2" t="s">
        <v>55</v>
      </c>
      <c r="C23" s="3">
        <v>46277</v>
      </c>
      <c r="D23" s="2" t="s">
        <v>56</v>
      </c>
      <c r="E23" s="2" t="s">
        <v>19</v>
      </c>
      <c r="F23" t="str">
        <f>CONCATENATE(Table7[[#This Row],[MPG Code]],Table7[[#This Row],[Farmer code]])</f>
        <v>200100080024</v>
      </c>
      <c r="G23" s="4">
        <v>20010008</v>
      </c>
      <c r="H23" s="4" t="str">
        <f>VLOOKUP(Table7[[#This Row],[MPG Code]],'[1]MPG Payment'!$B$3:$E$129,4,0)</f>
        <v>Direct</v>
      </c>
      <c r="I23" s="2" t="s">
        <v>32</v>
      </c>
      <c r="J23" s="5" t="s">
        <v>45</v>
      </c>
      <c r="K23" s="2" t="s">
        <v>31</v>
      </c>
      <c r="L23" s="2" t="s">
        <v>23</v>
      </c>
      <c r="M23" s="4">
        <v>1</v>
      </c>
      <c r="N23" s="4">
        <v>1270</v>
      </c>
      <c r="O23" s="4">
        <v>1270</v>
      </c>
      <c r="P23" s="4">
        <v>0</v>
      </c>
      <c r="Q23" s="4">
        <v>1270</v>
      </c>
      <c r="R23" s="4">
        <v>1</v>
      </c>
      <c r="S23" s="4">
        <v>1270</v>
      </c>
      <c r="T23" s="23">
        <v>1270</v>
      </c>
      <c r="U23" s="6"/>
    </row>
    <row r="24" spans="1:21" x14ac:dyDescent="0.25">
      <c r="A24" s="1">
        <v>46277.615672395834</v>
      </c>
      <c r="B24" s="2" t="s">
        <v>55</v>
      </c>
      <c r="C24" s="3">
        <v>46277</v>
      </c>
      <c r="D24" s="2" t="s">
        <v>56</v>
      </c>
      <c r="E24" s="2" t="s">
        <v>19</v>
      </c>
      <c r="F24" t="str">
        <f>CONCATENATE(Table7[[#This Row],[MPG Code]],Table7[[#This Row],[Farmer code]])</f>
        <v>200100080035</v>
      </c>
      <c r="G24" s="4">
        <v>20010008</v>
      </c>
      <c r="H24" s="4" t="str">
        <f>VLOOKUP(Table7[[#This Row],[MPG Code]],'[1]MPG Payment'!$B$3:$E$129,4,0)</f>
        <v>Direct</v>
      </c>
      <c r="I24" s="2" t="s">
        <v>32</v>
      </c>
      <c r="J24" s="5" t="s">
        <v>34</v>
      </c>
      <c r="K24" s="2" t="s">
        <v>31</v>
      </c>
      <c r="L24" s="2" t="s">
        <v>23</v>
      </c>
      <c r="M24" s="4">
        <v>14</v>
      </c>
      <c r="N24" s="4">
        <v>1270</v>
      </c>
      <c r="O24" s="4">
        <v>17780</v>
      </c>
      <c r="P24" s="4">
        <v>0</v>
      </c>
      <c r="Q24" s="4">
        <v>17780</v>
      </c>
      <c r="R24" s="4">
        <v>14</v>
      </c>
      <c r="S24" s="4">
        <v>17780</v>
      </c>
      <c r="T24" s="23">
        <v>17780</v>
      </c>
      <c r="U24" s="6"/>
    </row>
    <row r="25" spans="1:21" x14ac:dyDescent="0.25">
      <c r="A25" s="1">
        <v>46277.617119548609</v>
      </c>
      <c r="B25" s="2" t="s">
        <v>55</v>
      </c>
      <c r="C25" s="3">
        <v>46277</v>
      </c>
      <c r="D25" s="2" t="s">
        <v>56</v>
      </c>
      <c r="E25" s="2" t="s">
        <v>19</v>
      </c>
      <c r="F25" t="str">
        <f>CONCATENATE(Table7[[#This Row],[MPG Code]],Table7[[#This Row],[Farmer code]])</f>
        <v>200100080059</v>
      </c>
      <c r="G25" s="4">
        <v>20010008</v>
      </c>
      <c r="H25" s="4" t="str">
        <f>VLOOKUP(Table7[[#This Row],[MPG Code]],'[1]MPG Payment'!$B$3:$E$129,4,0)</f>
        <v>Direct</v>
      </c>
      <c r="I25" s="2" t="s">
        <v>32</v>
      </c>
      <c r="J25" s="5" t="s">
        <v>33</v>
      </c>
      <c r="K25" s="2" t="s">
        <v>31</v>
      </c>
      <c r="L25" s="2" t="s">
        <v>23</v>
      </c>
      <c r="M25" s="4">
        <v>4</v>
      </c>
      <c r="N25" s="4">
        <v>1270</v>
      </c>
      <c r="O25" s="4">
        <v>5080</v>
      </c>
      <c r="P25" s="4">
        <v>0</v>
      </c>
      <c r="Q25" s="4">
        <v>5080</v>
      </c>
      <c r="R25" s="4">
        <v>4</v>
      </c>
      <c r="S25" s="4">
        <v>5080</v>
      </c>
      <c r="T25" s="23">
        <v>5080</v>
      </c>
      <c r="U25" s="6"/>
    </row>
    <row r="26" spans="1:21" x14ac:dyDescent="0.25">
      <c r="A26" s="1">
        <v>46277.617555046294</v>
      </c>
      <c r="B26" s="2" t="s">
        <v>55</v>
      </c>
      <c r="C26" s="3">
        <v>46277</v>
      </c>
      <c r="D26" s="2" t="s">
        <v>56</v>
      </c>
      <c r="E26" s="2" t="s">
        <v>19</v>
      </c>
      <c r="F26" t="str">
        <f>CONCATENATE(Table7[[#This Row],[MPG Code]],Table7[[#This Row],[Farmer code]])</f>
        <v>200100080061</v>
      </c>
      <c r="G26" s="4">
        <v>20010008</v>
      </c>
      <c r="H26" s="4" t="str">
        <f>VLOOKUP(Table7[[#This Row],[MPG Code]],'[1]MPG Payment'!$B$3:$E$129,4,0)</f>
        <v>Direct</v>
      </c>
      <c r="I26" s="2" t="s">
        <v>32</v>
      </c>
      <c r="J26" s="5" t="s">
        <v>61</v>
      </c>
      <c r="K26" s="2" t="s">
        <v>31</v>
      </c>
      <c r="L26" s="2" t="s">
        <v>23</v>
      </c>
      <c r="M26" s="4">
        <v>1</v>
      </c>
      <c r="N26" s="4">
        <v>1270</v>
      </c>
      <c r="O26" s="4">
        <v>1270</v>
      </c>
      <c r="P26" s="4">
        <v>0</v>
      </c>
      <c r="Q26" s="4">
        <v>1270</v>
      </c>
      <c r="R26" s="4">
        <v>1</v>
      </c>
      <c r="S26" s="4">
        <v>1270</v>
      </c>
      <c r="T26" s="23">
        <v>1270</v>
      </c>
      <c r="U26" s="6"/>
    </row>
    <row r="27" spans="1:21" x14ac:dyDescent="0.25">
      <c r="A27" s="1">
        <v>46277.621817824074</v>
      </c>
      <c r="B27" s="2" t="s">
        <v>55</v>
      </c>
      <c r="C27" s="3">
        <v>46277</v>
      </c>
      <c r="D27" s="2" t="s">
        <v>56</v>
      </c>
      <c r="E27" s="2" t="s">
        <v>19</v>
      </c>
      <c r="F27" t="str">
        <f>CONCATENATE(Table7[[#This Row],[MPG Code]],Table7[[#This Row],[Farmer code]])</f>
        <v>200600030002</v>
      </c>
      <c r="G27" s="4">
        <v>20060003</v>
      </c>
      <c r="H27" s="4" t="str">
        <f>VLOOKUP(Table7[[#This Row],[MPG Code]],'[1]MPG Payment'!$B$3:$E$129,4,0)</f>
        <v>Direct</v>
      </c>
      <c r="I27" s="2" t="s">
        <v>20</v>
      </c>
      <c r="J27" s="5" t="s">
        <v>21</v>
      </c>
      <c r="K27" s="2" t="s">
        <v>22</v>
      </c>
      <c r="L27" s="2" t="s">
        <v>23</v>
      </c>
      <c r="M27" s="4">
        <v>13</v>
      </c>
      <c r="N27" s="4">
        <v>1270</v>
      </c>
      <c r="O27" s="4">
        <v>16510</v>
      </c>
      <c r="P27" s="4">
        <v>0</v>
      </c>
      <c r="Q27" s="4">
        <v>16510</v>
      </c>
      <c r="R27" s="4">
        <v>13</v>
      </c>
      <c r="S27" s="4">
        <v>16510</v>
      </c>
      <c r="T27" s="23">
        <v>16510</v>
      </c>
      <c r="U27" s="6"/>
    </row>
    <row r="28" spans="1:21" x14ac:dyDescent="0.25">
      <c r="A28" s="17">
        <v>46277.671157407407</v>
      </c>
      <c r="B28" s="18" t="s">
        <v>55</v>
      </c>
      <c r="C28" s="19">
        <v>46277</v>
      </c>
      <c r="D28" s="18" t="s">
        <v>56</v>
      </c>
      <c r="E28" s="18" t="s">
        <v>19</v>
      </c>
      <c r="F28" t="str">
        <f>CONCATENATE(Table7[[#This Row],[MPG Code]],Table7[[#This Row],[Farmer code]])</f>
        <v>200600040002</v>
      </c>
      <c r="G28" s="20">
        <v>20060004</v>
      </c>
      <c r="H28" s="20" t="str">
        <f>VLOOKUP(Table7[[#This Row],[MPG Code]],'[1]MPG Payment'!$B$3:$E$129,4,0)</f>
        <v>Direct</v>
      </c>
      <c r="I28" s="18" t="s">
        <v>24</v>
      </c>
      <c r="J28" s="22" t="s">
        <v>21</v>
      </c>
      <c r="K28" s="18" t="s">
        <v>22</v>
      </c>
      <c r="L28" s="18" t="s">
        <v>23</v>
      </c>
      <c r="M28" s="20">
        <v>5</v>
      </c>
      <c r="N28" s="20">
        <v>1270</v>
      </c>
      <c r="O28" s="20">
        <v>6350</v>
      </c>
      <c r="P28" s="20">
        <v>0</v>
      </c>
      <c r="Q28" s="20">
        <v>6350</v>
      </c>
      <c r="R28" s="20">
        <v>5</v>
      </c>
      <c r="S28" s="20">
        <v>6350</v>
      </c>
      <c r="T28" s="24">
        <v>6350</v>
      </c>
      <c r="U28" s="21"/>
    </row>
    <row r="29" spans="1:21" x14ac:dyDescent="0.25">
      <c r="A29" s="7">
        <v>46277.268874166664</v>
      </c>
      <c r="B29" s="8" t="s">
        <v>35</v>
      </c>
      <c r="C29" s="9">
        <v>46277</v>
      </c>
      <c r="D29" s="8" t="s">
        <v>56</v>
      </c>
      <c r="E29" s="8" t="s">
        <v>19</v>
      </c>
      <c r="F29" t="str">
        <f>CONCATENATE(Table7[[#This Row],[MPG Code]],Table7[[#This Row],[Farmer code]])</f>
        <v>200200130002</v>
      </c>
      <c r="G29" s="10">
        <v>20020013</v>
      </c>
      <c r="H29" s="10" t="str">
        <f>VLOOKUP(Table7[[#This Row],[MPG Code]],'[1]MPG Payment'!$B$3:$E$129,4,0)</f>
        <v>Indirect</v>
      </c>
      <c r="I29" s="8" t="s">
        <v>57</v>
      </c>
      <c r="J29" s="11" t="s">
        <v>21</v>
      </c>
      <c r="K29" s="8" t="s">
        <v>37</v>
      </c>
      <c r="L29" s="8" t="s">
        <v>23</v>
      </c>
      <c r="M29" s="10">
        <v>5</v>
      </c>
      <c r="N29" s="10">
        <v>1270</v>
      </c>
      <c r="O29" s="10">
        <v>6350</v>
      </c>
      <c r="P29" s="10">
        <v>0</v>
      </c>
      <c r="Q29" s="10">
        <v>6350</v>
      </c>
      <c r="R29" s="10">
        <v>5</v>
      </c>
      <c r="S29" s="10">
        <v>6350</v>
      </c>
      <c r="T29" s="25">
        <v>6350</v>
      </c>
      <c r="U29" s="12"/>
    </row>
    <row r="30" spans="1:21" x14ac:dyDescent="0.25">
      <c r="S30">
        <f>SUBTOTAL(109,Table7[Final Amount])</f>
        <v>236095</v>
      </c>
      <c r="T30">
        <f>SUBTOTAL(109,Table7[Deduction])</f>
        <v>234899</v>
      </c>
    </row>
    <row r="32" spans="1:21" x14ac:dyDescent="0.25">
      <c r="R32" t="s">
        <v>71</v>
      </c>
      <c r="S32">
        <v>20020006</v>
      </c>
      <c r="T32">
        <v>302</v>
      </c>
    </row>
    <row r="33" spans="18:20" ht="15.75" thickBot="1" x14ac:dyDescent="0.3">
      <c r="R33" s="31" t="s">
        <v>72</v>
      </c>
      <c r="S33" s="31"/>
      <c r="T33" s="31">
        <f>Table7[[#Totals],[Deduction]]</f>
        <v>234899</v>
      </c>
    </row>
    <row r="34" spans="18:20" ht="16.5" thickTop="1" thickBot="1" x14ac:dyDescent="0.3">
      <c r="R34" s="32" t="s">
        <v>66</v>
      </c>
      <c r="S34" s="32"/>
      <c r="T34" s="32">
        <f>SUM(T32:T33)</f>
        <v>235201</v>
      </c>
    </row>
  </sheetData>
  <conditionalFormatting sqref="F2:F29">
    <cfRule type="duplicateValues" dxfId="0" priority="1"/>
  </conditionalFormatting>
  <dataValidations count="1">
    <dataValidation type="list" allowBlank="1" sqref="E2:E29" xr:uid="{4569E3BD-AC75-465C-8CC1-F33EDD8A1FC3}">
      <formula1>#REF!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2026-09-12T10:10:40Z</dcterms:created>
  <dcterms:modified xsi:type="dcterms:W3CDTF">2026-09-16T07:07:28Z</dcterms:modified>
</cp:coreProperties>
</file>