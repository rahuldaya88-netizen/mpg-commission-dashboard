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"/>
    </mc:Choice>
  </mc:AlternateContent>
  <xr:revisionPtr revIDLastSave="0" documentId="13_ncr:1_{4CB062AD-4173-44A2-92DD-807B9299C087}" xr6:coauthVersionLast="47" xr6:coauthVersionMax="47" xr10:uidLastSave="{00000000-0000-0000-0000-000000000000}"/>
  <bookViews>
    <workbookView xWindow="-120" yWindow="-120" windowWidth="29040" windowHeight="15720" xr2:uid="{830E1557-9AF9-45C9-833B-77E1D611B9F1}"/>
  </bookViews>
  <sheets>
    <sheet name="Sheet2" sheetId="2" r:id="rId1"/>
    <sheet name="Sheet1" sheetId="1" r:id="rId2"/>
  </sheets>
  <calcPr calcId="191029"/>
  <pivotCaches>
    <pivotCache cacheId="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</calcChain>
</file>

<file path=xl/sharedStrings.xml><?xml version="1.0" encoding="utf-8"?>
<sst xmlns="http://schemas.openxmlformats.org/spreadsheetml/2006/main" count="67" uniqueCount="39">
  <si>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</si>
  <si>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</si>
  <si>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</si>
  <si>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</si>
  <si>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</si>
  <si>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</si>
  <si>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</si>
  <si>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</si>
  <si>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</si>
  <si>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</si>
  <si>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</si>
  <si>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</si>
  <si>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Amount</t>
  </si>
  <si>
    <t>Balance Due</t>
  </si>
  <si>
    <t>Remarks</t>
  </si>
  <si>
    <t>Agening</t>
  </si>
  <si>
    <t>Column 1</t>
  </si>
  <si>
    <t>Chanho</t>
  </si>
  <si>
    <t>Gomukh Gold 50KG</t>
  </si>
  <si>
    <t>Bag</t>
  </si>
  <si>
    <t>Naudi</t>
  </si>
  <si>
    <t>Daya Society</t>
  </si>
  <si>
    <t>yes</t>
  </si>
  <si>
    <t>Ningani</t>
  </si>
  <si>
    <t>Kundo</t>
  </si>
  <si>
    <t>CHATTI BHANDRA</t>
  </si>
  <si>
    <t>Pali</t>
  </si>
  <si>
    <t>KANBHITHA</t>
  </si>
  <si>
    <t>Paali</t>
  </si>
  <si>
    <t>Baski 2</t>
  </si>
  <si>
    <t>RANIKHATANGA</t>
  </si>
  <si>
    <t>Bero</t>
  </si>
  <si>
    <t>Itki</t>
  </si>
  <si>
    <t>Dumardagga</t>
  </si>
  <si>
    <t>DUMARDAGA</t>
  </si>
  <si>
    <t>ORMANJHI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</si>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</sst>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rgb="FF535FC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0" xfId="0" applyFill="1"/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0" fillId="5" borderId="0" xfId="0" applyFill="1"/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0" fillId="0" borderId="0" xfId="0" pivotButton="1"/>
    <xf numFmtId="0" fontId="4" fillId="7" borderId="2" xfId="0" applyFont="1" applyFill="1" applyBorder="1"/>
    <xf numFmtId="0" fontId="4" fillId="7" borderId="3" xfId="0" applyFont="1" applyFill="1" applyBorder="1"/>
    <xf numFmtId="0" fontId="0" fillId="0" borderId="0" xfId="0" applyNumberFormat="1"/>
    <xf numFmtId="0" fontId="4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645994444443" createdVersion="8" refreshedVersion="8" minRefreshableVersion="3" recordCount="7" xr:uid="{1D68D4D6-ED9E-4589-9BD2-A76FACD13D38}">
  <cacheSource type="worksheet">
    <worksheetSource ref="A1:Q8" sheet="Sheet1"/>
  </cacheSource>
  <cacheFields count="17">
    <cacheField name="Sales Date" numFmtId="164">
      <sharedItems containsSemiMixedTypes="0" containsNonDate="0" containsDate="1" containsString="0" minDate="2026-03-06T00:00:00" maxDate="2026-08-22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03" maxValue="20090003" count="7">
        <n v="20090003"/>
        <n v="20080035"/>
        <n v="20050002"/>
        <n v="20050001"/>
        <n v="20020006"/>
        <n v="20010003"/>
        <n v="20060003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emiMixedTypes="0" containsString="0" containsNumber="1" containsInteger="1" minValue="0" maxValue="2851"/>
    </cacheField>
    <cacheField name="Qty" numFmtId="0">
      <sharedItems containsSemiMixedTypes="0" containsString="0" containsNumber="1" containsInteger="1" minValue="2" maxValue="5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2540" maxValue="63500"/>
    </cacheField>
    <cacheField name="Payment Amount" numFmtId="0">
      <sharedItems containsString="0" containsBlank="1" containsNumber="1" minValue="1447.94" maxValue="38100"/>
    </cacheField>
    <cacheField name="Balance Due" numFmtId="0">
      <sharedItems containsSemiMixedTypes="0" containsString="0" containsNumber="1" minValue="184" maxValue="254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6" maxValue="184"/>
    </cacheField>
    <cacheField name="Column 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3-06T00:00:00"/>
    <s v="Chanho"/>
    <s v="Gomukh Gold 50KG"/>
    <s v="Bag"/>
    <x v="0"/>
    <s v="Naudi"/>
    <s v="Chanho"/>
    <s v="Daya Society"/>
    <n v="2851"/>
    <n v="10"/>
    <n v="1250"/>
    <n v="12500"/>
    <n v="9956"/>
    <n v="2544"/>
    <m/>
    <n v="184"/>
    <s v="yes"/>
  </r>
  <r>
    <d v="2026-07-30T00:00:00"/>
    <s v="Ningani"/>
    <s v="Gomukh Gold 50KG"/>
    <s v="Bag"/>
    <x v="1"/>
    <s v="Kundo"/>
    <s v="CHATTI BHANDRA"/>
    <s v="Daya Society"/>
    <n v="0"/>
    <n v="10"/>
    <n v="1270"/>
    <n v="12700"/>
    <m/>
    <n v="12700"/>
    <m/>
    <n v="38"/>
    <m/>
  </r>
  <r>
    <d v="2026-08-13T00:00:00"/>
    <s v="Pali"/>
    <s v="Gomukh Gold 50KG"/>
    <s v="Bag"/>
    <x v="2"/>
    <s v="KANBHITHA"/>
    <s v="Paali"/>
    <s v="Daya Society"/>
    <n v="0"/>
    <n v="5"/>
    <n v="1270"/>
    <n v="6350"/>
    <n v="5660"/>
    <n v="690"/>
    <m/>
    <n v="24"/>
    <m/>
  </r>
  <r>
    <d v="2026-08-21T00:00:00"/>
    <s v="Pali"/>
    <s v="Gomukh Gold 50KG"/>
    <s v="Bag"/>
    <x v="3"/>
    <s v="Baski 2"/>
    <s v="Paali"/>
    <s v="Daya Society"/>
    <n v="0"/>
    <n v="2"/>
    <n v="1270"/>
    <n v="2540"/>
    <n v="1447.94"/>
    <n v="1092.06"/>
    <m/>
    <n v="16"/>
    <m/>
  </r>
  <r>
    <d v="2026-08-21T00:00:00"/>
    <s v="Pali"/>
    <s v="Gomukh Gold 50KG"/>
    <s v="Bag"/>
    <x v="4"/>
    <s v="RANIKHATANGA"/>
    <s v="Paali"/>
    <s v="Daya Society"/>
    <n v="0"/>
    <n v="5"/>
    <n v="1270"/>
    <n v="6350"/>
    <m/>
    <n v="6350"/>
    <m/>
    <n v="16"/>
    <m/>
  </r>
  <r>
    <d v="2026-08-21T00:00:00"/>
    <s v="Bero"/>
    <s v="Gomukh Gold 50KG"/>
    <s v="Bag"/>
    <x v="5"/>
    <s v="Bero"/>
    <s v="Itki"/>
    <s v="Daya Society"/>
    <n v="0"/>
    <n v="3"/>
    <n v="1270"/>
    <n v="3810"/>
    <n v="3626"/>
    <n v="184"/>
    <m/>
    <n v="16"/>
    <m/>
  </r>
  <r>
    <d v="2026-08-21T00:00:00"/>
    <s v="Dumardagga"/>
    <s v="Gomukh Gold 50KG"/>
    <s v="Bag"/>
    <x v="6"/>
    <s v="DUMARDAGA"/>
    <s v="ORMANJHI"/>
    <s v="Daya Society"/>
    <n v="0"/>
    <n v="50"/>
    <n v="1270"/>
    <n v="63500"/>
    <n v="38100"/>
    <n v="25400"/>
    <m/>
    <n v="1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5E2C0-A97A-4302-A99A-D842C5706115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2" firstHeaderRow="2" firstDataRow="2" firstDataCol="1"/>
  <pivotFields count="17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3"/>
        <item x="2"/>
        <item x="6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alance D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5C8C-A2BA-4A49-9A96-60F1FC76445C}">
  <dimension ref="A3:G12"/>
  <sheetViews>
    <sheetView tabSelected="1" workbookViewId="0">
      <selection activeCell="W14" sqref="W14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3" spans="1:7" x14ac:dyDescent="0.25">
      <c r="A3" s="10" t="s">
        <v>37</v>
      </c>
    </row>
    <row r="4" spans="1:7" x14ac:dyDescent="0.25">
      <c r="A4" s="10" t="s">
        <v>4</v>
      </c>
      <c r="B4" t="s">
        <v>38</v>
      </c>
      <c r="F4" s="11" t="s">
        <v>4</v>
      </c>
      <c r="G4" s="11" t="s">
        <v>38</v>
      </c>
    </row>
    <row r="5" spans="1:7" x14ac:dyDescent="0.25">
      <c r="A5">
        <v>20010003</v>
      </c>
      <c r="B5" s="13">
        <v>184</v>
      </c>
      <c r="F5">
        <v>20010003</v>
      </c>
      <c r="G5" s="13">
        <v>184</v>
      </c>
    </row>
    <row r="6" spans="1:7" x14ac:dyDescent="0.25">
      <c r="A6">
        <v>20020006</v>
      </c>
      <c r="B6" s="13">
        <v>6350</v>
      </c>
      <c r="F6">
        <v>20020006</v>
      </c>
      <c r="G6" s="13">
        <v>6350</v>
      </c>
    </row>
    <row r="7" spans="1:7" x14ac:dyDescent="0.25">
      <c r="A7">
        <v>20050001</v>
      </c>
      <c r="B7" s="13">
        <v>1092.06</v>
      </c>
      <c r="F7">
        <v>20050001</v>
      </c>
      <c r="G7" s="13">
        <v>1092.06</v>
      </c>
    </row>
    <row r="8" spans="1:7" x14ac:dyDescent="0.25">
      <c r="A8">
        <v>20050002</v>
      </c>
      <c r="B8" s="13">
        <v>690</v>
      </c>
      <c r="F8">
        <v>20050002</v>
      </c>
      <c r="G8" s="13">
        <v>690</v>
      </c>
    </row>
    <row r="9" spans="1:7" x14ac:dyDescent="0.25">
      <c r="A9">
        <v>20060003</v>
      </c>
      <c r="B9" s="13">
        <v>25400</v>
      </c>
      <c r="F9">
        <v>20060003</v>
      </c>
      <c r="G9" s="13">
        <v>25400</v>
      </c>
    </row>
    <row r="10" spans="1:7" x14ac:dyDescent="0.25">
      <c r="A10">
        <v>20080035</v>
      </c>
      <c r="B10" s="13">
        <v>12700</v>
      </c>
      <c r="F10">
        <v>20080035</v>
      </c>
      <c r="G10" s="13">
        <v>12700</v>
      </c>
    </row>
    <row r="11" spans="1:7" x14ac:dyDescent="0.25">
      <c r="A11">
        <v>20090003</v>
      </c>
      <c r="B11" s="13">
        <v>2544</v>
      </c>
      <c r="F11">
        <v>20090003</v>
      </c>
      <c r="G11" s="13">
        <v>2544</v>
      </c>
    </row>
    <row r="12" spans="1:7" x14ac:dyDescent="0.25">
      <c r="A12" t="s">
        <v>36</v>
      </c>
      <c r="B12" s="13">
        <v>48960.06</v>
      </c>
      <c r="F12" s="12" t="s">
        <v>36</v>
      </c>
      <c r="G12" s="14">
        <v>48960.06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86D3-361A-435E-8F6D-7769C4A6C563}">
  <dimension ref="A1:Q9"/>
  <sheetViews>
    <sheetView workbookViewId="0">
      <selection activeCell="N9" sqref="N9"/>
    </sheetView>
  </sheetViews>
  <sheetFormatPr defaultRowHeight="15" x14ac:dyDescent="0.25"/>
  <cols>
    <col min="1" max="1" width="11.5703125" bestFit="1" customWidth="1"/>
    <col min="13" max="13" width="15.7109375" bestFit="1" customWidth="1"/>
    <col min="14" max="14" width="11.28515625" bestFit="1" customWidth="1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6" customFormat="1" x14ac:dyDescent="0.25">
      <c r="A2" s="4">
        <v>46087</v>
      </c>
      <c r="B2" s="3" t="s">
        <v>17</v>
      </c>
      <c r="C2" s="3" t="s">
        <v>18</v>
      </c>
      <c r="D2" s="3" t="s">
        <v>19</v>
      </c>
      <c r="E2" s="3">
        <v>20090003</v>
      </c>
      <c r="F2" s="3" t="s">
        <v>20</v>
      </c>
      <c r="G2" s="3" t="s">
        <v>17</v>
      </c>
      <c r="H2" s="3" t="s">
        <v>21</v>
      </c>
      <c r="I2" s="3">
        <v>2851</v>
      </c>
      <c r="J2" s="3">
        <v>10</v>
      </c>
      <c r="K2" s="5">
        <v>1250</v>
      </c>
      <c r="L2" s="3">
        <v>12500</v>
      </c>
      <c r="M2" s="3">
        <v>9956</v>
      </c>
      <c r="N2" s="3">
        <v>2544</v>
      </c>
      <c r="O2" s="3"/>
      <c r="P2" s="3">
        <v>184</v>
      </c>
      <c r="Q2" s="3" t="s">
        <v>22</v>
      </c>
    </row>
    <row r="3" spans="1:17" s="6" customFormat="1" x14ac:dyDescent="0.25">
      <c r="A3" s="8">
        <v>46233</v>
      </c>
      <c r="B3" s="7" t="s">
        <v>23</v>
      </c>
      <c r="C3" s="7" t="s">
        <v>18</v>
      </c>
      <c r="D3" s="7" t="s">
        <v>19</v>
      </c>
      <c r="E3" s="7">
        <v>20080035</v>
      </c>
      <c r="F3" s="7" t="s">
        <v>24</v>
      </c>
      <c r="G3" s="7" t="s">
        <v>25</v>
      </c>
      <c r="H3" s="7" t="s">
        <v>21</v>
      </c>
      <c r="I3" s="7">
        <v>0</v>
      </c>
      <c r="J3" s="7">
        <v>10</v>
      </c>
      <c r="K3" s="9">
        <v>1270</v>
      </c>
      <c r="L3" s="7">
        <v>12700</v>
      </c>
      <c r="M3" s="7"/>
      <c r="N3" s="7">
        <v>12700</v>
      </c>
      <c r="O3" s="7"/>
      <c r="P3" s="7">
        <v>38</v>
      </c>
      <c r="Q3" s="7"/>
    </row>
    <row r="4" spans="1:17" s="6" customFormat="1" x14ac:dyDescent="0.25">
      <c r="A4" s="8">
        <v>46247</v>
      </c>
      <c r="B4" s="7" t="s">
        <v>26</v>
      </c>
      <c r="C4" s="7" t="s">
        <v>18</v>
      </c>
      <c r="D4" s="7" t="s">
        <v>19</v>
      </c>
      <c r="E4" s="7">
        <v>20050002</v>
      </c>
      <c r="F4" s="7" t="s">
        <v>27</v>
      </c>
      <c r="G4" s="7" t="s">
        <v>28</v>
      </c>
      <c r="H4" s="7" t="s">
        <v>21</v>
      </c>
      <c r="I4" s="7">
        <v>0</v>
      </c>
      <c r="J4" s="7">
        <v>5</v>
      </c>
      <c r="K4" s="9">
        <v>1270</v>
      </c>
      <c r="L4" s="7">
        <v>6350</v>
      </c>
      <c r="M4" s="7">
        <v>5660</v>
      </c>
      <c r="N4" s="7">
        <v>690</v>
      </c>
      <c r="O4" s="7"/>
      <c r="P4" s="7">
        <v>24</v>
      </c>
      <c r="Q4" s="7"/>
    </row>
    <row r="5" spans="1:17" s="6" customFormat="1" x14ac:dyDescent="0.25">
      <c r="A5" s="8">
        <v>46255</v>
      </c>
      <c r="B5" s="7" t="s">
        <v>26</v>
      </c>
      <c r="C5" s="7" t="s">
        <v>18</v>
      </c>
      <c r="D5" s="7" t="s">
        <v>19</v>
      </c>
      <c r="E5" s="7">
        <v>20050001</v>
      </c>
      <c r="F5" s="7" t="s">
        <v>29</v>
      </c>
      <c r="G5" s="7" t="s">
        <v>28</v>
      </c>
      <c r="H5" s="7" t="s">
        <v>21</v>
      </c>
      <c r="I5" s="7">
        <v>0</v>
      </c>
      <c r="J5" s="7">
        <v>2</v>
      </c>
      <c r="K5" s="9">
        <v>1270</v>
      </c>
      <c r="L5" s="7">
        <v>2540</v>
      </c>
      <c r="M5" s="7">
        <v>1447.94</v>
      </c>
      <c r="N5" s="7">
        <v>1092.06</v>
      </c>
      <c r="O5" s="7"/>
      <c r="P5" s="7">
        <v>16</v>
      </c>
      <c r="Q5" s="7"/>
    </row>
    <row r="6" spans="1:17" s="6" customFormat="1" x14ac:dyDescent="0.25">
      <c r="A6" s="8">
        <v>46255</v>
      </c>
      <c r="B6" s="7" t="s">
        <v>26</v>
      </c>
      <c r="C6" s="7" t="s">
        <v>18</v>
      </c>
      <c r="D6" s="7" t="s">
        <v>19</v>
      </c>
      <c r="E6" s="7">
        <v>20020006</v>
      </c>
      <c r="F6" s="7" t="s">
        <v>30</v>
      </c>
      <c r="G6" s="7" t="s">
        <v>28</v>
      </c>
      <c r="H6" s="7" t="s">
        <v>21</v>
      </c>
      <c r="I6" s="7">
        <v>0</v>
      </c>
      <c r="J6" s="7">
        <v>5</v>
      </c>
      <c r="K6" s="9">
        <v>1270</v>
      </c>
      <c r="L6" s="7">
        <v>6350</v>
      </c>
      <c r="M6" s="7"/>
      <c r="N6" s="7">
        <v>6350</v>
      </c>
      <c r="O6" s="7"/>
      <c r="P6" s="7">
        <v>16</v>
      </c>
      <c r="Q6" s="7"/>
    </row>
    <row r="7" spans="1:17" s="6" customFormat="1" x14ac:dyDescent="0.25">
      <c r="A7" s="8">
        <v>46255</v>
      </c>
      <c r="B7" s="7" t="s">
        <v>31</v>
      </c>
      <c r="C7" s="7" t="s">
        <v>18</v>
      </c>
      <c r="D7" s="7" t="s">
        <v>19</v>
      </c>
      <c r="E7" s="7">
        <v>20010003</v>
      </c>
      <c r="F7" s="7" t="s">
        <v>31</v>
      </c>
      <c r="G7" s="7" t="s">
        <v>32</v>
      </c>
      <c r="H7" s="7" t="s">
        <v>21</v>
      </c>
      <c r="I7" s="7">
        <v>0</v>
      </c>
      <c r="J7" s="7">
        <v>3</v>
      </c>
      <c r="K7" s="9">
        <v>1270</v>
      </c>
      <c r="L7" s="7">
        <v>3810</v>
      </c>
      <c r="M7" s="7">
        <v>3626</v>
      </c>
      <c r="N7" s="7">
        <v>184</v>
      </c>
      <c r="O7" s="7"/>
      <c r="P7" s="7">
        <v>16</v>
      </c>
      <c r="Q7" s="7"/>
    </row>
    <row r="8" spans="1:17" s="6" customFormat="1" x14ac:dyDescent="0.25">
      <c r="A8" s="8">
        <v>46255</v>
      </c>
      <c r="B8" s="7" t="s">
        <v>33</v>
      </c>
      <c r="C8" s="7" t="s">
        <v>18</v>
      </c>
      <c r="D8" s="7" t="s">
        <v>19</v>
      </c>
      <c r="E8" s="7">
        <v>20060003</v>
      </c>
      <c r="F8" s="7" t="s">
        <v>34</v>
      </c>
      <c r="G8" s="7" t="s">
        <v>35</v>
      </c>
      <c r="H8" s="7" t="s">
        <v>21</v>
      </c>
      <c r="I8" s="7">
        <v>0</v>
      </c>
      <c r="J8" s="7">
        <v>50</v>
      </c>
      <c r="K8" s="9">
        <v>1270</v>
      </c>
      <c r="L8" s="7">
        <v>63500</v>
      </c>
      <c r="M8" s="7">
        <v>38100</v>
      </c>
      <c r="N8" s="7">
        <v>25400</v>
      </c>
      <c r="O8" s="7"/>
      <c r="P8" s="7">
        <v>16</v>
      </c>
      <c r="Q8" s="7"/>
    </row>
    <row r="9" spans="1:17" x14ac:dyDescent="0.25">
      <c r="N9">
        <f>SUM(N2:N8)</f>
        <v>48960.06</v>
      </c>
    </row>
  </sheetData>
  <dataValidations count="2">
    <dataValidation type="list" allowBlank="1" sqref="C2:C8" xr:uid="{D4784BDE-2CD2-4EAA-8E29-EFD9B8D6343C}">
      <formula1>#REF!</formula1>
    </dataValidation>
    <dataValidation type="custom" allowBlank="1" showDropDown="1" sqref="A2:A8" xr:uid="{2D9248B7-3556-40BE-A78D-4B32B316417D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2026-09-06T14:39:36Z</dcterms:created>
  <dcterms:modified xsi:type="dcterms:W3CDTF">2026-09-07T10:03:02Z</dcterms:modified>
</cp:coreProperties>
</file>