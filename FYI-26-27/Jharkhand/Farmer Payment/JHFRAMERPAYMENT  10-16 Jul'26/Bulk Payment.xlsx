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"/>
    </mc:Choice>
  </mc:AlternateContent>
  <xr:revisionPtr revIDLastSave="0" documentId="8_{9AB02394-9D1B-4901-A0D3-5A965151DBD7}" xr6:coauthVersionLast="47" xr6:coauthVersionMax="47" xr10:uidLastSave="{00000000-0000-0000-0000-000000000000}"/>
  <bookViews>
    <workbookView xWindow="-120" yWindow="-120" windowWidth="29040" windowHeight="15720" activeTab="1" xr2:uid="{CF52F80A-758D-4DEB-B25D-F307308F1251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O27" i="2"/>
  <c r="H4" i="1"/>
</calcChain>
</file>

<file path=xl/sharedStrings.xml><?xml version="1.0" encoding="utf-8"?>
<sst xmlns="http://schemas.openxmlformats.org/spreadsheetml/2006/main" count="340" uniqueCount="116">
  <si>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</si>
  <si>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</si>
  <si>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</si>
  <si>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</si>
  <si>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</si>
  <si>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</si>
  <si>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</si>
  <si>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</si>
  <si>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</si>
  <si>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</si>
  <si>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</si>
  <si>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</si>
  <si>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</si>
  <si>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</si>
  <si>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</si>
  <si>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</si>
  <si>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</si>
  <si>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:2006</t>
  </si>
  <si>
    <t>JIRABAR</t>
  </si>
  <si>
    <t>MPG</t>
  </si>
  <si>
    <t>Direct</t>
  </si>
  <si>
    <t>Release3</t>
  </si>
  <si>
    <t>15. 03-09 Jun</t>
  </si>
  <si>
    <t>Letter not received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</si>
  <si>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</si>
  <si>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</si>
  <si>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</si>
  <si>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</si>
  <si>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</si>
  <si>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</si>
  <si>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</si>
  <si>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</si>
  <si>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</si>
  <si>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TS Loss</t>
  </si>
  <si>
    <t>Deduction for excess payment</t>
  </si>
  <si>
    <t>Milk Short</t>
  </si>
  <si>
    <t>CF Deduction</t>
  </si>
  <si>
    <t>Vet Deduction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</si>
  <si>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</si>
  <si>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</si>
  <si>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</si>
  <si>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</si>
  <si>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</si>
  <si>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</si>
  <si>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</si>
  <si>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</si>
  <si>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</si>
  <si>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200600050003</t>
  </si>
  <si>
    <t>0003</t>
  </si>
  <si>
    <t>BABITA DEVI</t>
  </si>
  <si>
    <t>1940104000019345</t>
  </si>
  <si>
    <t>IBKL0001940</t>
  </si>
  <si>
    <t xml:space="preserve">IDBI Bank </t>
  </si>
  <si>
    <t>Available</t>
  </si>
  <si>
    <t>15.03-09 Jun</t>
  </si>
  <si>
    <t>200600050005</t>
  </si>
  <si>
    <t>0005</t>
  </si>
  <si>
    <t>SABITA DEVI</t>
  </si>
  <si>
    <t>1940104000049513</t>
  </si>
  <si>
    <t>200600050008</t>
  </si>
  <si>
    <t>0008</t>
  </si>
  <si>
    <t>GANESH KUMAR</t>
  </si>
  <si>
    <t>1940104000037794</t>
  </si>
  <si>
    <t>200600050009</t>
  </si>
  <si>
    <t>0009</t>
  </si>
  <si>
    <t>TETRI DEVI</t>
  </si>
  <si>
    <t>1940104000022817</t>
  </si>
  <si>
    <t>IDBI BANK</t>
  </si>
  <si>
    <t>200600050011</t>
  </si>
  <si>
    <t>0011</t>
  </si>
  <si>
    <t>NAND KISHOR MAHTO</t>
  </si>
  <si>
    <t>346801000000766</t>
  </si>
  <si>
    <t>IOBA0003468</t>
  </si>
  <si>
    <t>INDIAN OVERSEAS BANK</t>
  </si>
  <si>
    <t>200600050015</t>
  </si>
  <si>
    <t>0015</t>
  </si>
  <si>
    <t>JHIRGA ORAON</t>
  </si>
  <si>
    <t>1940104000038951</t>
  </si>
  <si>
    <t>200600050020</t>
  </si>
  <si>
    <t>0020</t>
  </si>
  <si>
    <t>NARESH SAHU</t>
  </si>
  <si>
    <t>1940104000006491</t>
  </si>
  <si>
    <t>200600050022</t>
  </si>
  <si>
    <t>0022</t>
  </si>
  <si>
    <t>PACHU ORAON</t>
  </si>
  <si>
    <t>346801000012266</t>
  </si>
  <si>
    <t>200600050028</t>
  </si>
  <si>
    <t>0028</t>
  </si>
  <si>
    <t>VIDYAWATI DEVI</t>
  </si>
  <si>
    <t>1940104000033035</t>
  </si>
  <si>
    <t>200600050032</t>
  </si>
  <si>
    <t>0032</t>
  </si>
  <si>
    <t>PUNAM DEVI</t>
  </si>
  <si>
    <t>317001000007813</t>
  </si>
  <si>
    <t>IOBA0003170</t>
  </si>
  <si>
    <t>200600050038</t>
  </si>
  <si>
    <t>0038</t>
  </si>
  <si>
    <t>SUMITRA DEVI</t>
  </si>
  <si>
    <t>491610110010961</t>
  </si>
  <si>
    <t>BKID0004916</t>
  </si>
  <si>
    <t>Total</t>
  </si>
  <si>
    <t>Release2</t>
  </si>
  <si>
    <t>16. 10-16 Jun</t>
  </si>
  <si>
    <t>16.10-16 Jun</t>
  </si>
  <si>
    <t>200600050014</t>
  </si>
  <si>
    <t>0014</t>
  </si>
  <si>
    <t>DEEPAK KUMAR</t>
  </si>
  <si>
    <t>1940104000003674</t>
  </si>
  <si>
    <t>200600050024</t>
  </si>
  <si>
    <t>0024</t>
  </si>
  <si>
    <t>SURESH SAHU</t>
  </si>
  <si>
    <t>1940104000018832</t>
  </si>
  <si>
    <t>200600050031</t>
  </si>
  <si>
    <t>0031</t>
  </si>
  <si>
    <t>SUBHASH SAHU</t>
  </si>
  <si>
    <t>1940104000018054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</si>
</sst>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43" fontId="4" fillId="2" borderId="1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" fontId="6" fillId="0" borderId="5" xfId="0" applyNumberFormat="1" applyFont="1" applyBorder="1" applyAlignment="1">
      <alignment horizontal="center"/>
    </xf>
    <xf numFmtId="164" fontId="6" fillId="6" borderId="6" xfId="2" applyNumberFormat="1" applyFont="1" applyFill="1" applyBorder="1" applyAlignment="1">
      <alignment horizontal="center" vertical="center"/>
    </xf>
    <xf numFmtId="164" fontId="6" fillId="0" borderId="6" xfId="0" applyNumberFormat="1" applyFont="1" applyBorder="1"/>
    <xf numFmtId="43" fontId="6" fillId="0" borderId="6" xfId="0" applyNumberFormat="1" applyFont="1" applyBorder="1"/>
    <xf numFmtId="43" fontId="6" fillId="0" borderId="6" xfId="1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6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</cellXfs>
  <cellStyles count="4">
    <cellStyle name="Comma" xfId="1" builtinId="3"/>
    <cellStyle name="Comma 2" xfId="2" xr:uid="{58FD7C5C-9B96-4FDC-AFB3-4FBCDEF70A82}"/>
    <cellStyle name="Normal" xfId="0" builtinId="0"/>
    <cellStyle name="Normal 2" xfId="3" xr:uid="{C4A8E50D-7970-488B-B789-1FEDE7522332}"/>
  </cellStyles>
  <dxfs count="2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EAAF-C322-446E-9E5D-D637D81C85B7}">
  <dimension ref="A1:Q4"/>
  <sheetViews>
    <sheetView workbookViewId="0">
      <selection activeCell="K20" sqref="K20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8" bestFit="1" customWidth="1"/>
    <col min="4" max="4" width="5" bestFit="1" customWidth="1"/>
    <col min="5" max="5" width="7.7109375" bestFit="1" customWidth="1"/>
    <col min="6" max="7" width="7" bestFit="1" customWidth="1"/>
    <col min="8" max="8" width="8.140625" bestFit="1" customWidth="1"/>
    <col min="9" max="9" width="7.7109375" bestFit="1" customWidth="1"/>
    <col min="10" max="10" width="8" bestFit="1" customWidth="1"/>
    <col min="11" max="11" width="9.7109375" bestFit="1" customWidth="1"/>
    <col min="12" max="12" width="13.140625" bestFit="1" customWidth="1"/>
    <col min="13" max="13" width="16.85546875" bestFit="1" customWidth="1"/>
    <col min="14" max="14" width="5.5703125" bestFit="1" customWidth="1"/>
    <col min="15" max="15" width="9" bestFit="1" customWidth="1"/>
    <col min="16" max="16" width="7.140625" bestFit="1" customWidth="1"/>
    <col min="17" max="17" width="6.85546875" bestFit="1" customWidth="1"/>
  </cols>
  <sheetData>
    <row r="1" spans="1:17" ht="41.2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8" t="s">
        <v>15</v>
      </c>
      <c r="Q1" s="8" t="s">
        <v>16</v>
      </c>
    </row>
    <row r="2" spans="1:17" x14ac:dyDescent="0.25">
      <c r="A2" s="9" t="s">
        <v>17</v>
      </c>
      <c r="B2" s="10">
        <v>20060005</v>
      </c>
      <c r="C2" s="11" t="s">
        <v>18</v>
      </c>
      <c r="D2" s="12" t="s">
        <v>19</v>
      </c>
      <c r="E2" s="13" t="s">
        <v>20</v>
      </c>
      <c r="F2" s="14">
        <v>793.4</v>
      </c>
      <c r="G2" s="14">
        <v>33763.749999999993</v>
      </c>
      <c r="H2" s="15">
        <v>33764</v>
      </c>
      <c r="I2" s="15">
        <v>0</v>
      </c>
      <c r="J2" s="15">
        <v>0</v>
      </c>
      <c r="K2" s="16" t="s">
        <v>21</v>
      </c>
      <c r="L2" s="17" t="s">
        <v>22</v>
      </c>
      <c r="M2" s="12" t="s">
        <v>23</v>
      </c>
      <c r="N2" s="18">
        <v>0</v>
      </c>
      <c r="O2" s="18">
        <v>0</v>
      </c>
      <c r="P2" s="18">
        <v>0</v>
      </c>
      <c r="Q2" s="19">
        <v>0</v>
      </c>
    </row>
    <row r="3" spans="1:17" x14ac:dyDescent="0.25">
      <c r="A3" s="48" t="s">
        <v>17</v>
      </c>
      <c r="B3" s="49">
        <v>20060005</v>
      </c>
      <c r="C3" s="50" t="s">
        <v>18</v>
      </c>
      <c r="D3" s="51" t="s">
        <v>19</v>
      </c>
      <c r="E3" s="52" t="s">
        <v>20</v>
      </c>
      <c r="F3" s="53">
        <v>886.8</v>
      </c>
      <c r="G3" s="53">
        <v>38239.659999999989</v>
      </c>
      <c r="H3" s="54">
        <v>38240</v>
      </c>
      <c r="I3" s="54">
        <v>0</v>
      </c>
      <c r="J3" s="54">
        <v>0</v>
      </c>
      <c r="K3" s="55" t="s">
        <v>101</v>
      </c>
      <c r="L3" s="56" t="s">
        <v>102</v>
      </c>
      <c r="M3" s="51" t="s">
        <v>23</v>
      </c>
      <c r="N3" s="57">
        <v>0</v>
      </c>
      <c r="O3" s="57">
        <v>0</v>
      </c>
      <c r="P3" s="57">
        <v>0</v>
      </c>
      <c r="Q3" s="58">
        <v>0</v>
      </c>
    </row>
    <row r="4" spans="1:17" ht="15.75" thickBot="1" x14ac:dyDescent="0.3">
      <c r="A4" s="59"/>
      <c r="B4" s="60"/>
      <c r="C4" s="61" t="s">
        <v>24</v>
      </c>
      <c r="D4" s="62"/>
      <c r="E4" s="62">
        <v>130</v>
      </c>
      <c r="F4" s="63">
        <f>SUM(F2:F3)</f>
        <v>1680.1999999999998</v>
      </c>
      <c r="G4" s="63">
        <f>SUM(G2:G3)</f>
        <v>72003.409999999974</v>
      </c>
      <c r="H4" s="64">
        <f>SUM(H2:H3)</f>
        <v>72004</v>
      </c>
      <c r="I4" s="64">
        <v>0</v>
      </c>
      <c r="J4" s="64">
        <v>0</v>
      </c>
      <c r="K4" s="64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6">
        <v>0</v>
      </c>
    </row>
  </sheetData>
  <conditionalFormatting sqref="B2">
    <cfRule type="duplicateValues" dxfId="22" priority="18"/>
  </conditionalFormatting>
  <conditionalFormatting sqref="B2">
    <cfRule type="duplicateValues" dxfId="21" priority="19"/>
  </conditionalFormatting>
  <conditionalFormatting sqref="D2">
    <cfRule type="containsText" dxfId="20" priority="17" operator="containsText" text="RMC">
      <formula>NOT(ISERROR(SEARCH("RMC",D2)))</formula>
    </cfRule>
  </conditionalFormatting>
  <conditionalFormatting sqref="E2">
    <cfRule type="containsText" dxfId="19" priority="16" operator="containsText" text="Indirect">
      <formula>NOT(ISERROR(SEARCH("Indirect",E2)))</formula>
    </cfRule>
  </conditionalFormatting>
  <conditionalFormatting sqref="B4">
    <cfRule type="duplicateValues" dxfId="18" priority="10" stopIfTrue="1"/>
  </conditionalFormatting>
  <conditionalFormatting sqref="B3">
    <cfRule type="duplicateValues" dxfId="17" priority="8"/>
  </conditionalFormatting>
  <conditionalFormatting sqref="B3">
    <cfRule type="duplicateValues" dxfId="16" priority="9"/>
  </conditionalFormatting>
  <conditionalFormatting sqref="D3">
    <cfRule type="containsText" dxfId="15" priority="7" operator="containsText" text="RMC">
      <formula>NOT(ISERROR(SEARCH("RMC",D3)))</formula>
    </cfRule>
  </conditionalFormatting>
  <conditionalFormatting sqref="E3">
    <cfRule type="containsText" dxfId="14" priority="6" operator="containsText" text="Indirect">
      <formula>NOT(ISERROR(SEARCH("Indirect",E3)))</formula>
    </cfRule>
  </conditionalFormatting>
  <conditionalFormatting sqref="C4">
    <cfRule type="duplicateValues" dxfId="13" priority="5" stopIfTrue="1"/>
  </conditionalFormatting>
  <conditionalFormatting sqref="D4">
    <cfRule type="duplicateValues" dxfId="12" priority="4" stopIfTrue="1"/>
  </conditionalFormatting>
  <conditionalFormatting sqref="E4">
    <cfRule type="duplicateValues" dxfId="11" priority="3" stopIfTrue="1"/>
  </conditionalFormatting>
  <conditionalFormatting sqref="F4">
    <cfRule type="duplicateValues" dxfId="10" priority="2" stopIfTrue="1"/>
  </conditionalFormatting>
  <conditionalFormatting sqref="G4">
    <cfRule type="duplicateValues" dxfId="9" priority="1" stopIfTrue="1"/>
  </conditionalFormatting>
  <conditionalFormatting sqref="B1">
    <cfRule type="duplicateValues" dxfId="8" priority="2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3D34-91D0-4E60-AF49-AF28EED8443E}">
  <dimension ref="A1:X27"/>
  <sheetViews>
    <sheetView tabSelected="1" workbookViewId="0">
      <selection activeCell="R30" sqref="R30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8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9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20.42578125" bestFit="1" customWidth="1"/>
    <col min="18" max="18" width="17.28515625" bestFit="1" customWidth="1"/>
    <col min="19" max="19" width="12.28515625" bestFit="1" customWidth="1"/>
    <col min="20" max="20" width="22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0" t="s">
        <v>25</v>
      </c>
      <c r="B1" s="21" t="s">
        <v>26</v>
      </c>
      <c r="C1" s="21" t="s">
        <v>27</v>
      </c>
      <c r="D1" s="22" t="s">
        <v>28</v>
      </c>
      <c r="E1" s="23" t="s">
        <v>29</v>
      </c>
      <c r="F1" s="22" t="s">
        <v>30</v>
      </c>
      <c r="G1" s="23" t="s">
        <v>31</v>
      </c>
      <c r="H1" s="23" t="s">
        <v>32</v>
      </c>
      <c r="I1" s="24" t="s">
        <v>33</v>
      </c>
      <c r="J1" s="24" t="s">
        <v>34</v>
      </c>
      <c r="K1" s="24" t="s">
        <v>35</v>
      </c>
      <c r="L1" s="24" t="s">
        <v>36</v>
      </c>
      <c r="M1" s="24" t="s">
        <v>37</v>
      </c>
      <c r="N1" s="24" t="s">
        <v>10</v>
      </c>
      <c r="O1" s="24" t="s">
        <v>38</v>
      </c>
      <c r="P1" s="25" t="s">
        <v>39</v>
      </c>
      <c r="Q1" s="26" t="s">
        <v>40</v>
      </c>
      <c r="R1" s="26" t="s">
        <v>41</v>
      </c>
      <c r="S1" s="26" t="s">
        <v>42</v>
      </c>
      <c r="T1" s="26" t="s">
        <v>43</v>
      </c>
      <c r="U1" s="27" t="s">
        <v>44</v>
      </c>
      <c r="V1" s="26" t="s">
        <v>45</v>
      </c>
      <c r="W1" s="26" t="s">
        <v>46</v>
      </c>
      <c r="X1" s="26" t="s">
        <v>11</v>
      </c>
    </row>
    <row r="2" spans="1:24" x14ac:dyDescent="0.25">
      <c r="A2" s="28" t="s">
        <v>47</v>
      </c>
      <c r="B2" s="29" t="s">
        <v>17</v>
      </c>
      <c r="C2" s="30" t="s">
        <v>18</v>
      </c>
      <c r="D2" s="31">
        <v>20060005</v>
      </c>
      <c r="E2" s="31" t="s">
        <v>48</v>
      </c>
      <c r="F2" s="29">
        <v>14</v>
      </c>
      <c r="G2" s="32">
        <v>454.96000000000004</v>
      </c>
      <c r="H2" s="32">
        <v>20417.170000000002</v>
      </c>
      <c r="I2" s="33">
        <v>0</v>
      </c>
      <c r="J2" s="34">
        <v>0</v>
      </c>
      <c r="K2" s="33">
        <v>1196</v>
      </c>
      <c r="L2" s="33">
        <v>0</v>
      </c>
      <c r="M2" s="35">
        <v>0</v>
      </c>
      <c r="N2" s="33" t="s">
        <v>21</v>
      </c>
      <c r="O2" s="36">
        <v>19221</v>
      </c>
      <c r="P2" s="30" t="s">
        <v>20</v>
      </c>
      <c r="Q2" s="30" t="s">
        <v>49</v>
      </c>
      <c r="R2" s="30" t="s">
        <v>50</v>
      </c>
      <c r="S2" s="30" t="s">
        <v>51</v>
      </c>
      <c r="T2" s="30" t="s">
        <v>52</v>
      </c>
      <c r="U2" s="37">
        <v>45663</v>
      </c>
      <c r="V2" s="30">
        <v>1</v>
      </c>
      <c r="W2" s="30" t="s">
        <v>53</v>
      </c>
      <c r="X2" s="38" t="s">
        <v>54</v>
      </c>
    </row>
    <row r="3" spans="1:24" x14ac:dyDescent="0.25">
      <c r="A3" s="28" t="s">
        <v>55</v>
      </c>
      <c r="B3" s="29" t="s">
        <v>17</v>
      </c>
      <c r="C3" s="30" t="s">
        <v>18</v>
      </c>
      <c r="D3" s="31">
        <v>20060005</v>
      </c>
      <c r="E3" s="31" t="s">
        <v>56</v>
      </c>
      <c r="F3" s="29">
        <v>11</v>
      </c>
      <c r="G3" s="32">
        <v>36.82</v>
      </c>
      <c r="H3" s="32">
        <v>1688.91</v>
      </c>
      <c r="I3" s="33">
        <v>0</v>
      </c>
      <c r="J3" s="34">
        <v>0</v>
      </c>
      <c r="K3" s="33">
        <v>98</v>
      </c>
      <c r="L3" s="33">
        <v>0</v>
      </c>
      <c r="M3" s="35">
        <v>0</v>
      </c>
      <c r="N3" s="33" t="s">
        <v>21</v>
      </c>
      <c r="O3" s="36">
        <v>1591</v>
      </c>
      <c r="P3" s="30" t="s">
        <v>20</v>
      </c>
      <c r="Q3" s="30" t="s">
        <v>57</v>
      </c>
      <c r="R3" s="30" t="s">
        <v>58</v>
      </c>
      <c r="S3" s="30" t="s">
        <v>51</v>
      </c>
      <c r="T3" s="30" t="s">
        <v>52</v>
      </c>
      <c r="U3" s="37">
        <v>45663</v>
      </c>
      <c r="V3" s="30">
        <v>1</v>
      </c>
      <c r="W3" s="30" t="s">
        <v>53</v>
      </c>
      <c r="X3" s="38" t="s">
        <v>54</v>
      </c>
    </row>
    <row r="4" spans="1:24" x14ac:dyDescent="0.25">
      <c r="A4" s="28" t="s">
        <v>59</v>
      </c>
      <c r="B4" s="29" t="s">
        <v>17</v>
      </c>
      <c r="C4" s="30" t="s">
        <v>18</v>
      </c>
      <c r="D4" s="31">
        <v>20060005</v>
      </c>
      <c r="E4" s="31" t="s">
        <v>60</v>
      </c>
      <c r="F4" s="29">
        <v>7</v>
      </c>
      <c r="G4" s="32">
        <v>25.94</v>
      </c>
      <c r="H4" s="32">
        <v>899.91</v>
      </c>
      <c r="I4" s="33">
        <v>0</v>
      </c>
      <c r="J4" s="34">
        <v>0</v>
      </c>
      <c r="K4" s="33">
        <v>68</v>
      </c>
      <c r="L4" s="33">
        <v>0</v>
      </c>
      <c r="M4" s="35">
        <v>0</v>
      </c>
      <c r="N4" s="33" t="s">
        <v>21</v>
      </c>
      <c r="O4" s="36">
        <v>832</v>
      </c>
      <c r="P4" s="30" t="s">
        <v>20</v>
      </c>
      <c r="Q4" s="30" t="s">
        <v>61</v>
      </c>
      <c r="R4" s="30" t="s">
        <v>62</v>
      </c>
      <c r="S4" s="30" t="s">
        <v>51</v>
      </c>
      <c r="T4" s="30">
        <v>0</v>
      </c>
      <c r="U4" s="37">
        <v>45843</v>
      </c>
      <c r="V4" s="30">
        <v>1</v>
      </c>
      <c r="W4" s="30" t="s">
        <v>53</v>
      </c>
      <c r="X4" s="38" t="s">
        <v>54</v>
      </c>
    </row>
    <row r="5" spans="1:24" x14ac:dyDescent="0.25">
      <c r="A5" s="28" t="s">
        <v>63</v>
      </c>
      <c r="B5" s="29" t="s">
        <v>17</v>
      </c>
      <c r="C5" s="30" t="s">
        <v>18</v>
      </c>
      <c r="D5" s="31">
        <v>20060005</v>
      </c>
      <c r="E5" s="31" t="s">
        <v>64</v>
      </c>
      <c r="F5" s="29">
        <v>7</v>
      </c>
      <c r="G5" s="32">
        <v>39.68</v>
      </c>
      <c r="H5" s="32">
        <v>2429.5</v>
      </c>
      <c r="I5" s="33">
        <v>0</v>
      </c>
      <c r="J5" s="34">
        <v>0</v>
      </c>
      <c r="K5" s="33">
        <v>105</v>
      </c>
      <c r="L5" s="33">
        <v>0</v>
      </c>
      <c r="M5" s="35">
        <v>0</v>
      </c>
      <c r="N5" s="33" t="s">
        <v>21</v>
      </c>
      <c r="O5" s="36">
        <v>2325</v>
      </c>
      <c r="P5" s="30" t="s">
        <v>20</v>
      </c>
      <c r="Q5" s="30" t="s">
        <v>65</v>
      </c>
      <c r="R5" s="30" t="s">
        <v>66</v>
      </c>
      <c r="S5" s="30" t="s">
        <v>51</v>
      </c>
      <c r="T5" s="30" t="s">
        <v>67</v>
      </c>
      <c r="U5" s="37">
        <v>0</v>
      </c>
      <c r="V5" s="30">
        <v>1</v>
      </c>
      <c r="W5" s="30" t="s">
        <v>53</v>
      </c>
      <c r="X5" s="38" t="s">
        <v>54</v>
      </c>
    </row>
    <row r="6" spans="1:24" x14ac:dyDescent="0.25">
      <c r="A6" s="28" t="s">
        <v>68</v>
      </c>
      <c r="B6" s="29" t="s">
        <v>17</v>
      </c>
      <c r="C6" s="30" t="s">
        <v>18</v>
      </c>
      <c r="D6" s="31">
        <v>20060005</v>
      </c>
      <c r="E6" s="31" t="s">
        <v>69</v>
      </c>
      <c r="F6" s="29">
        <v>7</v>
      </c>
      <c r="G6" s="32">
        <v>24.340000000000003</v>
      </c>
      <c r="H6" s="32">
        <v>934.6</v>
      </c>
      <c r="I6" s="33">
        <v>0</v>
      </c>
      <c r="J6" s="34">
        <v>0</v>
      </c>
      <c r="K6" s="33">
        <v>63</v>
      </c>
      <c r="L6" s="33">
        <v>0</v>
      </c>
      <c r="M6" s="35">
        <v>0</v>
      </c>
      <c r="N6" s="33" t="s">
        <v>21</v>
      </c>
      <c r="O6" s="36">
        <v>872</v>
      </c>
      <c r="P6" s="30" t="s">
        <v>20</v>
      </c>
      <c r="Q6" s="30" t="s">
        <v>70</v>
      </c>
      <c r="R6" s="30" t="s">
        <v>71</v>
      </c>
      <c r="S6" s="30" t="s">
        <v>72</v>
      </c>
      <c r="T6" s="30" t="s">
        <v>73</v>
      </c>
      <c r="U6" s="37">
        <v>0</v>
      </c>
      <c r="V6" s="30">
        <v>1</v>
      </c>
      <c r="W6" s="30" t="s">
        <v>53</v>
      </c>
      <c r="X6" s="38" t="s">
        <v>54</v>
      </c>
    </row>
    <row r="7" spans="1:24" x14ac:dyDescent="0.25">
      <c r="A7" s="28" t="s">
        <v>74</v>
      </c>
      <c r="B7" s="29" t="s">
        <v>17</v>
      </c>
      <c r="C7" s="30" t="s">
        <v>18</v>
      </c>
      <c r="D7" s="31">
        <v>20060005</v>
      </c>
      <c r="E7" s="31" t="s">
        <v>75</v>
      </c>
      <c r="F7" s="29">
        <v>13</v>
      </c>
      <c r="G7" s="32">
        <v>37.700000000000003</v>
      </c>
      <c r="H7" s="32">
        <v>1322.8200000000002</v>
      </c>
      <c r="I7" s="33">
        <v>0</v>
      </c>
      <c r="J7" s="34">
        <v>0</v>
      </c>
      <c r="K7" s="33">
        <v>100</v>
      </c>
      <c r="L7" s="33">
        <v>0</v>
      </c>
      <c r="M7" s="35">
        <v>0</v>
      </c>
      <c r="N7" s="33" t="s">
        <v>21</v>
      </c>
      <c r="O7" s="36">
        <v>1223</v>
      </c>
      <c r="P7" s="30" t="s">
        <v>20</v>
      </c>
      <c r="Q7" s="30" t="s">
        <v>76</v>
      </c>
      <c r="R7" s="30" t="s">
        <v>77</v>
      </c>
      <c r="S7" s="30" t="s">
        <v>51</v>
      </c>
      <c r="T7" s="30">
        <v>0</v>
      </c>
      <c r="U7" s="37">
        <v>0</v>
      </c>
      <c r="V7" s="30">
        <v>1</v>
      </c>
      <c r="W7" s="30" t="s">
        <v>53</v>
      </c>
      <c r="X7" s="38" t="s">
        <v>54</v>
      </c>
    </row>
    <row r="8" spans="1:24" x14ac:dyDescent="0.25">
      <c r="A8" s="28" t="s">
        <v>78</v>
      </c>
      <c r="B8" s="29" t="s">
        <v>17</v>
      </c>
      <c r="C8" s="30" t="s">
        <v>18</v>
      </c>
      <c r="D8" s="31">
        <v>20060005</v>
      </c>
      <c r="E8" s="31" t="s">
        <v>79</v>
      </c>
      <c r="F8" s="29">
        <v>7</v>
      </c>
      <c r="G8" s="32">
        <v>53.8</v>
      </c>
      <c r="H8" s="32">
        <v>2458.4899999999998</v>
      </c>
      <c r="I8" s="33">
        <v>0</v>
      </c>
      <c r="J8" s="34">
        <v>0</v>
      </c>
      <c r="K8" s="33">
        <v>142</v>
      </c>
      <c r="L8" s="33">
        <v>0</v>
      </c>
      <c r="M8" s="35">
        <v>0</v>
      </c>
      <c r="N8" s="33" t="s">
        <v>21</v>
      </c>
      <c r="O8" s="36">
        <v>2316</v>
      </c>
      <c r="P8" s="30" t="s">
        <v>20</v>
      </c>
      <c r="Q8" s="30" t="s">
        <v>80</v>
      </c>
      <c r="R8" s="30" t="s">
        <v>81</v>
      </c>
      <c r="S8" s="30" t="s">
        <v>51</v>
      </c>
      <c r="T8" s="30">
        <v>0</v>
      </c>
      <c r="U8" s="37">
        <v>45831</v>
      </c>
      <c r="V8" s="30">
        <v>1</v>
      </c>
      <c r="W8" s="30" t="s">
        <v>53</v>
      </c>
      <c r="X8" s="38" t="s">
        <v>54</v>
      </c>
    </row>
    <row r="9" spans="1:24" x14ac:dyDescent="0.25">
      <c r="A9" s="28" t="s">
        <v>82</v>
      </c>
      <c r="B9" s="29" t="s">
        <v>17</v>
      </c>
      <c r="C9" s="30" t="s">
        <v>18</v>
      </c>
      <c r="D9" s="31">
        <v>20060005</v>
      </c>
      <c r="E9" s="31" t="s">
        <v>83</v>
      </c>
      <c r="F9" s="29">
        <v>5</v>
      </c>
      <c r="G9" s="32">
        <v>15.959999999999999</v>
      </c>
      <c r="H9" s="32">
        <v>663.13000000000011</v>
      </c>
      <c r="I9" s="33">
        <v>0</v>
      </c>
      <c r="J9" s="34">
        <v>0</v>
      </c>
      <c r="K9" s="33">
        <v>42</v>
      </c>
      <c r="L9" s="33">
        <v>0</v>
      </c>
      <c r="M9" s="35">
        <v>0</v>
      </c>
      <c r="N9" s="33" t="s">
        <v>21</v>
      </c>
      <c r="O9" s="36">
        <v>621</v>
      </c>
      <c r="P9" s="30" t="s">
        <v>20</v>
      </c>
      <c r="Q9" s="30" t="s">
        <v>84</v>
      </c>
      <c r="R9" s="30" t="s">
        <v>85</v>
      </c>
      <c r="S9" s="30" t="s">
        <v>72</v>
      </c>
      <c r="T9" s="30">
        <v>0</v>
      </c>
      <c r="U9" s="37">
        <v>45853</v>
      </c>
      <c r="V9" s="30">
        <v>1</v>
      </c>
      <c r="W9" s="30" t="s">
        <v>53</v>
      </c>
      <c r="X9" s="38" t="s">
        <v>54</v>
      </c>
    </row>
    <row r="10" spans="1:24" x14ac:dyDescent="0.25">
      <c r="A10" s="28" t="s">
        <v>86</v>
      </c>
      <c r="B10" s="29" t="s">
        <v>17</v>
      </c>
      <c r="C10" s="30" t="s">
        <v>18</v>
      </c>
      <c r="D10" s="31">
        <v>20060005</v>
      </c>
      <c r="E10" s="31" t="s">
        <v>87</v>
      </c>
      <c r="F10" s="29">
        <v>7</v>
      </c>
      <c r="G10" s="32">
        <v>75.640000000000015</v>
      </c>
      <c r="H10" s="32">
        <v>2578.08</v>
      </c>
      <c r="I10" s="33">
        <v>0</v>
      </c>
      <c r="J10" s="34">
        <v>0</v>
      </c>
      <c r="K10" s="33">
        <v>200</v>
      </c>
      <c r="L10" s="33">
        <v>0</v>
      </c>
      <c r="M10" s="35">
        <v>0</v>
      </c>
      <c r="N10" s="33" t="s">
        <v>21</v>
      </c>
      <c r="O10" s="36">
        <v>2378</v>
      </c>
      <c r="P10" s="30" t="s">
        <v>20</v>
      </c>
      <c r="Q10" s="30" t="s">
        <v>88</v>
      </c>
      <c r="R10" s="30" t="s">
        <v>89</v>
      </c>
      <c r="S10" s="30" t="s">
        <v>51</v>
      </c>
      <c r="T10" s="30">
        <v>0</v>
      </c>
      <c r="U10" s="37">
        <v>45908</v>
      </c>
      <c r="V10" s="30">
        <v>1</v>
      </c>
      <c r="W10" s="30" t="s">
        <v>53</v>
      </c>
      <c r="X10" s="38" t="s">
        <v>54</v>
      </c>
    </row>
    <row r="11" spans="1:24" x14ac:dyDescent="0.25">
      <c r="A11" s="28" t="s">
        <v>90</v>
      </c>
      <c r="B11" s="29" t="s">
        <v>17</v>
      </c>
      <c r="C11" s="30" t="s">
        <v>18</v>
      </c>
      <c r="D11" s="31">
        <v>20060005</v>
      </c>
      <c r="E11" s="31" t="s">
        <v>91</v>
      </c>
      <c r="F11" s="29">
        <v>7</v>
      </c>
      <c r="G11" s="32">
        <v>24.48</v>
      </c>
      <c r="H11" s="32">
        <v>1595.8</v>
      </c>
      <c r="I11" s="33">
        <v>0</v>
      </c>
      <c r="J11" s="34">
        <v>0</v>
      </c>
      <c r="K11" s="33">
        <v>63</v>
      </c>
      <c r="L11" s="33">
        <v>0</v>
      </c>
      <c r="M11" s="35">
        <v>0</v>
      </c>
      <c r="N11" s="33" t="s">
        <v>21</v>
      </c>
      <c r="O11" s="36">
        <v>1533</v>
      </c>
      <c r="P11" s="30" t="s">
        <v>20</v>
      </c>
      <c r="Q11" s="30" t="s">
        <v>92</v>
      </c>
      <c r="R11" s="30" t="s">
        <v>93</v>
      </c>
      <c r="S11" s="30" t="s">
        <v>94</v>
      </c>
      <c r="T11" s="30">
        <v>0</v>
      </c>
      <c r="U11" s="37">
        <v>45923</v>
      </c>
      <c r="V11" s="30">
        <v>1</v>
      </c>
      <c r="W11" s="30" t="s">
        <v>53</v>
      </c>
      <c r="X11" s="38" t="s">
        <v>54</v>
      </c>
    </row>
    <row r="12" spans="1:24" x14ac:dyDescent="0.25">
      <c r="A12" s="28" t="s">
        <v>95</v>
      </c>
      <c r="B12" s="29" t="s">
        <v>17</v>
      </c>
      <c r="C12" s="30" t="s">
        <v>18</v>
      </c>
      <c r="D12" s="31">
        <v>20060005</v>
      </c>
      <c r="E12" s="31" t="s">
        <v>96</v>
      </c>
      <c r="F12" s="29">
        <v>6</v>
      </c>
      <c r="G12" s="32">
        <v>20.040000000000003</v>
      </c>
      <c r="H12" s="32">
        <v>900.06000000000006</v>
      </c>
      <c r="I12" s="33">
        <v>0</v>
      </c>
      <c r="J12" s="34">
        <v>0</v>
      </c>
      <c r="K12" s="33">
        <v>48</v>
      </c>
      <c r="L12" s="33">
        <v>0</v>
      </c>
      <c r="M12" s="35">
        <v>0</v>
      </c>
      <c r="N12" s="33" t="s">
        <v>21</v>
      </c>
      <c r="O12" s="36">
        <v>852</v>
      </c>
      <c r="P12" s="30" t="s">
        <v>20</v>
      </c>
      <c r="Q12" s="30" t="s">
        <v>97</v>
      </c>
      <c r="R12" s="30" t="s">
        <v>98</v>
      </c>
      <c r="S12" s="30" t="s">
        <v>99</v>
      </c>
      <c r="T12" s="30">
        <v>0</v>
      </c>
      <c r="U12" s="37">
        <v>46195</v>
      </c>
      <c r="V12" s="30">
        <v>1</v>
      </c>
      <c r="W12" s="30" t="s">
        <v>53</v>
      </c>
      <c r="X12" s="38" t="s">
        <v>54</v>
      </c>
    </row>
    <row r="13" spans="1:24" x14ac:dyDescent="0.25">
      <c r="A13" s="28" t="s">
        <v>47</v>
      </c>
      <c r="B13" s="29" t="s">
        <v>17</v>
      </c>
      <c r="C13" s="30" t="s">
        <v>18</v>
      </c>
      <c r="D13" s="31">
        <v>20060005</v>
      </c>
      <c r="E13" s="31" t="s">
        <v>48</v>
      </c>
      <c r="F13" s="29">
        <v>14</v>
      </c>
      <c r="G13" s="32">
        <v>438.74</v>
      </c>
      <c r="H13" s="32">
        <v>20120.66</v>
      </c>
      <c r="I13" s="33">
        <v>0</v>
      </c>
      <c r="J13" s="34">
        <v>0</v>
      </c>
      <c r="K13" s="33">
        <v>865</v>
      </c>
      <c r="L13" s="33">
        <v>0</v>
      </c>
      <c r="M13" s="35">
        <v>0</v>
      </c>
      <c r="N13" s="33" t="s">
        <v>101</v>
      </c>
      <c r="O13" s="36">
        <v>19256</v>
      </c>
      <c r="P13" s="30" t="s">
        <v>20</v>
      </c>
      <c r="Q13" s="30" t="s">
        <v>49</v>
      </c>
      <c r="R13" s="30" t="s">
        <v>50</v>
      </c>
      <c r="S13" s="30" t="s">
        <v>51</v>
      </c>
      <c r="T13" s="30" t="s">
        <v>52</v>
      </c>
      <c r="U13" s="37">
        <v>45663</v>
      </c>
      <c r="V13" s="30">
        <v>1</v>
      </c>
      <c r="W13" s="30" t="s">
        <v>53</v>
      </c>
      <c r="X13" s="38" t="s">
        <v>103</v>
      </c>
    </row>
    <row r="14" spans="1:24" x14ac:dyDescent="0.25">
      <c r="A14" s="28" t="s">
        <v>55</v>
      </c>
      <c r="B14" s="29" t="s">
        <v>17</v>
      </c>
      <c r="C14" s="30" t="s">
        <v>18</v>
      </c>
      <c r="D14" s="31">
        <v>20060005</v>
      </c>
      <c r="E14" s="31" t="s">
        <v>56</v>
      </c>
      <c r="F14" s="29">
        <v>10</v>
      </c>
      <c r="G14" s="32">
        <v>35.94</v>
      </c>
      <c r="H14" s="32">
        <v>1626.8899999999999</v>
      </c>
      <c r="I14" s="33">
        <v>0</v>
      </c>
      <c r="J14" s="34">
        <v>0</v>
      </c>
      <c r="K14" s="33">
        <v>71</v>
      </c>
      <c r="L14" s="33">
        <v>0</v>
      </c>
      <c r="M14" s="35">
        <v>0</v>
      </c>
      <c r="N14" s="33" t="s">
        <v>101</v>
      </c>
      <c r="O14" s="36">
        <v>1556</v>
      </c>
      <c r="P14" s="30" t="s">
        <v>20</v>
      </c>
      <c r="Q14" s="30" t="s">
        <v>57</v>
      </c>
      <c r="R14" s="30" t="s">
        <v>58</v>
      </c>
      <c r="S14" s="30" t="s">
        <v>51</v>
      </c>
      <c r="T14" s="30" t="s">
        <v>52</v>
      </c>
      <c r="U14" s="37">
        <v>45663</v>
      </c>
      <c r="V14" s="30">
        <v>1</v>
      </c>
      <c r="W14" s="30" t="s">
        <v>53</v>
      </c>
      <c r="X14" s="38" t="s">
        <v>103</v>
      </c>
    </row>
    <row r="15" spans="1:24" x14ac:dyDescent="0.25">
      <c r="A15" s="28" t="s">
        <v>59</v>
      </c>
      <c r="B15" s="29" t="s">
        <v>17</v>
      </c>
      <c r="C15" s="30" t="s">
        <v>18</v>
      </c>
      <c r="D15" s="31">
        <v>20060005</v>
      </c>
      <c r="E15" s="31" t="s">
        <v>60</v>
      </c>
      <c r="F15" s="29">
        <v>7</v>
      </c>
      <c r="G15" s="32">
        <v>28.94</v>
      </c>
      <c r="H15" s="32">
        <v>1024.76</v>
      </c>
      <c r="I15" s="33">
        <v>0</v>
      </c>
      <c r="J15" s="34">
        <v>0</v>
      </c>
      <c r="K15" s="33">
        <v>57</v>
      </c>
      <c r="L15" s="33">
        <v>0</v>
      </c>
      <c r="M15" s="35">
        <v>0</v>
      </c>
      <c r="N15" s="33" t="s">
        <v>101</v>
      </c>
      <c r="O15" s="36">
        <v>968</v>
      </c>
      <c r="P15" s="30" t="s">
        <v>20</v>
      </c>
      <c r="Q15" s="30" t="s">
        <v>61</v>
      </c>
      <c r="R15" s="30" t="s">
        <v>62</v>
      </c>
      <c r="S15" s="30" t="s">
        <v>51</v>
      </c>
      <c r="T15" s="30">
        <v>0</v>
      </c>
      <c r="U15" s="37">
        <v>45843</v>
      </c>
      <c r="V15" s="30">
        <v>1</v>
      </c>
      <c r="W15" s="30" t="s">
        <v>53</v>
      </c>
      <c r="X15" s="38" t="s">
        <v>103</v>
      </c>
    </row>
    <row r="16" spans="1:24" x14ac:dyDescent="0.25">
      <c r="A16" s="28" t="s">
        <v>63</v>
      </c>
      <c r="B16" s="29" t="s">
        <v>17</v>
      </c>
      <c r="C16" s="30" t="s">
        <v>18</v>
      </c>
      <c r="D16" s="31">
        <v>20060005</v>
      </c>
      <c r="E16" s="31" t="s">
        <v>64</v>
      </c>
      <c r="F16" s="29">
        <v>6</v>
      </c>
      <c r="G16" s="32">
        <v>33.96</v>
      </c>
      <c r="H16" s="32">
        <v>2116.58</v>
      </c>
      <c r="I16" s="33">
        <v>0</v>
      </c>
      <c r="J16" s="34">
        <v>0</v>
      </c>
      <c r="K16" s="33">
        <v>67</v>
      </c>
      <c r="L16" s="33">
        <v>0</v>
      </c>
      <c r="M16" s="35">
        <v>0</v>
      </c>
      <c r="N16" s="33" t="s">
        <v>101</v>
      </c>
      <c r="O16" s="36">
        <v>2050</v>
      </c>
      <c r="P16" s="30" t="s">
        <v>20</v>
      </c>
      <c r="Q16" s="30" t="s">
        <v>65</v>
      </c>
      <c r="R16" s="30" t="s">
        <v>66</v>
      </c>
      <c r="S16" s="30" t="s">
        <v>51</v>
      </c>
      <c r="T16" s="30" t="s">
        <v>67</v>
      </c>
      <c r="U16" s="37">
        <v>0</v>
      </c>
      <c r="V16" s="30">
        <v>1</v>
      </c>
      <c r="W16" s="30" t="s">
        <v>53</v>
      </c>
      <c r="X16" s="38" t="s">
        <v>103</v>
      </c>
    </row>
    <row r="17" spans="1:24" x14ac:dyDescent="0.25">
      <c r="A17" s="28" t="s">
        <v>68</v>
      </c>
      <c r="B17" s="29" t="s">
        <v>17</v>
      </c>
      <c r="C17" s="30" t="s">
        <v>18</v>
      </c>
      <c r="D17" s="31">
        <v>20060005</v>
      </c>
      <c r="E17" s="31" t="s">
        <v>69</v>
      </c>
      <c r="F17" s="29">
        <v>6</v>
      </c>
      <c r="G17" s="32">
        <v>17.48</v>
      </c>
      <c r="H17" s="32">
        <v>673.57999999999993</v>
      </c>
      <c r="I17" s="33">
        <v>0</v>
      </c>
      <c r="J17" s="34">
        <v>0</v>
      </c>
      <c r="K17" s="33">
        <v>34</v>
      </c>
      <c r="L17" s="33">
        <v>0</v>
      </c>
      <c r="M17" s="35">
        <v>0</v>
      </c>
      <c r="N17" s="33" t="s">
        <v>101</v>
      </c>
      <c r="O17" s="36">
        <v>640</v>
      </c>
      <c r="P17" s="30" t="s">
        <v>20</v>
      </c>
      <c r="Q17" s="30" t="s">
        <v>70</v>
      </c>
      <c r="R17" s="30" t="s">
        <v>71</v>
      </c>
      <c r="S17" s="30" t="s">
        <v>72</v>
      </c>
      <c r="T17" s="30" t="s">
        <v>73</v>
      </c>
      <c r="U17" s="37">
        <v>0</v>
      </c>
      <c r="V17" s="30">
        <v>1</v>
      </c>
      <c r="W17" s="30" t="s">
        <v>53</v>
      </c>
      <c r="X17" s="38" t="s">
        <v>103</v>
      </c>
    </row>
    <row r="18" spans="1:24" x14ac:dyDescent="0.25">
      <c r="A18" s="28" t="s">
        <v>104</v>
      </c>
      <c r="B18" s="29" t="s">
        <v>17</v>
      </c>
      <c r="C18" s="30" t="s">
        <v>18</v>
      </c>
      <c r="D18" s="31">
        <v>20060005</v>
      </c>
      <c r="E18" s="31" t="s">
        <v>105</v>
      </c>
      <c r="F18" s="29">
        <v>7</v>
      </c>
      <c r="G18" s="32">
        <v>37.039999999999992</v>
      </c>
      <c r="H18" s="32">
        <v>1369.8</v>
      </c>
      <c r="I18" s="33">
        <v>0</v>
      </c>
      <c r="J18" s="34">
        <v>0</v>
      </c>
      <c r="K18" s="33">
        <v>73</v>
      </c>
      <c r="L18" s="33">
        <v>0</v>
      </c>
      <c r="M18" s="35">
        <v>0</v>
      </c>
      <c r="N18" s="33" t="s">
        <v>101</v>
      </c>
      <c r="O18" s="36">
        <v>1297</v>
      </c>
      <c r="P18" s="30" t="s">
        <v>20</v>
      </c>
      <c r="Q18" s="30" t="s">
        <v>106</v>
      </c>
      <c r="R18" s="30" t="s">
        <v>107</v>
      </c>
      <c r="S18" s="30" t="s">
        <v>51</v>
      </c>
      <c r="T18" s="30">
        <v>0</v>
      </c>
      <c r="U18" s="37">
        <v>0</v>
      </c>
      <c r="V18" s="30">
        <v>1</v>
      </c>
      <c r="W18" s="30" t="s">
        <v>53</v>
      </c>
      <c r="X18" s="38" t="s">
        <v>103</v>
      </c>
    </row>
    <row r="19" spans="1:24" x14ac:dyDescent="0.25">
      <c r="A19" s="28" t="s">
        <v>74</v>
      </c>
      <c r="B19" s="29" t="s">
        <v>17</v>
      </c>
      <c r="C19" s="30" t="s">
        <v>18</v>
      </c>
      <c r="D19" s="31">
        <v>20060005</v>
      </c>
      <c r="E19" s="31" t="s">
        <v>75</v>
      </c>
      <c r="F19" s="29">
        <v>8</v>
      </c>
      <c r="G19" s="32">
        <v>28.040000000000003</v>
      </c>
      <c r="H19" s="32">
        <v>1036.3100000000002</v>
      </c>
      <c r="I19" s="33">
        <v>0</v>
      </c>
      <c r="J19" s="34">
        <v>0</v>
      </c>
      <c r="K19" s="33">
        <v>55</v>
      </c>
      <c r="L19" s="33">
        <v>0</v>
      </c>
      <c r="M19" s="35">
        <v>0</v>
      </c>
      <c r="N19" s="33" t="s">
        <v>101</v>
      </c>
      <c r="O19" s="36">
        <v>981</v>
      </c>
      <c r="P19" s="30" t="s">
        <v>20</v>
      </c>
      <c r="Q19" s="30" t="s">
        <v>76</v>
      </c>
      <c r="R19" s="30" t="s">
        <v>77</v>
      </c>
      <c r="S19" s="30" t="s">
        <v>51</v>
      </c>
      <c r="T19" s="30">
        <v>0</v>
      </c>
      <c r="U19" s="37">
        <v>0</v>
      </c>
      <c r="V19" s="30">
        <v>1</v>
      </c>
      <c r="W19" s="30" t="s">
        <v>53</v>
      </c>
      <c r="X19" s="38" t="s">
        <v>103</v>
      </c>
    </row>
    <row r="20" spans="1:24" x14ac:dyDescent="0.25">
      <c r="A20" s="28" t="s">
        <v>78</v>
      </c>
      <c r="B20" s="29" t="s">
        <v>17</v>
      </c>
      <c r="C20" s="30" t="s">
        <v>18</v>
      </c>
      <c r="D20" s="31">
        <v>20060005</v>
      </c>
      <c r="E20" s="31" t="s">
        <v>79</v>
      </c>
      <c r="F20" s="29">
        <v>7</v>
      </c>
      <c r="G20" s="32">
        <v>52.54</v>
      </c>
      <c r="H20" s="32">
        <v>2458.1600000000003</v>
      </c>
      <c r="I20" s="33">
        <v>0</v>
      </c>
      <c r="J20" s="34">
        <v>0</v>
      </c>
      <c r="K20" s="33">
        <v>105</v>
      </c>
      <c r="L20" s="33">
        <v>0</v>
      </c>
      <c r="M20" s="35">
        <v>0</v>
      </c>
      <c r="N20" s="33" t="s">
        <v>101</v>
      </c>
      <c r="O20" s="36">
        <v>2353</v>
      </c>
      <c r="P20" s="30" t="s">
        <v>20</v>
      </c>
      <c r="Q20" s="30" t="s">
        <v>80</v>
      </c>
      <c r="R20" s="30" t="s">
        <v>81</v>
      </c>
      <c r="S20" s="30" t="s">
        <v>51</v>
      </c>
      <c r="T20" s="30">
        <v>0</v>
      </c>
      <c r="U20" s="37">
        <v>45831</v>
      </c>
      <c r="V20" s="30">
        <v>1</v>
      </c>
      <c r="W20" s="30" t="s">
        <v>53</v>
      </c>
      <c r="X20" s="38" t="s">
        <v>103</v>
      </c>
    </row>
    <row r="21" spans="1:24" x14ac:dyDescent="0.25">
      <c r="A21" s="28" t="s">
        <v>82</v>
      </c>
      <c r="B21" s="29" t="s">
        <v>17</v>
      </c>
      <c r="C21" s="30" t="s">
        <v>18</v>
      </c>
      <c r="D21" s="31">
        <v>20060005</v>
      </c>
      <c r="E21" s="31" t="s">
        <v>83</v>
      </c>
      <c r="F21" s="29">
        <v>6</v>
      </c>
      <c r="G21" s="32">
        <v>16.14</v>
      </c>
      <c r="H21" s="32">
        <v>682.67000000000007</v>
      </c>
      <c r="I21" s="33">
        <v>0</v>
      </c>
      <c r="J21" s="34">
        <v>0</v>
      </c>
      <c r="K21" s="33">
        <v>31</v>
      </c>
      <c r="L21" s="33">
        <v>0</v>
      </c>
      <c r="M21" s="35">
        <v>0</v>
      </c>
      <c r="N21" s="33" t="s">
        <v>101</v>
      </c>
      <c r="O21" s="36">
        <v>652</v>
      </c>
      <c r="P21" s="30" t="s">
        <v>20</v>
      </c>
      <c r="Q21" s="30" t="s">
        <v>84</v>
      </c>
      <c r="R21" s="30" t="s">
        <v>85</v>
      </c>
      <c r="S21" s="30" t="s">
        <v>72</v>
      </c>
      <c r="T21" s="30">
        <v>0</v>
      </c>
      <c r="U21" s="37">
        <v>45853</v>
      </c>
      <c r="V21" s="30">
        <v>1</v>
      </c>
      <c r="W21" s="30" t="s">
        <v>53</v>
      </c>
      <c r="X21" s="38" t="s">
        <v>103</v>
      </c>
    </row>
    <row r="22" spans="1:24" x14ac:dyDescent="0.25">
      <c r="A22" s="28" t="s">
        <v>108</v>
      </c>
      <c r="B22" s="29" t="s">
        <v>17</v>
      </c>
      <c r="C22" s="30" t="s">
        <v>18</v>
      </c>
      <c r="D22" s="31">
        <v>20060005</v>
      </c>
      <c r="E22" s="31" t="s">
        <v>109</v>
      </c>
      <c r="F22" s="29">
        <v>6</v>
      </c>
      <c r="G22" s="32">
        <v>57.52</v>
      </c>
      <c r="H22" s="32">
        <v>2844.3700000000003</v>
      </c>
      <c r="I22" s="33">
        <v>0</v>
      </c>
      <c r="J22" s="34">
        <v>0</v>
      </c>
      <c r="K22" s="33">
        <v>114</v>
      </c>
      <c r="L22" s="33">
        <v>0</v>
      </c>
      <c r="M22" s="35">
        <v>0</v>
      </c>
      <c r="N22" s="33" t="s">
        <v>101</v>
      </c>
      <c r="O22" s="36">
        <v>2730</v>
      </c>
      <c r="P22" s="30" t="s">
        <v>20</v>
      </c>
      <c r="Q22" s="30" t="s">
        <v>110</v>
      </c>
      <c r="R22" s="30" t="s">
        <v>111</v>
      </c>
      <c r="S22" s="30" t="s">
        <v>51</v>
      </c>
      <c r="T22" s="30">
        <v>0</v>
      </c>
      <c r="U22" s="37">
        <v>45853</v>
      </c>
      <c r="V22" s="30">
        <v>1</v>
      </c>
      <c r="W22" s="30" t="s">
        <v>53</v>
      </c>
      <c r="X22" s="38" t="s">
        <v>103</v>
      </c>
    </row>
    <row r="23" spans="1:24" x14ac:dyDescent="0.25">
      <c r="A23" s="28" t="s">
        <v>86</v>
      </c>
      <c r="B23" s="29" t="s">
        <v>17</v>
      </c>
      <c r="C23" s="30" t="s">
        <v>18</v>
      </c>
      <c r="D23" s="31">
        <v>20060005</v>
      </c>
      <c r="E23" s="31" t="s">
        <v>87</v>
      </c>
      <c r="F23" s="29">
        <v>7</v>
      </c>
      <c r="G23" s="32">
        <v>71.34</v>
      </c>
      <c r="H23" s="32">
        <v>2404.67</v>
      </c>
      <c r="I23" s="33">
        <v>0</v>
      </c>
      <c r="J23" s="34">
        <v>0</v>
      </c>
      <c r="K23" s="33">
        <v>140</v>
      </c>
      <c r="L23" s="33">
        <v>0</v>
      </c>
      <c r="M23" s="35">
        <v>0</v>
      </c>
      <c r="N23" s="33" t="s">
        <v>101</v>
      </c>
      <c r="O23" s="36">
        <v>2265</v>
      </c>
      <c r="P23" s="30" t="s">
        <v>20</v>
      </c>
      <c r="Q23" s="30" t="s">
        <v>88</v>
      </c>
      <c r="R23" s="30" t="s">
        <v>89</v>
      </c>
      <c r="S23" s="30" t="s">
        <v>51</v>
      </c>
      <c r="T23" s="30">
        <v>0</v>
      </c>
      <c r="U23" s="37">
        <v>45908</v>
      </c>
      <c r="V23" s="30">
        <v>1</v>
      </c>
      <c r="W23" s="30" t="s">
        <v>53</v>
      </c>
      <c r="X23" s="38" t="s">
        <v>103</v>
      </c>
    </row>
    <row r="24" spans="1:24" x14ac:dyDescent="0.25">
      <c r="A24" s="28" t="s">
        <v>112</v>
      </c>
      <c r="B24" s="29" t="s">
        <v>17</v>
      </c>
      <c r="C24" s="30" t="s">
        <v>18</v>
      </c>
      <c r="D24" s="31">
        <v>20060005</v>
      </c>
      <c r="E24" s="31" t="s">
        <v>113</v>
      </c>
      <c r="F24" s="29">
        <v>1</v>
      </c>
      <c r="G24" s="32">
        <v>27.88</v>
      </c>
      <c r="H24" s="32">
        <v>1097.9100000000001</v>
      </c>
      <c r="I24" s="33">
        <v>0</v>
      </c>
      <c r="J24" s="34">
        <v>0</v>
      </c>
      <c r="K24" s="33">
        <v>55</v>
      </c>
      <c r="L24" s="33">
        <v>0</v>
      </c>
      <c r="M24" s="35">
        <v>0</v>
      </c>
      <c r="N24" s="33" t="s">
        <v>101</v>
      </c>
      <c r="O24" s="36">
        <v>1043</v>
      </c>
      <c r="P24" s="30" t="s">
        <v>20</v>
      </c>
      <c r="Q24" s="30" t="s">
        <v>114</v>
      </c>
      <c r="R24" s="30" t="s">
        <v>115</v>
      </c>
      <c r="S24" s="30" t="s">
        <v>51</v>
      </c>
      <c r="T24" s="30">
        <v>0</v>
      </c>
      <c r="U24" s="37">
        <v>45923</v>
      </c>
      <c r="V24" s="30">
        <v>1</v>
      </c>
      <c r="W24" s="30" t="s">
        <v>53</v>
      </c>
      <c r="X24" s="38" t="s">
        <v>103</v>
      </c>
    </row>
    <row r="25" spans="1:24" x14ac:dyDescent="0.25">
      <c r="A25" s="28" t="s">
        <v>90</v>
      </c>
      <c r="B25" s="29" t="s">
        <v>17</v>
      </c>
      <c r="C25" s="30" t="s">
        <v>18</v>
      </c>
      <c r="D25" s="31">
        <v>20060005</v>
      </c>
      <c r="E25" s="31" t="s">
        <v>91</v>
      </c>
      <c r="F25" s="29">
        <v>7</v>
      </c>
      <c r="G25" s="32">
        <v>22.88</v>
      </c>
      <c r="H25" s="32">
        <v>1558.22</v>
      </c>
      <c r="I25" s="33">
        <v>0</v>
      </c>
      <c r="J25" s="34">
        <v>0</v>
      </c>
      <c r="K25" s="33">
        <v>45</v>
      </c>
      <c r="L25" s="33">
        <v>0</v>
      </c>
      <c r="M25" s="35">
        <v>0</v>
      </c>
      <c r="N25" s="33" t="s">
        <v>101</v>
      </c>
      <c r="O25" s="36">
        <v>1513</v>
      </c>
      <c r="P25" s="30" t="s">
        <v>20</v>
      </c>
      <c r="Q25" s="30" t="s">
        <v>92</v>
      </c>
      <c r="R25" s="30" t="s">
        <v>93</v>
      </c>
      <c r="S25" s="30" t="s">
        <v>94</v>
      </c>
      <c r="T25" s="30">
        <v>0</v>
      </c>
      <c r="U25" s="37">
        <v>45923</v>
      </c>
      <c r="V25" s="30">
        <v>1</v>
      </c>
      <c r="W25" s="30" t="s">
        <v>53</v>
      </c>
      <c r="X25" s="38" t="s">
        <v>103</v>
      </c>
    </row>
    <row r="26" spans="1:24" ht="15.75" thickBot="1" x14ac:dyDescent="0.3">
      <c r="A26" s="28" t="s">
        <v>95</v>
      </c>
      <c r="B26" s="29" t="s">
        <v>17</v>
      </c>
      <c r="C26" s="30" t="s">
        <v>18</v>
      </c>
      <c r="D26" s="31">
        <v>20060005</v>
      </c>
      <c r="E26" s="31" t="s">
        <v>96</v>
      </c>
      <c r="F26" s="29">
        <v>7</v>
      </c>
      <c r="G26" s="32">
        <v>21.679999999999996</v>
      </c>
      <c r="H26" s="32">
        <v>958.43000000000006</v>
      </c>
      <c r="I26" s="33">
        <v>0</v>
      </c>
      <c r="J26" s="34">
        <v>0</v>
      </c>
      <c r="K26" s="33">
        <v>22</v>
      </c>
      <c r="L26" s="33">
        <v>0</v>
      </c>
      <c r="M26" s="35">
        <v>0</v>
      </c>
      <c r="N26" s="33" t="s">
        <v>101</v>
      </c>
      <c r="O26" s="36">
        <v>936</v>
      </c>
      <c r="P26" s="30" t="s">
        <v>20</v>
      </c>
      <c r="Q26" s="30" t="s">
        <v>97</v>
      </c>
      <c r="R26" s="30" t="s">
        <v>98</v>
      </c>
      <c r="S26" s="30" t="s">
        <v>99</v>
      </c>
      <c r="T26" s="30">
        <v>0</v>
      </c>
      <c r="U26" s="37">
        <v>46195</v>
      </c>
      <c r="V26" s="30">
        <v>1</v>
      </c>
      <c r="W26" s="30" t="s">
        <v>53</v>
      </c>
      <c r="X26" s="38" t="s">
        <v>103</v>
      </c>
    </row>
    <row r="27" spans="1:24" ht="15.75" thickTop="1" x14ac:dyDescent="0.25">
      <c r="A27" s="39"/>
      <c r="B27" s="40"/>
      <c r="C27" s="41" t="s">
        <v>100</v>
      </c>
      <c r="D27" s="40"/>
      <c r="E27" s="40"/>
      <c r="F27" s="40"/>
      <c r="G27" s="42">
        <v>890.11999999999989</v>
      </c>
      <c r="H27" s="42">
        <v>39973.010000000009</v>
      </c>
      <c r="I27" s="43">
        <v>0</v>
      </c>
      <c r="J27" s="43">
        <v>0</v>
      </c>
      <c r="K27" s="44">
        <v>1734</v>
      </c>
      <c r="L27" s="45">
        <v>0</v>
      </c>
      <c r="M27" s="45">
        <v>0</v>
      </c>
      <c r="N27" s="41"/>
      <c r="O27" s="42">
        <f>SUM(O2:O26)</f>
        <v>72004</v>
      </c>
      <c r="P27" s="41"/>
      <c r="Q27" s="41"/>
      <c r="R27" s="41"/>
      <c r="S27" s="41"/>
      <c r="T27" s="41"/>
      <c r="U27" s="46"/>
      <c r="V27" s="41"/>
      <c r="W27" s="41"/>
      <c r="X27" s="47"/>
    </row>
  </sheetData>
  <conditionalFormatting sqref="R1">
    <cfRule type="duplicateValues" dxfId="7" priority="8"/>
  </conditionalFormatting>
  <conditionalFormatting sqref="A2:A12">
    <cfRule type="duplicateValues" dxfId="6" priority="7"/>
  </conditionalFormatting>
  <conditionalFormatting sqref="E2:E12">
    <cfRule type="containsText" dxfId="5" priority="6" operator="containsText" text="0001">
      <formula>NOT(ISERROR(SEARCH("0001",E2)))</formula>
    </cfRule>
  </conditionalFormatting>
  <conditionalFormatting sqref="O2:O12">
    <cfRule type="cellIs" dxfId="4" priority="5" operator="lessThan">
      <formula>-1</formula>
    </cfRule>
  </conditionalFormatting>
  <conditionalFormatting sqref="A13:A26">
    <cfRule type="duplicateValues" dxfId="2" priority="3"/>
  </conditionalFormatting>
  <conditionalFormatting sqref="E13:E27">
    <cfRule type="containsText" dxfId="1" priority="2" operator="containsText" text="0001">
      <formula>NOT(ISERROR(SEARCH("0001",E13)))</formula>
    </cfRule>
  </conditionalFormatting>
  <conditionalFormatting sqref="O13:O26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2026-07-24T06:36:14Z</dcterms:created>
  <dcterms:modified xsi:type="dcterms:W3CDTF">2026-07-24T06:49:37Z</dcterms:modified>
</cp:coreProperties>
</file>