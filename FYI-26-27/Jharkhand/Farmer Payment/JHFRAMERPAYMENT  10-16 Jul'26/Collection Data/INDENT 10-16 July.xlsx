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0-16 Jul'26\Collection Data\"/>
    </mc:Choice>
  </mc:AlternateContent>
  <xr:revisionPtr revIDLastSave="0" documentId="13_ncr:1_{EB51623D-8322-4FE5-8EE9-762E63D92360}" xr6:coauthVersionLast="47" xr6:coauthVersionMax="47" xr10:uidLastSave="{00000000-0000-0000-0000-000000000000}"/>
  <bookViews>
    <workbookView xWindow="-120" yWindow="-120" windowWidth="29040" windowHeight="15720" xr2:uid="{9C070E65-0E06-4028-B468-430FA6B3A328}"/>
  </bookViews>
  <sheets>
    <sheet name="Sheet2" sheetId="2" r:id="rId1"/>
    <sheet name="Sheet1" sheetId="1" r:id="rId2"/>
  </sheets>
  <definedNames>
    <definedName name="_xlnm._FilterDatabase" localSheetId="0" hidden="1">Sheet2!$G$4:$L$4</definedName>
  </definedNames>
  <calcPr calcId="191029"/>
  <pivotCaches>
    <pivotCache cacheId="6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7" i="2" l="1"/>
  <c r="L45" i="2"/>
  <c r="G37" i="2" l="1"/>
  <c r="G36" i="2"/>
  <c r="G35" i="2"/>
  <c r="G34" i="2"/>
  <c r="G33" i="2"/>
  <c r="G32" i="2"/>
  <c r="G31" i="2"/>
  <c r="G30" i="2"/>
  <c r="G29" i="2"/>
  <c r="G28" i="2"/>
  <c r="G3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R36" i="1"/>
  <c r="L39" i="2" l="1"/>
  <c r="L47" i="2" s="1"/>
</calcChain>
</file>

<file path=xl/sharedStrings.xml><?xml version="1.0" encoding="utf-8"?>
<sst xmlns="http://schemas.openxmlformats.org/spreadsheetml/2006/main" count="414" uniqueCount="114">
  <si>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</si>
  <si>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</si>
  <si>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</si>
  <si>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</si>
  <si>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</si>
  <si>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</si>
  <si>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</si>
  <si>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</si>
  <si>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</si>
  <si>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</si>
  <si>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</si>
  <si>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</si>
  <si>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</si>
  <si>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</si>
  <si>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</si>
  <si>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</si>
  <si>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</si>
  <si>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</si>
  <si>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</si>
  <si>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Satendra kumar</t>
  </si>
  <si>
    <t>Gomukh Gold 50KG</t>
  </si>
  <si>
    <t>200600030002</t>
  </si>
  <si>
    <t>DUMARDAGA</t>
  </si>
  <si>
    <t>0002</t>
  </si>
  <si>
    <t>ORMANJHI</t>
  </si>
  <si>
    <t>Daya Society</t>
  </si>
  <si>
    <t>CHUTTU</t>
  </si>
  <si>
    <t>200900220002</t>
  </si>
  <si>
    <t>KATAIYA 2</t>
  </si>
  <si>
    <t>Chanho</t>
  </si>
  <si>
    <t>200900150002</t>
  </si>
  <si>
    <t>PAKARIYO</t>
  </si>
  <si>
    <t>0022</t>
  </si>
  <si>
    <t>200100540012</t>
  </si>
  <si>
    <t>NARKOPI</t>
  </si>
  <si>
    <t>0012</t>
  </si>
  <si>
    <t>200900170003</t>
  </si>
  <si>
    <t>NAWATAND</t>
  </si>
  <si>
    <t>0003</t>
  </si>
  <si>
    <t>200100030003</t>
  </si>
  <si>
    <t>Bero</t>
  </si>
  <si>
    <t>Itki</t>
  </si>
  <si>
    <t>200100080059</t>
  </si>
  <si>
    <t>Erchoro</t>
  </si>
  <si>
    <t>0059</t>
  </si>
  <si>
    <t>200100080035</t>
  </si>
  <si>
    <t>0035</t>
  </si>
  <si>
    <t>200600080002</t>
  </si>
  <si>
    <t>ADELHATU</t>
  </si>
  <si>
    <t>Vikash</t>
  </si>
  <si>
    <t>200200030002</t>
  </si>
  <si>
    <t>Bijuliya</t>
  </si>
  <si>
    <t>Paali</t>
  </si>
  <si>
    <t>200200010005</t>
  </si>
  <si>
    <t>0005</t>
  </si>
  <si>
    <t>Baski 2</t>
  </si>
  <si>
    <t>200500010030</t>
  </si>
  <si>
    <t>0030</t>
  </si>
  <si>
    <t>200500010051</t>
  </si>
  <si>
    <t>0051</t>
  </si>
  <si>
    <t>Amar sahu</t>
  </si>
  <si>
    <t>200900080005</t>
  </si>
  <si>
    <t>GANESHPUR</t>
  </si>
  <si>
    <t>KOKAR</t>
  </si>
  <si>
    <t>200900200002</t>
  </si>
  <si>
    <t>PAKARIYO 2</t>
  </si>
  <si>
    <t>200900200005</t>
  </si>
  <si>
    <t>0049</t>
  </si>
  <si>
    <t>DHONTHA TOLI</t>
  </si>
  <si>
    <t>0006</t>
  </si>
  <si>
    <t>0004</t>
  </si>
  <si>
    <t>200900230002</t>
  </si>
  <si>
    <t>CHOREYA</t>
  </si>
  <si>
    <t>0021</t>
  </si>
  <si>
    <t>DUMRI</t>
  </si>
  <si>
    <t>200600040002</t>
  </si>
  <si>
    <t>0008</t>
  </si>
  <si>
    <t>UCHARI</t>
  </si>
  <si>
    <t>200600140002</t>
  </si>
  <si>
    <t>Chiriyaghar</t>
  </si>
  <si>
    <t>200500010049</t>
  </si>
  <si>
    <t>0015</t>
  </si>
  <si>
    <t>200400010008</t>
  </si>
  <si>
    <t>200900040021</t>
  </si>
  <si>
    <t>200900140015</t>
  </si>
  <si>
    <t>HUTAR</t>
  </si>
  <si>
    <t>200400010003</t>
  </si>
  <si>
    <t>0047</t>
  </si>
  <si>
    <t>200200010025</t>
  </si>
  <si>
    <t>0025</t>
  </si>
  <si>
    <t>200500030022</t>
  </si>
  <si>
    <t>200200110047</t>
  </si>
  <si>
    <t>0063</t>
  </si>
  <si>
    <t>200200010183</t>
  </si>
  <si>
    <t>0183</t>
  </si>
  <si>
    <t>200200010063</t>
  </si>
  <si>
    <t>200100010002</t>
  </si>
  <si>
    <t>200200110022</t>
  </si>
  <si>
    <t>200900040040</t>
  </si>
  <si>
    <t>0040</t>
  </si>
  <si>
    <t>200400060006</t>
  </si>
  <si>
    <t>KADAM TOLI</t>
  </si>
  <si>
    <t>200400060004</t>
  </si>
  <si>
    <t>10-07-2026 to 16-07-2026</t>
  </si>
  <si>
    <t>Grand Total</t>
  </si>
  <si>
    <t>Sum of Final Amount</t>
  </si>
  <si>
    <t>Total</t>
  </si>
  <si>
    <t>Deduction</t>
  </si>
  <si>
    <t>Type</t>
  </si>
  <si>
    <t>Indent Total</t>
  </si>
  <si>
    <t>OS Total</t>
  </si>
  <si>
    <t>Outstanding</t>
  </si>
  <si>
    <t>Direct</t>
  </si>
  <si>
    <t>Indirect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</si>
</sst>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quotePrefix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165" fontId="2" fillId="2" borderId="8" xfId="0" applyNumberFormat="1" applyFont="1" applyFill="1" applyBorder="1" applyAlignment="1">
      <alignment horizontal="right" vertical="center"/>
    </xf>
    <xf numFmtId="49" fontId="2" fillId="2" borderId="8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right" vertical="center"/>
    </xf>
    <xf numFmtId="0" fontId="2" fillId="2" borderId="8" xfId="0" quotePrefix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0" fillId="4" borderId="0" xfId="0" applyFill="1"/>
    <xf numFmtId="0" fontId="0" fillId="0" borderId="9" xfId="0" applyBorder="1"/>
    <xf numFmtId="0" fontId="0" fillId="0" borderId="7" xfId="0" applyBorder="1"/>
    <xf numFmtId="0" fontId="0" fillId="0" borderId="8" xfId="0" applyBorder="1"/>
    <xf numFmtId="0" fontId="0" fillId="0" borderId="0" xfId="0" pivotButton="1"/>
    <xf numFmtId="0" fontId="4" fillId="5" borderId="10" xfId="0" applyFont="1" applyFill="1" applyBorder="1"/>
    <xf numFmtId="0" fontId="4" fillId="5" borderId="11" xfId="0" applyFont="1" applyFill="1" applyBorder="1"/>
    <xf numFmtId="0" fontId="4" fillId="0" borderId="10" xfId="0" applyFont="1" applyBorder="1"/>
    <xf numFmtId="0" fontId="4" fillId="0" borderId="0" xfId="0" applyFont="1"/>
    <xf numFmtId="0" fontId="4" fillId="5" borderId="0" xfId="0" applyFont="1" applyFill="1"/>
  </cellXfs>
  <cellStyles count="1">
    <cellStyle name="Normal" xfId="0" builtinId="0"/>
  </cellStyles>
  <dxfs count="46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5BF07550-8F75-43BE-932E-FFA01EC5E326}">
      <tableStyleElement type="wholeTable" size="0" dxfId="45"/>
      <tableStyleElement type="headerRow" dxfId="44"/>
      <tableStyleElement type="firstRowStripe" dxfId="43"/>
      <tableStyleElement type="secondRowStripe" dxfId="4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23.433249421294" createdVersion="8" refreshedVersion="8" minRefreshableVersion="3" recordCount="34" xr:uid="{15511403-D0EF-4110-85AD-205945B3899D}">
  <cacheSource type="worksheet">
    <worksheetSource name="Table7"/>
  </cacheSource>
  <cacheFields count="19">
    <cacheField name="Timestamp" numFmtId="164">
      <sharedItems containsSemiMixedTypes="0" containsNonDate="0" containsDate="1" containsString="0" minDate="2026-07-17T21:37:48" maxDate="2026-07-19T08:48:55"/>
    </cacheField>
    <cacheField name="User Name" numFmtId="0">
      <sharedItems/>
    </cacheField>
    <cacheField name="Order Date" numFmtId="165">
      <sharedItems containsSemiMixedTypes="0" containsNonDate="0" containsDate="1" containsString="0" minDate="2026-07-17T00:00:00" maxDate="2026-07-20T00:00:00"/>
    </cacheField>
    <cacheField name="Deduction Cycle" numFmtId="0">
      <sharedItems/>
    </cacheField>
    <cacheField name="Item Name" numFmtId="0">
      <sharedItems/>
    </cacheField>
    <cacheField name="ID" numFmtId="49">
      <sharedItems/>
    </cacheField>
    <cacheField name="MPG Code" numFmtId="0">
      <sharedItems containsSemiMixedTypes="0" containsString="0" containsNumber="1" containsInteger="1" minValue="20010001" maxValue="20090023" count="23">
        <n v="20010008"/>
        <n v="20060008"/>
        <n v="20010003"/>
        <n v="20020003"/>
        <n v="20020001"/>
        <n v="20050001"/>
        <n v="20060014"/>
        <n v="20060003"/>
        <n v="20060004"/>
        <n v="20010001"/>
        <n v="20020011"/>
        <n v="20050003"/>
        <n v="20090008"/>
        <n v="20090023"/>
        <n v="20090004"/>
        <n v="20040001"/>
        <n v="20090020"/>
        <n v="20090015"/>
        <n v="20090022"/>
        <n v="20090014"/>
        <n v="20010054"/>
        <n v="20040006"/>
        <n v="20090017"/>
      </sharedItems>
    </cacheField>
    <cacheField name="MPG Name" numFmtId="0">
      <sharedItems/>
    </cacheField>
    <cacheField name="Farmer code" numFmtId="0">
      <sharedItems count="20">
        <s v="0035"/>
        <s v="0059"/>
        <s v="0002"/>
        <s v="0003"/>
        <s v="0183"/>
        <s v="0005"/>
        <s v="0063"/>
        <s v="0025"/>
        <s v="0030"/>
        <s v="0051"/>
        <s v="0049"/>
        <s v="0047"/>
        <s v="0022"/>
        <s v="0040"/>
        <s v="0021"/>
        <s v="0008"/>
        <s v="0015"/>
        <s v="0012"/>
        <s v="0006"/>
        <s v="0004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containsInteger="1" minValue="0" maxValue="70"/>
    </cacheField>
    <cacheField name="Rate" numFmtId="0">
      <sharedItems containsSemiMixedTypes="0" containsString="0" containsNumber="1" containsInteger="1" minValue="1270" maxValue="1270"/>
    </cacheField>
    <cacheField name="Total Amount" numFmtId="0">
      <sharedItems containsSemiMixedTypes="0" containsString="0" containsNumber="1" containsInteger="1" minValue="0" maxValue="88900"/>
    </cacheField>
    <cacheField name="Other Due Amt" numFmtId="0">
      <sharedItems containsSemiMixedTypes="0" containsString="0" containsNumber="1" containsInteger="1" minValue="0" maxValue="10504"/>
    </cacheField>
    <cacheField name="Total Amount (Proposed)" numFmtId="0">
      <sharedItems containsSemiMixedTypes="0" containsString="0" containsNumber="1" containsInteger="1" minValue="635" maxValue="88900"/>
    </cacheField>
    <cacheField name="Final Qty" numFmtId="0">
      <sharedItems containsSemiMixedTypes="0" containsString="0" containsNumber="1" containsInteger="1" minValue="0" maxValue="70"/>
    </cacheField>
    <cacheField name="Final Amount" numFmtId="0">
      <sharedItems containsSemiMixedTypes="0" containsString="0" containsNumber="1" containsInteger="1" minValue="635" maxValue="88900"/>
    </cacheField>
    <cacheField name="Milk Amon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d v="2026-07-17T21:37:48"/>
    <s v="Satendra kumar"/>
    <d v="2026-07-17T00:00:00"/>
    <s v="10-07-2026 to 16-07-2026"/>
    <s v="Gomukh Gold 50KG"/>
    <s v="200100080035"/>
    <x v="0"/>
    <s v="Erchoro"/>
    <x v="0"/>
    <s v="Itki"/>
    <s v="Daya Society"/>
    <n v="13"/>
    <n v="1270"/>
    <n v="16510"/>
    <n v="0"/>
    <n v="16510"/>
    <n v="13"/>
    <n v="16510"/>
    <m/>
  </r>
  <r>
    <d v="2026-07-17T21:38:26"/>
    <s v="Satendra kumar"/>
    <d v="2026-07-17T00:00:00"/>
    <s v="10-07-2026 to 16-07-2026"/>
    <s v="Gomukh Gold 50KG"/>
    <s v="200100080059"/>
    <x v="0"/>
    <s v="Erchoro"/>
    <x v="1"/>
    <s v="Itki"/>
    <s v="Daya Society"/>
    <n v="2"/>
    <n v="1270"/>
    <n v="2540"/>
    <n v="0"/>
    <n v="2540"/>
    <n v="2"/>
    <n v="2540"/>
    <m/>
  </r>
  <r>
    <d v="2026-07-17T21:39:37"/>
    <s v="Satendra kumar"/>
    <d v="2026-07-17T00:00:00"/>
    <s v="10-07-2026 to 16-07-2026"/>
    <s v="Gomukh Gold 50KG"/>
    <s v="200600080002"/>
    <x v="1"/>
    <s v="ADELHATU"/>
    <x v="2"/>
    <s v="ORMANJHI"/>
    <s v="Daya Society"/>
    <n v="0"/>
    <n v="1270"/>
    <n v="0"/>
    <n v="10504"/>
    <n v="10504"/>
    <n v="0"/>
    <n v="10504"/>
    <m/>
  </r>
  <r>
    <d v="2026-07-17T21:40:21"/>
    <s v="Satendra kumar"/>
    <d v="2026-07-17T00:00:00"/>
    <s v="10-07-2026 to 16-07-2026"/>
    <s v="Gomukh Gold 50KG"/>
    <s v="200100030003"/>
    <x v="2"/>
    <s v="Bero"/>
    <x v="3"/>
    <s v="Itki"/>
    <s v="Daya Society"/>
    <n v="13"/>
    <n v="1270"/>
    <n v="16510"/>
    <n v="0"/>
    <n v="16510"/>
    <n v="13"/>
    <n v="16510"/>
    <m/>
  </r>
  <r>
    <d v="2026-07-18T09:46:37"/>
    <s v="Vikash"/>
    <d v="2026-07-18T00:00:00"/>
    <s v="10-07-2026 to 16-07-2026"/>
    <s v="Gomukh Gold 50KG"/>
    <s v="200200030002"/>
    <x v="3"/>
    <s v="Bijuliya"/>
    <x v="2"/>
    <s v="Paali"/>
    <s v="Daya Society"/>
    <n v="5"/>
    <n v="1270"/>
    <n v="6350"/>
    <n v="0"/>
    <n v="6350"/>
    <n v="5"/>
    <n v="6350"/>
    <m/>
  </r>
  <r>
    <d v="2026-07-18T09:47:41"/>
    <s v="Vikash"/>
    <d v="2026-07-18T00:00:00"/>
    <s v="10-07-2026 to 16-07-2026"/>
    <s v="Gomukh Gold 50KG"/>
    <s v="200200010183"/>
    <x v="4"/>
    <s v="Paali"/>
    <x v="4"/>
    <s v="Paali"/>
    <s v="Daya Society"/>
    <n v="1"/>
    <n v="1270"/>
    <n v="1270"/>
    <n v="0"/>
    <n v="1270"/>
    <n v="1"/>
    <n v="1270"/>
    <m/>
  </r>
  <r>
    <d v="2026-07-18T09:48:09"/>
    <s v="Vikash"/>
    <d v="2026-07-18T00:00:00"/>
    <s v="10-07-2026 to 16-07-2026"/>
    <s v="Gomukh Gold 50KG"/>
    <s v="200200010005"/>
    <x v="4"/>
    <s v="Paali"/>
    <x v="5"/>
    <s v="Paali"/>
    <s v="Daya Society"/>
    <n v="1"/>
    <n v="1270"/>
    <n v="1270"/>
    <n v="0"/>
    <n v="1270"/>
    <n v="1"/>
    <n v="1270"/>
    <m/>
  </r>
  <r>
    <d v="2026-07-18T09:48:44"/>
    <s v="Vikash"/>
    <d v="2026-07-18T00:00:00"/>
    <s v="10-07-2026 to 16-07-2026"/>
    <s v="Gomukh Gold 50KG"/>
    <s v="200200010063"/>
    <x v="4"/>
    <s v="Paali"/>
    <x v="6"/>
    <s v="Paali"/>
    <s v="Daya Society"/>
    <n v="1"/>
    <n v="1270"/>
    <n v="1270"/>
    <n v="0"/>
    <n v="1270"/>
    <n v="1"/>
    <n v="1270"/>
    <m/>
  </r>
  <r>
    <d v="2026-07-18T09:49:05"/>
    <s v="Vikash"/>
    <d v="2026-07-18T00:00:00"/>
    <s v="10-07-2026 to 16-07-2026"/>
    <s v="Gomukh Gold 50KG"/>
    <s v="200200010025"/>
    <x v="4"/>
    <s v="Paali"/>
    <x v="7"/>
    <s v="Paali"/>
    <s v="Daya Society"/>
    <n v="1"/>
    <n v="1270"/>
    <n v="1270"/>
    <n v="0"/>
    <n v="1270"/>
    <n v="1"/>
    <n v="1270"/>
    <m/>
  </r>
  <r>
    <d v="2026-07-18T09:52:19"/>
    <s v="Vikash"/>
    <d v="2026-07-18T00:00:00"/>
    <s v="10-07-2026 to 16-07-2026"/>
    <s v="Gomukh Gold 50KG"/>
    <s v="200500010030"/>
    <x v="5"/>
    <s v="Baski 2"/>
    <x v="8"/>
    <s v="Paali"/>
    <s v="Daya Society"/>
    <n v="1"/>
    <n v="1270"/>
    <n v="1270"/>
    <n v="0"/>
    <n v="1270"/>
    <n v="1"/>
    <n v="1270"/>
    <m/>
  </r>
  <r>
    <d v="2026-07-18T09:52:38"/>
    <s v="Vikash"/>
    <d v="2026-07-18T00:00:00"/>
    <s v="10-07-2026 to 16-07-2026"/>
    <s v="Gomukh Gold 50KG"/>
    <s v="200500010051"/>
    <x v="5"/>
    <s v="Baski 2"/>
    <x v="9"/>
    <s v="Paali"/>
    <s v="Daya Society"/>
    <n v="1"/>
    <n v="1270"/>
    <n v="1270"/>
    <n v="0"/>
    <n v="1270"/>
    <n v="1"/>
    <n v="1270"/>
    <m/>
  </r>
  <r>
    <d v="2026-07-18T09:53:05"/>
    <s v="Vikash"/>
    <d v="2026-07-18T00:00:00"/>
    <s v="10-07-2026 to 16-07-2026"/>
    <s v="Gomukh Gold 50KG"/>
    <s v="200500010049"/>
    <x v="5"/>
    <s v="Baski 2"/>
    <x v="10"/>
    <s v="Paali"/>
    <s v="Daya Society"/>
    <n v="1"/>
    <n v="1270"/>
    <n v="1270"/>
    <n v="0"/>
    <n v="1270"/>
    <n v="1"/>
    <n v="1270"/>
    <m/>
  </r>
  <r>
    <d v="2026-07-18T14:50:30"/>
    <s v="Satendra kumar"/>
    <d v="2026-07-18T00:00:00"/>
    <s v="10-07-2026 to 16-07-2026"/>
    <s v="Gomukh Gold 50KG"/>
    <s v="200600140002"/>
    <x v="6"/>
    <s v="Chiriyaghar"/>
    <x v="2"/>
    <s v="ORMANJHI"/>
    <s v="Daya Society"/>
    <n v="1"/>
    <n v="1270"/>
    <n v="1270"/>
    <n v="0"/>
    <n v="1270"/>
    <n v="1"/>
    <n v="1270"/>
    <m/>
  </r>
  <r>
    <d v="2026-07-18T16:58:50"/>
    <s v="Satendra kumar"/>
    <d v="2026-07-18T00:00:00"/>
    <s v="10-07-2026 to 16-07-2026"/>
    <s v="Gomukh Gold 50KG"/>
    <s v="200600030002"/>
    <x v="7"/>
    <s v="DUMARDAGA"/>
    <x v="2"/>
    <s v="ORMANJHI"/>
    <s v="Daya Society"/>
    <n v="25"/>
    <n v="1270"/>
    <n v="31750"/>
    <n v="0"/>
    <n v="31750"/>
    <n v="25"/>
    <n v="31750"/>
    <m/>
  </r>
  <r>
    <d v="2026-07-18T20:58:35"/>
    <s v="Satendra kumar"/>
    <d v="2026-07-18T00:00:00"/>
    <s v="10-07-2026 to 16-07-2026"/>
    <s v="Gomukh Gold 50KG"/>
    <s v="200600040002"/>
    <x v="8"/>
    <s v="CHUTTU"/>
    <x v="2"/>
    <s v="ORMANJHI"/>
    <s v="Daya Society"/>
    <n v="5"/>
    <n v="1270"/>
    <n v="6350"/>
    <n v="0"/>
    <n v="6350"/>
    <n v="5"/>
    <n v="6350"/>
    <m/>
  </r>
  <r>
    <d v="2026-07-18T20:59:28"/>
    <s v="Satendra kumar"/>
    <d v="2026-07-18T00:00:00"/>
    <s v="10-07-2026 to 16-07-2026"/>
    <s v="Gomukh Gold 50KG"/>
    <s v="200100010002"/>
    <x v="9"/>
    <s v="Itki"/>
    <x v="2"/>
    <s v="Itki"/>
    <s v="Daya Society"/>
    <n v="70"/>
    <n v="1270"/>
    <n v="88900"/>
    <n v="0"/>
    <n v="88900"/>
    <n v="70"/>
    <n v="88900"/>
    <m/>
  </r>
  <r>
    <d v="2026-07-19T08:00:58"/>
    <s v="Vikash"/>
    <d v="2026-07-19T00:00:00"/>
    <s v="10-07-2026 to 16-07-2026"/>
    <s v="Gomukh Gold 50KG"/>
    <s v="200200110047"/>
    <x v="10"/>
    <s v="DHONTHA TOLI"/>
    <x v="11"/>
    <s v="Paali"/>
    <s v="Daya Society"/>
    <n v="1"/>
    <n v="1270"/>
    <n v="1270"/>
    <n v="0"/>
    <n v="1270"/>
    <n v="1"/>
    <n v="1270"/>
    <m/>
  </r>
  <r>
    <d v="2026-07-19T08:01:26"/>
    <s v="Vikash"/>
    <d v="2026-07-19T00:00:00"/>
    <s v="10-07-2026 to 16-07-2026"/>
    <s v="Gomukh Gold 50KG"/>
    <s v="200200110022"/>
    <x v="10"/>
    <s v="DHONTHA TOLI"/>
    <x v="12"/>
    <s v="Paali"/>
    <s v="Daya Society"/>
    <n v="1"/>
    <n v="1270"/>
    <n v="1270"/>
    <n v="0"/>
    <n v="1270"/>
    <n v="1"/>
    <n v="1270"/>
    <m/>
  </r>
  <r>
    <d v="2026-07-19T08:03:22"/>
    <s v="Vikash"/>
    <d v="2026-07-19T00:00:00"/>
    <s v="10-07-2026 to 16-07-2026"/>
    <s v="Gomukh Gold 50KG"/>
    <s v="200500030022"/>
    <x v="11"/>
    <s v="UCHARI"/>
    <x v="12"/>
    <s v="Paali"/>
    <s v="Daya Society"/>
    <n v="2"/>
    <n v="1270"/>
    <n v="2540"/>
    <n v="0"/>
    <n v="2540"/>
    <n v="2"/>
    <n v="2540"/>
    <m/>
  </r>
  <r>
    <d v="2026-07-19T08:32:39"/>
    <s v="Amar sahu"/>
    <d v="2026-07-19T00:00:00"/>
    <s v="10-07-2026 to 16-07-2026"/>
    <s v="Gomukh Gold 50KG"/>
    <s v="200900080005"/>
    <x v="12"/>
    <s v="GANESHPUR"/>
    <x v="5"/>
    <s v="Chanho"/>
    <s v="Daya Society"/>
    <n v="0"/>
    <n v="1270"/>
    <n v="0"/>
    <n v="635"/>
    <n v="635"/>
    <n v="0"/>
    <n v="635"/>
    <m/>
  </r>
  <r>
    <d v="2026-07-19T08:34:51"/>
    <s v="Amar sahu"/>
    <d v="2026-07-19T00:00:00"/>
    <s v="10-07-2026 to 16-07-2026"/>
    <s v="Gomukh Gold 50KG"/>
    <s v="200900230002"/>
    <x v="13"/>
    <s v="KOKAR"/>
    <x v="2"/>
    <s v="Chanho"/>
    <s v="Daya Society"/>
    <n v="0"/>
    <n v="1270"/>
    <n v="0"/>
    <n v="635"/>
    <n v="635"/>
    <n v="0"/>
    <n v="635"/>
    <m/>
  </r>
  <r>
    <d v="2026-07-19T08:35:19"/>
    <s v="Amar sahu"/>
    <d v="2026-07-19T00:00:00"/>
    <s v="10-07-2026 to 16-07-2026"/>
    <s v="Gomukh Gold 50KG"/>
    <s v="200900040040"/>
    <x v="14"/>
    <s v="DUMRI"/>
    <x v="13"/>
    <s v="Chanho"/>
    <s v="Daya Society"/>
    <n v="1"/>
    <n v="1270"/>
    <n v="1270"/>
    <n v="0"/>
    <n v="1270"/>
    <n v="1"/>
    <n v="1270"/>
    <m/>
  </r>
  <r>
    <d v="2026-07-19T08:35:42"/>
    <s v="Amar sahu"/>
    <d v="2026-07-19T00:00:00"/>
    <s v="10-07-2026 to 16-07-2026"/>
    <s v="Gomukh Gold 50KG"/>
    <s v="200900040021"/>
    <x v="14"/>
    <s v="DUMRI"/>
    <x v="14"/>
    <s v="Chanho"/>
    <s v="Daya Society"/>
    <n v="0"/>
    <n v="1270"/>
    <n v="0"/>
    <n v="635"/>
    <n v="635"/>
    <n v="0"/>
    <n v="635"/>
    <m/>
  </r>
  <r>
    <d v="2026-07-19T08:36:28"/>
    <s v="Amar sahu"/>
    <d v="2026-07-19T00:00:00"/>
    <s v="10-07-2026 to 16-07-2026"/>
    <s v="Gomukh Gold 50KG"/>
    <s v="200400010008"/>
    <x v="15"/>
    <s v="CHOREYA"/>
    <x v="15"/>
    <s v="CHOREYA"/>
    <s v="Daya Society"/>
    <n v="1"/>
    <n v="1270"/>
    <n v="1270"/>
    <n v="0"/>
    <n v="1270"/>
    <n v="1"/>
    <n v="1270"/>
    <m/>
  </r>
  <r>
    <d v="2026-07-19T08:36:50"/>
    <s v="Amar sahu"/>
    <d v="2026-07-19T00:00:00"/>
    <s v="10-07-2026 to 16-07-2026"/>
    <s v="Gomukh Gold 50KG"/>
    <s v="200400010003"/>
    <x v="15"/>
    <s v="CHOREYA"/>
    <x v="3"/>
    <s v="CHOREYA"/>
    <s v="Daya Society"/>
    <n v="1"/>
    <n v="1270"/>
    <n v="1270"/>
    <n v="0"/>
    <n v="1270"/>
    <n v="1"/>
    <n v="1270"/>
    <m/>
  </r>
  <r>
    <d v="2026-07-19T08:37:21"/>
    <s v="Amar sahu"/>
    <d v="2026-07-19T00:00:00"/>
    <s v="10-07-2026 to 16-07-2026"/>
    <s v="Gomukh Gold 50KG"/>
    <s v="200900200002"/>
    <x v="16"/>
    <s v="PAKARIYO 2"/>
    <x v="2"/>
    <s v="Chanho"/>
    <s v="Daya Society"/>
    <n v="2"/>
    <n v="1270"/>
    <n v="2540"/>
    <n v="0"/>
    <n v="2540"/>
    <n v="2"/>
    <n v="2540"/>
    <m/>
  </r>
  <r>
    <d v="2026-07-19T08:38:08"/>
    <s v="Amar sahu"/>
    <d v="2026-07-19T00:00:00"/>
    <s v="10-07-2026 to 16-07-2026"/>
    <s v="Gomukh Gold 50KG"/>
    <s v="200900200005"/>
    <x v="16"/>
    <s v="PAKARIYO 2"/>
    <x v="5"/>
    <s v="Chanho"/>
    <s v="Daya Society"/>
    <n v="1"/>
    <n v="1270"/>
    <n v="1270"/>
    <n v="0"/>
    <n v="1270"/>
    <n v="1"/>
    <n v="1270"/>
    <m/>
  </r>
  <r>
    <d v="2026-07-19T08:42:16"/>
    <s v="Amar sahu"/>
    <d v="2026-07-19T00:00:00"/>
    <s v="10-07-2026 to 16-07-2026"/>
    <s v="Gomukh Gold 50KG"/>
    <s v="200900150002"/>
    <x v="17"/>
    <s v="PAKARIYO"/>
    <x v="2"/>
    <s v="Chanho"/>
    <s v="Daya Society"/>
    <n v="1"/>
    <n v="1270"/>
    <n v="1270"/>
    <n v="842"/>
    <n v="2112"/>
    <n v="1"/>
    <n v="2112"/>
    <m/>
  </r>
  <r>
    <d v="2026-07-19T08:43:05"/>
    <s v="Amar sahu"/>
    <d v="2026-07-19T00:00:00"/>
    <s v="10-07-2026 to 16-07-2026"/>
    <s v="Gomukh Gold 50KG"/>
    <s v="200900220002"/>
    <x v="18"/>
    <s v="KATAIYA 2"/>
    <x v="2"/>
    <s v="Chanho"/>
    <s v="Daya Society"/>
    <n v="1"/>
    <n v="1270"/>
    <n v="1270"/>
    <n v="635"/>
    <n v="1905"/>
    <n v="1"/>
    <n v="1905"/>
    <m/>
  </r>
  <r>
    <d v="2026-07-19T08:43:30"/>
    <s v="Amar sahu"/>
    <d v="2026-07-19T00:00:00"/>
    <s v="10-07-2026 to 16-07-2026"/>
    <s v="Gomukh Gold 50KG"/>
    <s v="200900140015"/>
    <x v="19"/>
    <s v="HUTAR"/>
    <x v="16"/>
    <s v="Chanho"/>
    <s v="Daya Society"/>
    <n v="10"/>
    <n v="1270"/>
    <n v="12700"/>
    <n v="0"/>
    <n v="12700"/>
    <n v="10"/>
    <n v="12700"/>
    <m/>
  </r>
  <r>
    <d v="2026-07-19T08:44:00"/>
    <s v="Amar sahu"/>
    <d v="2026-07-19T00:00:00"/>
    <s v="10-07-2026 to 16-07-2026"/>
    <s v="Gomukh Gold 50KG"/>
    <s v="200100540012"/>
    <x v="20"/>
    <s v="NARKOPI"/>
    <x v="17"/>
    <s v="Chanho"/>
    <s v="Daya Society"/>
    <n v="1"/>
    <n v="1270"/>
    <n v="1270"/>
    <n v="0"/>
    <n v="1270"/>
    <n v="1"/>
    <n v="1270"/>
    <m/>
  </r>
  <r>
    <d v="2026-07-19T08:48:12"/>
    <s v="Amar sahu"/>
    <d v="2026-07-19T00:00:00"/>
    <s v="10-07-2026 to 16-07-2026"/>
    <s v="Gomukh Gold 50KG"/>
    <s v="200400060006"/>
    <x v="21"/>
    <s v="KADAM TOLI"/>
    <x v="18"/>
    <s v="CHOREYA"/>
    <s v="Daya Society"/>
    <n v="1"/>
    <n v="1270"/>
    <n v="1270"/>
    <n v="0"/>
    <n v="1270"/>
    <n v="1"/>
    <n v="1270"/>
    <m/>
  </r>
  <r>
    <d v="2026-07-19T08:48:33"/>
    <s v="Amar sahu"/>
    <d v="2026-07-19T00:00:00"/>
    <s v="10-07-2026 to 16-07-2026"/>
    <s v="Gomukh Gold 50KG"/>
    <s v="200400060004"/>
    <x v="21"/>
    <s v="KADAM TOLI"/>
    <x v="19"/>
    <s v="CHOREYA"/>
    <s v="Daya Society"/>
    <n v="1"/>
    <n v="1270"/>
    <n v="1270"/>
    <n v="0"/>
    <n v="1270"/>
    <n v="1"/>
    <n v="1270"/>
    <m/>
  </r>
  <r>
    <d v="2026-07-19T08:48:55"/>
    <s v="Amar sahu"/>
    <d v="2026-07-19T00:00:00"/>
    <s v="10-07-2026 to 16-07-2026"/>
    <s v="Gomukh Gold 50KG"/>
    <s v="200900170003"/>
    <x v="22"/>
    <s v="NAWATAND"/>
    <x v="3"/>
    <s v="Chanho"/>
    <s v="Daya Society"/>
    <n v="3"/>
    <n v="1270"/>
    <n v="3810"/>
    <n v="0"/>
    <n v="3810"/>
    <n v="3"/>
    <n v="38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7DDF6-7043-445F-A3F8-6972B626DD03}" name="PivotTable5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39" firstHeaderRow="2" firstDataRow="2" firstDataCol="2"/>
  <pivotFields count="19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9"/>
        <item x="2"/>
        <item x="0"/>
        <item x="20"/>
        <item x="4"/>
        <item x="3"/>
        <item x="10"/>
        <item x="15"/>
        <item x="21"/>
        <item x="5"/>
        <item x="11"/>
        <item x="7"/>
        <item x="8"/>
        <item x="1"/>
        <item x="6"/>
        <item x="14"/>
        <item x="12"/>
        <item x="19"/>
        <item x="17"/>
        <item x="22"/>
        <item x="16"/>
        <item x="18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1">
        <item x="2"/>
        <item x="3"/>
        <item x="19"/>
        <item x="5"/>
        <item x="18"/>
        <item x="15"/>
        <item x="17"/>
        <item x="16"/>
        <item x="14"/>
        <item x="12"/>
        <item x="7"/>
        <item x="8"/>
        <item x="0"/>
        <item x="13"/>
        <item x="11"/>
        <item x="10"/>
        <item x="9"/>
        <item x="1"/>
        <item x="6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8"/>
  </rowFields>
  <rowItems count="35">
    <i>
      <x/>
      <x/>
    </i>
    <i>
      <x v="1"/>
      <x v="1"/>
    </i>
    <i>
      <x v="2"/>
      <x v="12"/>
    </i>
    <i r="1">
      <x v="17"/>
    </i>
    <i>
      <x v="3"/>
      <x v="6"/>
    </i>
    <i>
      <x v="4"/>
      <x v="3"/>
    </i>
    <i r="1">
      <x v="10"/>
    </i>
    <i r="1">
      <x v="18"/>
    </i>
    <i r="1">
      <x v="19"/>
    </i>
    <i>
      <x v="5"/>
      <x/>
    </i>
    <i>
      <x v="6"/>
      <x v="9"/>
    </i>
    <i r="1">
      <x v="14"/>
    </i>
    <i>
      <x v="7"/>
      <x v="1"/>
    </i>
    <i r="1">
      <x v="5"/>
    </i>
    <i>
      <x v="8"/>
      <x v="2"/>
    </i>
    <i r="1">
      <x v="4"/>
    </i>
    <i>
      <x v="9"/>
      <x v="11"/>
    </i>
    <i r="1">
      <x v="15"/>
    </i>
    <i r="1">
      <x v="16"/>
    </i>
    <i>
      <x v="10"/>
      <x v="9"/>
    </i>
    <i>
      <x v="11"/>
      <x/>
    </i>
    <i>
      <x v="12"/>
      <x/>
    </i>
    <i>
      <x v="13"/>
      <x/>
    </i>
    <i>
      <x v="14"/>
      <x/>
    </i>
    <i>
      <x v="15"/>
      <x v="8"/>
    </i>
    <i r="1">
      <x v="13"/>
    </i>
    <i>
      <x v="16"/>
      <x v="3"/>
    </i>
    <i>
      <x v="17"/>
      <x v="7"/>
    </i>
    <i>
      <x v="18"/>
      <x/>
    </i>
    <i>
      <x v="19"/>
      <x v="1"/>
    </i>
    <i>
      <x v="20"/>
      <x/>
    </i>
    <i r="1">
      <x v="3"/>
    </i>
    <i>
      <x v="21"/>
      <x/>
    </i>
    <i>
      <x v="22"/>
      <x/>
    </i>
    <i t="grand">
      <x/>
    </i>
  </rowItems>
  <colItems count="1">
    <i/>
  </colItems>
  <dataFields count="1">
    <dataField name="Sum of Final Amoun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153326-1D97-47A2-9F61-15296A6D17AA}" name="Table7" displayName="Table7" ref="A1:S36" totalsRowCount="1" headerRowDxfId="41" totalsRowDxfId="38" headerRowBorderDxfId="40" tableBorderDxfId="39">
  <autoFilter ref="A1:S35" xr:uid="{D7153326-1D97-47A2-9F61-15296A6D17AA}"/>
  <tableColumns count="19">
    <tableColumn id="1" xr3:uid="{9AAC6CC2-FD42-43C6-8F8B-4F01D2502A25}" name="Timestamp" dataDxfId="37" totalsRowDxfId="36"/>
    <tableColumn id="2" xr3:uid="{13B1107D-840A-4D9E-BE04-97C2F52500EE}" name="User Name" dataDxfId="35" totalsRowDxfId="34"/>
    <tableColumn id="3" xr3:uid="{4DB479AE-712D-450D-9729-30AA8EB37F6D}" name="Order Date" dataDxfId="33" totalsRowDxfId="32"/>
    <tableColumn id="4" xr3:uid="{B21BC746-274E-47D4-81DB-72B6BCB389C2}" name="Deduction Cycle" dataDxfId="31" totalsRowDxfId="30"/>
    <tableColumn id="5" xr3:uid="{D11C7B77-0B1D-4D3D-816E-204E63AB4E3D}" name="Item Name" dataDxfId="29" totalsRowDxfId="28"/>
    <tableColumn id="6" xr3:uid="{81B68F53-0055-41AB-9337-A735ABC184F3}" name="ID" dataDxfId="27" totalsRowDxfId="26"/>
    <tableColumn id="7" xr3:uid="{3C679A01-5257-4EAB-B5C1-1D3F301D2EA9}" name="MPG Code" dataDxfId="25" totalsRowDxfId="24"/>
    <tableColumn id="8" xr3:uid="{778F972D-FCD0-4145-A73D-79DC1610D6EA}" name="MPG Name" dataDxfId="23" totalsRowDxfId="22"/>
    <tableColumn id="9" xr3:uid="{3A5BE8E8-B77A-463D-8838-06140E8CCAE1}" name="Farmer code" dataDxfId="21" totalsRowDxfId="20"/>
    <tableColumn id="10" xr3:uid="{42A3FFD7-9287-4C55-8C3B-418FBDDFE06E}" name="BMC Name" dataDxfId="19" totalsRowDxfId="18"/>
    <tableColumn id="11" xr3:uid="{B05097B7-6993-4C76-ACDD-46DB133FC2CD}" name="CSP" dataDxfId="17" totalsRowDxfId="16"/>
    <tableColumn id="12" xr3:uid="{D856B4ED-EC62-4FFE-A79A-7BE53823889C}" name="Qty" dataDxfId="15" totalsRowDxfId="14"/>
    <tableColumn id="13" xr3:uid="{41EE7EFB-C751-4623-AA94-BF4245142184}" name="Rate" dataDxfId="13" totalsRowDxfId="12"/>
    <tableColumn id="14" xr3:uid="{D93BD8C5-AF75-4A02-A446-DF7EA2D41F68}" name="Total Amount" dataDxfId="11" totalsRowDxfId="10"/>
    <tableColumn id="15" xr3:uid="{500DAF67-502E-4DAD-9FD2-DEE79BB00CA4}" name="Other Due Amt" dataDxfId="9" totalsRowDxfId="8"/>
    <tableColumn id="16" xr3:uid="{E002CE72-09A4-4ECF-8183-F3B7442D1BFE}" name="Total Amount (Proposed)" dataDxfId="7" totalsRowDxfId="6"/>
    <tableColumn id="17" xr3:uid="{13010CE7-2191-4455-A3B7-CF92B9DADE81}" name="Final Qty" dataDxfId="5" totalsRowDxfId="4"/>
    <tableColumn id="18" xr3:uid="{445DC72D-D933-4AE7-AE18-81D3CE6004C0}" name="Final Amount" totalsRowFunction="sum" dataDxfId="3" totalsRowDxfId="2"/>
    <tableColumn id="19" xr3:uid="{B7C31116-7233-40F4-AEFE-FF71A12AF2EC}" name="Milk Amonnt" dataDxfId="1" totalsRowDxfId="0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5DED-A294-4EB8-8986-6C219651E08C}">
  <dimension ref="A3:L47"/>
  <sheetViews>
    <sheetView tabSelected="1" workbookViewId="0">
      <selection activeCell="L2" sqref="L2"/>
    </sheetView>
  </sheetViews>
  <sheetFormatPr defaultRowHeight="15" x14ac:dyDescent="0.25"/>
  <cols>
    <col min="1" max="1" width="12.7109375" bestFit="1" customWidth="1"/>
    <col min="2" max="2" width="14.28515625" bestFit="1" customWidth="1"/>
    <col min="3" max="3" width="7" bestFit="1" customWidth="1"/>
    <col min="7" max="7" width="13.140625" bestFit="1" customWidth="1"/>
    <col min="8" max="8" width="12.7109375" bestFit="1" customWidth="1"/>
  </cols>
  <sheetData>
    <row r="3" spans="1:12" x14ac:dyDescent="0.25">
      <c r="A3" s="23" t="s">
        <v>105</v>
      </c>
    </row>
    <row r="4" spans="1:12" x14ac:dyDescent="0.25">
      <c r="A4" s="23" t="s">
        <v>6</v>
      </c>
      <c r="B4" s="23" t="s">
        <v>8</v>
      </c>
      <c r="C4" t="s">
        <v>106</v>
      </c>
      <c r="G4" s="24" t="s">
        <v>5</v>
      </c>
      <c r="H4" s="24" t="s">
        <v>6</v>
      </c>
      <c r="I4" s="24" t="s">
        <v>8</v>
      </c>
      <c r="J4" s="24" t="s">
        <v>106</v>
      </c>
      <c r="K4" s="28" t="s">
        <v>108</v>
      </c>
      <c r="L4" s="28" t="s">
        <v>107</v>
      </c>
    </row>
    <row r="5" spans="1:12" x14ac:dyDescent="0.25">
      <c r="A5">
        <v>20010001</v>
      </c>
      <c r="B5" t="s">
        <v>23</v>
      </c>
      <c r="C5">
        <v>88900</v>
      </c>
      <c r="G5" t="str">
        <f t="shared" ref="G5:G38" si="0">CONCATENATE(H5,I5)</f>
        <v>200100010002</v>
      </c>
      <c r="H5" s="26">
        <v>20010001</v>
      </c>
      <c r="I5" t="s">
        <v>23</v>
      </c>
      <c r="J5">
        <v>88900</v>
      </c>
      <c r="K5" t="s">
        <v>112</v>
      </c>
      <c r="L5">
        <v>88900</v>
      </c>
    </row>
    <row r="6" spans="1:12" x14ac:dyDescent="0.25">
      <c r="A6">
        <v>20010003</v>
      </c>
      <c r="B6" t="s">
        <v>38</v>
      </c>
      <c r="C6">
        <v>16510</v>
      </c>
      <c r="G6" t="str">
        <f t="shared" si="0"/>
        <v>200100030003</v>
      </c>
      <c r="H6" s="26">
        <v>20010003</v>
      </c>
      <c r="I6" t="s">
        <v>38</v>
      </c>
      <c r="J6">
        <v>16510</v>
      </c>
      <c r="K6" t="s">
        <v>112</v>
      </c>
      <c r="L6">
        <v>16510</v>
      </c>
    </row>
    <row r="7" spans="1:12" x14ac:dyDescent="0.25">
      <c r="A7">
        <v>20010008</v>
      </c>
      <c r="B7" t="s">
        <v>46</v>
      </c>
      <c r="C7">
        <v>16510</v>
      </c>
      <c r="G7" t="str">
        <f t="shared" si="0"/>
        <v>200100080035</v>
      </c>
      <c r="H7" s="27">
        <v>20010008</v>
      </c>
      <c r="I7" t="s">
        <v>46</v>
      </c>
      <c r="J7">
        <v>16510</v>
      </c>
      <c r="K7" t="s">
        <v>112</v>
      </c>
      <c r="L7">
        <v>16510</v>
      </c>
    </row>
    <row r="8" spans="1:12" x14ac:dyDescent="0.25">
      <c r="A8">
        <v>20010008</v>
      </c>
      <c r="B8" t="s">
        <v>44</v>
      </c>
      <c r="C8">
        <v>2540</v>
      </c>
      <c r="G8" t="str">
        <f t="shared" si="0"/>
        <v>200100080059</v>
      </c>
      <c r="H8" s="26">
        <v>20010008</v>
      </c>
      <c r="I8" t="s">
        <v>44</v>
      </c>
      <c r="J8">
        <v>2540</v>
      </c>
      <c r="K8" t="s">
        <v>112</v>
      </c>
      <c r="L8">
        <v>2540</v>
      </c>
    </row>
    <row r="9" spans="1:12" x14ac:dyDescent="0.25">
      <c r="A9">
        <v>20010054</v>
      </c>
      <c r="B9" t="s">
        <v>35</v>
      </c>
      <c r="C9">
        <v>1270</v>
      </c>
      <c r="G9" t="str">
        <f t="shared" si="0"/>
        <v>200100540012</v>
      </c>
      <c r="H9" s="26">
        <v>20010054</v>
      </c>
      <c r="I9" t="s">
        <v>35</v>
      </c>
      <c r="J9">
        <v>1270</v>
      </c>
      <c r="K9" t="s">
        <v>112</v>
      </c>
      <c r="L9">
        <v>1270</v>
      </c>
    </row>
    <row r="10" spans="1:12" x14ac:dyDescent="0.25">
      <c r="A10">
        <v>20020001</v>
      </c>
      <c r="B10" t="s">
        <v>54</v>
      </c>
      <c r="C10">
        <v>1270</v>
      </c>
      <c r="G10" t="str">
        <f t="shared" si="0"/>
        <v>200200010005</v>
      </c>
      <c r="H10" s="27">
        <v>20020001</v>
      </c>
      <c r="I10" t="s">
        <v>54</v>
      </c>
      <c r="J10">
        <v>1270</v>
      </c>
      <c r="K10" t="s">
        <v>112</v>
      </c>
      <c r="L10">
        <v>1270</v>
      </c>
    </row>
    <row r="11" spans="1:12" x14ac:dyDescent="0.25">
      <c r="A11">
        <v>20020001</v>
      </c>
      <c r="B11" t="s">
        <v>89</v>
      </c>
      <c r="C11">
        <v>1270</v>
      </c>
      <c r="G11" t="str">
        <f t="shared" si="0"/>
        <v>200200010025</v>
      </c>
      <c r="H11" s="27">
        <v>20020001</v>
      </c>
      <c r="I11" t="s">
        <v>89</v>
      </c>
      <c r="J11">
        <v>1270</v>
      </c>
      <c r="K11" t="s">
        <v>112</v>
      </c>
      <c r="L11">
        <v>1270</v>
      </c>
    </row>
    <row r="12" spans="1:12" x14ac:dyDescent="0.25">
      <c r="A12">
        <v>20020001</v>
      </c>
      <c r="B12" t="s">
        <v>92</v>
      </c>
      <c r="C12">
        <v>1270</v>
      </c>
      <c r="G12" t="str">
        <f t="shared" si="0"/>
        <v>200200010063</v>
      </c>
      <c r="H12" s="27">
        <v>20020001</v>
      </c>
      <c r="I12" t="s">
        <v>92</v>
      </c>
      <c r="J12">
        <v>1270</v>
      </c>
      <c r="K12" t="s">
        <v>112</v>
      </c>
      <c r="L12">
        <v>1270</v>
      </c>
    </row>
    <row r="13" spans="1:12" x14ac:dyDescent="0.25">
      <c r="A13">
        <v>20020001</v>
      </c>
      <c r="B13" t="s">
        <v>94</v>
      </c>
      <c r="C13">
        <v>1270</v>
      </c>
      <c r="G13" t="str">
        <f t="shared" si="0"/>
        <v>200200010183</v>
      </c>
      <c r="H13" s="26">
        <v>20020001</v>
      </c>
      <c r="I13" t="s">
        <v>94</v>
      </c>
      <c r="J13">
        <v>1270</v>
      </c>
      <c r="K13" t="s">
        <v>112</v>
      </c>
      <c r="L13">
        <v>1270</v>
      </c>
    </row>
    <row r="14" spans="1:12" x14ac:dyDescent="0.25">
      <c r="A14">
        <v>20020003</v>
      </c>
      <c r="B14" t="s">
        <v>23</v>
      </c>
      <c r="C14">
        <v>6350</v>
      </c>
      <c r="G14" t="str">
        <f t="shared" si="0"/>
        <v>200200030002</v>
      </c>
      <c r="H14" s="26">
        <v>20020003</v>
      </c>
      <c r="I14" t="s">
        <v>23</v>
      </c>
      <c r="J14">
        <v>6350</v>
      </c>
      <c r="K14" t="s">
        <v>112</v>
      </c>
      <c r="L14">
        <v>6350</v>
      </c>
    </row>
    <row r="15" spans="1:12" x14ac:dyDescent="0.25">
      <c r="A15">
        <v>20020011</v>
      </c>
      <c r="B15" t="s">
        <v>32</v>
      </c>
      <c r="C15">
        <v>1270</v>
      </c>
      <c r="G15" t="str">
        <f t="shared" si="0"/>
        <v>200200110022</v>
      </c>
      <c r="H15" s="27">
        <v>20020011</v>
      </c>
      <c r="I15" t="s">
        <v>32</v>
      </c>
      <c r="J15">
        <v>1270</v>
      </c>
      <c r="K15" t="s">
        <v>112</v>
      </c>
      <c r="L15">
        <v>1270</v>
      </c>
    </row>
    <row r="16" spans="1:12" x14ac:dyDescent="0.25">
      <c r="A16">
        <v>20020011</v>
      </c>
      <c r="B16" t="s">
        <v>87</v>
      </c>
      <c r="C16">
        <v>1270</v>
      </c>
      <c r="G16" t="str">
        <f t="shared" si="0"/>
        <v>200200110047</v>
      </c>
      <c r="H16" s="26">
        <v>20020011</v>
      </c>
      <c r="I16" t="s">
        <v>87</v>
      </c>
      <c r="J16">
        <v>1270</v>
      </c>
      <c r="K16" t="s">
        <v>112</v>
      </c>
      <c r="L16">
        <v>1270</v>
      </c>
    </row>
    <row r="17" spans="1:12" x14ac:dyDescent="0.25">
      <c r="A17">
        <v>20040001</v>
      </c>
      <c r="B17" t="s">
        <v>38</v>
      </c>
      <c r="C17">
        <v>1270</v>
      </c>
      <c r="G17" t="str">
        <f t="shared" si="0"/>
        <v>200400010003</v>
      </c>
      <c r="H17" s="27">
        <v>20040001</v>
      </c>
      <c r="I17" t="s">
        <v>38</v>
      </c>
      <c r="J17">
        <v>1270</v>
      </c>
      <c r="K17" t="s">
        <v>112</v>
      </c>
      <c r="L17">
        <v>1270</v>
      </c>
    </row>
    <row r="18" spans="1:12" x14ac:dyDescent="0.25">
      <c r="A18">
        <v>20040001</v>
      </c>
      <c r="B18" t="s">
        <v>76</v>
      </c>
      <c r="C18">
        <v>1270</v>
      </c>
      <c r="G18" t="str">
        <f t="shared" si="0"/>
        <v>200400010008</v>
      </c>
      <c r="H18" s="26">
        <v>20040001</v>
      </c>
      <c r="I18" t="s">
        <v>76</v>
      </c>
      <c r="J18">
        <v>1270</v>
      </c>
      <c r="K18" t="s">
        <v>112</v>
      </c>
      <c r="L18">
        <v>1270</v>
      </c>
    </row>
    <row r="19" spans="1:12" x14ac:dyDescent="0.25">
      <c r="A19">
        <v>20040006</v>
      </c>
      <c r="B19" t="s">
        <v>70</v>
      </c>
      <c r="C19">
        <v>1270</v>
      </c>
      <c r="G19" t="str">
        <f t="shared" si="0"/>
        <v>200400060004</v>
      </c>
      <c r="H19" s="27">
        <v>20040006</v>
      </c>
      <c r="I19" t="s">
        <v>70</v>
      </c>
      <c r="J19">
        <v>1270</v>
      </c>
      <c r="K19" t="s">
        <v>112</v>
      </c>
      <c r="L19">
        <v>1270</v>
      </c>
    </row>
    <row r="20" spans="1:12" x14ac:dyDescent="0.25">
      <c r="A20">
        <v>20040006</v>
      </c>
      <c r="B20" t="s">
        <v>69</v>
      </c>
      <c r="C20">
        <v>1270</v>
      </c>
      <c r="G20" t="str">
        <f t="shared" si="0"/>
        <v>200400060006</v>
      </c>
      <c r="H20" s="26">
        <v>20040006</v>
      </c>
      <c r="I20" t="s">
        <v>69</v>
      </c>
      <c r="J20">
        <v>1270</v>
      </c>
      <c r="K20" t="s">
        <v>112</v>
      </c>
      <c r="L20">
        <v>1270</v>
      </c>
    </row>
    <row r="21" spans="1:12" x14ac:dyDescent="0.25">
      <c r="A21">
        <v>20050001</v>
      </c>
      <c r="B21" t="s">
        <v>57</v>
      </c>
      <c r="C21">
        <v>1270</v>
      </c>
      <c r="G21" t="str">
        <f t="shared" si="0"/>
        <v>200500010030</v>
      </c>
      <c r="H21" s="27">
        <v>20050001</v>
      </c>
      <c r="I21" t="s">
        <v>57</v>
      </c>
      <c r="J21">
        <v>1270</v>
      </c>
      <c r="K21" t="s">
        <v>112</v>
      </c>
      <c r="L21">
        <v>1270</v>
      </c>
    </row>
    <row r="22" spans="1:12" x14ac:dyDescent="0.25">
      <c r="A22">
        <v>20050001</v>
      </c>
      <c r="B22" t="s">
        <v>67</v>
      </c>
      <c r="C22">
        <v>1270</v>
      </c>
      <c r="G22" t="str">
        <f t="shared" si="0"/>
        <v>200500010049</v>
      </c>
      <c r="H22" s="27">
        <v>20050001</v>
      </c>
      <c r="I22" t="s">
        <v>67</v>
      </c>
      <c r="J22">
        <v>1270</v>
      </c>
      <c r="K22" t="s">
        <v>112</v>
      </c>
      <c r="L22">
        <v>1270</v>
      </c>
    </row>
    <row r="23" spans="1:12" x14ac:dyDescent="0.25">
      <c r="A23">
        <v>20050001</v>
      </c>
      <c r="B23" t="s">
        <v>59</v>
      </c>
      <c r="C23">
        <v>1270</v>
      </c>
      <c r="G23" t="str">
        <f t="shared" si="0"/>
        <v>200500010051</v>
      </c>
      <c r="H23" s="26">
        <v>20050001</v>
      </c>
      <c r="I23" t="s">
        <v>59</v>
      </c>
      <c r="J23">
        <v>1270</v>
      </c>
      <c r="K23" t="s">
        <v>112</v>
      </c>
      <c r="L23">
        <v>1270</v>
      </c>
    </row>
    <row r="24" spans="1:12" x14ac:dyDescent="0.25">
      <c r="A24">
        <v>20050003</v>
      </c>
      <c r="B24" t="s">
        <v>32</v>
      </c>
      <c r="C24">
        <v>2540</v>
      </c>
      <c r="G24" t="str">
        <f t="shared" si="0"/>
        <v>200500030022</v>
      </c>
      <c r="H24" s="26">
        <v>20050003</v>
      </c>
      <c r="I24" t="s">
        <v>32</v>
      </c>
      <c r="J24">
        <v>2540</v>
      </c>
      <c r="K24" t="s">
        <v>112</v>
      </c>
      <c r="L24">
        <v>366</v>
      </c>
    </row>
    <row r="25" spans="1:12" x14ac:dyDescent="0.25">
      <c r="A25">
        <v>20060003</v>
      </c>
      <c r="B25" t="s">
        <v>23</v>
      </c>
      <c r="C25">
        <v>31750</v>
      </c>
      <c r="G25" t="str">
        <f t="shared" si="0"/>
        <v>200600030002</v>
      </c>
      <c r="H25" s="26">
        <v>20060003</v>
      </c>
      <c r="I25" t="s">
        <v>23</v>
      </c>
      <c r="J25">
        <v>31750</v>
      </c>
      <c r="K25" t="s">
        <v>112</v>
      </c>
      <c r="L25">
        <v>31750</v>
      </c>
    </row>
    <row r="26" spans="1:12" x14ac:dyDescent="0.25">
      <c r="A26">
        <v>20060004</v>
      </c>
      <c r="B26" t="s">
        <v>23</v>
      </c>
      <c r="C26">
        <v>6350</v>
      </c>
      <c r="G26" t="str">
        <f t="shared" si="0"/>
        <v>200600040002</v>
      </c>
      <c r="H26" s="26">
        <v>20060004</v>
      </c>
      <c r="I26" t="s">
        <v>23</v>
      </c>
      <c r="J26">
        <v>6350</v>
      </c>
      <c r="K26" t="s">
        <v>112</v>
      </c>
      <c r="L26">
        <v>6350</v>
      </c>
    </row>
    <row r="27" spans="1:12" x14ac:dyDescent="0.25">
      <c r="A27">
        <v>20060008</v>
      </c>
      <c r="B27" t="s">
        <v>23</v>
      </c>
      <c r="C27">
        <v>10504</v>
      </c>
      <c r="G27" t="str">
        <f t="shared" si="0"/>
        <v>200600080002</v>
      </c>
      <c r="H27" s="26">
        <v>20060008</v>
      </c>
      <c r="I27" t="s">
        <v>23</v>
      </c>
      <c r="J27">
        <v>10504</v>
      </c>
      <c r="K27" t="s">
        <v>112</v>
      </c>
      <c r="L27">
        <v>10504</v>
      </c>
    </row>
    <row r="28" spans="1:12" x14ac:dyDescent="0.25">
      <c r="A28">
        <v>20060014</v>
      </c>
      <c r="B28" t="s">
        <v>23</v>
      </c>
      <c r="C28">
        <v>1270</v>
      </c>
      <c r="G28" t="str">
        <f t="shared" si="0"/>
        <v>200900040021</v>
      </c>
      <c r="H28" s="26">
        <v>20090004</v>
      </c>
      <c r="I28" t="s">
        <v>73</v>
      </c>
      <c r="J28">
        <v>635</v>
      </c>
      <c r="K28" t="s">
        <v>112</v>
      </c>
      <c r="L28">
        <v>635</v>
      </c>
    </row>
    <row r="29" spans="1:12" x14ac:dyDescent="0.25">
      <c r="A29">
        <v>20090004</v>
      </c>
      <c r="B29" t="s">
        <v>73</v>
      </c>
      <c r="C29">
        <v>635</v>
      </c>
      <c r="G29" t="str">
        <f t="shared" si="0"/>
        <v>200900040040</v>
      </c>
      <c r="H29" s="27">
        <v>20090004</v>
      </c>
      <c r="I29" t="s">
        <v>99</v>
      </c>
      <c r="J29">
        <v>1270</v>
      </c>
      <c r="K29" t="s">
        <v>112</v>
      </c>
      <c r="L29">
        <v>1270</v>
      </c>
    </row>
    <row r="30" spans="1:12" x14ac:dyDescent="0.25">
      <c r="A30">
        <v>20090004</v>
      </c>
      <c r="B30" t="s">
        <v>99</v>
      </c>
      <c r="C30">
        <v>1270</v>
      </c>
      <c r="G30" t="str">
        <f t="shared" si="0"/>
        <v>200900080005</v>
      </c>
      <c r="H30" s="26">
        <v>20090008</v>
      </c>
      <c r="I30" t="s">
        <v>54</v>
      </c>
      <c r="J30">
        <v>635</v>
      </c>
      <c r="K30" t="s">
        <v>112</v>
      </c>
      <c r="L30">
        <v>635</v>
      </c>
    </row>
    <row r="31" spans="1:12" x14ac:dyDescent="0.25">
      <c r="A31">
        <v>20090008</v>
      </c>
      <c r="B31" t="s">
        <v>54</v>
      </c>
      <c r="C31">
        <v>635</v>
      </c>
      <c r="G31" t="str">
        <f t="shared" si="0"/>
        <v>200900140015</v>
      </c>
      <c r="H31" s="26">
        <v>20090014</v>
      </c>
      <c r="I31" t="s">
        <v>81</v>
      </c>
      <c r="J31">
        <v>12700</v>
      </c>
      <c r="K31" t="s">
        <v>112</v>
      </c>
      <c r="L31">
        <v>12700</v>
      </c>
    </row>
    <row r="32" spans="1:12" x14ac:dyDescent="0.25">
      <c r="A32">
        <v>20090014</v>
      </c>
      <c r="B32" t="s">
        <v>81</v>
      </c>
      <c r="C32">
        <v>12700</v>
      </c>
      <c r="G32" t="str">
        <f t="shared" si="0"/>
        <v>200900150002</v>
      </c>
      <c r="H32" s="26">
        <v>20090015</v>
      </c>
      <c r="I32" t="s">
        <v>23</v>
      </c>
      <c r="J32">
        <v>2112</v>
      </c>
      <c r="K32" t="s">
        <v>112</v>
      </c>
      <c r="L32">
        <v>652</v>
      </c>
    </row>
    <row r="33" spans="1:12" x14ac:dyDescent="0.25">
      <c r="A33">
        <v>20090015</v>
      </c>
      <c r="B33" t="s">
        <v>23</v>
      </c>
      <c r="C33">
        <v>2112</v>
      </c>
      <c r="G33" t="str">
        <f t="shared" si="0"/>
        <v>200900170003</v>
      </c>
      <c r="H33" s="26">
        <v>20090017</v>
      </c>
      <c r="I33" t="s">
        <v>38</v>
      </c>
      <c r="J33">
        <v>3810</v>
      </c>
      <c r="K33" t="s">
        <v>112</v>
      </c>
      <c r="L33">
        <v>3810</v>
      </c>
    </row>
    <row r="34" spans="1:12" x14ac:dyDescent="0.25">
      <c r="A34">
        <v>20090017</v>
      </c>
      <c r="B34" t="s">
        <v>38</v>
      </c>
      <c r="C34">
        <v>3810</v>
      </c>
      <c r="G34" t="str">
        <f t="shared" si="0"/>
        <v>200900200002</v>
      </c>
      <c r="H34" s="26">
        <v>20090020</v>
      </c>
      <c r="I34" t="s">
        <v>23</v>
      </c>
      <c r="J34">
        <v>2540</v>
      </c>
      <c r="K34" t="s">
        <v>112</v>
      </c>
      <c r="L34">
        <v>2540</v>
      </c>
    </row>
    <row r="35" spans="1:12" x14ac:dyDescent="0.25">
      <c r="A35">
        <v>20090020</v>
      </c>
      <c r="B35" t="s">
        <v>23</v>
      </c>
      <c r="C35">
        <v>2540</v>
      </c>
      <c r="G35" t="str">
        <f t="shared" si="0"/>
        <v>200900200005</v>
      </c>
      <c r="H35" s="27">
        <v>20090020</v>
      </c>
      <c r="I35" t="s">
        <v>54</v>
      </c>
      <c r="J35">
        <v>1270</v>
      </c>
      <c r="K35" t="s">
        <v>112</v>
      </c>
      <c r="L35">
        <v>1270</v>
      </c>
    </row>
    <row r="36" spans="1:12" x14ac:dyDescent="0.25">
      <c r="A36">
        <v>20090020</v>
      </c>
      <c r="B36" t="s">
        <v>54</v>
      </c>
      <c r="C36">
        <v>1270</v>
      </c>
      <c r="G36" t="str">
        <f t="shared" si="0"/>
        <v>200900220002</v>
      </c>
      <c r="H36" s="26">
        <v>20090022</v>
      </c>
      <c r="I36" t="s">
        <v>23</v>
      </c>
      <c r="J36">
        <v>1905</v>
      </c>
      <c r="K36" t="s">
        <v>112</v>
      </c>
      <c r="L36">
        <v>1270</v>
      </c>
    </row>
    <row r="37" spans="1:12" x14ac:dyDescent="0.25">
      <c r="A37">
        <v>20090022</v>
      </c>
      <c r="B37" t="s">
        <v>23</v>
      </c>
      <c r="C37">
        <v>1905</v>
      </c>
      <c r="G37" t="str">
        <f t="shared" si="0"/>
        <v>200900230002</v>
      </c>
      <c r="H37" s="26">
        <v>20090023</v>
      </c>
      <c r="I37" t="s">
        <v>23</v>
      </c>
      <c r="J37">
        <v>635</v>
      </c>
      <c r="K37" t="s">
        <v>112</v>
      </c>
      <c r="L37">
        <v>635</v>
      </c>
    </row>
    <row r="38" spans="1:12" x14ac:dyDescent="0.25">
      <c r="A38">
        <v>20090023</v>
      </c>
      <c r="B38" t="s">
        <v>23</v>
      </c>
      <c r="C38">
        <v>635</v>
      </c>
      <c r="G38" t="str">
        <f t="shared" si="0"/>
        <v>200600140002</v>
      </c>
      <c r="H38" s="26">
        <v>20060014</v>
      </c>
      <c r="I38" t="s">
        <v>23</v>
      </c>
      <c r="J38">
        <v>1270</v>
      </c>
      <c r="K38" t="s">
        <v>113</v>
      </c>
      <c r="L38">
        <v>1270</v>
      </c>
    </row>
    <row r="39" spans="1:12" x14ac:dyDescent="0.25">
      <c r="A39" t="s">
        <v>104</v>
      </c>
      <c r="C39">
        <v>228516</v>
      </c>
      <c r="G39" s="25" t="s">
        <v>109</v>
      </c>
      <c r="H39" s="25"/>
      <c r="I39" s="25"/>
      <c r="J39" s="25">
        <v>228516</v>
      </c>
      <c r="K39" s="25"/>
      <c r="L39" s="25">
        <f>SUM(L5:L38)</f>
        <v>224247</v>
      </c>
    </row>
    <row r="41" spans="1:12" x14ac:dyDescent="0.25">
      <c r="G41" s="24" t="s">
        <v>5</v>
      </c>
      <c r="H41" s="24" t="s">
        <v>6</v>
      </c>
      <c r="I41" s="24"/>
      <c r="J41" s="24" t="s">
        <v>106</v>
      </c>
      <c r="K41" s="28"/>
      <c r="L41" s="28" t="s">
        <v>107</v>
      </c>
    </row>
    <row r="42" spans="1:12" x14ac:dyDescent="0.25">
      <c r="G42" t="s">
        <v>111</v>
      </c>
      <c r="H42">
        <v>20030001</v>
      </c>
      <c r="J42">
        <v>12700</v>
      </c>
      <c r="L42">
        <v>12700</v>
      </c>
    </row>
    <row r="43" spans="1:12" x14ac:dyDescent="0.25">
      <c r="G43" t="s">
        <v>111</v>
      </c>
      <c r="H43">
        <v>20050003</v>
      </c>
      <c r="J43">
        <v>2540</v>
      </c>
      <c r="L43">
        <v>2174</v>
      </c>
    </row>
    <row r="44" spans="1:12" x14ac:dyDescent="0.25">
      <c r="G44" t="s">
        <v>111</v>
      </c>
      <c r="H44">
        <v>20090015</v>
      </c>
      <c r="J44">
        <v>842</v>
      </c>
      <c r="L44">
        <v>190</v>
      </c>
    </row>
    <row r="45" spans="1:12" x14ac:dyDescent="0.25">
      <c r="G45" s="25" t="s">
        <v>110</v>
      </c>
      <c r="H45" s="25"/>
      <c r="I45" s="25"/>
      <c r="J45" s="25">
        <v>228516</v>
      </c>
      <c r="K45" s="25"/>
      <c r="L45" s="25">
        <f>SUM(L42:L44)</f>
        <v>15064</v>
      </c>
    </row>
    <row r="47" spans="1:12" x14ac:dyDescent="0.25">
      <c r="G47" s="25" t="s">
        <v>104</v>
      </c>
      <c r="H47" s="25"/>
      <c r="I47" s="25"/>
      <c r="J47" s="25">
        <f>J39+J45</f>
        <v>457032</v>
      </c>
      <c r="K47" s="25"/>
      <c r="L47" s="25">
        <f>L39+L45</f>
        <v>239311</v>
      </c>
    </row>
  </sheetData>
  <autoFilter ref="G4:L4" xr:uid="{7EAE5DED-A294-4EB8-8986-6C219651E08C}">
    <sortState xmlns:xlrd2="http://schemas.microsoft.com/office/spreadsheetml/2017/richdata2" ref="G5:L39">
      <sortCondition ref="K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2EB8D-216B-4597-A40E-0F9A87E0D2A2}">
  <dimension ref="A1:S36"/>
  <sheetViews>
    <sheetView workbookViewId="0">
      <selection activeCell="G1" sqref="G1"/>
    </sheetView>
  </sheetViews>
  <sheetFormatPr defaultRowHeight="15" x14ac:dyDescent="0.25"/>
  <cols>
    <col min="1" max="1" width="18.140625" bestFit="1" customWidth="1"/>
    <col min="2" max="2" width="14.42578125" bestFit="1" customWidth="1"/>
    <col min="3" max="3" width="11" bestFit="1" customWidth="1"/>
    <col min="4" max="4" width="24" bestFit="1" customWidth="1"/>
    <col min="5" max="5" width="22.7109375" bestFit="1" customWidth="1"/>
    <col min="6" max="6" width="14.42578125" bestFit="1" customWidth="1"/>
    <col min="7" max="7" width="10.140625" bestFit="1" customWidth="1"/>
    <col min="8" max="8" width="15.42578125" bestFit="1" customWidth="1"/>
    <col min="10" max="10" width="15.42578125" bestFit="1" customWidth="1"/>
  </cols>
  <sheetData>
    <row r="1" spans="1:19" s="19" customFormat="1" x14ac:dyDescent="0.2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8" t="s">
        <v>18</v>
      </c>
    </row>
    <row r="2" spans="1:19" x14ac:dyDescent="0.25">
      <c r="A2" s="1">
        <v>46220.901249745366</v>
      </c>
      <c r="B2" s="2" t="s">
        <v>19</v>
      </c>
      <c r="C2" s="3">
        <v>46220</v>
      </c>
      <c r="D2" s="8" t="s">
        <v>103</v>
      </c>
      <c r="E2" s="2" t="s">
        <v>20</v>
      </c>
      <c r="F2" s="4" t="s">
        <v>45</v>
      </c>
      <c r="G2" s="5">
        <v>20010008</v>
      </c>
      <c r="H2" s="2" t="s">
        <v>43</v>
      </c>
      <c r="I2" s="6" t="s">
        <v>46</v>
      </c>
      <c r="J2" s="2" t="s">
        <v>41</v>
      </c>
      <c r="K2" s="2" t="s">
        <v>25</v>
      </c>
      <c r="L2" s="5">
        <v>13</v>
      </c>
      <c r="M2" s="5">
        <v>1270</v>
      </c>
      <c r="N2" s="5">
        <v>16510</v>
      </c>
      <c r="O2" s="5">
        <v>0</v>
      </c>
      <c r="P2" s="5">
        <v>16510</v>
      </c>
      <c r="Q2" s="5">
        <v>13</v>
      </c>
      <c r="R2" s="5">
        <v>16510</v>
      </c>
      <c r="S2" s="7"/>
    </row>
    <row r="3" spans="1:19" x14ac:dyDescent="0.25">
      <c r="A3" s="1">
        <v>46220.901695555556</v>
      </c>
      <c r="B3" s="2" t="s">
        <v>19</v>
      </c>
      <c r="C3" s="3">
        <v>46220</v>
      </c>
      <c r="D3" s="8" t="s">
        <v>103</v>
      </c>
      <c r="E3" s="2" t="s">
        <v>20</v>
      </c>
      <c r="F3" s="4" t="s">
        <v>42</v>
      </c>
      <c r="G3" s="5">
        <v>20010008</v>
      </c>
      <c r="H3" s="2" t="s">
        <v>43</v>
      </c>
      <c r="I3" s="6" t="s">
        <v>44</v>
      </c>
      <c r="J3" s="2" t="s">
        <v>41</v>
      </c>
      <c r="K3" s="2" t="s">
        <v>25</v>
      </c>
      <c r="L3" s="5">
        <v>2</v>
      </c>
      <c r="M3" s="5">
        <v>1270</v>
      </c>
      <c r="N3" s="5">
        <v>2540</v>
      </c>
      <c r="O3" s="5">
        <v>0</v>
      </c>
      <c r="P3" s="5">
        <v>2540</v>
      </c>
      <c r="Q3" s="5">
        <v>2</v>
      </c>
      <c r="R3" s="5">
        <v>2540</v>
      </c>
      <c r="S3" s="7"/>
    </row>
    <row r="4" spans="1:19" x14ac:dyDescent="0.25">
      <c r="A4" s="1">
        <v>46220.902510115746</v>
      </c>
      <c r="B4" s="2" t="s">
        <v>19</v>
      </c>
      <c r="C4" s="3">
        <v>46220</v>
      </c>
      <c r="D4" s="8" t="s">
        <v>103</v>
      </c>
      <c r="E4" s="2" t="s">
        <v>20</v>
      </c>
      <c r="F4" s="4" t="s">
        <v>47</v>
      </c>
      <c r="G4" s="5">
        <v>20060008</v>
      </c>
      <c r="H4" s="2" t="s">
        <v>48</v>
      </c>
      <c r="I4" s="6" t="s">
        <v>23</v>
      </c>
      <c r="J4" s="2" t="s">
        <v>24</v>
      </c>
      <c r="K4" s="2" t="s">
        <v>25</v>
      </c>
      <c r="L4" s="5">
        <v>0</v>
      </c>
      <c r="M4" s="5">
        <v>1270</v>
      </c>
      <c r="N4" s="5">
        <v>0</v>
      </c>
      <c r="O4" s="5">
        <v>10504</v>
      </c>
      <c r="P4" s="5">
        <v>10504</v>
      </c>
      <c r="Q4" s="5">
        <v>0</v>
      </c>
      <c r="R4" s="5">
        <v>10504</v>
      </c>
      <c r="S4" s="7"/>
    </row>
    <row r="5" spans="1:19" x14ac:dyDescent="0.25">
      <c r="A5" s="1">
        <v>46220.903016145836</v>
      </c>
      <c r="B5" s="2" t="s">
        <v>19</v>
      </c>
      <c r="C5" s="3">
        <v>46220</v>
      </c>
      <c r="D5" s="8" t="s">
        <v>103</v>
      </c>
      <c r="E5" s="2" t="s">
        <v>20</v>
      </c>
      <c r="F5" s="4" t="s">
        <v>39</v>
      </c>
      <c r="G5" s="5">
        <v>20010003</v>
      </c>
      <c r="H5" s="2" t="s">
        <v>40</v>
      </c>
      <c r="I5" s="6" t="s">
        <v>38</v>
      </c>
      <c r="J5" s="2" t="s">
        <v>41</v>
      </c>
      <c r="K5" s="2" t="s">
        <v>25</v>
      </c>
      <c r="L5" s="5">
        <v>13</v>
      </c>
      <c r="M5" s="5">
        <v>1270</v>
      </c>
      <c r="N5" s="5">
        <v>16510</v>
      </c>
      <c r="O5" s="5">
        <v>0</v>
      </c>
      <c r="P5" s="5">
        <v>16510</v>
      </c>
      <c r="Q5" s="5">
        <v>13</v>
      </c>
      <c r="R5" s="5">
        <v>16510</v>
      </c>
      <c r="S5" s="7"/>
    </row>
    <row r="6" spans="1:19" x14ac:dyDescent="0.25">
      <c r="A6" s="1">
        <v>46221.407369456021</v>
      </c>
      <c r="B6" s="2" t="s">
        <v>49</v>
      </c>
      <c r="C6" s="3">
        <v>46221</v>
      </c>
      <c r="D6" s="8" t="s">
        <v>103</v>
      </c>
      <c r="E6" s="2" t="s">
        <v>20</v>
      </c>
      <c r="F6" s="4" t="s">
        <v>50</v>
      </c>
      <c r="G6" s="5">
        <v>20020003</v>
      </c>
      <c r="H6" s="2" t="s">
        <v>51</v>
      </c>
      <c r="I6" s="6" t="s">
        <v>23</v>
      </c>
      <c r="J6" s="2" t="s">
        <v>52</v>
      </c>
      <c r="K6" s="2" t="s">
        <v>25</v>
      </c>
      <c r="L6" s="5">
        <v>5</v>
      </c>
      <c r="M6" s="5">
        <v>1270</v>
      </c>
      <c r="N6" s="5">
        <v>6350</v>
      </c>
      <c r="O6" s="5">
        <v>0</v>
      </c>
      <c r="P6" s="5">
        <v>6350</v>
      </c>
      <c r="Q6" s="5">
        <v>5</v>
      </c>
      <c r="R6" s="5">
        <v>6350</v>
      </c>
      <c r="S6" s="7"/>
    </row>
    <row r="7" spans="1:19" x14ac:dyDescent="0.25">
      <c r="A7" s="1">
        <v>46221.408108148149</v>
      </c>
      <c r="B7" s="2" t="s">
        <v>49</v>
      </c>
      <c r="C7" s="3">
        <v>46221</v>
      </c>
      <c r="D7" s="8" t="s">
        <v>103</v>
      </c>
      <c r="E7" s="2" t="s">
        <v>20</v>
      </c>
      <c r="F7" s="4" t="s">
        <v>93</v>
      </c>
      <c r="G7" s="5">
        <v>20020001</v>
      </c>
      <c r="H7" s="2" t="s">
        <v>52</v>
      </c>
      <c r="I7" s="6" t="s">
        <v>94</v>
      </c>
      <c r="J7" s="2" t="s">
        <v>52</v>
      </c>
      <c r="K7" s="2" t="s">
        <v>25</v>
      </c>
      <c r="L7" s="5">
        <v>1</v>
      </c>
      <c r="M7" s="5">
        <v>1270</v>
      </c>
      <c r="N7" s="5">
        <v>1270</v>
      </c>
      <c r="O7" s="5">
        <v>0</v>
      </c>
      <c r="P7" s="5">
        <v>1270</v>
      </c>
      <c r="Q7" s="5">
        <v>1</v>
      </c>
      <c r="R7" s="5">
        <v>1270</v>
      </c>
      <c r="S7" s="7"/>
    </row>
    <row r="8" spans="1:19" x14ac:dyDescent="0.25">
      <c r="A8" s="1">
        <v>46221.408439953702</v>
      </c>
      <c r="B8" s="2" t="s">
        <v>49</v>
      </c>
      <c r="C8" s="3">
        <v>46221</v>
      </c>
      <c r="D8" s="8" t="s">
        <v>103</v>
      </c>
      <c r="E8" s="2" t="s">
        <v>20</v>
      </c>
      <c r="F8" s="4" t="s">
        <v>53</v>
      </c>
      <c r="G8" s="5">
        <v>20020001</v>
      </c>
      <c r="H8" s="2" t="s">
        <v>52</v>
      </c>
      <c r="I8" s="6" t="s">
        <v>54</v>
      </c>
      <c r="J8" s="2" t="s">
        <v>52</v>
      </c>
      <c r="K8" s="2" t="s">
        <v>25</v>
      </c>
      <c r="L8" s="5">
        <v>1</v>
      </c>
      <c r="M8" s="5">
        <v>1270</v>
      </c>
      <c r="N8" s="5">
        <v>1270</v>
      </c>
      <c r="O8" s="5">
        <v>0</v>
      </c>
      <c r="P8" s="5">
        <v>1270</v>
      </c>
      <c r="Q8" s="5">
        <v>1</v>
      </c>
      <c r="R8" s="5">
        <v>1270</v>
      </c>
      <c r="S8" s="7"/>
    </row>
    <row r="9" spans="1:19" x14ac:dyDescent="0.25">
      <c r="A9" s="1">
        <v>46221.408845057871</v>
      </c>
      <c r="B9" s="2" t="s">
        <v>49</v>
      </c>
      <c r="C9" s="3">
        <v>46221</v>
      </c>
      <c r="D9" s="8" t="s">
        <v>103</v>
      </c>
      <c r="E9" s="2" t="s">
        <v>20</v>
      </c>
      <c r="F9" s="4" t="s">
        <v>95</v>
      </c>
      <c r="G9" s="5">
        <v>20020001</v>
      </c>
      <c r="H9" s="2" t="s">
        <v>52</v>
      </c>
      <c r="I9" s="6" t="s">
        <v>92</v>
      </c>
      <c r="J9" s="2" t="s">
        <v>52</v>
      </c>
      <c r="K9" s="2" t="s">
        <v>25</v>
      </c>
      <c r="L9" s="5">
        <v>1</v>
      </c>
      <c r="M9" s="5">
        <v>1270</v>
      </c>
      <c r="N9" s="5">
        <v>1270</v>
      </c>
      <c r="O9" s="5">
        <v>0</v>
      </c>
      <c r="P9" s="5">
        <v>1270</v>
      </c>
      <c r="Q9" s="5">
        <v>1</v>
      </c>
      <c r="R9" s="5">
        <v>1270</v>
      </c>
      <c r="S9" s="7"/>
    </row>
    <row r="10" spans="1:19" x14ac:dyDescent="0.25">
      <c r="A10" s="1">
        <v>46221.409090706016</v>
      </c>
      <c r="B10" s="2" t="s">
        <v>49</v>
      </c>
      <c r="C10" s="3">
        <v>46221</v>
      </c>
      <c r="D10" s="8" t="s">
        <v>103</v>
      </c>
      <c r="E10" s="2" t="s">
        <v>20</v>
      </c>
      <c r="F10" s="4" t="s">
        <v>88</v>
      </c>
      <c r="G10" s="5">
        <v>20020001</v>
      </c>
      <c r="H10" s="2" t="s">
        <v>52</v>
      </c>
      <c r="I10" s="6" t="s">
        <v>89</v>
      </c>
      <c r="J10" s="2" t="s">
        <v>52</v>
      </c>
      <c r="K10" s="2" t="s">
        <v>25</v>
      </c>
      <c r="L10" s="5">
        <v>1</v>
      </c>
      <c r="M10" s="5">
        <v>1270</v>
      </c>
      <c r="N10" s="5">
        <v>1270</v>
      </c>
      <c r="O10" s="5">
        <v>0</v>
      </c>
      <c r="P10" s="5">
        <v>1270</v>
      </c>
      <c r="Q10" s="5">
        <v>1</v>
      </c>
      <c r="R10" s="5">
        <v>1270</v>
      </c>
      <c r="S10" s="7"/>
    </row>
    <row r="11" spans="1:19" x14ac:dyDescent="0.25">
      <c r="A11" s="1">
        <v>46221.411332233794</v>
      </c>
      <c r="B11" s="2" t="s">
        <v>49</v>
      </c>
      <c r="C11" s="3">
        <v>46221</v>
      </c>
      <c r="D11" s="8" t="s">
        <v>103</v>
      </c>
      <c r="E11" s="2" t="s">
        <v>20</v>
      </c>
      <c r="F11" s="4" t="s">
        <v>56</v>
      </c>
      <c r="G11" s="5">
        <v>20050001</v>
      </c>
      <c r="H11" s="2" t="s">
        <v>55</v>
      </c>
      <c r="I11" s="6" t="s">
        <v>57</v>
      </c>
      <c r="J11" s="2" t="s">
        <v>52</v>
      </c>
      <c r="K11" s="2" t="s">
        <v>25</v>
      </c>
      <c r="L11" s="5">
        <v>1</v>
      </c>
      <c r="M11" s="5">
        <v>1270</v>
      </c>
      <c r="N11" s="5">
        <v>1270</v>
      </c>
      <c r="O11" s="5">
        <v>0</v>
      </c>
      <c r="P11" s="5">
        <v>1270</v>
      </c>
      <c r="Q11" s="5">
        <v>1</v>
      </c>
      <c r="R11" s="5">
        <v>1270</v>
      </c>
      <c r="S11" s="7"/>
    </row>
    <row r="12" spans="1:19" x14ac:dyDescent="0.25">
      <c r="A12" s="1">
        <v>46221.411555659724</v>
      </c>
      <c r="B12" s="2" t="s">
        <v>49</v>
      </c>
      <c r="C12" s="3">
        <v>46221</v>
      </c>
      <c r="D12" s="8" t="s">
        <v>103</v>
      </c>
      <c r="E12" s="2" t="s">
        <v>20</v>
      </c>
      <c r="F12" s="4" t="s">
        <v>58</v>
      </c>
      <c r="G12" s="5">
        <v>20050001</v>
      </c>
      <c r="H12" s="2" t="s">
        <v>55</v>
      </c>
      <c r="I12" s="6" t="s">
        <v>59</v>
      </c>
      <c r="J12" s="2" t="s">
        <v>52</v>
      </c>
      <c r="K12" s="2" t="s">
        <v>25</v>
      </c>
      <c r="L12" s="5">
        <v>1</v>
      </c>
      <c r="M12" s="5">
        <v>1270</v>
      </c>
      <c r="N12" s="5">
        <v>1270</v>
      </c>
      <c r="O12" s="5">
        <v>0</v>
      </c>
      <c r="P12" s="5">
        <v>1270</v>
      </c>
      <c r="Q12" s="5">
        <v>1</v>
      </c>
      <c r="R12" s="5">
        <v>1270</v>
      </c>
      <c r="S12" s="7"/>
    </row>
    <row r="13" spans="1:19" x14ac:dyDescent="0.25">
      <c r="A13" s="1">
        <v>46221.411859305561</v>
      </c>
      <c r="B13" s="2" t="s">
        <v>49</v>
      </c>
      <c r="C13" s="3">
        <v>46221</v>
      </c>
      <c r="D13" s="8" t="s">
        <v>103</v>
      </c>
      <c r="E13" s="2" t="s">
        <v>20</v>
      </c>
      <c r="F13" s="4" t="s">
        <v>80</v>
      </c>
      <c r="G13" s="5">
        <v>20050001</v>
      </c>
      <c r="H13" s="2" t="s">
        <v>55</v>
      </c>
      <c r="I13" s="6" t="s">
        <v>67</v>
      </c>
      <c r="J13" s="2" t="s">
        <v>52</v>
      </c>
      <c r="K13" s="2" t="s">
        <v>25</v>
      </c>
      <c r="L13" s="5">
        <v>1</v>
      </c>
      <c r="M13" s="5">
        <v>1270</v>
      </c>
      <c r="N13" s="5">
        <v>1270</v>
      </c>
      <c r="O13" s="5">
        <v>0</v>
      </c>
      <c r="P13" s="5">
        <v>1270</v>
      </c>
      <c r="Q13" s="5">
        <v>1</v>
      </c>
      <c r="R13" s="5">
        <v>1270</v>
      </c>
      <c r="S13" s="7"/>
    </row>
    <row r="14" spans="1:19" x14ac:dyDescent="0.25">
      <c r="A14" s="1">
        <v>46221.618405694448</v>
      </c>
      <c r="B14" s="2" t="s">
        <v>19</v>
      </c>
      <c r="C14" s="3">
        <v>46221</v>
      </c>
      <c r="D14" s="8" t="s">
        <v>103</v>
      </c>
      <c r="E14" s="2" t="s">
        <v>20</v>
      </c>
      <c r="F14" s="4" t="s">
        <v>78</v>
      </c>
      <c r="G14" s="5">
        <v>20060014</v>
      </c>
      <c r="H14" s="2" t="s">
        <v>79</v>
      </c>
      <c r="I14" s="6" t="s">
        <v>23</v>
      </c>
      <c r="J14" s="2" t="s">
        <v>24</v>
      </c>
      <c r="K14" s="2" t="s">
        <v>25</v>
      </c>
      <c r="L14" s="5">
        <v>1</v>
      </c>
      <c r="M14" s="5">
        <v>1270</v>
      </c>
      <c r="N14" s="5">
        <v>1270</v>
      </c>
      <c r="O14" s="5">
        <v>0</v>
      </c>
      <c r="P14" s="5">
        <v>1270</v>
      </c>
      <c r="Q14" s="5">
        <v>1</v>
      </c>
      <c r="R14" s="5">
        <v>1270</v>
      </c>
      <c r="S14" s="7"/>
    </row>
    <row r="15" spans="1:19" x14ac:dyDescent="0.25">
      <c r="A15" s="1">
        <v>46221.707519317133</v>
      </c>
      <c r="B15" s="2" t="s">
        <v>19</v>
      </c>
      <c r="C15" s="3">
        <v>46221</v>
      </c>
      <c r="D15" s="8" t="s">
        <v>103</v>
      </c>
      <c r="E15" s="2" t="s">
        <v>20</v>
      </c>
      <c r="F15" s="4" t="s">
        <v>21</v>
      </c>
      <c r="G15" s="5">
        <v>20060003</v>
      </c>
      <c r="H15" s="2" t="s">
        <v>22</v>
      </c>
      <c r="I15" s="6" t="s">
        <v>23</v>
      </c>
      <c r="J15" s="2" t="s">
        <v>24</v>
      </c>
      <c r="K15" s="2" t="s">
        <v>25</v>
      </c>
      <c r="L15" s="5">
        <v>25</v>
      </c>
      <c r="M15" s="5">
        <v>1270</v>
      </c>
      <c r="N15" s="5">
        <v>31750</v>
      </c>
      <c r="O15" s="5">
        <v>0</v>
      </c>
      <c r="P15" s="5">
        <v>31750</v>
      </c>
      <c r="Q15" s="5">
        <v>25</v>
      </c>
      <c r="R15" s="5">
        <v>31750</v>
      </c>
      <c r="S15" s="7"/>
    </row>
    <row r="16" spans="1:19" x14ac:dyDescent="0.25">
      <c r="A16" s="1">
        <v>46221.874017430557</v>
      </c>
      <c r="B16" s="2" t="s">
        <v>19</v>
      </c>
      <c r="C16" s="3">
        <v>46221</v>
      </c>
      <c r="D16" s="8" t="s">
        <v>103</v>
      </c>
      <c r="E16" s="2" t="s">
        <v>20</v>
      </c>
      <c r="F16" s="4" t="s">
        <v>75</v>
      </c>
      <c r="G16" s="5">
        <v>20060004</v>
      </c>
      <c r="H16" s="2" t="s">
        <v>26</v>
      </c>
      <c r="I16" s="6" t="s">
        <v>23</v>
      </c>
      <c r="J16" s="2" t="s">
        <v>24</v>
      </c>
      <c r="K16" s="2" t="s">
        <v>25</v>
      </c>
      <c r="L16" s="5">
        <v>5</v>
      </c>
      <c r="M16" s="5">
        <v>1270</v>
      </c>
      <c r="N16" s="5">
        <v>6350</v>
      </c>
      <c r="O16" s="5">
        <v>0</v>
      </c>
      <c r="P16" s="5">
        <v>6350</v>
      </c>
      <c r="Q16" s="5">
        <v>5</v>
      </c>
      <c r="R16" s="5">
        <v>6350</v>
      </c>
      <c r="S16" s="7"/>
    </row>
    <row r="17" spans="1:19" x14ac:dyDescent="0.25">
      <c r="A17" s="1">
        <v>46221.874626817131</v>
      </c>
      <c r="B17" s="2" t="s">
        <v>19</v>
      </c>
      <c r="C17" s="3">
        <v>46221</v>
      </c>
      <c r="D17" s="8" t="s">
        <v>103</v>
      </c>
      <c r="E17" s="2" t="s">
        <v>20</v>
      </c>
      <c r="F17" s="4" t="s">
        <v>96</v>
      </c>
      <c r="G17" s="5">
        <v>20010001</v>
      </c>
      <c r="H17" s="2" t="s">
        <v>41</v>
      </c>
      <c r="I17" s="6" t="s">
        <v>23</v>
      </c>
      <c r="J17" s="2" t="s">
        <v>41</v>
      </c>
      <c r="K17" s="2" t="s">
        <v>25</v>
      </c>
      <c r="L17" s="5">
        <v>70</v>
      </c>
      <c r="M17" s="5">
        <v>1270</v>
      </c>
      <c r="N17" s="5">
        <v>88900</v>
      </c>
      <c r="O17" s="5">
        <v>0</v>
      </c>
      <c r="P17" s="5">
        <v>88900</v>
      </c>
      <c r="Q17" s="5">
        <v>70</v>
      </c>
      <c r="R17" s="5">
        <v>88900</v>
      </c>
      <c r="S17" s="7"/>
    </row>
    <row r="18" spans="1:19" x14ac:dyDescent="0.25">
      <c r="A18" s="1">
        <v>46222.334003865741</v>
      </c>
      <c r="B18" s="2" t="s">
        <v>49</v>
      </c>
      <c r="C18" s="3">
        <v>46222</v>
      </c>
      <c r="D18" s="8" t="s">
        <v>103</v>
      </c>
      <c r="E18" s="2" t="s">
        <v>20</v>
      </c>
      <c r="F18" s="4" t="s">
        <v>91</v>
      </c>
      <c r="G18" s="5">
        <v>20020011</v>
      </c>
      <c r="H18" s="2" t="s">
        <v>68</v>
      </c>
      <c r="I18" s="6" t="s">
        <v>87</v>
      </c>
      <c r="J18" s="2" t="s">
        <v>52</v>
      </c>
      <c r="K18" s="2" t="s">
        <v>25</v>
      </c>
      <c r="L18" s="5">
        <v>1</v>
      </c>
      <c r="M18" s="5">
        <v>1270</v>
      </c>
      <c r="N18" s="5">
        <v>1270</v>
      </c>
      <c r="O18" s="5">
        <v>0</v>
      </c>
      <c r="P18" s="5">
        <v>1270</v>
      </c>
      <c r="Q18" s="5">
        <v>1</v>
      </c>
      <c r="R18" s="5">
        <v>1270</v>
      </c>
      <c r="S18" s="7"/>
    </row>
    <row r="19" spans="1:19" x14ac:dyDescent="0.25">
      <c r="A19" s="1">
        <v>46222.334328414348</v>
      </c>
      <c r="B19" s="2" t="s">
        <v>49</v>
      </c>
      <c r="C19" s="3">
        <v>46222</v>
      </c>
      <c r="D19" s="8" t="s">
        <v>103</v>
      </c>
      <c r="E19" s="2" t="s">
        <v>20</v>
      </c>
      <c r="F19" s="4" t="s">
        <v>97</v>
      </c>
      <c r="G19" s="5">
        <v>20020011</v>
      </c>
      <c r="H19" s="2" t="s">
        <v>68</v>
      </c>
      <c r="I19" s="6" t="s">
        <v>32</v>
      </c>
      <c r="J19" s="2" t="s">
        <v>52</v>
      </c>
      <c r="K19" s="2" t="s">
        <v>25</v>
      </c>
      <c r="L19" s="5">
        <v>1</v>
      </c>
      <c r="M19" s="5">
        <v>1270</v>
      </c>
      <c r="N19" s="5">
        <v>1270</v>
      </c>
      <c r="O19" s="5">
        <v>0</v>
      </c>
      <c r="P19" s="5">
        <v>1270</v>
      </c>
      <c r="Q19" s="5">
        <v>1</v>
      </c>
      <c r="R19" s="5">
        <v>1270</v>
      </c>
      <c r="S19" s="7"/>
    </row>
    <row r="20" spans="1:19" x14ac:dyDescent="0.25">
      <c r="A20" s="1">
        <v>46222.335669293985</v>
      </c>
      <c r="B20" s="2" t="s">
        <v>49</v>
      </c>
      <c r="C20" s="3">
        <v>46222</v>
      </c>
      <c r="D20" s="8" t="s">
        <v>103</v>
      </c>
      <c r="E20" s="2" t="s">
        <v>20</v>
      </c>
      <c r="F20" s="4" t="s">
        <v>90</v>
      </c>
      <c r="G20" s="5">
        <v>20050003</v>
      </c>
      <c r="H20" s="2" t="s">
        <v>77</v>
      </c>
      <c r="I20" s="6" t="s">
        <v>32</v>
      </c>
      <c r="J20" s="2" t="s">
        <v>52</v>
      </c>
      <c r="K20" s="2" t="s">
        <v>25</v>
      </c>
      <c r="L20" s="5">
        <v>2</v>
      </c>
      <c r="M20" s="5">
        <v>1270</v>
      </c>
      <c r="N20" s="5">
        <v>2540</v>
      </c>
      <c r="O20" s="5">
        <v>0</v>
      </c>
      <c r="P20" s="5">
        <v>2540</v>
      </c>
      <c r="Q20" s="5">
        <v>2</v>
      </c>
      <c r="R20" s="5">
        <v>2540</v>
      </c>
      <c r="S20" s="7"/>
    </row>
    <row r="21" spans="1:19" x14ac:dyDescent="0.25">
      <c r="A21" s="1">
        <v>46222.356012013886</v>
      </c>
      <c r="B21" s="2" t="s">
        <v>60</v>
      </c>
      <c r="C21" s="3">
        <v>46222</v>
      </c>
      <c r="D21" s="8" t="s">
        <v>103</v>
      </c>
      <c r="E21" s="2" t="s">
        <v>20</v>
      </c>
      <c r="F21" s="4" t="s">
        <v>61</v>
      </c>
      <c r="G21" s="5">
        <v>20090008</v>
      </c>
      <c r="H21" s="2" t="s">
        <v>62</v>
      </c>
      <c r="I21" s="6" t="s">
        <v>54</v>
      </c>
      <c r="J21" s="2" t="s">
        <v>29</v>
      </c>
      <c r="K21" s="2" t="s">
        <v>25</v>
      </c>
      <c r="L21" s="5">
        <v>0</v>
      </c>
      <c r="M21" s="5">
        <v>1270</v>
      </c>
      <c r="N21" s="5">
        <v>0</v>
      </c>
      <c r="O21" s="5">
        <v>635</v>
      </c>
      <c r="P21" s="5">
        <v>635</v>
      </c>
      <c r="Q21" s="5">
        <v>0</v>
      </c>
      <c r="R21" s="5">
        <v>635</v>
      </c>
      <c r="S21" s="7"/>
    </row>
    <row r="22" spans="1:19" x14ac:dyDescent="0.25">
      <c r="A22" s="1">
        <v>46222.357539282406</v>
      </c>
      <c r="B22" s="2" t="s">
        <v>60</v>
      </c>
      <c r="C22" s="3">
        <v>46222</v>
      </c>
      <c r="D22" s="8" t="s">
        <v>103</v>
      </c>
      <c r="E22" s="2" t="s">
        <v>20</v>
      </c>
      <c r="F22" s="4" t="s">
        <v>71</v>
      </c>
      <c r="G22" s="5">
        <v>20090023</v>
      </c>
      <c r="H22" s="2" t="s">
        <v>63</v>
      </c>
      <c r="I22" s="6" t="s">
        <v>23</v>
      </c>
      <c r="J22" s="2" t="s">
        <v>29</v>
      </c>
      <c r="K22" s="2" t="s">
        <v>25</v>
      </c>
      <c r="L22" s="5">
        <v>0</v>
      </c>
      <c r="M22" s="5">
        <v>1270</v>
      </c>
      <c r="N22" s="5">
        <v>0</v>
      </c>
      <c r="O22" s="5">
        <v>635</v>
      </c>
      <c r="P22" s="5">
        <v>635</v>
      </c>
      <c r="Q22" s="5">
        <v>0</v>
      </c>
      <c r="R22" s="5">
        <v>635</v>
      </c>
      <c r="S22" s="7"/>
    </row>
    <row r="23" spans="1:19" x14ac:dyDescent="0.25">
      <c r="A23" s="1">
        <v>46222.357853194444</v>
      </c>
      <c r="B23" s="2" t="s">
        <v>60</v>
      </c>
      <c r="C23" s="3">
        <v>46222</v>
      </c>
      <c r="D23" s="8" t="s">
        <v>103</v>
      </c>
      <c r="E23" s="2" t="s">
        <v>20</v>
      </c>
      <c r="F23" s="4" t="s">
        <v>98</v>
      </c>
      <c r="G23" s="5">
        <v>20090004</v>
      </c>
      <c r="H23" s="2" t="s">
        <v>74</v>
      </c>
      <c r="I23" s="6" t="s">
        <v>99</v>
      </c>
      <c r="J23" s="2" t="s">
        <v>29</v>
      </c>
      <c r="K23" s="2" t="s">
        <v>25</v>
      </c>
      <c r="L23" s="5">
        <v>1</v>
      </c>
      <c r="M23" s="5">
        <v>1270</v>
      </c>
      <c r="N23" s="5">
        <v>1270</v>
      </c>
      <c r="O23" s="5">
        <v>0</v>
      </c>
      <c r="P23" s="5">
        <v>1270</v>
      </c>
      <c r="Q23" s="5">
        <v>1</v>
      </c>
      <c r="R23" s="5">
        <v>1270</v>
      </c>
      <c r="S23" s="7"/>
    </row>
    <row r="24" spans="1:19" x14ac:dyDescent="0.25">
      <c r="A24" s="1">
        <v>46222.358127847227</v>
      </c>
      <c r="B24" s="2" t="s">
        <v>60</v>
      </c>
      <c r="C24" s="3">
        <v>46222</v>
      </c>
      <c r="D24" s="8" t="s">
        <v>103</v>
      </c>
      <c r="E24" s="2" t="s">
        <v>20</v>
      </c>
      <c r="F24" s="4" t="s">
        <v>83</v>
      </c>
      <c r="G24" s="5">
        <v>20090004</v>
      </c>
      <c r="H24" s="2" t="s">
        <v>74</v>
      </c>
      <c r="I24" s="6" t="s">
        <v>73</v>
      </c>
      <c r="J24" s="2" t="s">
        <v>29</v>
      </c>
      <c r="K24" s="2" t="s">
        <v>25</v>
      </c>
      <c r="L24" s="5">
        <v>0</v>
      </c>
      <c r="M24" s="5">
        <v>1270</v>
      </c>
      <c r="N24" s="5">
        <v>0</v>
      </c>
      <c r="O24" s="5">
        <v>635</v>
      </c>
      <c r="P24" s="5">
        <v>635</v>
      </c>
      <c r="Q24" s="5">
        <v>0</v>
      </c>
      <c r="R24" s="5">
        <v>635</v>
      </c>
      <c r="S24" s="7"/>
    </row>
    <row r="25" spans="1:19" x14ac:dyDescent="0.25">
      <c r="A25" s="1">
        <v>46222.358659259262</v>
      </c>
      <c r="B25" s="2" t="s">
        <v>60</v>
      </c>
      <c r="C25" s="3">
        <v>46222</v>
      </c>
      <c r="D25" s="8" t="s">
        <v>103</v>
      </c>
      <c r="E25" s="2" t="s">
        <v>20</v>
      </c>
      <c r="F25" s="4" t="s">
        <v>82</v>
      </c>
      <c r="G25" s="5">
        <v>20040001</v>
      </c>
      <c r="H25" s="2" t="s">
        <v>72</v>
      </c>
      <c r="I25" s="6" t="s">
        <v>76</v>
      </c>
      <c r="J25" s="2" t="s">
        <v>72</v>
      </c>
      <c r="K25" s="2" t="s">
        <v>25</v>
      </c>
      <c r="L25" s="5">
        <v>1</v>
      </c>
      <c r="M25" s="5">
        <v>1270</v>
      </c>
      <c r="N25" s="5">
        <v>1270</v>
      </c>
      <c r="O25" s="5">
        <v>0</v>
      </c>
      <c r="P25" s="5">
        <v>1270</v>
      </c>
      <c r="Q25" s="5">
        <v>1</v>
      </c>
      <c r="R25" s="5">
        <v>1270</v>
      </c>
      <c r="S25" s="7"/>
    </row>
    <row r="26" spans="1:19" x14ac:dyDescent="0.25">
      <c r="A26" s="1">
        <v>46222.358907534726</v>
      </c>
      <c r="B26" s="2" t="s">
        <v>60</v>
      </c>
      <c r="C26" s="3">
        <v>46222</v>
      </c>
      <c r="D26" s="8" t="s">
        <v>103</v>
      </c>
      <c r="E26" s="2" t="s">
        <v>20</v>
      </c>
      <c r="F26" s="4" t="s">
        <v>86</v>
      </c>
      <c r="G26" s="5">
        <v>20040001</v>
      </c>
      <c r="H26" s="2" t="s">
        <v>72</v>
      </c>
      <c r="I26" s="6" t="s">
        <v>38</v>
      </c>
      <c r="J26" s="2" t="s">
        <v>72</v>
      </c>
      <c r="K26" s="2" t="s">
        <v>25</v>
      </c>
      <c r="L26" s="5">
        <v>1</v>
      </c>
      <c r="M26" s="5">
        <v>1270</v>
      </c>
      <c r="N26" s="5">
        <v>1270</v>
      </c>
      <c r="O26" s="5">
        <v>0</v>
      </c>
      <c r="P26" s="5">
        <v>1270</v>
      </c>
      <c r="Q26" s="5">
        <v>1</v>
      </c>
      <c r="R26" s="5">
        <v>1270</v>
      </c>
      <c r="S26" s="7"/>
    </row>
    <row r="27" spans="1:19" x14ac:dyDescent="0.25">
      <c r="A27" s="1">
        <v>46222.359271759255</v>
      </c>
      <c r="B27" s="2" t="s">
        <v>60</v>
      </c>
      <c r="C27" s="3">
        <v>46222</v>
      </c>
      <c r="D27" s="8" t="s">
        <v>103</v>
      </c>
      <c r="E27" s="2" t="s">
        <v>20</v>
      </c>
      <c r="F27" s="4" t="s">
        <v>64</v>
      </c>
      <c r="G27" s="5">
        <v>20090020</v>
      </c>
      <c r="H27" s="2" t="s">
        <v>65</v>
      </c>
      <c r="I27" s="6" t="s">
        <v>23</v>
      </c>
      <c r="J27" s="2" t="s">
        <v>29</v>
      </c>
      <c r="K27" s="2" t="s">
        <v>25</v>
      </c>
      <c r="L27" s="5">
        <v>2</v>
      </c>
      <c r="M27" s="5">
        <v>1270</v>
      </c>
      <c r="N27" s="5">
        <v>2540</v>
      </c>
      <c r="O27" s="5">
        <v>0</v>
      </c>
      <c r="P27" s="5">
        <v>2540</v>
      </c>
      <c r="Q27" s="5">
        <v>2</v>
      </c>
      <c r="R27" s="5">
        <v>2540</v>
      </c>
      <c r="S27" s="7"/>
    </row>
    <row r="28" spans="1:19" x14ac:dyDescent="0.25">
      <c r="A28" s="1">
        <v>46222.359815625001</v>
      </c>
      <c r="B28" s="2" t="s">
        <v>60</v>
      </c>
      <c r="C28" s="3">
        <v>46222</v>
      </c>
      <c r="D28" s="8" t="s">
        <v>103</v>
      </c>
      <c r="E28" s="2" t="s">
        <v>20</v>
      </c>
      <c r="F28" s="4" t="s">
        <v>66</v>
      </c>
      <c r="G28" s="5">
        <v>20090020</v>
      </c>
      <c r="H28" s="2" t="s">
        <v>65</v>
      </c>
      <c r="I28" s="6" t="s">
        <v>54</v>
      </c>
      <c r="J28" s="2" t="s">
        <v>29</v>
      </c>
      <c r="K28" s="2" t="s">
        <v>25</v>
      </c>
      <c r="L28" s="5">
        <v>1</v>
      </c>
      <c r="M28" s="5">
        <v>1270</v>
      </c>
      <c r="N28" s="5">
        <v>1270</v>
      </c>
      <c r="O28" s="5">
        <v>0</v>
      </c>
      <c r="P28" s="5">
        <v>1270</v>
      </c>
      <c r="Q28" s="5">
        <v>1</v>
      </c>
      <c r="R28" s="5">
        <v>1270</v>
      </c>
      <c r="S28" s="7"/>
    </row>
    <row r="29" spans="1:19" x14ac:dyDescent="0.25">
      <c r="A29" s="1">
        <v>46222.362683854168</v>
      </c>
      <c r="B29" s="2" t="s">
        <v>60</v>
      </c>
      <c r="C29" s="3">
        <v>46222</v>
      </c>
      <c r="D29" s="8" t="s">
        <v>103</v>
      </c>
      <c r="E29" s="2" t="s">
        <v>20</v>
      </c>
      <c r="F29" s="4" t="s">
        <v>30</v>
      </c>
      <c r="G29" s="5">
        <v>20090015</v>
      </c>
      <c r="H29" s="2" t="s">
        <v>31</v>
      </c>
      <c r="I29" s="6" t="s">
        <v>23</v>
      </c>
      <c r="J29" s="2" t="s">
        <v>29</v>
      </c>
      <c r="K29" s="2" t="s">
        <v>25</v>
      </c>
      <c r="L29" s="5">
        <v>1</v>
      </c>
      <c r="M29" s="5">
        <v>1270</v>
      </c>
      <c r="N29" s="5">
        <v>1270</v>
      </c>
      <c r="O29" s="5">
        <v>842</v>
      </c>
      <c r="P29" s="5">
        <v>2112</v>
      </c>
      <c r="Q29" s="5">
        <v>1</v>
      </c>
      <c r="R29" s="5">
        <v>2112</v>
      </c>
      <c r="S29" s="7"/>
    </row>
    <row r="30" spans="1:19" x14ac:dyDescent="0.25">
      <c r="A30" s="1">
        <v>46222.363248310183</v>
      </c>
      <c r="B30" s="2" t="s">
        <v>60</v>
      </c>
      <c r="C30" s="3">
        <v>46222</v>
      </c>
      <c r="D30" s="8" t="s">
        <v>103</v>
      </c>
      <c r="E30" s="2" t="s">
        <v>20</v>
      </c>
      <c r="F30" s="4" t="s">
        <v>27</v>
      </c>
      <c r="G30" s="5">
        <v>20090022</v>
      </c>
      <c r="H30" s="2" t="s">
        <v>28</v>
      </c>
      <c r="I30" s="6" t="s">
        <v>23</v>
      </c>
      <c r="J30" s="2" t="s">
        <v>29</v>
      </c>
      <c r="K30" s="2" t="s">
        <v>25</v>
      </c>
      <c r="L30" s="5">
        <v>1</v>
      </c>
      <c r="M30" s="5">
        <v>1270</v>
      </c>
      <c r="N30" s="5">
        <v>1270</v>
      </c>
      <c r="O30" s="5">
        <v>635</v>
      </c>
      <c r="P30" s="5">
        <v>1905</v>
      </c>
      <c r="Q30" s="5">
        <v>1</v>
      </c>
      <c r="R30" s="5">
        <v>1905</v>
      </c>
      <c r="S30" s="7"/>
    </row>
    <row r="31" spans="1:19" x14ac:dyDescent="0.25">
      <c r="A31" s="1">
        <v>46222.363546967594</v>
      </c>
      <c r="B31" s="2" t="s">
        <v>60</v>
      </c>
      <c r="C31" s="3">
        <v>46222</v>
      </c>
      <c r="D31" s="8" t="s">
        <v>103</v>
      </c>
      <c r="E31" s="2" t="s">
        <v>20</v>
      </c>
      <c r="F31" s="4" t="s">
        <v>84</v>
      </c>
      <c r="G31" s="5">
        <v>20090014</v>
      </c>
      <c r="H31" s="2" t="s">
        <v>85</v>
      </c>
      <c r="I31" s="6" t="s">
        <v>81</v>
      </c>
      <c r="J31" s="2" t="s">
        <v>29</v>
      </c>
      <c r="K31" s="2" t="s">
        <v>25</v>
      </c>
      <c r="L31" s="5">
        <v>10</v>
      </c>
      <c r="M31" s="5">
        <v>1270</v>
      </c>
      <c r="N31" s="5">
        <v>12700</v>
      </c>
      <c r="O31" s="5">
        <v>0</v>
      </c>
      <c r="P31" s="5">
        <v>12700</v>
      </c>
      <c r="Q31" s="5">
        <v>10</v>
      </c>
      <c r="R31" s="5">
        <v>12700</v>
      </c>
      <c r="S31" s="7"/>
    </row>
    <row r="32" spans="1:19" x14ac:dyDescent="0.25">
      <c r="A32" s="1">
        <v>46222.363883854166</v>
      </c>
      <c r="B32" s="2" t="s">
        <v>60</v>
      </c>
      <c r="C32" s="3">
        <v>46222</v>
      </c>
      <c r="D32" s="8" t="s">
        <v>103</v>
      </c>
      <c r="E32" s="2" t="s">
        <v>20</v>
      </c>
      <c r="F32" s="4" t="s">
        <v>33</v>
      </c>
      <c r="G32" s="5">
        <v>20010054</v>
      </c>
      <c r="H32" s="2" t="s">
        <v>34</v>
      </c>
      <c r="I32" s="6" t="s">
        <v>35</v>
      </c>
      <c r="J32" s="2" t="s">
        <v>29</v>
      </c>
      <c r="K32" s="2" t="s">
        <v>25</v>
      </c>
      <c r="L32" s="5">
        <v>1</v>
      </c>
      <c r="M32" s="5">
        <v>1270</v>
      </c>
      <c r="N32" s="5">
        <v>1270</v>
      </c>
      <c r="O32" s="5">
        <v>0</v>
      </c>
      <c r="P32" s="5">
        <v>1270</v>
      </c>
      <c r="Q32" s="5">
        <v>1</v>
      </c>
      <c r="R32" s="5">
        <v>1270</v>
      </c>
      <c r="S32" s="7"/>
    </row>
    <row r="33" spans="1:19" x14ac:dyDescent="0.25">
      <c r="A33" s="1">
        <v>46222.366800335643</v>
      </c>
      <c r="B33" s="2" t="s">
        <v>60</v>
      </c>
      <c r="C33" s="3">
        <v>46222</v>
      </c>
      <c r="D33" s="8" t="s">
        <v>103</v>
      </c>
      <c r="E33" s="2" t="s">
        <v>20</v>
      </c>
      <c r="F33" s="4" t="s">
        <v>100</v>
      </c>
      <c r="G33" s="5">
        <v>20040006</v>
      </c>
      <c r="H33" s="2" t="s">
        <v>101</v>
      </c>
      <c r="I33" s="6" t="s">
        <v>69</v>
      </c>
      <c r="J33" s="2" t="s">
        <v>72</v>
      </c>
      <c r="K33" s="2" t="s">
        <v>25</v>
      </c>
      <c r="L33" s="5">
        <v>1</v>
      </c>
      <c r="M33" s="5">
        <v>1270</v>
      </c>
      <c r="N33" s="5">
        <v>1270</v>
      </c>
      <c r="O33" s="5">
        <v>0</v>
      </c>
      <c r="P33" s="5">
        <v>1270</v>
      </c>
      <c r="Q33" s="5">
        <v>1</v>
      </c>
      <c r="R33" s="5">
        <v>1270</v>
      </c>
      <c r="S33" s="7"/>
    </row>
    <row r="34" spans="1:19" x14ac:dyDescent="0.25">
      <c r="A34" s="1">
        <v>46222.367049166671</v>
      </c>
      <c r="B34" s="2" t="s">
        <v>60</v>
      </c>
      <c r="C34" s="3">
        <v>46222</v>
      </c>
      <c r="D34" s="8" t="s">
        <v>103</v>
      </c>
      <c r="E34" s="2" t="s">
        <v>20</v>
      </c>
      <c r="F34" s="4" t="s">
        <v>102</v>
      </c>
      <c r="G34" s="5">
        <v>20040006</v>
      </c>
      <c r="H34" s="2" t="s">
        <v>101</v>
      </c>
      <c r="I34" s="6" t="s">
        <v>70</v>
      </c>
      <c r="J34" s="2" t="s">
        <v>72</v>
      </c>
      <c r="K34" s="2" t="s">
        <v>25</v>
      </c>
      <c r="L34" s="5">
        <v>1</v>
      </c>
      <c r="M34" s="5">
        <v>1270</v>
      </c>
      <c r="N34" s="5">
        <v>1270</v>
      </c>
      <c r="O34" s="5">
        <v>0</v>
      </c>
      <c r="P34" s="5">
        <v>1270</v>
      </c>
      <c r="Q34" s="5">
        <v>1</v>
      </c>
      <c r="R34" s="5">
        <v>1270</v>
      </c>
      <c r="S34" s="7"/>
    </row>
    <row r="35" spans="1:19" x14ac:dyDescent="0.25">
      <c r="A35" s="9">
        <v>46222.367300590282</v>
      </c>
      <c r="B35" s="10" t="s">
        <v>60</v>
      </c>
      <c r="C35" s="11">
        <v>46222</v>
      </c>
      <c r="D35" s="8" t="s">
        <v>103</v>
      </c>
      <c r="E35" s="10" t="s">
        <v>20</v>
      </c>
      <c r="F35" s="12" t="s">
        <v>36</v>
      </c>
      <c r="G35" s="13">
        <v>20090017</v>
      </c>
      <c r="H35" s="10" t="s">
        <v>37</v>
      </c>
      <c r="I35" s="14" t="s">
        <v>38</v>
      </c>
      <c r="J35" s="10" t="s">
        <v>29</v>
      </c>
      <c r="K35" s="10" t="s">
        <v>25</v>
      </c>
      <c r="L35" s="13">
        <v>3</v>
      </c>
      <c r="M35" s="13">
        <v>1270</v>
      </c>
      <c r="N35" s="13">
        <v>3810</v>
      </c>
      <c r="O35" s="13">
        <v>0</v>
      </c>
      <c r="P35" s="13">
        <v>3810</v>
      </c>
      <c r="Q35" s="13">
        <v>3</v>
      </c>
      <c r="R35" s="13">
        <v>3810</v>
      </c>
      <c r="S35" s="15"/>
    </row>
    <row r="36" spans="1:19" x14ac:dyDescent="0.2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>
        <f>SUBTOTAL(109,Table7[Final Amount])</f>
        <v>228516</v>
      </c>
      <c r="S36" s="20"/>
    </row>
  </sheetData>
  <dataValidations count="2">
    <dataValidation type="list" allowBlank="1" sqref="E2:E35" xr:uid="{7D696861-B850-4320-98A0-76523813FA74}">
      <formula1>#REF!</formula1>
    </dataValidation>
    <dataValidation allowBlank="1" showDropDown="1" sqref="F2:F35" xr:uid="{1AE5C79D-224C-4F11-8CBC-C47FAB9DC57D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2026-07-20T04:22:32Z</dcterms:created>
  <dcterms:modified xsi:type="dcterms:W3CDTF">2026-07-22T11:45:05Z</dcterms:modified>
</cp:coreProperties>
</file>