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"/>
    </mc:Choice>
  </mc:AlternateContent>
  <xr:revisionPtr revIDLastSave="0" documentId="13_ncr:1_{7A45CDC7-D190-4EAE-9620-8A55DB21A46C}" xr6:coauthVersionLast="47" xr6:coauthVersionMax="47" xr10:uidLastSave="{00000000-0000-0000-0000-000000000000}"/>
  <bookViews>
    <workbookView xWindow="-120" yWindow="-120" windowWidth="29040" windowHeight="15720" xr2:uid="{15E07E94-E2D3-410E-8925-9C9054BFD5A4}"/>
  </bookViews>
  <sheets>
    <sheet name="Sheet2" sheetId="2" r:id="rId1"/>
    <sheet name="Sheet1" sheetId="1" r:id="rId2"/>
  </sheets>
  <calcPr calcId="191029"/>
  <pivotCaches>
    <pivotCache cacheId="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<sst xmlns="http://schemas.openxmlformats.org/spreadsheetml/2006/main" count="114" uniqueCount="56">
  <si>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</si>
  <si>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</si>
  <si>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</si>
  <si>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</si>
  <si>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</si>
  <si>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</si>
  <si>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</si>
  <si>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</si>
  <si>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</si>
  <si>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</si>
  <si>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</si>
  <si>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</si>
  <si>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</si>
  <si>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</si>
  <si>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</si>
  <si>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</si>
  <si>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</si>
  <si>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</si>
  <si>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</si>
  <si>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</si>
  <si>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</si>
  <si>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</si>
  <si>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</si>
  <si>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</si>
  <si>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</si>
  <si>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</si>
  <si>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Chuttu</t>
  </si>
  <si>
    <t>ADELHATU</t>
  </si>
  <si>
    <t>ORMANJHI</t>
  </si>
  <si>
    <t>12-18 June &amp; 19-25 June</t>
  </si>
  <si>
    <t>18-Jun-2026/25-6-2026</t>
  </si>
  <si>
    <t>Ningani</t>
  </si>
  <si>
    <t>SITHIO</t>
  </si>
  <si>
    <t>CHATTI BHANDRA</t>
  </si>
  <si>
    <t>LONGA</t>
  </si>
  <si>
    <t>PAHARKESA</t>
  </si>
  <si>
    <t>UPI</t>
  </si>
  <si>
    <t>Pali</t>
  </si>
  <si>
    <t>BOREYA</t>
  </si>
  <si>
    <t>Itki</t>
  </si>
  <si>
    <t>Hisri Thakurgaon</t>
  </si>
  <si>
    <t>AGRU</t>
  </si>
  <si>
    <t>Paali</t>
  </si>
  <si>
    <t>UCHARI</t>
  </si>
  <si>
    <t>26-02 July</t>
  </si>
  <si>
    <t>DHONTHA TOLI</t>
  </si>
  <si>
    <t xml:space="preserve">03-09 JULY </t>
  </si>
  <si>
    <t>DUMRI</t>
  </si>
  <si>
    <t xml:space="preserve">26-02 JULY &amp; 03-09 JULY </t>
  </si>
  <si>
    <t>2-Jul-2026/ 09-7-2026</t>
  </si>
  <si>
    <t>PAKARIYO</t>
  </si>
  <si>
    <t>26-02 JULY &amp; 03-09 July</t>
  </si>
  <si>
    <t>2-Jul-2026/09-07-2026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</si>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</sst>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535FC1"/>
      </patternFill>
    </fill>
    <fill>
      <patternFill patternType="solid">
        <fgColor theme="5" tint="0.79998168889431442"/>
        <bgColor rgb="FFF6F8F9"/>
      </patternFill>
    </fill>
    <fill>
      <patternFill patternType="solid">
        <fgColor theme="5" tint="0.79998168889431442"/>
        <bgColor rgb="FF35685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0" fillId="6" borderId="0" xfId="0" applyFill="1"/>
    <xf numFmtId="0" fontId="0" fillId="0" borderId="0" xfId="0" pivotButton="1"/>
    <xf numFmtId="0" fontId="6" fillId="7" borderId="2" xfId="0" applyFont="1" applyFill="1" applyBorder="1"/>
    <xf numFmtId="0" fontId="6" fillId="7" borderId="3" xfId="0" applyFont="1" applyFill="1" applyBorder="1"/>
    <xf numFmtId="0" fontId="0" fillId="0" borderId="0" xfId="0" applyNumberFormat="1"/>
    <xf numFmtId="0" fontId="6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3.441051388887" createdVersion="8" refreshedVersion="8" minRefreshableVersion="3" recordCount="12" xr:uid="{CEBA9AED-E9AD-46A0-8ABB-A49615A4043A}">
  <cacheSource type="worksheet">
    <worksheetSource ref="A1:S13" sheet="Sheet1"/>
  </cacheSource>
  <cacheFields count="19">
    <cacheField name="Sales Date" numFmtId="164">
      <sharedItems containsSemiMixedTypes="0" containsNonDate="0" containsDate="1" containsString="0" minDate="2026-03-06T00:00:00" maxDate="2026-07-01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10015" maxValue="20090015" count="12">
        <n v="20090003"/>
        <n v="20060008"/>
        <n v="20080018"/>
        <n v="20080039"/>
        <n v="20080010"/>
        <n v="20010015"/>
        <n v="20030001"/>
        <n v="20020025"/>
        <n v="20050003"/>
        <n v="20020011"/>
        <n v="20090004"/>
        <n v="20090015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0"/>
    </cacheField>
    <cacheField name="Qty" numFmtId="0">
      <sharedItems containsSemiMixedTypes="0" containsString="0" containsNumber="1" containsInteger="1" minValue="2" maxValue="13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2540" maxValue="1651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3-05T00:00:00" maxDate="2026-07-15T00:00:00"/>
    </cacheField>
    <cacheField name="Payment Amount" numFmtId="0">
      <sharedItems containsString="0" containsBlank="1" containsNumber="1" containsInteger="1" minValue="1270" maxValue="9956"/>
    </cacheField>
    <cacheField name="Balance Due" numFmtId="0">
      <sharedItems containsSemiMixedTypes="0" containsString="0" containsNumber="1" containsInteger="1" minValue="842" maxValue="1651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20" maxValue="1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3-06T00:00:00"/>
    <s v="Chanho"/>
    <s v="Gomukh Gold 50KG"/>
    <s v="Bag"/>
    <x v="0"/>
    <s v="Naudi"/>
    <s v="Chanho"/>
    <s v="Daya Society"/>
    <m/>
    <n v="10"/>
    <n v="1250"/>
    <n v="12500"/>
    <s v="Farmer Payment"/>
    <s v="27 Feb - 05 Mar &amp; 06-12 Mar 13-19 Mar 20-26 Mar, 27-31 Mar"/>
    <d v="2026-03-05T00:00:00"/>
    <n v="9956"/>
    <n v="2544"/>
    <m/>
    <n v="136"/>
  </r>
  <r>
    <d v="2026-06-13T00:00:00"/>
    <s v="Chuttu"/>
    <s v="Gomukh Gold 50KG"/>
    <s v="Bag"/>
    <x v="1"/>
    <s v="ADELHATU"/>
    <s v="ORMANJHI"/>
    <s v="Daya Society"/>
    <n v="0"/>
    <n v="10"/>
    <n v="1270"/>
    <n v="12700"/>
    <s v="Farmer Payment"/>
    <s v="12-18 June &amp; 19-25 June"/>
    <s v="18-Jun-2026/25-6-2026"/>
    <n v="2196"/>
    <n v="10504"/>
    <m/>
    <n v="37"/>
  </r>
  <r>
    <d v="2026-06-15T00:00:00"/>
    <s v="Ningani"/>
    <s v="Gomukh Gold 50KG"/>
    <s v="Bag"/>
    <x v="2"/>
    <s v="SITHIO"/>
    <s v="CHATTI BHANDRA"/>
    <s v="Daya Society"/>
    <n v="0"/>
    <n v="10"/>
    <n v="1270"/>
    <n v="12700"/>
    <m/>
    <m/>
    <m/>
    <m/>
    <n v="12700"/>
    <m/>
    <n v="35"/>
  </r>
  <r>
    <d v="2026-06-19T00:00:00"/>
    <s v="Ningani"/>
    <s v="Gomukh Gold 50KG"/>
    <s v="Bag"/>
    <x v="3"/>
    <s v="LONGA"/>
    <s v="CHATTI BHANDRA"/>
    <s v="Daya Society"/>
    <n v="0"/>
    <n v="10"/>
    <n v="1270"/>
    <n v="12700"/>
    <m/>
    <m/>
    <m/>
    <m/>
    <n v="12700"/>
    <m/>
    <n v="31"/>
  </r>
  <r>
    <d v="2026-06-19T00:00:00"/>
    <s v="Ningani"/>
    <s v="Gomukh Gold 50KG"/>
    <s v="Bag"/>
    <x v="4"/>
    <s v="PAHARKESA"/>
    <s v="CHATTI BHANDRA"/>
    <s v="Daya Society"/>
    <n v="0"/>
    <n v="10"/>
    <n v="1270"/>
    <n v="12700"/>
    <s v="UPI"/>
    <m/>
    <d v="2026-07-14T00:00:00"/>
    <n v="6350"/>
    <n v="6350"/>
    <m/>
    <n v="31"/>
  </r>
  <r>
    <d v="2026-06-25T00:00:00"/>
    <s v="Pali"/>
    <s v="Gomukh Gold 50KG"/>
    <s v="Bag"/>
    <x v="5"/>
    <s v="BOREYA"/>
    <s v="Itki"/>
    <s v="Daya Society"/>
    <n v="0"/>
    <n v="10"/>
    <n v="1270"/>
    <n v="12700"/>
    <m/>
    <m/>
    <m/>
    <m/>
    <n v="12700"/>
    <m/>
    <n v="25"/>
  </r>
  <r>
    <d v="2026-06-30T00:00:00"/>
    <s v="Pali"/>
    <s v="Gomukh Gold 50KG"/>
    <s v="Bag"/>
    <x v="6"/>
    <s v="Hisri Thakurgaon"/>
    <s v="Hisri Thakurgaon"/>
    <s v="Daya Society"/>
    <n v="0"/>
    <n v="10"/>
    <n v="1270"/>
    <n v="12700"/>
    <m/>
    <m/>
    <m/>
    <m/>
    <n v="12700"/>
    <m/>
    <n v="20"/>
  </r>
  <r>
    <d v="2026-06-30T00:00:00"/>
    <s v="Pali"/>
    <s v="Gomukh Gold 50KG"/>
    <s v="Bag"/>
    <x v="7"/>
    <s v="AGRU"/>
    <s v="Paali"/>
    <s v="Daya Society"/>
    <n v="0"/>
    <n v="13"/>
    <n v="1270"/>
    <n v="16510"/>
    <m/>
    <m/>
    <m/>
    <m/>
    <n v="16510"/>
    <m/>
    <n v="20"/>
  </r>
  <r>
    <d v="2026-06-30T00:00:00"/>
    <s v="Pali"/>
    <s v="Gomukh Gold 50KG"/>
    <s v="Bag"/>
    <x v="8"/>
    <s v="UCHARI"/>
    <s v="Paali"/>
    <s v="Daya Society"/>
    <n v="0"/>
    <n v="3"/>
    <n v="1270"/>
    <n v="3810"/>
    <s v="Farmer Payment"/>
    <s v="26-02 July"/>
    <d v="2026-07-02T00:00:00"/>
    <n v="1270"/>
    <n v="2540"/>
    <m/>
    <n v="20"/>
  </r>
  <r>
    <d v="2026-06-30T00:00:00"/>
    <s v="Pali"/>
    <s v="Gomukh Gold 50KG"/>
    <s v="Bag"/>
    <x v="9"/>
    <s v="DHONTHA TOLI"/>
    <s v="Paali"/>
    <s v="Daya Society"/>
    <n v="0"/>
    <n v="5"/>
    <n v="1270"/>
    <n v="6350"/>
    <s v="Farmer Payment"/>
    <s v="03-09 JULY "/>
    <d v="2026-07-09T00:00:00"/>
    <n v="3810"/>
    <n v="2540"/>
    <m/>
    <n v="20"/>
  </r>
  <r>
    <d v="2026-06-30T00:00:00"/>
    <s v="Chanho"/>
    <s v="Gomukh Gold 50KG"/>
    <s v="Bag"/>
    <x v="10"/>
    <s v="DUMRI"/>
    <s v="Chanho"/>
    <s v="Daya Society"/>
    <n v="0"/>
    <n v="3"/>
    <n v="1270"/>
    <n v="3810"/>
    <s v="Farmer Payment"/>
    <s v="26-02 JULY &amp; 03-09 JULY "/>
    <s v="2-Jul-2026/ 09-7-2026"/>
    <n v="2540"/>
    <n v="1270"/>
    <m/>
    <n v="20"/>
  </r>
  <r>
    <d v="2026-06-30T00:00:00"/>
    <s v="Chanho"/>
    <s v="Gomukh Gold 50KG"/>
    <s v="Bag"/>
    <x v="11"/>
    <s v="PAKARIYO"/>
    <s v="Chanho"/>
    <s v="Daya Society"/>
    <n v="0"/>
    <n v="2"/>
    <n v="1270"/>
    <n v="2540"/>
    <s v="Farmer Payment"/>
    <s v="26-02 JULY &amp; 03-09 July"/>
    <s v="2-Jul-2026/09-07-2026"/>
    <n v="1698"/>
    <n v="842"/>
    <m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16008-74AB-40B3-A0BE-0A5D22101EAD}" name="PivotTable6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7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5"/>
        <item x="9"/>
        <item x="7"/>
        <item x="6"/>
        <item x="8"/>
        <item x="1"/>
        <item x="4"/>
        <item x="2"/>
        <item x="3"/>
        <item x="0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57EC-B175-47EB-A34E-4DC3D68AB06F}">
  <dimension ref="A3:G17"/>
  <sheetViews>
    <sheetView tabSelected="1" workbookViewId="0">
      <selection activeCell="R21" sqref="R21"/>
    </sheetView>
  </sheetViews>
  <sheetFormatPr defaultRowHeight="15" x14ac:dyDescent="0.25"/>
  <cols>
    <col min="1" max="1" width="18.7109375" bestFit="1" customWidth="1"/>
    <col min="2" max="2" width="6" bestFit="1" customWidth="1"/>
  </cols>
  <sheetData>
    <row r="3" spans="1:7" x14ac:dyDescent="0.25">
      <c r="A3" s="10" t="s">
        <v>54</v>
      </c>
    </row>
    <row r="4" spans="1:7" x14ac:dyDescent="0.25">
      <c r="A4" s="10" t="s">
        <v>4</v>
      </c>
      <c r="B4" t="s">
        <v>55</v>
      </c>
      <c r="F4" s="11" t="s">
        <v>4</v>
      </c>
      <c r="G4" s="11" t="s">
        <v>55</v>
      </c>
    </row>
    <row r="5" spans="1:7" x14ac:dyDescent="0.25">
      <c r="A5">
        <v>20010015</v>
      </c>
      <c r="B5" s="13">
        <v>12700</v>
      </c>
      <c r="F5">
        <v>20010015</v>
      </c>
      <c r="G5" s="13">
        <v>12700</v>
      </c>
    </row>
    <row r="6" spans="1:7" x14ac:dyDescent="0.25">
      <c r="A6">
        <v>20020011</v>
      </c>
      <c r="B6" s="13">
        <v>2540</v>
      </c>
      <c r="F6">
        <v>20020011</v>
      </c>
      <c r="G6" s="13">
        <v>2540</v>
      </c>
    </row>
    <row r="7" spans="1:7" x14ac:dyDescent="0.25">
      <c r="A7">
        <v>20020025</v>
      </c>
      <c r="B7" s="13">
        <v>16510</v>
      </c>
      <c r="F7">
        <v>20020025</v>
      </c>
      <c r="G7" s="13">
        <v>16510</v>
      </c>
    </row>
    <row r="8" spans="1:7" x14ac:dyDescent="0.25">
      <c r="A8">
        <v>20030001</v>
      </c>
      <c r="B8" s="13">
        <v>12700</v>
      </c>
      <c r="F8">
        <v>20030001</v>
      </c>
      <c r="G8" s="13">
        <v>12700</v>
      </c>
    </row>
    <row r="9" spans="1:7" x14ac:dyDescent="0.25">
      <c r="A9">
        <v>20050003</v>
      </c>
      <c r="B9" s="13">
        <v>2540</v>
      </c>
      <c r="F9">
        <v>20050003</v>
      </c>
      <c r="G9" s="13">
        <v>2540</v>
      </c>
    </row>
    <row r="10" spans="1:7" x14ac:dyDescent="0.25">
      <c r="A10">
        <v>20060008</v>
      </c>
      <c r="B10" s="13">
        <v>10504</v>
      </c>
      <c r="F10">
        <v>20060008</v>
      </c>
      <c r="G10" s="13">
        <v>10504</v>
      </c>
    </row>
    <row r="11" spans="1:7" x14ac:dyDescent="0.25">
      <c r="A11">
        <v>20080010</v>
      </c>
      <c r="B11" s="13">
        <v>6350</v>
      </c>
      <c r="F11">
        <v>20080010</v>
      </c>
      <c r="G11" s="13">
        <v>6350</v>
      </c>
    </row>
    <row r="12" spans="1:7" x14ac:dyDescent="0.25">
      <c r="A12">
        <v>20080018</v>
      </c>
      <c r="B12" s="13">
        <v>12700</v>
      </c>
      <c r="F12">
        <v>20080018</v>
      </c>
      <c r="G12" s="13">
        <v>12700</v>
      </c>
    </row>
    <row r="13" spans="1:7" x14ac:dyDescent="0.25">
      <c r="A13">
        <v>20080039</v>
      </c>
      <c r="B13" s="13">
        <v>12700</v>
      </c>
      <c r="F13">
        <v>20080039</v>
      </c>
      <c r="G13" s="13">
        <v>12700</v>
      </c>
    </row>
    <row r="14" spans="1:7" x14ac:dyDescent="0.25">
      <c r="A14">
        <v>20090003</v>
      </c>
      <c r="B14" s="13">
        <v>2544</v>
      </c>
      <c r="F14">
        <v>20090003</v>
      </c>
      <c r="G14" s="13">
        <v>2544</v>
      </c>
    </row>
    <row r="15" spans="1:7" x14ac:dyDescent="0.25">
      <c r="A15">
        <v>20090004</v>
      </c>
      <c r="B15" s="13">
        <v>1270</v>
      </c>
      <c r="F15">
        <v>20090004</v>
      </c>
      <c r="G15" s="13">
        <v>1270</v>
      </c>
    </row>
    <row r="16" spans="1:7" x14ac:dyDescent="0.25">
      <c r="A16">
        <v>20090015</v>
      </c>
      <c r="B16" s="13">
        <v>842</v>
      </c>
      <c r="F16">
        <v>20090015</v>
      </c>
      <c r="G16" s="13">
        <v>842</v>
      </c>
    </row>
    <row r="17" spans="1:7" x14ac:dyDescent="0.25">
      <c r="A17" t="s">
        <v>53</v>
      </c>
      <c r="B17" s="13">
        <v>93900</v>
      </c>
      <c r="F17" s="12" t="s">
        <v>53</v>
      </c>
      <c r="G17" s="14">
        <v>93900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6301-2EF7-4399-99A9-3E92F8969155}">
  <dimension ref="A1:S13"/>
  <sheetViews>
    <sheetView workbookViewId="0">
      <selection sqref="A1:S13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7.28515625" bestFit="1" customWidth="1"/>
    <col min="7" max="7" width="16.7109375" bestFit="1" customWidth="1"/>
    <col min="8" max="8" width="12" bestFit="1" customWidth="1"/>
    <col min="13" max="15" width="0" hidden="1" customWidth="1"/>
  </cols>
  <sheetData>
    <row r="1" spans="1:19" s="9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</row>
    <row r="2" spans="1:19" x14ac:dyDescent="0.25">
      <c r="A2" s="2">
        <v>46087</v>
      </c>
      <c r="B2" s="1" t="s">
        <v>19</v>
      </c>
      <c r="C2" s="1" t="s">
        <v>20</v>
      </c>
      <c r="D2" s="1" t="s">
        <v>21</v>
      </c>
      <c r="E2" s="1">
        <v>20090003</v>
      </c>
      <c r="F2" s="1" t="s">
        <v>22</v>
      </c>
      <c r="G2" s="1" t="s">
        <v>19</v>
      </c>
      <c r="H2" s="1" t="s">
        <v>23</v>
      </c>
      <c r="I2" s="1"/>
      <c r="J2" s="1">
        <v>10</v>
      </c>
      <c r="K2" s="3">
        <v>1250</v>
      </c>
      <c r="L2" s="1">
        <v>12500</v>
      </c>
      <c r="M2" s="1" t="s">
        <v>24</v>
      </c>
      <c r="N2" s="1" t="s">
        <v>25</v>
      </c>
      <c r="O2" s="2">
        <v>46086</v>
      </c>
      <c r="P2" s="1">
        <v>9956</v>
      </c>
      <c r="Q2" s="1">
        <v>2544</v>
      </c>
      <c r="R2" s="1"/>
      <c r="S2" s="1">
        <v>136</v>
      </c>
    </row>
    <row r="3" spans="1:19" x14ac:dyDescent="0.25">
      <c r="A3" s="2">
        <v>46186</v>
      </c>
      <c r="B3" s="1" t="s">
        <v>26</v>
      </c>
      <c r="C3" s="1" t="s">
        <v>20</v>
      </c>
      <c r="D3" s="1" t="s">
        <v>21</v>
      </c>
      <c r="E3" s="1">
        <v>20060008</v>
      </c>
      <c r="F3" s="1" t="s">
        <v>27</v>
      </c>
      <c r="G3" s="1" t="s">
        <v>28</v>
      </c>
      <c r="H3" s="1" t="s">
        <v>23</v>
      </c>
      <c r="I3" s="1">
        <v>0</v>
      </c>
      <c r="J3" s="1">
        <v>10</v>
      </c>
      <c r="K3" s="3">
        <v>1270</v>
      </c>
      <c r="L3" s="1">
        <v>12700</v>
      </c>
      <c r="M3" s="1" t="s">
        <v>24</v>
      </c>
      <c r="N3" s="4" t="s">
        <v>29</v>
      </c>
      <c r="O3" s="1" t="s">
        <v>30</v>
      </c>
      <c r="P3" s="1">
        <v>2196</v>
      </c>
      <c r="Q3" s="1">
        <v>10504</v>
      </c>
      <c r="R3" s="1"/>
      <c r="S3" s="1">
        <v>37</v>
      </c>
    </row>
    <row r="4" spans="1:19" x14ac:dyDescent="0.25">
      <c r="A4" s="2">
        <v>46188</v>
      </c>
      <c r="B4" s="1" t="s">
        <v>31</v>
      </c>
      <c r="C4" s="1" t="s">
        <v>20</v>
      </c>
      <c r="D4" s="1" t="s">
        <v>21</v>
      </c>
      <c r="E4" s="1">
        <v>20080018</v>
      </c>
      <c r="F4" s="1" t="s">
        <v>32</v>
      </c>
      <c r="G4" s="1" t="s">
        <v>33</v>
      </c>
      <c r="H4" s="1" t="s">
        <v>23</v>
      </c>
      <c r="I4" s="1">
        <v>0</v>
      </c>
      <c r="J4" s="1">
        <v>10</v>
      </c>
      <c r="K4" s="3">
        <v>1270</v>
      </c>
      <c r="L4" s="1">
        <v>12700</v>
      </c>
      <c r="M4" s="1"/>
      <c r="N4" s="4"/>
      <c r="O4" s="2"/>
      <c r="P4" s="1"/>
      <c r="Q4" s="1">
        <v>12700</v>
      </c>
      <c r="R4" s="1"/>
      <c r="S4" s="1">
        <v>35</v>
      </c>
    </row>
    <row r="5" spans="1:19" x14ac:dyDescent="0.25">
      <c r="A5" s="2">
        <v>46192</v>
      </c>
      <c r="B5" s="1" t="s">
        <v>31</v>
      </c>
      <c r="C5" s="1" t="s">
        <v>20</v>
      </c>
      <c r="D5" s="1" t="s">
        <v>21</v>
      </c>
      <c r="E5" s="1">
        <v>20080039</v>
      </c>
      <c r="F5" s="1" t="s">
        <v>34</v>
      </c>
      <c r="G5" s="1" t="s">
        <v>33</v>
      </c>
      <c r="H5" s="1" t="s">
        <v>23</v>
      </c>
      <c r="I5" s="1">
        <v>0</v>
      </c>
      <c r="J5" s="1">
        <v>10</v>
      </c>
      <c r="K5" s="3">
        <v>1270</v>
      </c>
      <c r="L5" s="1">
        <v>12700</v>
      </c>
      <c r="M5" s="1"/>
      <c r="N5" s="4"/>
      <c r="O5" s="2"/>
      <c r="P5" s="1"/>
      <c r="Q5" s="1">
        <v>12700</v>
      </c>
      <c r="R5" s="1"/>
      <c r="S5" s="1">
        <v>31</v>
      </c>
    </row>
    <row r="6" spans="1:19" x14ac:dyDescent="0.25">
      <c r="A6" s="2">
        <v>46192</v>
      </c>
      <c r="B6" s="1" t="s">
        <v>31</v>
      </c>
      <c r="C6" s="1" t="s">
        <v>20</v>
      </c>
      <c r="D6" s="1" t="s">
        <v>21</v>
      </c>
      <c r="E6" s="1">
        <v>20080010</v>
      </c>
      <c r="F6" s="1" t="s">
        <v>35</v>
      </c>
      <c r="G6" s="1" t="s">
        <v>33</v>
      </c>
      <c r="H6" s="1" t="s">
        <v>23</v>
      </c>
      <c r="I6" s="1">
        <v>0</v>
      </c>
      <c r="J6" s="1">
        <v>10</v>
      </c>
      <c r="K6" s="3">
        <v>1270</v>
      </c>
      <c r="L6" s="1">
        <v>12700</v>
      </c>
      <c r="M6" s="1" t="s">
        <v>36</v>
      </c>
      <c r="N6" s="4"/>
      <c r="O6" s="2">
        <v>46217</v>
      </c>
      <c r="P6" s="1">
        <v>6350</v>
      </c>
      <c r="Q6" s="1">
        <v>6350</v>
      </c>
      <c r="R6" s="1"/>
      <c r="S6" s="1">
        <v>31</v>
      </c>
    </row>
    <row r="7" spans="1:19" x14ac:dyDescent="0.25">
      <c r="A7" s="2">
        <v>46198</v>
      </c>
      <c r="B7" s="1" t="s">
        <v>37</v>
      </c>
      <c r="C7" s="1" t="s">
        <v>20</v>
      </c>
      <c r="D7" s="1" t="s">
        <v>21</v>
      </c>
      <c r="E7" s="1">
        <v>20010015</v>
      </c>
      <c r="F7" s="1" t="s">
        <v>38</v>
      </c>
      <c r="G7" s="1" t="s">
        <v>39</v>
      </c>
      <c r="H7" s="1" t="s">
        <v>23</v>
      </c>
      <c r="I7" s="1">
        <v>0</v>
      </c>
      <c r="J7" s="1">
        <v>10</v>
      </c>
      <c r="K7" s="3">
        <v>1270</v>
      </c>
      <c r="L7" s="1">
        <v>12700</v>
      </c>
      <c r="M7" s="1"/>
      <c r="N7" s="4"/>
      <c r="O7" s="2"/>
      <c r="P7" s="1"/>
      <c r="Q7" s="1">
        <v>12700</v>
      </c>
      <c r="R7" s="1"/>
      <c r="S7" s="1">
        <v>25</v>
      </c>
    </row>
    <row r="8" spans="1:19" x14ac:dyDescent="0.25">
      <c r="A8" s="2">
        <v>46203</v>
      </c>
      <c r="B8" s="1" t="s">
        <v>37</v>
      </c>
      <c r="C8" s="1" t="s">
        <v>20</v>
      </c>
      <c r="D8" s="1" t="s">
        <v>21</v>
      </c>
      <c r="E8" s="1">
        <v>20030001</v>
      </c>
      <c r="F8" s="1" t="s">
        <v>40</v>
      </c>
      <c r="G8" s="1" t="s">
        <v>40</v>
      </c>
      <c r="H8" s="1" t="s">
        <v>23</v>
      </c>
      <c r="I8" s="1">
        <v>0</v>
      </c>
      <c r="J8" s="1">
        <v>10</v>
      </c>
      <c r="K8" s="3">
        <v>1270</v>
      </c>
      <c r="L8" s="1">
        <v>12700</v>
      </c>
      <c r="M8" s="1"/>
      <c r="N8" s="4"/>
      <c r="O8" s="2"/>
      <c r="P8" s="1"/>
      <c r="Q8" s="1">
        <v>12700</v>
      </c>
      <c r="R8" s="1"/>
      <c r="S8" s="1">
        <v>20</v>
      </c>
    </row>
    <row r="9" spans="1:19" x14ac:dyDescent="0.25">
      <c r="A9" s="2">
        <v>46203</v>
      </c>
      <c r="B9" s="1" t="s">
        <v>37</v>
      </c>
      <c r="C9" s="1" t="s">
        <v>20</v>
      </c>
      <c r="D9" s="1" t="s">
        <v>21</v>
      </c>
      <c r="E9" s="1">
        <v>20020025</v>
      </c>
      <c r="F9" s="1" t="s">
        <v>41</v>
      </c>
      <c r="G9" s="1" t="s">
        <v>42</v>
      </c>
      <c r="H9" s="1" t="s">
        <v>23</v>
      </c>
      <c r="I9" s="1">
        <v>0</v>
      </c>
      <c r="J9" s="1">
        <v>13</v>
      </c>
      <c r="K9" s="3">
        <v>1270</v>
      </c>
      <c r="L9" s="1">
        <v>16510</v>
      </c>
      <c r="M9" s="1"/>
      <c r="N9" s="4"/>
      <c r="O9" s="2"/>
      <c r="P9" s="1"/>
      <c r="Q9" s="1">
        <v>16510</v>
      </c>
      <c r="R9" s="1"/>
      <c r="S9" s="1">
        <v>20</v>
      </c>
    </row>
    <row r="10" spans="1:19" x14ac:dyDescent="0.25">
      <c r="A10" s="2">
        <v>46203</v>
      </c>
      <c r="B10" s="1" t="s">
        <v>37</v>
      </c>
      <c r="C10" s="1" t="s">
        <v>20</v>
      </c>
      <c r="D10" s="1" t="s">
        <v>21</v>
      </c>
      <c r="E10" s="1">
        <v>20050003</v>
      </c>
      <c r="F10" s="1" t="s">
        <v>43</v>
      </c>
      <c r="G10" s="1" t="s">
        <v>42</v>
      </c>
      <c r="H10" s="1" t="s">
        <v>23</v>
      </c>
      <c r="I10" s="1">
        <v>0</v>
      </c>
      <c r="J10" s="1">
        <v>3</v>
      </c>
      <c r="K10" s="3">
        <v>1270</v>
      </c>
      <c r="L10" s="1">
        <v>3810</v>
      </c>
      <c r="M10" s="1" t="s">
        <v>24</v>
      </c>
      <c r="N10" s="4" t="s">
        <v>44</v>
      </c>
      <c r="O10" s="2">
        <v>46205</v>
      </c>
      <c r="P10" s="1">
        <v>1270</v>
      </c>
      <c r="Q10" s="1">
        <v>2540</v>
      </c>
      <c r="R10" s="1"/>
      <c r="S10" s="1">
        <v>20</v>
      </c>
    </row>
    <row r="11" spans="1:19" x14ac:dyDescent="0.25">
      <c r="A11" s="2">
        <v>46203</v>
      </c>
      <c r="B11" s="1" t="s">
        <v>37</v>
      </c>
      <c r="C11" s="1" t="s">
        <v>20</v>
      </c>
      <c r="D11" s="1" t="s">
        <v>21</v>
      </c>
      <c r="E11" s="1">
        <v>20020011</v>
      </c>
      <c r="F11" s="1" t="s">
        <v>45</v>
      </c>
      <c r="G11" s="1" t="s">
        <v>42</v>
      </c>
      <c r="H11" s="1" t="s">
        <v>23</v>
      </c>
      <c r="I11" s="1">
        <v>0</v>
      </c>
      <c r="J11" s="1">
        <v>5</v>
      </c>
      <c r="K11" s="3">
        <v>1270</v>
      </c>
      <c r="L11" s="1">
        <v>6350</v>
      </c>
      <c r="M11" s="1" t="s">
        <v>24</v>
      </c>
      <c r="N11" s="4" t="s">
        <v>46</v>
      </c>
      <c r="O11" s="2">
        <v>46212</v>
      </c>
      <c r="P11" s="1">
        <v>3810</v>
      </c>
      <c r="Q11" s="1">
        <v>2540</v>
      </c>
      <c r="R11" s="1"/>
      <c r="S11" s="1">
        <v>20</v>
      </c>
    </row>
    <row r="12" spans="1:19" x14ac:dyDescent="0.25">
      <c r="A12" s="2">
        <v>46203</v>
      </c>
      <c r="B12" s="1" t="s">
        <v>19</v>
      </c>
      <c r="C12" s="1" t="s">
        <v>20</v>
      </c>
      <c r="D12" s="1" t="s">
        <v>21</v>
      </c>
      <c r="E12" s="1">
        <v>20090004</v>
      </c>
      <c r="F12" s="1" t="s">
        <v>47</v>
      </c>
      <c r="G12" s="1" t="s">
        <v>19</v>
      </c>
      <c r="H12" s="1" t="s">
        <v>23</v>
      </c>
      <c r="I12" s="1">
        <v>0</v>
      </c>
      <c r="J12" s="1">
        <v>3</v>
      </c>
      <c r="K12" s="3">
        <v>1270</v>
      </c>
      <c r="L12" s="1">
        <v>3810</v>
      </c>
      <c r="M12" s="1" t="s">
        <v>24</v>
      </c>
      <c r="N12" s="4" t="s">
        <v>48</v>
      </c>
      <c r="O12" s="1" t="s">
        <v>49</v>
      </c>
      <c r="P12" s="1">
        <v>2540</v>
      </c>
      <c r="Q12" s="1">
        <v>1270</v>
      </c>
      <c r="R12" s="1"/>
      <c r="S12" s="1">
        <v>20</v>
      </c>
    </row>
    <row r="13" spans="1:19" x14ac:dyDescent="0.25">
      <c r="A13" s="2">
        <v>46203</v>
      </c>
      <c r="B13" s="1" t="s">
        <v>19</v>
      </c>
      <c r="C13" s="1" t="s">
        <v>20</v>
      </c>
      <c r="D13" s="1" t="s">
        <v>21</v>
      </c>
      <c r="E13" s="1">
        <v>20090015</v>
      </c>
      <c r="F13" s="1" t="s">
        <v>50</v>
      </c>
      <c r="G13" s="1" t="s">
        <v>19</v>
      </c>
      <c r="H13" s="1" t="s">
        <v>23</v>
      </c>
      <c r="I13" s="1">
        <v>0</v>
      </c>
      <c r="J13" s="1">
        <v>2</v>
      </c>
      <c r="K13" s="3">
        <v>1270</v>
      </c>
      <c r="L13" s="1">
        <v>2540</v>
      </c>
      <c r="M13" s="1" t="s">
        <v>24</v>
      </c>
      <c r="N13" s="4" t="s">
        <v>51</v>
      </c>
      <c r="O13" s="1" t="s">
        <v>52</v>
      </c>
      <c r="P13" s="1">
        <v>1698</v>
      </c>
      <c r="Q13" s="1">
        <v>842</v>
      </c>
      <c r="R13" s="1"/>
      <c r="S13" s="1">
        <v>20</v>
      </c>
    </row>
  </sheetData>
  <dataValidations count="2">
    <dataValidation type="list" allowBlank="1" sqref="C2:C13 M2:M13" xr:uid="{4BDD209B-A310-4550-ADB8-9F956A7BB6C6}">
      <formula1>#REF!</formula1>
    </dataValidation>
    <dataValidation type="custom" allowBlank="1" showDropDown="1" sqref="A2:A13 O2:O13" xr:uid="{50375100-025B-48A2-B032-B088EC8814D8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2026-07-20T04:54:20Z</dcterms:created>
  <dcterms:modified xsi:type="dcterms:W3CDTF">2026-07-20T05:07:33Z</dcterms:modified>
</cp:coreProperties>
</file>