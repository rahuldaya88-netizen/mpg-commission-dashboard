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0-16 Apr'26\Collection Data\"/>
    </mc:Choice>
  </mc:AlternateContent>
  <xr:revisionPtr revIDLastSave="0" documentId="13_ncr:1_{7D8A5707-E41A-43F6-A1FB-2A345CD19AEC}" xr6:coauthVersionLast="47" xr6:coauthVersionMax="47" xr10:uidLastSave="{00000000-0000-0000-0000-000000000000}"/>
  <bookViews>
    <workbookView xWindow="-120" yWindow="-120" windowWidth="29040" windowHeight="15720" xr2:uid="{91735002-6466-4EEC-9CDD-D165A20C4A8B}"/>
  </bookViews>
  <sheets>
    <sheet name="Sheet1" sheetId="2" r:id="rId1"/>
    <sheet name="CF indent 10-16th Apr-26" sheetId="1" r:id="rId2"/>
  </sheets>
  <externalReferences>
    <externalReference r:id="rId3"/>
  </externalReferences>
  <definedNames>
    <definedName name="_xlnm._FilterDatabase" localSheetId="1" hidden="1">'CF indent 10-16th Apr-26'!$A$3:$O$7</definedName>
    <definedName name="_xlnm._FilterDatabase" localSheetId="0" hidden="1">Sheet1!$H$3:$L$3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2" l="1"/>
  <c r="U7" i="2"/>
  <c r="S5" i="2"/>
  <c r="U5" i="2"/>
  <c r="M48" i="2"/>
  <c r="P4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J1" i="1"/>
  <c r="D38" i="1"/>
  <c r="L38" i="1"/>
  <c r="M38" i="1"/>
  <c r="N38" i="1" s="1"/>
  <c r="P38" i="1" s="1"/>
  <c r="D39" i="1"/>
  <c r="L39" i="1"/>
  <c r="M39" i="1"/>
  <c r="N39" i="1" s="1"/>
  <c r="P39" i="1" s="1"/>
  <c r="D40" i="1"/>
  <c r="L40" i="1"/>
  <c r="M40" i="1"/>
  <c r="N40" i="1"/>
  <c r="P40" i="1" s="1"/>
  <c r="D41" i="1"/>
  <c r="L41" i="1"/>
  <c r="M41" i="1"/>
  <c r="N41" i="1"/>
  <c r="P41" i="1" s="1"/>
  <c r="D42" i="1"/>
  <c r="L42" i="1"/>
  <c r="M42" i="1"/>
  <c r="N42" i="1" s="1"/>
  <c r="P42" i="1" s="1"/>
  <c r="D43" i="1"/>
  <c r="M43" i="1"/>
  <c r="P43" i="1"/>
  <c r="D44" i="1"/>
  <c r="M44" i="1"/>
  <c r="P44" i="1"/>
  <c r="D45" i="1"/>
  <c r="M45" i="1"/>
  <c r="P45" i="1" s="1"/>
  <c r="D46" i="1"/>
  <c r="M46" i="1"/>
  <c r="P46" i="1" s="1"/>
  <c r="D47" i="1"/>
  <c r="M47" i="1"/>
  <c r="P47" i="1"/>
  <c r="D48" i="1"/>
  <c r="L48" i="1"/>
  <c r="M48" i="1"/>
  <c r="N48" i="1" s="1"/>
  <c r="P48" i="1" s="1"/>
  <c r="D49" i="1"/>
  <c r="L49" i="1"/>
  <c r="M49" i="1"/>
  <c r="N49" i="1" s="1"/>
  <c r="P49" i="1" s="1"/>
  <c r="D50" i="1"/>
  <c r="L50" i="1"/>
  <c r="M50" i="1"/>
  <c r="N50" i="1" s="1"/>
  <c r="P50" i="1" s="1"/>
  <c r="D30" i="1"/>
  <c r="L30" i="1"/>
  <c r="M30" i="1"/>
  <c r="N30" i="1" s="1"/>
  <c r="P30" i="1" s="1"/>
  <c r="D31" i="1"/>
  <c r="L31" i="1"/>
  <c r="M31" i="1"/>
  <c r="N31" i="1" s="1"/>
  <c r="P31" i="1" s="1"/>
  <c r="D32" i="1"/>
  <c r="L32" i="1"/>
  <c r="M32" i="1"/>
  <c r="N32" i="1"/>
  <c r="P32" i="1"/>
  <c r="D33" i="1"/>
  <c r="L33" i="1"/>
  <c r="M33" i="1"/>
  <c r="N33" i="1"/>
  <c r="P33" i="1" s="1"/>
  <c r="D34" i="1"/>
  <c r="L34" i="1"/>
  <c r="M34" i="1"/>
  <c r="N34" i="1"/>
  <c r="P34" i="1" s="1"/>
  <c r="D35" i="1"/>
  <c r="L35" i="1"/>
  <c r="M35" i="1"/>
  <c r="N35" i="1" s="1"/>
  <c r="P35" i="1" s="1"/>
  <c r="D36" i="1"/>
  <c r="L36" i="1"/>
  <c r="M36" i="1"/>
  <c r="N36" i="1"/>
  <c r="P36" i="1"/>
  <c r="D37" i="1"/>
  <c r="L37" i="1"/>
  <c r="M37" i="1"/>
  <c r="N37" i="1"/>
  <c r="P37" i="1" s="1"/>
  <c r="N23" i="1" l="1"/>
  <c r="P23" i="1" s="1"/>
  <c r="N25" i="1"/>
  <c r="L5" i="1"/>
  <c r="L6" i="1"/>
  <c r="L7" i="1"/>
  <c r="L8" i="1"/>
  <c r="L9" i="1"/>
  <c r="L10" i="1"/>
  <c r="L11" i="1"/>
  <c r="L14" i="1"/>
  <c r="L15" i="1"/>
  <c r="L18" i="1"/>
  <c r="L19" i="1"/>
  <c r="L20" i="1"/>
  <c r="L21" i="1"/>
  <c r="L23" i="1"/>
  <c r="L24" i="1"/>
  <c r="L25" i="1"/>
  <c r="L29" i="1"/>
  <c r="M20" i="1"/>
  <c r="N20" i="1" s="1"/>
  <c r="P20" i="1" s="1"/>
  <c r="M21" i="1"/>
  <c r="M22" i="1"/>
  <c r="M23" i="1"/>
  <c r="M24" i="1"/>
  <c r="N24" i="1" s="1"/>
  <c r="M25" i="1"/>
  <c r="M26" i="1"/>
  <c r="M27" i="1"/>
  <c r="M28" i="1"/>
  <c r="P28" i="1" s="1"/>
  <c r="M29" i="1"/>
  <c r="D20" i="1"/>
  <c r="D21" i="1"/>
  <c r="D22" i="1"/>
  <c r="D23" i="1"/>
  <c r="D24" i="1"/>
  <c r="D25" i="1"/>
  <c r="D26" i="1"/>
  <c r="D27" i="1"/>
  <c r="D28" i="1"/>
  <c r="D29" i="1"/>
  <c r="L1" i="1" l="1"/>
  <c r="N29" i="1"/>
  <c r="P29" i="1" s="1"/>
  <c r="P26" i="1"/>
  <c r="P25" i="1"/>
  <c r="P22" i="1"/>
  <c r="N21" i="1"/>
  <c r="P21" i="1" s="1"/>
  <c r="P24" i="1"/>
  <c r="P27" i="1"/>
  <c r="M11" i="1"/>
  <c r="N11" i="1" s="1"/>
  <c r="M12" i="1"/>
  <c r="M13" i="1"/>
  <c r="M14" i="1"/>
  <c r="M15" i="1"/>
  <c r="N15" i="1" s="1"/>
  <c r="P15" i="1" s="1"/>
  <c r="M16" i="1"/>
  <c r="M17" i="1"/>
  <c r="M18" i="1"/>
  <c r="M19" i="1"/>
  <c r="N19" i="1" s="1"/>
  <c r="P19" i="1" s="1"/>
  <c r="M10" i="1"/>
  <c r="N10" i="1" s="1"/>
  <c r="D14" i="1"/>
  <c r="D15" i="1"/>
  <c r="D16" i="1"/>
  <c r="P16" i="1"/>
  <c r="D17" i="1"/>
  <c r="D18" i="1"/>
  <c r="D19" i="1"/>
  <c r="M9" i="1"/>
  <c r="M8" i="1"/>
  <c r="N8" i="1" s="1"/>
  <c r="P8" i="1" s="1"/>
  <c r="P11" i="1"/>
  <c r="P10" i="1"/>
  <c r="D8" i="1"/>
  <c r="D9" i="1"/>
  <c r="D10" i="1"/>
  <c r="D11" i="1"/>
  <c r="D12" i="1"/>
  <c r="D13" i="1"/>
  <c r="N18" i="1" l="1"/>
  <c r="P18" i="1" s="1"/>
  <c r="P17" i="1"/>
  <c r="N14" i="1"/>
  <c r="P14" i="1" s="1"/>
  <c r="P13" i="1"/>
  <c r="P12" i="1"/>
  <c r="N9" i="1"/>
  <c r="P9" i="1" s="1"/>
  <c r="M5" i="1" l="1"/>
  <c r="N5" i="1" s="1"/>
  <c r="M6" i="1"/>
  <c r="N6" i="1" s="1"/>
  <c r="M7" i="1"/>
  <c r="N7" i="1" s="1"/>
  <c r="M4" i="1"/>
  <c r="D5" i="1" l="1"/>
  <c r="D6" i="1"/>
  <c r="D7" i="1"/>
  <c r="P7" i="1" l="1"/>
  <c r="P6" i="1"/>
  <c r="P5" i="1"/>
  <c r="D4" i="1"/>
  <c r="P4" i="1" l="1"/>
  <c r="T4" i="2" l="1"/>
</calcChain>
</file>

<file path=xl/sharedStrings.xml><?xml version="1.0" encoding="utf-8"?>
<sst xmlns="http://schemas.openxmlformats.org/spreadsheetml/2006/main" count="452" uniqueCount="75">
  <si>
    <t>Proposed</t>
  </si>
  <si>
    <t xml:space="preserve">
Order Date </t>
  </si>
  <si>
    <t>Deduction Cycle</t>
  </si>
  <si>
    <t xml:space="preserve">
Item Name </t>
  </si>
  <si>
    <t>ID</t>
  </si>
  <si>
    <t xml:space="preserve">
MPG Code  </t>
  </si>
  <si>
    <t xml:space="preserve">
MPG Name </t>
  </si>
  <si>
    <t xml:space="preserve">
Farmer code  </t>
  </si>
  <si>
    <t xml:space="preserve">
BMC Name  </t>
  </si>
  <si>
    <t xml:space="preserve">
CSP  </t>
  </si>
  <si>
    <t xml:space="preserve">
Qty  </t>
  </si>
  <si>
    <t xml:space="preserve">
Rate </t>
  </si>
  <si>
    <t>Total Amount</t>
  </si>
  <si>
    <t>Final Qty</t>
  </si>
  <si>
    <t>Final Amount</t>
  </si>
  <si>
    <t>Milk Amonnt</t>
  </si>
  <si>
    <t>Gomukh Gold 50KG</t>
  </si>
  <si>
    <t>Daya Society</t>
  </si>
  <si>
    <t>Deduction</t>
  </si>
  <si>
    <t>R</t>
  </si>
  <si>
    <t>Etachildri</t>
  </si>
  <si>
    <t>Bero</t>
  </si>
  <si>
    <t>0025</t>
  </si>
  <si>
    <t>0005</t>
  </si>
  <si>
    <t>0002</t>
  </si>
  <si>
    <t>Dumardagga</t>
  </si>
  <si>
    <t>0007</t>
  </si>
  <si>
    <t>Pali</t>
  </si>
  <si>
    <t>Tikotoli</t>
  </si>
  <si>
    <t>0033</t>
  </si>
  <si>
    <t>0042</t>
  </si>
  <si>
    <t>0039</t>
  </si>
  <si>
    <t>0023</t>
  </si>
  <si>
    <t>0038</t>
  </si>
  <si>
    <t>0041</t>
  </si>
  <si>
    <t>Piragutu</t>
  </si>
  <si>
    <t>Tutlo</t>
  </si>
  <si>
    <t>0003</t>
  </si>
  <si>
    <t>0026</t>
  </si>
  <si>
    <t>Chanho</t>
  </si>
  <si>
    <t>Pakariyo2</t>
  </si>
  <si>
    <t>Barhe</t>
  </si>
  <si>
    <t>Nawatand</t>
  </si>
  <si>
    <t>10-04-2026- 16-04-2026</t>
  </si>
  <si>
    <t>Ormanjhi</t>
  </si>
  <si>
    <t>0018</t>
  </si>
  <si>
    <t>0015</t>
  </si>
  <si>
    <t>0024</t>
  </si>
  <si>
    <t>Erchoro</t>
  </si>
  <si>
    <t>0035</t>
  </si>
  <si>
    <t>Kuralu</t>
  </si>
  <si>
    <t>Karamba</t>
  </si>
  <si>
    <t>0160</t>
  </si>
  <si>
    <t>Murpa</t>
  </si>
  <si>
    <t>Jari</t>
  </si>
  <si>
    <t>0055</t>
  </si>
  <si>
    <t>0013</t>
  </si>
  <si>
    <t>0043</t>
  </si>
  <si>
    <t>Agru</t>
  </si>
  <si>
    <t>Baski2</t>
  </si>
  <si>
    <t>0049</t>
  </si>
  <si>
    <t>Uchri</t>
  </si>
  <si>
    <t>Pakariyo1</t>
  </si>
  <si>
    <t>Kokar</t>
  </si>
  <si>
    <t>0014</t>
  </si>
  <si>
    <t>0017</t>
  </si>
  <si>
    <t>0020</t>
  </si>
  <si>
    <t>0022</t>
  </si>
  <si>
    <t>0036</t>
  </si>
  <si>
    <t>Grand Total</t>
  </si>
  <si>
    <t>Sum of Final Amount</t>
  </si>
  <si>
    <t>Total</t>
  </si>
  <si>
    <t>Type</t>
  </si>
  <si>
    <t>Direct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</si>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</sst>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7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0" borderId="1" xfId="0" applyFont="1" applyBorder="1"/>
    <xf numFmtId="0" fontId="3" fillId="0" borderId="0" xfId="0" applyFont="1"/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 pivotButton="1"/>
    <xf numFmtId="0" fontId="8" fillId="5" borderId="6" xfId="0" applyFont="1" applyFill="1" applyBorder="1"/>
    <xf numFmtId="0" fontId="8" fillId="5" borderId="7" xfId="0" applyFont="1" applyFill="1" applyBorder="1"/>
    <xf numFmtId="0" fontId="8" fillId="0" borderId="6" xfId="0" applyFont="1" applyBorder="1"/>
    <xf numFmtId="0" fontId="8" fillId="0" borderId="0" xfId="0" applyFont="1"/>
    <xf numFmtId="0" fontId="8" fillId="5" borderId="0" xfId="0" applyFont="1" applyFill="1"/>
    <xf numFmtId="0" fontId="8" fillId="5" borderId="9" xfId="0" applyFont="1" applyFill="1" applyBorder="1"/>
    <xf numFmtId="0" fontId="0" fillId="0" borderId="8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.%20JH%20Farmer%20Payment-10-16%20Apr.xlsx" TargetMode="External"/><Relationship Id="rId2" Type="http://schemas.openxmlformats.org/officeDocument/2006/relationships/externalLinkPath" Target="file:///C:\Users\rahul\Desktop\Rahul%20Backup\Farmer%20Payment\FYI-26-27\Jharkhand\JHFRAMERPAYMENT%20%2010-16%20Apr'26\03.%20JH%20Farmer%20Payment-10-16%20Apr.xlsx" TargetMode="External"/><Relationship Id="rId1" Type="http://schemas.openxmlformats.org/officeDocument/2006/relationships/externalLinkPath" Target="/Users/rahul/Desktop/Rahul%20Backup/Farmer%20Payment/FYI-26-27/Jharkhand/JHFRAMERPAYMENT%20%2010-16%20Apr'26/03.%20JH%20Farmer%20Payment-10-16%20Ap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20010003</v>
          </cell>
          <cell r="C5" t="str">
            <v>Bero</v>
          </cell>
          <cell r="D5" t="str">
            <v>MPG</v>
          </cell>
          <cell r="E5" t="str">
            <v>Direct</v>
          </cell>
        </row>
        <row r="6">
          <cell r="B6">
            <v>20010005</v>
          </cell>
          <cell r="C6" t="str">
            <v>Basila</v>
          </cell>
          <cell r="D6" t="str">
            <v>MPG</v>
          </cell>
          <cell r="E6" t="str">
            <v>Direct</v>
          </cell>
        </row>
        <row r="7">
          <cell r="B7">
            <v>20010008</v>
          </cell>
          <cell r="C7" t="str">
            <v>Erchoro</v>
          </cell>
          <cell r="D7" t="str">
            <v>MPG</v>
          </cell>
          <cell r="E7" t="str">
            <v>Direct</v>
          </cell>
        </row>
        <row r="8">
          <cell r="B8">
            <v>20010009</v>
          </cell>
          <cell r="C8" t="str">
            <v>Makunda</v>
          </cell>
          <cell r="D8" t="str">
            <v>MPG</v>
          </cell>
          <cell r="E8" t="str">
            <v>Direct</v>
          </cell>
        </row>
        <row r="9">
          <cell r="B9">
            <v>20010012</v>
          </cell>
          <cell r="C9" t="str">
            <v>NAGRI</v>
          </cell>
          <cell r="D9" t="str">
            <v>VLC</v>
          </cell>
          <cell r="E9" t="str">
            <v>Indirect</v>
          </cell>
        </row>
        <row r="10">
          <cell r="B10">
            <v>20010015</v>
          </cell>
          <cell r="C10" t="str">
            <v>BOREYA</v>
          </cell>
          <cell r="D10" t="str">
            <v>MPG</v>
          </cell>
          <cell r="E10" t="str">
            <v>Direct</v>
          </cell>
        </row>
        <row r="11">
          <cell r="B11">
            <v>20010016</v>
          </cell>
          <cell r="C11" t="str">
            <v>ITA CHILDRI</v>
          </cell>
          <cell r="D11" t="str">
            <v>MPG</v>
          </cell>
          <cell r="E11" t="str">
            <v>Direct</v>
          </cell>
        </row>
        <row r="12">
          <cell r="B12">
            <v>20010017</v>
          </cell>
          <cell r="C12" t="str">
            <v>DIGHIYA</v>
          </cell>
          <cell r="D12" t="str">
            <v>MPG</v>
          </cell>
          <cell r="E12" t="str">
            <v>Direct</v>
          </cell>
        </row>
        <row r="13">
          <cell r="B13">
            <v>20010023</v>
          </cell>
          <cell r="C13" t="str">
            <v>KATARPA</v>
          </cell>
          <cell r="D13" t="str">
            <v>MPG</v>
          </cell>
          <cell r="E13" t="str">
            <v>Direct</v>
          </cell>
        </row>
        <row r="14">
          <cell r="B14">
            <v>20010027</v>
          </cell>
          <cell r="C14" t="str">
            <v>MURTO</v>
          </cell>
          <cell r="D14" t="str">
            <v>MPG</v>
          </cell>
          <cell r="E14" t="str">
            <v>Direct</v>
          </cell>
        </row>
        <row r="15">
          <cell r="B15">
            <v>20010033</v>
          </cell>
          <cell r="C15" t="str">
            <v>KHATRIKHATANGA</v>
          </cell>
          <cell r="D15" t="str">
            <v>MPG</v>
          </cell>
          <cell r="E15" t="str">
            <v>Direct</v>
          </cell>
        </row>
        <row r="16">
          <cell r="B16">
            <v>20010034</v>
          </cell>
          <cell r="C16" t="str">
            <v>GARGAON</v>
          </cell>
          <cell r="D16" t="str">
            <v>MPG</v>
          </cell>
          <cell r="E16" t="str">
            <v>Direct</v>
          </cell>
        </row>
        <row r="17">
          <cell r="B17">
            <v>20010036</v>
          </cell>
          <cell r="C17" t="str">
            <v>GHAGHRA</v>
          </cell>
          <cell r="D17" t="str">
            <v>MPG</v>
          </cell>
          <cell r="E17" t="str">
            <v>Direct</v>
          </cell>
        </row>
        <row r="18">
          <cell r="B18">
            <v>20010037</v>
          </cell>
          <cell r="C18" t="str">
            <v>CHACHGURA</v>
          </cell>
          <cell r="D18" t="str">
            <v>MPG</v>
          </cell>
          <cell r="E18" t="str">
            <v>Indirect</v>
          </cell>
        </row>
        <row r="19">
          <cell r="B19">
            <v>20010038</v>
          </cell>
          <cell r="C19" t="str">
            <v>TIKRA TOLI</v>
          </cell>
          <cell r="D19" t="str">
            <v>MPG</v>
          </cell>
          <cell r="E19" t="str">
            <v>Direct</v>
          </cell>
        </row>
        <row r="20">
          <cell r="B20">
            <v>20010040</v>
          </cell>
          <cell r="C20" t="str">
            <v>Gargaon2</v>
          </cell>
          <cell r="D20" t="str">
            <v>MPG</v>
          </cell>
          <cell r="E20" t="str">
            <v>Direct</v>
          </cell>
        </row>
        <row r="21">
          <cell r="B21">
            <v>20010041</v>
          </cell>
          <cell r="C21" t="str">
            <v>TERO</v>
          </cell>
          <cell r="D21" t="str">
            <v>MPG</v>
          </cell>
          <cell r="E21" t="str">
            <v>Direct</v>
          </cell>
        </row>
        <row r="22">
          <cell r="B22">
            <v>20010042</v>
          </cell>
          <cell r="C22" t="str">
            <v>RONHE</v>
          </cell>
          <cell r="D22" t="str">
            <v>MPG</v>
          </cell>
          <cell r="E22" t="str">
            <v>Direct</v>
          </cell>
        </row>
        <row r="23">
          <cell r="B23">
            <v>20010043</v>
          </cell>
          <cell r="C23" t="str">
            <v>DARKHANDREY</v>
          </cell>
          <cell r="D23" t="str">
            <v>MPG</v>
          </cell>
          <cell r="E23" t="str">
            <v>Direct</v>
          </cell>
        </row>
        <row r="24">
          <cell r="B24">
            <v>20010052</v>
          </cell>
          <cell r="C24" t="str">
            <v>Kumbatoli</v>
          </cell>
          <cell r="D24" t="str">
            <v>MPG</v>
          </cell>
          <cell r="E24" t="str">
            <v>Direct</v>
          </cell>
        </row>
        <row r="25">
          <cell r="B25">
            <v>20010053</v>
          </cell>
          <cell r="C25" t="str">
            <v>TUTLO</v>
          </cell>
          <cell r="D25" t="str">
            <v>MPG</v>
          </cell>
          <cell r="E25" t="str">
            <v>Direct</v>
          </cell>
        </row>
        <row r="26">
          <cell r="B26">
            <v>20010054</v>
          </cell>
          <cell r="C26" t="str">
            <v>NARKOPI</v>
          </cell>
          <cell r="D26" t="str">
            <v>MPG</v>
          </cell>
          <cell r="E26" t="str">
            <v>Direct</v>
          </cell>
        </row>
        <row r="27">
          <cell r="B27">
            <v>20010055</v>
          </cell>
          <cell r="C27" t="str">
            <v>MASU</v>
          </cell>
          <cell r="D27" t="str">
            <v>MPG</v>
          </cell>
          <cell r="E27" t="str">
            <v>Direct</v>
          </cell>
        </row>
        <row r="28">
          <cell r="B28">
            <v>20010057</v>
          </cell>
          <cell r="C28" t="str">
            <v>PANDEPARA</v>
          </cell>
          <cell r="D28" t="str">
            <v>VLC</v>
          </cell>
          <cell r="E28" t="str">
            <v>Indirect</v>
          </cell>
        </row>
        <row r="29">
          <cell r="B29">
            <v>20010059</v>
          </cell>
          <cell r="C29" t="str">
            <v>KARANJI 2</v>
          </cell>
          <cell r="D29" t="str">
            <v>MPG</v>
          </cell>
          <cell r="E29" t="str">
            <v>Direct</v>
          </cell>
        </row>
        <row r="30">
          <cell r="B30">
            <v>20010060</v>
          </cell>
          <cell r="C30" t="str">
            <v>ITKI 2</v>
          </cell>
          <cell r="D30" t="str">
            <v>VLC</v>
          </cell>
          <cell r="E30" t="str">
            <v>Indirect</v>
          </cell>
        </row>
        <row r="31">
          <cell r="B31">
            <v>20010061</v>
          </cell>
          <cell r="C31" t="str">
            <v>SEMRA</v>
          </cell>
          <cell r="D31" t="str">
            <v>MPG</v>
          </cell>
          <cell r="E31" t="str">
            <v>Direct</v>
          </cell>
        </row>
        <row r="32">
          <cell r="B32">
            <v>20010062</v>
          </cell>
          <cell r="C32" t="str">
            <v>PISKA</v>
          </cell>
          <cell r="D32" t="str">
            <v>MPG</v>
          </cell>
          <cell r="E32" t="str">
            <v>Direct</v>
          </cell>
        </row>
        <row r="33">
          <cell r="B33">
            <v>20020001</v>
          </cell>
          <cell r="C33" t="str">
            <v>Paali</v>
          </cell>
          <cell r="D33" t="str">
            <v>RMC</v>
          </cell>
          <cell r="E33" t="str">
            <v>Direct</v>
          </cell>
        </row>
        <row r="34">
          <cell r="B34">
            <v>20020002</v>
          </cell>
          <cell r="C34" t="str">
            <v>Jari</v>
          </cell>
          <cell r="D34" t="str">
            <v>MPG</v>
          </cell>
          <cell r="E34" t="str">
            <v>Direct</v>
          </cell>
        </row>
        <row r="35">
          <cell r="B35">
            <v>20020003</v>
          </cell>
          <cell r="C35" t="str">
            <v>Bijuliya</v>
          </cell>
          <cell r="D35" t="str">
            <v>MPG</v>
          </cell>
          <cell r="E35" t="str">
            <v>Direct</v>
          </cell>
        </row>
        <row r="36">
          <cell r="B36">
            <v>20020004</v>
          </cell>
          <cell r="C36" t="str">
            <v>Pandra</v>
          </cell>
          <cell r="D36" t="str">
            <v>MPG</v>
          </cell>
          <cell r="E36" t="str">
            <v>Direct</v>
          </cell>
        </row>
        <row r="37">
          <cell r="B37">
            <v>20020005</v>
          </cell>
          <cell r="C37" t="str">
            <v>BASKI</v>
          </cell>
          <cell r="D37" t="str">
            <v>MPG</v>
          </cell>
          <cell r="E37" t="str">
            <v>Direct</v>
          </cell>
        </row>
        <row r="38">
          <cell r="B38">
            <v>20020006</v>
          </cell>
          <cell r="C38" t="str">
            <v>RANIKHATANGA</v>
          </cell>
          <cell r="D38" t="str">
            <v>MPG</v>
          </cell>
          <cell r="E38" t="str">
            <v>Direct</v>
          </cell>
        </row>
        <row r="39">
          <cell r="B39">
            <v>20020007</v>
          </cell>
          <cell r="C39" t="str">
            <v>SURSA</v>
          </cell>
          <cell r="D39" t="str">
            <v>MPG</v>
          </cell>
          <cell r="E39" t="str">
            <v>Direct</v>
          </cell>
        </row>
        <row r="40">
          <cell r="B40">
            <v>20020010</v>
          </cell>
          <cell r="C40" t="str">
            <v>CHIPRA</v>
          </cell>
          <cell r="D40" t="str">
            <v>MPG</v>
          </cell>
          <cell r="E40" t="str">
            <v>Direct</v>
          </cell>
        </row>
        <row r="41">
          <cell r="B41">
            <v>20020011</v>
          </cell>
          <cell r="C41" t="str">
            <v>DHONTHA TOLI</v>
          </cell>
          <cell r="D41" t="str">
            <v>MPG</v>
          </cell>
          <cell r="E41" t="str">
            <v>Direct</v>
          </cell>
        </row>
        <row r="42">
          <cell r="B42">
            <v>20020013</v>
          </cell>
          <cell r="C42" t="str">
            <v>BAJPUR</v>
          </cell>
          <cell r="D42" t="str">
            <v>VLC</v>
          </cell>
          <cell r="E42" t="str">
            <v>Indirect</v>
          </cell>
        </row>
        <row r="43">
          <cell r="B43">
            <v>20020014</v>
          </cell>
          <cell r="C43" t="str">
            <v>BARGARI</v>
          </cell>
          <cell r="D43" t="str">
            <v>MPG</v>
          </cell>
          <cell r="E43" t="str">
            <v>Direct</v>
          </cell>
        </row>
        <row r="44">
          <cell r="B44">
            <v>20020015</v>
          </cell>
          <cell r="C44" t="str">
            <v>PATRATOLI</v>
          </cell>
          <cell r="D44" t="str">
            <v>MPG</v>
          </cell>
          <cell r="E44" t="str">
            <v>Direct</v>
          </cell>
        </row>
        <row r="45">
          <cell r="B45">
            <v>20020016</v>
          </cell>
          <cell r="C45" t="str">
            <v>BANAPIRI</v>
          </cell>
          <cell r="D45" t="str">
            <v>MPG</v>
          </cell>
          <cell r="E45" t="str">
            <v>Indirect</v>
          </cell>
        </row>
        <row r="46">
          <cell r="B46">
            <v>20020017</v>
          </cell>
          <cell r="C46" t="str">
            <v>SAPAROM</v>
          </cell>
          <cell r="D46" t="str">
            <v>VLC</v>
          </cell>
          <cell r="E46" t="str">
            <v>Indirect</v>
          </cell>
        </row>
        <row r="47">
          <cell r="B47">
            <v>20020020</v>
          </cell>
          <cell r="C47" t="str">
            <v>TIKO TOLI</v>
          </cell>
          <cell r="D47" t="str">
            <v>MPG</v>
          </cell>
          <cell r="E47" t="str">
            <v>Direct</v>
          </cell>
        </row>
        <row r="48">
          <cell r="B48">
            <v>20020021</v>
          </cell>
          <cell r="C48" t="str">
            <v>PUNGI</v>
          </cell>
          <cell r="D48" t="str">
            <v>MPG</v>
          </cell>
          <cell r="E48" t="str">
            <v>Direct</v>
          </cell>
        </row>
        <row r="49">
          <cell r="B49">
            <v>20020023</v>
          </cell>
          <cell r="C49" t="str">
            <v>BARTOLI</v>
          </cell>
          <cell r="D49" t="str">
            <v>MPG</v>
          </cell>
          <cell r="E49" t="str">
            <v>Direct</v>
          </cell>
        </row>
        <row r="50">
          <cell r="B50">
            <v>20020025</v>
          </cell>
          <cell r="C50" t="str">
            <v>AGRU</v>
          </cell>
          <cell r="D50" t="str">
            <v>VLC</v>
          </cell>
          <cell r="E50" t="str">
            <v>Direct</v>
          </cell>
        </row>
        <row r="51">
          <cell r="B51">
            <v>20030001</v>
          </cell>
          <cell r="C51" t="str">
            <v>Hisri Thakurgaon</v>
          </cell>
          <cell r="D51" t="str">
            <v>RMC</v>
          </cell>
          <cell r="E51" t="str">
            <v>Direct</v>
          </cell>
        </row>
        <row r="52">
          <cell r="B52">
            <v>20030002</v>
          </cell>
          <cell r="C52" t="str">
            <v>UMEDANDA</v>
          </cell>
          <cell r="D52" t="str">
            <v>MPG</v>
          </cell>
          <cell r="E52" t="str">
            <v>Direct</v>
          </cell>
        </row>
        <row r="53">
          <cell r="B53">
            <v>20030005</v>
          </cell>
          <cell r="C53" t="str">
            <v>THAKURGAON</v>
          </cell>
          <cell r="D53" t="str">
            <v>VLC</v>
          </cell>
          <cell r="E53" t="str">
            <v>Indirect</v>
          </cell>
        </row>
        <row r="54">
          <cell r="B54">
            <v>20030009</v>
          </cell>
          <cell r="C54" t="str">
            <v>SURID</v>
          </cell>
          <cell r="D54" t="str">
            <v>MPG</v>
          </cell>
          <cell r="E54" t="str">
            <v>Direct</v>
          </cell>
        </row>
        <row r="55">
          <cell r="B55">
            <v>20030012</v>
          </cell>
          <cell r="C55" t="str">
            <v>URUGUTU</v>
          </cell>
          <cell r="D55" t="str">
            <v>VLC</v>
          </cell>
          <cell r="E55" t="str">
            <v>Direct</v>
          </cell>
        </row>
        <row r="56">
          <cell r="B56">
            <v>20040001</v>
          </cell>
          <cell r="C56" t="str">
            <v>CHOREYA</v>
          </cell>
          <cell r="D56" t="str">
            <v>RMC</v>
          </cell>
          <cell r="E56" t="str">
            <v>Direct</v>
          </cell>
        </row>
        <row r="57">
          <cell r="B57">
            <v>20040006</v>
          </cell>
          <cell r="C57" t="str">
            <v>KADAM TOLI</v>
          </cell>
          <cell r="D57" t="str">
            <v>MPG</v>
          </cell>
          <cell r="E57" t="str">
            <v>Direct</v>
          </cell>
        </row>
        <row r="58">
          <cell r="B58">
            <v>20040007</v>
          </cell>
          <cell r="C58" t="str">
            <v>MADHUKAM</v>
          </cell>
          <cell r="D58" t="str">
            <v>MPG</v>
          </cell>
          <cell r="E58" t="str">
            <v>Direct</v>
          </cell>
        </row>
        <row r="59">
          <cell r="B59">
            <v>20050001</v>
          </cell>
          <cell r="C59" t="str">
            <v>Baski 2</v>
          </cell>
          <cell r="D59" t="str">
            <v>RMC</v>
          </cell>
          <cell r="E59" t="str">
            <v>Direct</v>
          </cell>
        </row>
        <row r="60">
          <cell r="B60">
            <v>20050002</v>
          </cell>
          <cell r="C60" t="str">
            <v>KANBHITHA</v>
          </cell>
          <cell r="D60" t="str">
            <v>MPG</v>
          </cell>
          <cell r="E60" t="str">
            <v>Direct</v>
          </cell>
        </row>
        <row r="61">
          <cell r="B61">
            <v>20050003</v>
          </cell>
          <cell r="C61" t="str">
            <v>UCHARI</v>
          </cell>
          <cell r="D61" t="str">
            <v>MPG</v>
          </cell>
          <cell r="E61" t="str">
            <v>Direct</v>
          </cell>
        </row>
        <row r="62">
          <cell r="B62">
            <v>20060001</v>
          </cell>
          <cell r="C62" t="str">
            <v>ORMANJHI</v>
          </cell>
          <cell r="D62" t="str">
            <v>RMC</v>
          </cell>
          <cell r="E62" t="str">
            <v>Direct</v>
          </cell>
        </row>
        <row r="63">
          <cell r="B63">
            <v>20060002</v>
          </cell>
          <cell r="C63" t="str">
            <v>MANDRO</v>
          </cell>
          <cell r="D63" t="str">
            <v>MPG</v>
          </cell>
          <cell r="E63" t="str">
            <v>Direct</v>
          </cell>
        </row>
        <row r="64">
          <cell r="B64">
            <v>20060003</v>
          </cell>
          <cell r="C64" t="str">
            <v>DUMARDAGA</v>
          </cell>
          <cell r="D64" t="str">
            <v>MPG</v>
          </cell>
          <cell r="E64" t="str">
            <v>Direct</v>
          </cell>
        </row>
        <row r="65">
          <cell r="B65">
            <v>20060004</v>
          </cell>
          <cell r="C65" t="str">
            <v>CHUTTU</v>
          </cell>
          <cell r="D65" t="str">
            <v>MPG</v>
          </cell>
          <cell r="E65" t="str">
            <v>Direct</v>
          </cell>
        </row>
        <row r="66">
          <cell r="B66">
            <v>20060005</v>
          </cell>
          <cell r="C66" t="str">
            <v>JIRABAR</v>
          </cell>
          <cell r="D66" t="str">
            <v>MPG</v>
          </cell>
          <cell r="E66" t="str">
            <v>Direct</v>
          </cell>
        </row>
        <row r="67">
          <cell r="B67">
            <v>20060007</v>
          </cell>
          <cell r="C67" t="str">
            <v>HOCHAR</v>
          </cell>
          <cell r="D67" t="str">
            <v>MPG</v>
          </cell>
          <cell r="E67" t="str">
            <v>Direct</v>
          </cell>
        </row>
        <row r="68">
          <cell r="B68">
            <v>20060008</v>
          </cell>
          <cell r="C68" t="str">
            <v>ADELHATU</v>
          </cell>
          <cell r="D68" t="str">
            <v>VLC</v>
          </cell>
          <cell r="E68" t="str">
            <v>Direct</v>
          </cell>
        </row>
        <row r="69">
          <cell r="B69">
            <v>20060009</v>
          </cell>
          <cell r="C69" t="str">
            <v>KUCHU</v>
          </cell>
          <cell r="D69" t="str">
            <v>MPG</v>
          </cell>
          <cell r="E69" t="str">
            <v>Direct</v>
          </cell>
        </row>
        <row r="70">
          <cell r="B70">
            <v>20060013</v>
          </cell>
          <cell r="C70" t="str">
            <v>CHATAKPUR</v>
          </cell>
          <cell r="D70" t="str">
            <v>VLC</v>
          </cell>
          <cell r="E70" t="str">
            <v>Indirect</v>
          </cell>
        </row>
        <row r="71">
          <cell r="B71">
            <v>20060017</v>
          </cell>
          <cell r="C71" t="str">
            <v>KUKUI</v>
          </cell>
          <cell r="D71" t="str">
            <v>MPG</v>
          </cell>
          <cell r="E71" t="str">
            <v>Direct</v>
          </cell>
        </row>
        <row r="72">
          <cell r="B72">
            <v>20060018</v>
          </cell>
          <cell r="C72" t="str">
            <v>PANCHOLI</v>
          </cell>
          <cell r="D72" t="str">
            <v>MPG</v>
          </cell>
          <cell r="E72" t="str">
            <v>Direct</v>
          </cell>
        </row>
        <row r="73">
          <cell r="B73">
            <v>20060019</v>
          </cell>
          <cell r="C73" t="str">
            <v>HOCHAR 2</v>
          </cell>
          <cell r="D73" t="str">
            <v>MPG</v>
          </cell>
          <cell r="E73" t="str">
            <v>Direct</v>
          </cell>
        </row>
        <row r="74">
          <cell r="B74">
            <v>20060020</v>
          </cell>
          <cell r="C74" t="str">
            <v>BARAGAIN</v>
          </cell>
          <cell r="D74" t="str">
            <v>VLC</v>
          </cell>
          <cell r="E74" t="str">
            <v>Indirect</v>
          </cell>
        </row>
        <row r="75">
          <cell r="B75">
            <v>20060022</v>
          </cell>
          <cell r="C75" t="str">
            <v>MAHESHPUR</v>
          </cell>
          <cell r="D75" t="str">
            <v>MPG</v>
          </cell>
          <cell r="E75" t="str">
            <v>Direct</v>
          </cell>
        </row>
        <row r="76">
          <cell r="B76">
            <v>20070001</v>
          </cell>
          <cell r="C76" t="str">
            <v>PIRAGUTU</v>
          </cell>
          <cell r="D76" t="str">
            <v>RMC</v>
          </cell>
          <cell r="E76" t="str">
            <v>Direct</v>
          </cell>
        </row>
        <row r="77">
          <cell r="B77">
            <v>20070002</v>
          </cell>
          <cell r="C77" t="str">
            <v>SARAM</v>
          </cell>
          <cell r="D77" t="str">
            <v>MPG</v>
          </cell>
          <cell r="E77" t="str">
            <v>Direct</v>
          </cell>
        </row>
        <row r="78">
          <cell r="B78">
            <v>20070003</v>
          </cell>
          <cell r="C78" t="str">
            <v>MURUPIRI</v>
          </cell>
          <cell r="D78" t="str">
            <v>MPG</v>
          </cell>
          <cell r="E78" t="str">
            <v>Direct</v>
          </cell>
        </row>
        <row r="79">
          <cell r="B79">
            <v>20070004</v>
          </cell>
          <cell r="C79" t="str">
            <v>KEDAL</v>
          </cell>
          <cell r="D79" t="str">
            <v>MPG</v>
          </cell>
          <cell r="E79" t="str">
            <v>Direct</v>
          </cell>
        </row>
        <row r="80">
          <cell r="B80">
            <v>20070006</v>
          </cell>
          <cell r="C80" t="str">
            <v>SAHEDA</v>
          </cell>
          <cell r="D80" t="str">
            <v>MPG</v>
          </cell>
          <cell r="E80" t="str">
            <v>Direct</v>
          </cell>
        </row>
        <row r="81">
          <cell r="B81">
            <v>20070007</v>
          </cell>
          <cell r="C81" t="str">
            <v>NABATOLI</v>
          </cell>
          <cell r="D81" t="str">
            <v>MPG</v>
          </cell>
          <cell r="E81" t="str">
            <v>Direct</v>
          </cell>
        </row>
        <row r="82">
          <cell r="B82">
            <v>20070009</v>
          </cell>
          <cell r="C82" t="str">
            <v>KARAMBA</v>
          </cell>
          <cell r="D82" t="str">
            <v>MPG</v>
          </cell>
          <cell r="E82" t="str">
            <v>Indirect</v>
          </cell>
        </row>
        <row r="83">
          <cell r="B83">
            <v>20070010</v>
          </cell>
          <cell r="C83" t="str">
            <v>KURALU</v>
          </cell>
          <cell r="D83" t="str">
            <v>MPG</v>
          </cell>
          <cell r="E83" t="str">
            <v>Direct</v>
          </cell>
        </row>
        <row r="84">
          <cell r="B84">
            <v>20070016</v>
          </cell>
          <cell r="C84" t="str">
            <v>MAYAPUR</v>
          </cell>
          <cell r="D84" t="str">
            <v>MPG</v>
          </cell>
          <cell r="E84" t="str">
            <v>Direct</v>
          </cell>
        </row>
        <row r="85">
          <cell r="B85">
            <v>20070018</v>
          </cell>
          <cell r="C85" t="str">
            <v>MAKKA</v>
          </cell>
          <cell r="D85" t="str">
            <v>MPG</v>
          </cell>
          <cell r="E85" t="str">
            <v>Direct</v>
          </cell>
        </row>
        <row r="86">
          <cell r="B86">
            <v>20070019</v>
          </cell>
          <cell r="C86" t="str">
            <v>CHORA</v>
          </cell>
          <cell r="D86" t="str">
            <v>MPG</v>
          </cell>
          <cell r="E86" t="str">
            <v>Direct</v>
          </cell>
        </row>
        <row r="87">
          <cell r="B87">
            <v>20070020</v>
          </cell>
          <cell r="C87" t="str">
            <v>ULATU</v>
          </cell>
          <cell r="D87" t="str">
            <v>MPG</v>
          </cell>
          <cell r="E87" t="str">
            <v>Direct</v>
          </cell>
        </row>
        <row r="88">
          <cell r="B88">
            <v>20070021</v>
          </cell>
          <cell r="C88" t="str">
            <v>USKU</v>
          </cell>
          <cell r="D88" t="str">
            <v>MPG</v>
          </cell>
          <cell r="E88" t="str">
            <v>Indirect</v>
          </cell>
        </row>
        <row r="89">
          <cell r="B89">
            <v>20070023</v>
          </cell>
          <cell r="C89" t="str">
            <v>ICHAPIRI</v>
          </cell>
          <cell r="D89" t="str">
            <v>MPG</v>
          </cell>
          <cell r="E89" t="str">
            <v>Indirect</v>
          </cell>
        </row>
        <row r="90">
          <cell r="B90">
            <v>20070024</v>
          </cell>
          <cell r="C90" t="str">
            <v>MURPA</v>
          </cell>
          <cell r="D90" t="str">
            <v>MPG</v>
          </cell>
          <cell r="E90" t="str">
            <v>Direct</v>
          </cell>
        </row>
        <row r="91">
          <cell r="B91">
            <v>20070025</v>
          </cell>
          <cell r="C91" t="str">
            <v>SUBHASH NAGAR</v>
          </cell>
          <cell r="D91" t="str">
            <v>MPG</v>
          </cell>
          <cell r="E91" t="str">
            <v>Direct</v>
          </cell>
        </row>
        <row r="92">
          <cell r="B92">
            <v>20070026</v>
          </cell>
          <cell r="C92" t="str">
            <v>NINDRA</v>
          </cell>
          <cell r="D92" t="str">
            <v>MPG</v>
          </cell>
          <cell r="E92" t="str">
            <v>Direct</v>
          </cell>
        </row>
        <row r="93">
          <cell r="B93">
            <v>20080001</v>
          </cell>
          <cell r="C93" t="str">
            <v>CHATTI BHANDRA</v>
          </cell>
          <cell r="D93" t="str">
            <v>RMC</v>
          </cell>
          <cell r="E93" t="str">
            <v>Direct</v>
          </cell>
        </row>
        <row r="94">
          <cell r="B94">
            <v>20080002</v>
          </cell>
          <cell r="C94" t="str">
            <v>BHITTA</v>
          </cell>
          <cell r="D94" t="str">
            <v>MPG</v>
          </cell>
          <cell r="E94" t="str">
            <v>Direct</v>
          </cell>
        </row>
        <row r="95">
          <cell r="B95">
            <v>20080004</v>
          </cell>
          <cell r="C95" t="str">
            <v>Guri</v>
          </cell>
          <cell r="D95" t="str">
            <v>MPG</v>
          </cell>
          <cell r="E95" t="str">
            <v>Direct</v>
          </cell>
        </row>
        <row r="96">
          <cell r="B96">
            <v>20080005</v>
          </cell>
          <cell r="C96" t="str">
            <v>Bhaiyagaon</v>
          </cell>
          <cell r="D96" t="str">
            <v>MPG</v>
          </cell>
          <cell r="E96" t="str">
            <v>Direct</v>
          </cell>
        </row>
        <row r="97">
          <cell r="B97">
            <v>20080006</v>
          </cell>
          <cell r="C97" t="str">
            <v>Chitri Ambatoli</v>
          </cell>
          <cell r="D97" t="str">
            <v>MPG</v>
          </cell>
          <cell r="E97" t="str">
            <v>Direct</v>
          </cell>
        </row>
        <row r="98">
          <cell r="B98">
            <v>20080007</v>
          </cell>
          <cell r="C98" t="str">
            <v>Rampur</v>
          </cell>
          <cell r="D98" t="str">
            <v>MPG</v>
          </cell>
          <cell r="E98" t="str">
            <v>Direct</v>
          </cell>
        </row>
        <row r="99">
          <cell r="B99">
            <v>20080008</v>
          </cell>
          <cell r="C99" t="str">
            <v>Ningni</v>
          </cell>
          <cell r="D99" t="str">
            <v>MPG</v>
          </cell>
          <cell r="E99" t="str">
            <v>Direct</v>
          </cell>
        </row>
        <row r="100">
          <cell r="B100">
            <v>20080009</v>
          </cell>
          <cell r="C100" t="str">
            <v>MASHMANO</v>
          </cell>
          <cell r="D100" t="str">
            <v>MPG</v>
          </cell>
          <cell r="E100" t="str">
            <v>Direct</v>
          </cell>
        </row>
        <row r="101">
          <cell r="B101">
            <v>20080010</v>
          </cell>
          <cell r="C101" t="str">
            <v>PAHARKESA</v>
          </cell>
          <cell r="D101" t="str">
            <v>MPG</v>
          </cell>
          <cell r="E101" t="str">
            <v>Direct</v>
          </cell>
        </row>
        <row r="102">
          <cell r="B102">
            <v>20080014</v>
          </cell>
          <cell r="C102" t="str">
            <v>BHUJANIYA</v>
          </cell>
          <cell r="D102" t="str">
            <v>MPG</v>
          </cell>
          <cell r="E102" t="str">
            <v>Indirect</v>
          </cell>
        </row>
        <row r="103">
          <cell r="B103">
            <v>20080025</v>
          </cell>
          <cell r="C103" t="str">
            <v>DAARU</v>
          </cell>
          <cell r="D103" t="str">
            <v>MPG</v>
          </cell>
          <cell r="E103" t="str">
            <v>Direct</v>
          </cell>
        </row>
        <row r="104">
          <cell r="B104">
            <v>20080026</v>
          </cell>
          <cell r="C104" t="str">
            <v>CHHARDA</v>
          </cell>
          <cell r="D104" t="str">
            <v>MPG</v>
          </cell>
          <cell r="E104" t="str">
            <v>Direct</v>
          </cell>
        </row>
        <row r="105">
          <cell r="B105">
            <v>20080027</v>
          </cell>
          <cell r="C105" t="str">
            <v>NADI NAGRA 2</v>
          </cell>
          <cell r="D105" t="str">
            <v>MPG</v>
          </cell>
          <cell r="E105" t="str">
            <v>Direct</v>
          </cell>
        </row>
        <row r="106">
          <cell r="B106">
            <v>20080028</v>
          </cell>
          <cell r="C106" t="str">
            <v>BASRI NAGRA</v>
          </cell>
          <cell r="D106" t="str">
            <v>MPG</v>
          </cell>
          <cell r="E106" t="str">
            <v>Direct</v>
          </cell>
        </row>
        <row r="107">
          <cell r="B107">
            <v>20080030</v>
          </cell>
          <cell r="C107" t="str">
            <v>SORANDA</v>
          </cell>
          <cell r="D107" t="str">
            <v>MPG</v>
          </cell>
          <cell r="E107" t="str">
            <v>Direct</v>
          </cell>
        </row>
        <row r="108">
          <cell r="B108">
            <v>20080034</v>
          </cell>
          <cell r="C108" t="str">
            <v>ITTA BARHI CHOWK</v>
          </cell>
          <cell r="D108" t="str">
            <v>MPG</v>
          </cell>
          <cell r="E108" t="str">
            <v>Direct</v>
          </cell>
        </row>
        <row r="109">
          <cell r="B109">
            <v>20080036</v>
          </cell>
          <cell r="C109" t="str">
            <v>MUNDO 2</v>
          </cell>
          <cell r="D109" t="str">
            <v>VLC</v>
          </cell>
          <cell r="E109" t="str">
            <v>Indirect</v>
          </cell>
        </row>
        <row r="110">
          <cell r="B110">
            <v>20080039</v>
          </cell>
          <cell r="C110" t="str">
            <v>LONGA</v>
          </cell>
          <cell r="D110" t="str">
            <v>MPG</v>
          </cell>
          <cell r="E110" t="str">
            <v>Direct</v>
          </cell>
        </row>
        <row r="111">
          <cell r="B111">
            <v>20080041</v>
          </cell>
          <cell r="C111" t="str">
            <v>KACHMACHI</v>
          </cell>
          <cell r="D111" t="str">
            <v>MPG</v>
          </cell>
          <cell r="E111" t="str">
            <v>Direct</v>
          </cell>
        </row>
        <row r="112">
          <cell r="B112">
            <v>20080043</v>
          </cell>
          <cell r="C112" t="str">
            <v>JATARGARI</v>
          </cell>
          <cell r="D112" t="str">
            <v>MPG</v>
          </cell>
          <cell r="E112" t="str">
            <v>Direct</v>
          </cell>
        </row>
        <row r="113">
          <cell r="B113">
            <v>20080046</v>
          </cell>
          <cell r="C113" t="str">
            <v>KUNDO AMBATOLI</v>
          </cell>
          <cell r="D113" t="str">
            <v>MPG</v>
          </cell>
          <cell r="E113" t="str">
            <v>Direct</v>
          </cell>
        </row>
        <row r="114">
          <cell r="B114">
            <v>20080047</v>
          </cell>
          <cell r="C114" t="str">
            <v>PAHARKESHA 2</v>
          </cell>
          <cell r="D114" t="str">
            <v>VLC</v>
          </cell>
          <cell r="E114" t="str">
            <v>Indirect</v>
          </cell>
        </row>
        <row r="115">
          <cell r="B115">
            <v>20080049</v>
          </cell>
          <cell r="C115" t="str">
            <v>MALANG TOLI</v>
          </cell>
          <cell r="D115" t="str">
            <v>VLC</v>
          </cell>
          <cell r="E115" t="str">
            <v>Indirect</v>
          </cell>
        </row>
        <row r="116">
          <cell r="B116">
            <v>20080050</v>
          </cell>
          <cell r="C116" t="str">
            <v>KACHMACHI 2</v>
          </cell>
          <cell r="D116" t="str">
            <v>MPG</v>
          </cell>
          <cell r="E116" t="str">
            <v>Direct</v>
          </cell>
        </row>
        <row r="117">
          <cell r="B117">
            <v>20090001</v>
          </cell>
          <cell r="C117" t="str">
            <v>Chanho</v>
          </cell>
          <cell r="D117" t="str">
            <v>RMC</v>
          </cell>
          <cell r="E117" t="str">
            <v>Direct</v>
          </cell>
        </row>
        <row r="118">
          <cell r="B118">
            <v>20090002</v>
          </cell>
          <cell r="C118" t="str">
            <v>Bajra</v>
          </cell>
          <cell r="D118" t="str">
            <v>MPG</v>
          </cell>
          <cell r="E118" t="str">
            <v>Direct</v>
          </cell>
        </row>
        <row r="119">
          <cell r="B119">
            <v>20090004</v>
          </cell>
          <cell r="C119" t="str">
            <v>DUMRI</v>
          </cell>
          <cell r="D119" t="str">
            <v>MPG</v>
          </cell>
          <cell r="E119" t="str">
            <v>Direct</v>
          </cell>
        </row>
        <row r="120">
          <cell r="B120">
            <v>20090006</v>
          </cell>
          <cell r="C120" t="str">
            <v>KATAIYA</v>
          </cell>
          <cell r="D120" t="str">
            <v>VLC</v>
          </cell>
          <cell r="E120" t="str">
            <v>Indirect</v>
          </cell>
        </row>
        <row r="121">
          <cell r="B121">
            <v>20090008</v>
          </cell>
          <cell r="C121" t="str">
            <v>GANESHPUR</v>
          </cell>
          <cell r="D121" t="str">
            <v>MPG</v>
          </cell>
          <cell r="E121" t="str">
            <v>Direct</v>
          </cell>
        </row>
        <row r="122">
          <cell r="B122">
            <v>20090010</v>
          </cell>
          <cell r="C122" t="str">
            <v>CHATWAL</v>
          </cell>
          <cell r="D122" t="str">
            <v>VLC</v>
          </cell>
          <cell r="E122" t="str">
            <v>Indirect</v>
          </cell>
        </row>
        <row r="123">
          <cell r="B123">
            <v>20090011</v>
          </cell>
          <cell r="C123" t="str">
            <v>BARHE</v>
          </cell>
          <cell r="D123" t="str">
            <v>MPG</v>
          </cell>
          <cell r="E123" t="str">
            <v>Direct</v>
          </cell>
        </row>
        <row r="124">
          <cell r="B124">
            <v>20090012</v>
          </cell>
          <cell r="C124" t="str">
            <v>LUNDRI 2</v>
          </cell>
          <cell r="D124" t="str">
            <v>MPG</v>
          </cell>
          <cell r="E124" t="str">
            <v>Direct</v>
          </cell>
        </row>
        <row r="125">
          <cell r="B125">
            <v>20090013</v>
          </cell>
          <cell r="C125" t="str">
            <v>LUNDRI 1</v>
          </cell>
          <cell r="D125" t="str">
            <v>MPG</v>
          </cell>
          <cell r="E125" t="str">
            <v>Direct</v>
          </cell>
        </row>
        <row r="126">
          <cell r="B126">
            <v>20090014</v>
          </cell>
          <cell r="C126" t="str">
            <v>HUTAR</v>
          </cell>
          <cell r="D126" t="str">
            <v>MPG</v>
          </cell>
          <cell r="E126" t="str">
            <v>Direct</v>
          </cell>
        </row>
        <row r="127">
          <cell r="B127">
            <v>20090015</v>
          </cell>
          <cell r="C127" t="str">
            <v>PAKARIYO</v>
          </cell>
          <cell r="D127" t="str">
            <v>MPG</v>
          </cell>
          <cell r="E127" t="str">
            <v>Direct</v>
          </cell>
        </row>
        <row r="128">
          <cell r="B128">
            <v>20090017</v>
          </cell>
          <cell r="C128" t="str">
            <v>NAWATAND</v>
          </cell>
          <cell r="D128" t="str">
            <v>MPG</v>
          </cell>
          <cell r="E128" t="str">
            <v>Direct</v>
          </cell>
        </row>
        <row r="129">
          <cell r="B129">
            <v>20090018</v>
          </cell>
          <cell r="C129" t="str">
            <v>KOTHI TOLA</v>
          </cell>
          <cell r="D129" t="str">
            <v>MPG</v>
          </cell>
          <cell r="E129" t="str">
            <v>Indirect</v>
          </cell>
        </row>
        <row r="130">
          <cell r="B130">
            <v>20090019</v>
          </cell>
          <cell r="C130" t="str">
            <v>MADINA NAGAR</v>
          </cell>
          <cell r="D130" t="str">
            <v>VLC</v>
          </cell>
          <cell r="E130" t="str">
            <v>Indirect</v>
          </cell>
        </row>
        <row r="131">
          <cell r="B131">
            <v>20090020</v>
          </cell>
          <cell r="C131" t="str">
            <v>PAKARIYO 2</v>
          </cell>
          <cell r="D131" t="str">
            <v>MPG</v>
          </cell>
          <cell r="E131" t="str">
            <v>Direct</v>
          </cell>
        </row>
        <row r="132">
          <cell r="B132">
            <v>20090021</v>
          </cell>
          <cell r="C132" t="str">
            <v>PATRA TOLI</v>
          </cell>
          <cell r="D132" t="str">
            <v>MPG</v>
          </cell>
          <cell r="E132" t="str">
            <v>Direct</v>
          </cell>
        </row>
        <row r="133">
          <cell r="B133">
            <v>20090022</v>
          </cell>
          <cell r="C133" t="str">
            <v>KATAIYA 2</v>
          </cell>
          <cell r="D133" t="str">
            <v>MPG</v>
          </cell>
          <cell r="E133" t="str">
            <v>Direct</v>
          </cell>
        </row>
        <row r="134">
          <cell r="B134">
            <v>20090023</v>
          </cell>
          <cell r="C134" t="str">
            <v>KOKAR</v>
          </cell>
          <cell r="D134" t="str">
            <v>MPG</v>
          </cell>
          <cell r="E134" t="str">
            <v>Direct</v>
          </cell>
        </row>
        <row r="135">
          <cell r="B135">
            <v>20090025</v>
          </cell>
          <cell r="C135" t="str">
            <v>KULLU</v>
          </cell>
          <cell r="D135" t="str">
            <v>VLC</v>
          </cell>
          <cell r="E135" t="str">
            <v>Indirect</v>
          </cell>
        </row>
        <row r="136">
          <cell r="B136">
            <v>20090026</v>
          </cell>
          <cell r="C136" t="str">
            <v>BHOGLA TOLI</v>
          </cell>
          <cell r="D136" t="str">
            <v>MPG</v>
          </cell>
          <cell r="E136" t="str">
            <v>Direct</v>
          </cell>
        </row>
        <row r="137">
          <cell r="C137" t="str">
            <v>Total:</v>
          </cell>
          <cell r="E137">
            <v>133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32.446359837966" createdVersion="8" refreshedVersion="8" minRefreshableVersion="3" recordCount="47" xr:uid="{B3DF9B6D-9404-4F3E-9DD4-CADCD98816D8}">
  <cacheSource type="worksheet">
    <worksheetSource ref="A3:O50" sheet="CF indent 10-16th Apr-26"/>
  </cacheSource>
  <cacheFields count="15">
    <cacheField name="_x000a_Order Date " numFmtId="14">
      <sharedItems containsSemiMixedTypes="0" containsNonDate="0" containsDate="1" containsString="0" minDate="2026-04-19T00:00:00" maxDate="2026-04-20T00:00:00"/>
    </cacheField>
    <cacheField name="Deduction Cycle" numFmtId="0">
      <sharedItems/>
    </cacheField>
    <cacheField name="_x000a_Item Name " numFmtId="0">
      <sharedItems/>
    </cacheField>
    <cacheField name="ID" numFmtId="0">
      <sharedItems/>
    </cacheField>
    <cacheField name="_x000a__x000a_MPG Code  " numFmtId="0">
      <sharedItems containsSemiMixedTypes="0" containsString="0" containsNumber="1" containsInteger="1" minValue="20010003" maxValue="20090023" count="20">
        <n v="20010003"/>
        <n v="20060001"/>
        <n v="20010008"/>
        <n v="20060003"/>
        <n v="20010016"/>
        <n v="20070010"/>
        <n v="20070009"/>
        <n v="20020001"/>
        <n v="20070024"/>
        <n v="20020002"/>
        <n v="20020020"/>
        <n v="20020025"/>
        <n v="20050001"/>
        <n v="20050003"/>
        <n v="20090015"/>
        <n v="20090017"/>
        <n v="20090011"/>
        <n v="20090023"/>
        <n v="20010053"/>
        <n v="20090020"/>
      </sharedItems>
    </cacheField>
    <cacheField name="_x000a_MPG Name " numFmtId="0">
      <sharedItems/>
    </cacheField>
    <cacheField name="_x000a__x000a_Farmer code  " numFmtId="0">
      <sharedItems count="26">
        <s v="0003"/>
        <s v="0023"/>
        <s v="0018"/>
        <s v="0015"/>
        <s v="0024"/>
        <s v="0035"/>
        <s v="0002"/>
        <s v="0025"/>
        <s v="0005"/>
        <s v="0160"/>
        <s v="0033"/>
        <s v="0039"/>
        <s v="0041"/>
        <s v="0055"/>
        <s v="0013"/>
        <s v="0038"/>
        <s v="0042"/>
        <s v="0043"/>
        <s v="0049"/>
        <s v="0026"/>
        <s v="0007"/>
        <s v="0014"/>
        <s v="0017"/>
        <s v="0020"/>
        <s v="0022"/>
        <s v="0036"/>
      </sharedItems>
    </cacheField>
    <cacheField name="_x000a__x000a_BMC Name  " numFmtId="0">
      <sharedItems containsBlank="1"/>
    </cacheField>
    <cacheField name="_x000a__x000a_CSP  " numFmtId="0">
      <sharedItems/>
    </cacheField>
    <cacheField name="_x000a__x000a_Qty  " numFmtId="0">
      <sharedItems containsSemiMixedTypes="0" containsString="0" containsNumber="1" containsInteger="1" minValue="0" maxValue="20"/>
    </cacheField>
    <cacheField name="_x000a_Rate " numFmtId="0">
      <sharedItems containsSemiMixedTypes="0" containsString="0" containsNumber="1" containsInteger="1" minValue="0" maxValue="1250"/>
    </cacheField>
    <cacheField name="Total Amount" numFmtId="0">
      <sharedItems containsSemiMixedTypes="0" containsString="0" containsNumber="1" containsInteger="1" minValue="98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98" maxValue="2500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d v="2026-04-19T00:00:00"/>
    <s v="10-04-2026- 16-04-2026"/>
    <s v="Gomukh Gold 50KG"/>
    <s v="200100030003"/>
    <x v="0"/>
    <s v="Bero"/>
    <x v="0"/>
    <s v="Bero"/>
    <s v="Daya Society"/>
    <n v="0"/>
    <n v="0"/>
    <n v="11863"/>
    <n v="0"/>
    <n v="11863"/>
    <m/>
  </r>
  <r>
    <d v="2026-04-19T00:00:00"/>
    <s v="10-04-2026- 16-04-2026"/>
    <s v="Gomukh Gold 50KG"/>
    <s v="200600010023"/>
    <x v="1"/>
    <s v="Ormanjhi"/>
    <x v="1"/>
    <s v="Ormanjhi"/>
    <s v="Daya Society"/>
    <n v="3"/>
    <n v="1250"/>
    <n v="3750"/>
    <n v="3"/>
    <n v="3750"/>
    <m/>
  </r>
  <r>
    <d v="2026-04-19T00:00:00"/>
    <s v="10-04-2026- 16-04-2026"/>
    <s v="Gomukh Gold 50KG"/>
    <s v="200600010018"/>
    <x v="1"/>
    <s v="Ormanjhi"/>
    <x v="2"/>
    <s v="Ormanjhi"/>
    <s v="Daya Society"/>
    <n v="1"/>
    <n v="1250"/>
    <n v="1250"/>
    <n v="1"/>
    <n v="1250"/>
    <m/>
  </r>
  <r>
    <d v="2026-04-19T00:00:00"/>
    <s v="10-04-2026- 16-04-2026"/>
    <s v="Gomukh Gold 50KG"/>
    <s v="200600010015"/>
    <x v="1"/>
    <s v="Ormanjhi"/>
    <x v="3"/>
    <s v="Ormanjhi"/>
    <s v="Daya Society"/>
    <n v="1"/>
    <n v="1250"/>
    <n v="1250"/>
    <n v="1"/>
    <n v="1250"/>
    <m/>
  </r>
  <r>
    <d v="2026-04-19T00:00:00"/>
    <s v="10-04-2026- 16-04-2026"/>
    <s v="Gomukh Gold 50KG"/>
    <s v="200600010024"/>
    <x v="1"/>
    <s v="Ormanjhi"/>
    <x v="4"/>
    <s v="Ormanjhi"/>
    <s v="Daya Society"/>
    <n v="2"/>
    <n v="1250"/>
    <n v="2500"/>
    <n v="2"/>
    <n v="2500"/>
    <m/>
  </r>
  <r>
    <d v="2026-04-19T00:00:00"/>
    <s v="10-04-2026- 16-04-2026"/>
    <s v="Gomukh Gold 50KG"/>
    <s v="200100080024"/>
    <x v="2"/>
    <s v="Erchoro"/>
    <x v="4"/>
    <s v="Bero"/>
    <s v="Daya Society"/>
    <n v="1"/>
    <n v="1250"/>
    <n v="1250"/>
    <n v="1"/>
    <n v="1250"/>
    <m/>
  </r>
  <r>
    <d v="2026-04-19T00:00:00"/>
    <s v="10-04-2026- 16-04-2026"/>
    <s v="Gomukh Gold 50KG"/>
    <s v="200100080035"/>
    <x v="2"/>
    <s v="Erchoro"/>
    <x v="5"/>
    <s v="Bero"/>
    <s v="Daya Society"/>
    <n v="9"/>
    <n v="1250"/>
    <n v="11250"/>
    <n v="9"/>
    <n v="11250"/>
    <m/>
  </r>
  <r>
    <d v="2026-04-19T00:00:00"/>
    <s v="10-04-2026- 16-04-2026"/>
    <s v="Gomukh Gold 50KG"/>
    <s v="200600030002"/>
    <x v="3"/>
    <s v="Dumardagga"/>
    <x v="6"/>
    <s v="Dumardagga"/>
    <s v="Daya Society"/>
    <n v="20"/>
    <n v="1250"/>
    <n v="25000"/>
    <n v="20"/>
    <n v="25000"/>
    <m/>
  </r>
  <r>
    <d v="2026-04-19T00:00:00"/>
    <s v="10-04-2026- 16-04-2026"/>
    <s v="Gomukh Gold 50KG"/>
    <s v="200100160025"/>
    <x v="4"/>
    <s v="Etachildri"/>
    <x v="7"/>
    <s v="Bero"/>
    <s v="Daya Society"/>
    <n v="0"/>
    <n v="0"/>
    <n v="860"/>
    <n v="0"/>
    <n v="860"/>
    <m/>
  </r>
  <r>
    <d v="2026-04-19T00:00:00"/>
    <s v="10-04-2026- 16-04-2026"/>
    <s v="Gomukh Gold 50KG"/>
    <s v="200100160005"/>
    <x v="4"/>
    <s v="Etachildri"/>
    <x v="8"/>
    <s v="Bero"/>
    <s v="Daya Society"/>
    <n v="0"/>
    <n v="0"/>
    <n v="805"/>
    <n v="0"/>
    <n v="805"/>
    <m/>
  </r>
  <r>
    <d v="2026-04-19T00:00:00"/>
    <s v="10-04-2026- 16-04-2026"/>
    <s v="Gomukh Gold 50KG"/>
    <s v="200700100002"/>
    <x v="5"/>
    <s v="Kuralu"/>
    <x v="6"/>
    <m/>
    <s v="Daya Society"/>
    <n v="2"/>
    <n v="1250"/>
    <n v="2500"/>
    <n v="2"/>
    <n v="2500"/>
    <m/>
  </r>
  <r>
    <d v="2026-04-19T00:00:00"/>
    <s v="10-04-2026- 16-04-2026"/>
    <s v="Gomukh Gold 50KG"/>
    <s v="200700090002"/>
    <x v="6"/>
    <s v="Karamba"/>
    <x v="6"/>
    <m/>
    <s v="Daya Society"/>
    <n v="2"/>
    <n v="1250"/>
    <n v="2500"/>
    <n v="2"/>
    <n v="2500"/>
    <m/>
  </r>
  <r>
    <d v="2026-04-19T00:00:00"/>
    <s v="10-04-2026- 16-04-2026"/>
    <s v="Gomukh Gold 50KG"/>
    <s v="200200010160"/>
    <x v="7"/>
    <s v="Pali"/>
    <x v="9"/>
    <s v="Pali"/>
    <s v="Daya Society"/>
    <n v="0"/>
    <n v="0"/>
    <n v="526"/>
    <n v="0"/>
    <n v="526"/>
    <m/>
  </r>
  <r>
    <d v="2026-04-19T00:00:00"/>
    <s v="10-04-2026- 16-04-2026"/>
    <s v="Gomukh Gold 50KG"/>
    <s v="200200010025"/>
    <x v="7"/>
    <s v="Pali"/>
    <x v="7"/>
    <s v="Pali"/>
    <s v="Daya Society"/>
    <n v="0"/>
    <n v="0"/>
    <n v="131"/>
    <n v="0"/>
    <n v="131"/>
    <m/>
  </r>
  <r>
    <d v="2026-04-19T00:00:00"/>
    <s v="10-04-2026- 16-04-2026"/>
    <s v="Gomukh Gold 50KG"/>
    <s v="200200010002"/>
    <x v="7"/>
    <s v="Pali"/>
    <x v="6"/>
    <s v="Pali"/>
    <s v="Daya Society"/>
    <n v="2"/>
    <n v="1250"/>
    <n v="2500"/>
    <n v="2"/>
    <n v="2500"/>
    <m/>
  </r>
  <r>
    <d v="2026-04-19T00:00:00"/>
    <s v="10-04-2026- 16-04-2026"/>
    <s v="Gomukh Gold 50KG"/>
    <s v="200200010033"/>
    <x v="7"/>
    <s v="Pali"/>
    <x v="10"/>
    <s v="Pali"/>
    <s v="Daya Society"/>
    <n v="1"/>
    <n v="1250"/>
    <n v="1250"/>
    <n v="1"/>
    <n v="1250"/>
    <m/>
  </r>
  <r>
    <d v="2026-04-19T00:00:00"/>
    <s v="10-04-2026- 16-04-2026"/>
    <s v="Gomukh Gold 50KG"/>
    <s v="200200010039"/>
    <x v="7"/>
    <s v="Pali"/>
    <x v="11"/>
    <s v="Pali"/>
    <s v="Daya Society"/>
    <n v="1"/>
    <n v="1250"/>
    <n v="1250"/>
    <n v="1"/>
    <n v="1250"/>
    <m/>
  </r>
  <r>
    <d v="2026-04-19T00:00:00"/>
    <s v="10-04-2026- 16-04-2026"/>
    <s v="Gomukh Gold 50KG"/>
    <s v="200200010041"/>
    <x v="7"/>
    <s v="Pali"/>
    <x v="12"/>
    <s v="Pali"/>
    <s v="Daya Society"/>
    <n v="1"/>
    <n v="1250"/>
    <n v="1250"/>
    <n v="1"/>
    <n v="1250"/>
    <m/>
  </r>
  <r>
    <d v="2026-04-19T00:00:00"/>
    <s v="10-04-2026- 16-04-2026"/>
    <s v="Gomukh Gold 50KG"/>
    <s v="200700240002"/>
    <x v="8"/>
    <s v="Murpa"/>
    <x v="6"/>
    <s v="Piragutu"/>
    <s v="Daya Society"/>
    <n v="0"/>
    <n v="0"/>
    <n v="8844"/>
    <n v="0"/>
    <n v="8844"/>
    <m/>
  </r>
  <r>
    <d v="2026-04-19T00:00:00"/>
    <s v="10-04-2026- 16-04-2026"/>
    <s v="Gomukh Gold 50KG"/>
    <s v="200200020003"/>
    <x v="9"/>
    <s v="Jari"/>
    <x v="0"/>
    <s v="Pali"/>
    <s v="Daya Society"/>
    <n v="1"/>
    <n v="1250"/>
    <n v="1250"/>
    <n v="1"/>
    <n v="1250"/>
    <m/>
  </r>
  <r>
    <d v="2026-04-19T00:00:00"/>
    <s v="10-04-2026- 16-04-2026"/>
    <s v="Gomukh Gold 50KG"/>
    <s v="200200020055"/>
    <x v="9"/>
    <s v="Jari"/>
    <x v="13"/>
    <s v="Pali"/>
    <s v="Daya Society"/>
    <n v="1"/>
    <n v="1250"/>
    <n v="1250"/>
    <n v="1"/>
    <n v="1250"/>
    <m/>
  </r>
  <r>
    <d v="2026-04-19T00:00:00"/>
    <s v="10-04-2026- 16-04-2026"/>
    <s v="Gomukh Gold 50KG"/>
    <s v="200200020013"/>
    <x v="9"/>
    <s v="Jari"/>
    <x v="14"/>
    <s v="Pali"/>
    <s v="Daya Society"/>
    <n v="1"/>
    <n v="1250"/>
    <n v="1250"/>
    <n v="1"/>
    <n v="1250"/>
    <m/>
  </r>
  <r>
    <d v="2026-04-19T00:00:00"/>
    <s v="10-04-2026- 16-04-2026"/>
    <s v="Gomukh Gold 50KG"/>
    <s v="200200200033"/>
    <x v="10"/>
    <s v="Tikotoli"/>
    <x v="10"/>
    <s v="Pali"/>
    <s v="Daya Society"/>
    <n v="0"/>
    <n v="0"/>
    <n v="690"/>
    <n v="0"/>
    <n v="690"/>
    <m/>
  </r>
  <r>
    <d v="2026-04-19T00:00:00"/>
    <s v="10-04-2026- 16-04-2026"/>
    <s v="Gomukh Gold 50KG"/>
    <s v="200200200038"/>
    <x v="10"/>
    <s v="Tikotoli"/>
    <x v="15"/>
    <s v="Pali"/>
    <s v="Daya Society"/>
    <n v="0"/>
    <n v="0"/>
    <n v="610"/>
    <n v="0"/>
    <n v="610"/>
    <m/>
  </r>
  <r>
    <d v="2026-04-19T00:00:00"/>
    <s v="10-04-2026- 16-04-2026"/>
    <s v="Gomukh Gold 50KG"/>
    <s v="200200200042"/>
    <x v="10"/>
    <s v="Tikotoli"/>
    <x v="16"/>
    <s v="Pali"/>
    <s v="Daya Society"/>
    <n v="0"/>
    <n v="0"/>
    <n v="465"/>
    <n v="0"/>
    <n v="465"/>
    <m/>
  </r>
  <r>
    <d v="2026-04-19T00:00:00"/>
    <s v="10-04-2026- 16-04-2026"/>
    <s v="Gomukh Gold 50KG"/>
    <s v="200200200023"/>
    <x v="10"/>
    <s v="Tikotoli"/>
    <x v="1"/>
    <s v="Pali"/>
    <s v="Daya Society"/>
    <n v="1"/>
    <n v="1250"/>
    <n v="1250"/>
    <n v="1"/>
    <n v="1250"/>
    <m/>
  </r>
  <r>
    <d v="2026-04-19T00:00:00"/>
    <s v="10-04-2026- 16-04-2026"/>
    <s v="Gomukh Gold 50KG"/>
    <s v="200200200042"/>
    <x v="10"/>
    <s v="Tikotoli"/>
    <x v="16"/>
    <s v="Pali"/>
    <s v="Daya Society"/>
    <n v="1"/>
    <n v="1250"/>
    <n v="1250"/>
    <n v="1"/>
    <n v="1250"/>
    <m/>
  </r>
  <r>
    <d v="2026-04-19T00:00:00"/>
    <s v="10-04-2026- 16-04-2026"/>
    <s v="Gomukh Gold 50KG"/>
    <s v="200200200038"/>
    <x v="10"/>
    <s v="Tikotoli"/>
    <x v="15"/>
    <s v="Pali"/>
    <s v="Daya Society"/>
    <n v="1"/>
    <n v="1250"/>
    <n v="1250"/>
    <n v="1"/>
    <n v="1250"/>
    <m/>
  </r>
  <r>
    <d v="2026-04-19T00:00:00"/>
    <s v="10-04-2026- 16-04-2026"/>
    <s v="Gomukh Gold 50KG"/>
    <s v="200200200041"/>
    <x v="10"/>
    <s v="Tikotoli"/>
    <x v="12"/>
    <s v="Pali"/>
    <s v="Daya Society"/>
    <n v="1"/>
    <n v="1250"/>
    <n v="1250"/>
    <n v="1"/>
    <n v="1250"/>
    <m/>
  </r>
  <r>
    <d v="2026-04-19T00:00:00"/>
    <s v="10-04-2026- 16-04-2026"/>
    <s v="Gomukh Gold 50KG"/>
    <s v="200200200043"/>
    <x v="10"/>
    <s v="Tikotoli"/>
    <x v="17"/>
    <s v="Pali"/>
    <s v="Daya Society"/>
    <n v="1"/>
    <n v="1250"/>
    <n v="1250"/>
    <n v="1"/>
    <n v="1250"/>
    <m/>
  </r>
  <r>
    <d v="2026-04-19T00:00:00"/>
    <s v="10-04-2026- 16-04-2026"/>
    <s v="Gomukh Gold 50KG"/>
    <s v="200200250002"/>
    <x v="11"/>
    <s v="Agru"/>
    <x v="6"/>
    <m/>
    <s v="Daya Society"/>
    <n v="6"/>
    <n v="1250"/>
    <n v="7500"/>
    <n v="6"/>
    <n v="7500"/>
    <m/>
  </r>
  <r>
    <d v="2026-04-19T00:00:00"/>
    <s v="10-04-2026- 16-04-2026"/>
    <s v="Gomukh Gold 50KG"/>
    <s v="200500010049"/>
    <x v="12"/>
    <s v="Baski2"/>
    <x v="18"/>
    <m/>
    <s v="Daya Society"/>
    <n v="2"/>
    <n v="1250"/>
    <n v="2500"/>
    <n v="2"/>
    <n v="2500"/>
    <m/>
  </r>
  <r>
    <d v="2026-04-19T00:00:00"/>
    <s v="10-04-2026- 16-04-2026"/>
    <s v="Gomukh Gold 50KG"/>
    <s v="200500030002"/>
    <x v="13"/>
    <s v="Uchri"/>
    <x v="6"/>
    <m/>
    <s v="Daya Society"/>
    <n v="3"/>
    <n v="1250"/>
    <n v="3750"/>
    <n v="3"/>
    <n v="3750"/>
    <m/>
  </r>
  <r>
    <d v="2026-04-19T00:00:00"/>
    <s v="10-04-2026- 16-04-2026"/>
    <s v="Gomukh Gold 50KG"/>
    <s v="200900150002"/>
    <x v="14"/>
    <s v="Pakariyo1"/>
    <x v="6"/>
    <s v="Chanho"/>
    <s v="Daya Society"/>
    <n v="1"/>
    <n v="1250"/>
    <n v="1250"/>
    <n v="1"/>
    <n v="1250"/>
    <m/>
  </r>
  <r>
    <d v="2026-04-19T00:00:00"/>
    <s v="10-04-2026- 16-04-2026"/>
    <s v="Gomukh Gold 50KG"/>
    <s v="200900150026"/>
    <x v="14"/>
    <s v="Pakariyo1"/>
    <x v="19"/>
    <s v="Chanho"/>
    <s v="Daya Society"/>
    <n v="1"/>
    <n v="1250"/>
    <n v="1250"/>
    <n v="1"/>
    <n v="1250"/>
    <m/>
  </r>
  <r>
    <d v="2026-04-19T00:00:00"/>
    <s v="10-04-2026- 16-04-2026"/>
    <s v="Gomukh Gold 50KG"/>
    <s v="200900170003"/>
    <x v="15"/>
    <s v="Nawatand"/>
    <x v="0"/>
    <s v="Chanho"/>
    <s v="Daya Society"/>
    <n v="2"/>
    <n v="1250"/>
    <n v="2500"/>
    <n v="2"/>
    <n v="2500"/>
    <m/>
  </r>
  <r>
    <d v="2026-04-19T00:00:00"/>
    <s v="10-04-2026- 16-04-2026"/>
    <s v="Gomukh Gold 50KG"/>
    <s v="200900110007"/>
    <x v="16"/>
    <s v="Barhe"/>
    <x v="20"/>
    <s v="Chanho"/>
    <s v="Daya Society"/>
    <n v="1"/>
    <n v="1250"/>
    <n v="1250"/>
    <n v="1"/>
    <n v="1250"/>
    <m/>
  </r>
  <r>
    <d v="2026-04-19T00:00:00"/>
    <s v="10-04-2026- 16-04-2026"/>
    <s v="Gomukh Gold 50KG"/>
    <s v="200900110003"/>
    <x v="16"/>
    <s v="Barhe"/>
    <x v="0"/>
    <s v="Chanho"/>
    <s v="Daya Society"/>
    <n v="2"/>
    <n v="1250"/>
    <n v="2500"/>
    <n v="2"/>
    <n v="2500"/>
    <m/>
  </r>
  <r>
    <d v="2026-04-19T00:00:00"/>
    <s v="10-04-2026- 16-04-2026"/>
    <s v="Gomukh Gold 50KG"/>
    <s v="200900230002"/>
    <x v="17"/>
    <s v="Kokar"/>
    <x v="6"/>
    <s v="Chanho"/>
    <s v="Daya Society"/>
    <n v="5"/>
    <n v="1250"/>
    <n v="6250"/>
    <n v="5"/>
    <n v="6250"/>
    <m/>
  </r>
  <r>
    <d v="2026-04-19T00:00:00"/>
    <s v="10-04-2026- 16-04-2026"/>
    <s v="Gomukh Gold 50KG"/>
    <s v="200100530014"/>
    <x v="18"/>
    <s v="Tutlo"/>
    <x v="21"/>
    <s v="Chanho"/>
    <s v="Daya Society"/>
    <n v="0"/>
    <n v="0"/>
    <n v="128"/>
    <n v="0"/>
    <n v="128"/>
    <m/>
  </r>
  <r>
    <d v="2026-04-19T00:00:00"/>
    <s v="10-04-2026- 16-04-2026"/>
    <s v="Gomukh Gold 50KG"/>
    <s v="200100530017"/>
    <x v="18"/>
    <s v="Tutlo"/>
    <x v="22"/>
    <s v="Chanho"/>
    <s v="Daya Society"/>
    <n v="0"/>
    <n v="0"/>
    <n v="98"/>
    <n v="0"/>
    <n v="98"/>
    <m/>
  </r>
  <r>
    <d v="2026-04-19T00:00:00"/>
    <s v="10-04-2026- 16-04-2026"/>
    <s v="Gomukh Gold 50KG"/>
    <s v="200100530020"/>
    <x v="18"/>
    <s v="Tutlo"/>
    <x v="23"/>
    <s v="Chanho"/>
    <s v="Daya Society"/>
    <n v="0"/>
    <n v="0"/>
    <n v="137"/>
    <n v="0"/>
    <n v="137"/>
    <m/>
  </r>
  <r>
    <d v="2026-04-19T00:00:00"/>
    <s v="10-04-2026- 16-04-2026"/>
    <s v="Gomukh Gold 50KG"/>
    <s v="200100530022"/>
    <x v="18"/>
    <s v="Tutlo"/>
    <x v="24"/>
    <s v="Chanho"/>
    <s v="Daya Society"/>
    <n v="0"/>
    <n v="0"/>
    <n v="109"/>
    <n v="0"/>
    <n v="109"/>
    <m/>
  </r>
  <r>
    <d v="2026-04-19T00:00:00"/>
    <s v="10-04-2026- 16-04-2026"/>
    <s v="Gomukh Gold 50KG"/>
    <s v="200100530036"/>
    <x v="18"/>
    <s v="Tutlo"/>
    <x v="25"/>
    <s v="Chanho"/>
    <s v="Daya Society"/>
    <n v="0"/>
    <n v="0"/>
    <n v="113"/>
    <n v="0"/>
    <n v="113"/>
    <m/>
  </r>
  <r>
    <d v="2026-04-19T00:00:00"/>
    <s v="10-04-2026- 16-04-2026"/>
    <s v="Gomukh Gold 50KG"/>
    <s v="200100530042"/>
    <x v="18"/>
    <s v="Tutlo"/>
    <x v="16"/>
    <s v="Chanho"/>
    <s v="Daya Society"/>
    <n v="1"/>
    <n v="1250"/>
    <n v="1250"/>
    <n v="1"/>
    <n v="1250"/>
    <m/>
  </r>
  <r>
    <d v="2026-04-19T00:00:00"/>
    <s v="10-04-2026- 16-04-2026"/>
    <s v="Gomukh Gold 50KG"/>
    <s v="200900200002"/>
    <x v="19"/>
    <s v="Pakariyo2"/>
    <x v="6"/>
    <s v="Chanho"/>
    <s v="Daya Society"/>
    <n v="1"/>
    <n v="1250"/>
    <n v="1250"/>
    <n v="1"/>
    <n v="1250"/>
    <m/>
  </r>
  <r>
    <d v="2026-04-19T00:00:00"/>
    <s v="10-04-2026- 16-04-2026"/>
    <s v="Gomukh Gold 50KG"/>
    <s v="200900200005"/>
    <x v="19"/>
    <s v="Pakariyo2"/>
    <x v="8"/>
    <s v="Chanho"/>
    <s v="Daya Society"/>
    <n v="2"/>
    <n v="1250"/>
    <n v="2500"/>
    <n v="2"/>
    <n v="25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9B8AF-D84D-4DAE-B48A-DD270F13CACC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50" firstHeaderRow="2" firstDataRow="2" firstDataCol="2"/>
  <pivotFields count="15"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0"/>
        <item x="2"/>
        <item x="4"/>
        <item x="18"/>
        <item x="7"/>
        <item x="9"/>
        <item x="10"/>
        <item x="11"/>
        <item x="12"/>
        <item x="13"/>
        <item x="1"/>
        <item x="3"/>
        <item x="6"/>
        <item x="5"/>
        <item x="8"/>
        <item x="16"/>
        <item x="14"/>
        <item x="15"/>
        <item x="19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7">
        <item x="6"/>
        <item x="0"/>
        <item x="8"/>
        <item x="20"/>
        <item x="14"/>
        <item x="21"/>
        <item x="3"/>
        <item x="22"/>
        <item x="2"/>
        <item x="23"/>
        <item x="24"/>
        <item x="1"/>
        <item x="4"/>
        <item x="7"/>
        <item x="19"/>
        <item x="10"/>
        <item x="5"/>
        <item x="25"/>
        <item x="15"/>
        <item x="11"/>
        <item x="12"/>
        <item x="16"/>
        <item x="17"/>
        <item x="18"/>
        <item x="13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6"/>
  </rowFields>
  <rowItems count="46">
    <i>
      <x/>
      <x v="1"/>
    </i>
    <i>
      <x v="1"/>
      <x v="12"/>
    </i>
    <i r="1">
      <x v="16"/>
    </i>
    <i>
      <x v="2"/>
      <x v="2"/>
    </i>
    <i r="1">
      <x v="13"/>
    </i>
    <i>
      <x v="3"/>
      <x v="5"/>
    </i>
    <i r="1">
      <x v="7"/>
    </i>
    <i r="1">
      <x v="9"/>
    </i>
    <i r="1">
      <x v="10"/>
    </i>
    <i r="1">
      <x v="17"/>
    </i>
    <i r="1">
      <x v="21"/>
    </i>
    <i>
      <x v="4"/>
      <x/>
    </i>
    <i r="1">
      <x v="13"/>
    </i>
    <i r="1">
      <x v="15"/>
    </i>
    <i r="1">
      <x v="19"/>
    </i>
    <i r="1">
      <x v="20"/>
    </i>
    <i r="1">
      <x v="25"/>
    </i>
    <i>
      <x v="5"/>
      <x v="1"/>
    </i>
    <i r="1">
      <x v="4"/>
    </i>
    <i r="1">
      <x v="24"/>
    </i>
    <i>
      <x v="6"/>
      <x v="11"/>
    </i>
    <i r="1">
      <x v="15"/>
    </i>
    <i r="1">
      <x v="18"/>
    </i>
    <i r="1">
      <x v="20"/>
    </i>
    <i r="1">
      <x v="21"/>
    </i>
    <i r="1">
      <x v="22"/>
    </i>
    <i>
      <x v="7"/>
      <x/>
    </i>
    <i>
      <x v="8"/>
      <x v="23"/>
    </i>
    <i>
      <x v="9"/>
      <x/>
    </i>
    <i>
      <x v="10"/>
      <x v="6"/>
    </i>
    <i r="1">
      <x v="8"/>
    </i>
    <i r="1">
      <x v="11"/>
    </i>
    <i r="1">
      <x v="12"/>
    </i>
    <i>
      <x v="11"/>
      <x/>
    </i>
    <i>
      <x v="12"/>
      <x/>
    </i>
    <i>
      <x v="13"/>
      <x/>
    </i>
    <i>
      <x v="14"/>
      <x/>
    </i>
    <i>
      <x v="15"/>
      <x v="1"/>
    </i>
    <i r="1">
      <x v="3"/>
    </i>
    <i>
      <x v="16"/>
      <x/>
    </i>
    <i r="1">
      <x v="14"/>
    </i>
    <i>
      <x v="17"/>
      <x v="1"/>
    </i>
    <i>
      <x v="18"/>
      <x/>
    </i>
    <i r="1">
      <x v="2"/>
    </i>
    <i>
      <x v="19"/>
      <x/>
    </i>
    <i t="grand">
      <x/>
    </i>
  </rowItems>
  <colItems count="1">
    <i/>
  </colItems>
  <dataFields count="1">
    <dataField name="Sum of Final 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A4A1-4F2F-4E8E-9073-40798366F00F}">
  <dimension ref="A3:U50"/>
  <sheetViews>
    <sheetView tabSelected="1" workbookViewId="0">
      <selection activeCell="R27" sqref="R27"/>
    </sheetView>
  </sheetViews>
  <sheetFormatPr defaultRowHeight="15" x14ac:dyDescent="0.25"/>
  <cols>
    <col min="1" max="1" width="16" bestFit="1" customWidth="1"/>
    <col min="2" max="2" width="17.5703125" bestFit="1" customWidth="1"/>
    <col min="3" max="3" width="7" bestFit="1" customWidth="1"/>
    <col min="8" max="8" width="13.140625" bestFit="1" customWidth="1"/>
    <col min="9" max="9" width="13.7109375" bestFit="1" customWidth="1"/>
    <col min="10" max="10" width="15.28515625" bestFit="1" customWidth="1"/>
    <col min="11" max="11" width="7" bestFit="1" customWidth="1"/>
    <col min="16" max="16" width="13.140625" bestFit="1" customWidth="1"/>
    <col min="17" max="17" width="13.7109375" bestFit="1" customWidth="1"/>
    <col min="18" max="18" width="15.28515625" bestFit="1" customWidth="1"/>
    <col min="19" max="19" width="7" bestFit="1" customWidth="1"/>
    <col min="20" max="20" width="7.85546875" bestFit="1" customWidth="1"/>
  </cols>
  <sheetData>
    <row r="3" spans="1:21" x14ac:dyDescent="0.25">
      <c r="A3" s="14" t="s">
        <v>70</v>
      </c>
      <c r="H3" s="15" t="s">
        <v>4</v>
      </c>
      <c r="I3" s="15" t="s">
        <v>5</v>
      </c>
      <c r="J3" s="15" t="s">
        <v>7</v>
      </c>
      <c r="K3" s="15" t="s">
        <v>71</v>
      </c>
      <c r="L3" s="15" t="s">
        <v>72</v>
      </c>
      <c r="M3" s="15" t="s">
        <v>18</v>
      </c>
      <c r="P3" s="15" t="s">
        <v>4</v>
      </c>
      <c r="Q3" s="15" t="s">
        <v>5</v>
      </c>
      <c r="R3" s="15" t="s">
        <v>7</v>
      </c>
      <c r="S3" s="15" t="s">
        <v>71</v>
      </c>
      <c r="T3" s="15" t="s">
        <v>72</v>
      </c>
      <c r="U3" s="15" t="s">
        <v>18</v>
      </c>
    </row>
    <row r="4" spans="1:21" x14ac:dyDescent="0.25">
      <c r="A4" s="14" t="s">
        <v>5</v>
      </c>
      <c r="B4" s="14" t="s">
        <v>7</v>
      </c>
      <c r="C4" t="s">
        <v>71</v>
      </c>
      <c r="H4" t="str">
        <f t="shared" ref="H4:H47" si="0">CONCATENATE(I4,J4)</f>
        <v>200100030003</v>
      </c>
      <c r="I4" s="17">
        <v>20010003</v>
      </c>
      <c r="J4" t="s">
        <v>37</v>
      </c>
      <c r="K4">
        <v>11863</v>
      </c>
      <c r="L4" t="s">
        <v>73</v>
      </c>
      <c r="M4">
        <v>11863</v>
      </c>
      <c r="P4" t="str">
        <f>CONCATENATE(Q4,R4)</f>
        <v>200700090002</v>
      </c>
      <c r="Q4" s="17">
        <v>20070009</v>
      </c>
      <c r="R4" t="s">
        <v>24</v>
      </c>
      <c r="S4">
        <v>2500</v>
      </c>
      <c r="T4" t="str">
        <f>VLOOKUP(Q4,'[1]MPG Payment'!$B$3:$E$137,4,0)</f>
        <v>Indirect</v>
      </c>
      <c r="U4">
        <v>2500</v>
      </c>
    </row>
    <row r="5" spans="1:21" x14ac:dyDescent="0.25">
      <c r="A5">
        <v>20010003</v>
      </c>
      <c r="B5" t="s">
        <v>37</v>
      </c>
      <c r="C5">
        <v>11863</v>
      </c>
      <c r="H5" t="str">
        <f t="shared" si="0"/>
        <v>200100080024</v>
      </c>
      <c r="I5" s="18">
        <v>20010008</v>
      </c>
      <c r="J5" t="s">
        <v>47</v>
      </c>
      <c r="K5">
        <v>1250</v>
      </c>
      <c r="L5" t="s">
        <v>73</v>
      </c>
      <c r="M5">
        <v>1250</v>
      </c>
      <c r="P5" s="16" t="s">
        <v>69</v>
      </c>
      <c r="Q5" s="16"/>
      <c r="R5" s="16"/>
      <c r="S5" s="16">
        <f>SUM(S4)</f>
        <v>2500</v>
      </c>
      <c r="U5" s="16">
        <f>SUM(U4)</f>
        <v>2500</v>
      </c>
    </row>
    <row r="6" spans="1:21" ht="15.75" thickBot="1" x14ac:dyDescent="0.3">
      <c r="A6">
        <v>20010008</v>
      </c>
      <c r="B6" t="s">
        <v>47</v>
      </c>
      <c r="C6">
        <v>1250</v>
      </c>
      <c r="H6" t="str">
        <f t="shared" si="0"/>
        <v>200100080035</v>
      </c>
      <c r="I6" s="17">
        <v>20010008</v>
      </c>
      <c r="J6" t="s">
        <v>49</v>
      </c>
      <c r="K6">
        <v>11250</v>
      </c>
      <c r="L6" t="s">
        <v>73</v>
      </c>
      <c r="M6">
        <v>11250</v>
      </c>
      <c r="P6" t="s">
        <v>69</v>
      </c>
      <c r="S6" s="20">
        <v>126629</v>
      </c>
      <c r="T6" s="21"/>
      <c r="U6" s="20">
        <v>112773</v>
      </c>
    </row>
    <row r="7" spans="1:21" x14ac:dyDescent="0.25">
      <c r="A7">
        <v>20010008</v>
      </c>
      <c r="B7" t="s">
        <v>49</v>
      </c>
      <c r="C7">
        <v>11250</v>
      </c>
      <c r="H7" t="str">
        <f t="shared" si="0"/>
        <v>200100160005</v>
      </c>
      <c r="I7" s="18">
        <v>20010016</v>
      </c>
      <c r="J7" t="s">
        <v>23</v>
      </c>
      <c r="K7">
        <v>805</v>
      </c>
      <c r="L7" t="s">
        <v>73</v>
      </c>
      <c r="M7">
        <v>684</v>
      </c>
      <c r="S7" t="s">
        <v>71</v>
      </c>
      <c r="U7" s="19">
        <f>U6+U5</f>
        <v>115273</v>
      </c>
    </row>
    <row r="8" spans="1:21" ht="15.75" thickBot="1" x14ac:dyDescent="0.3">
      <c r="A8">
        <v>20010016</v>
      </c>
      <c r="B8" t="s">
        <v>23</v>
      </c>
      <c r="C8">
        <v>805</v>
      </c>
      <c r="H8" t="str">
        <f t="shared" si="0"/>
        <v>200100160025</v>
      </c>
      <c r="I8" s="17">
        <v>20010016</v>
      </c>
      <c r="J8" t="s">
        <v>22</v>
      </c>
      <c r="K8">
        <v>860</v>
      </c>
      <c r="L8" t="s">
        <v>73</v>
      </c>
      <c r="M8">
        <v>791</v>
      </c>
      <c r="S8" s="21" t="s">
        <v>74</v>
      </c>
      <c r="T8" s="21"/>
      <c r="U8" s="21">
        <v>1250</v>
      </c>
    </row>
    <row r="9" spans="1:21" x14ac:dyDescent="0.25">
      <c r="A9">
        <v>20010016</v>
      </c>
      <c r="B9" t="s">
        <v>22</v>
      </c>
      <c r="C9">
        <v>860</v>
      </c>
      <c r="H9" t="str">
        <f t="shared" si="0"/>
        <v>200100530014</v>
      </c>
      <c r="I9" s="18">
        <v>20010053</v>
      </c>
      <c r="J9" t="s">
        <v>64</v>
      </c>
      <c r="K9">
        <v>128</v>
      </c>
      <c r="L9" t="s">
        <v>73</v>
      </c>
      <c r="M9">
        <v>128</v>
      </c>
      <c r="S9" t="s">
        <v>71</v>
      </c>
      <c r="U9">
        <f>U7+U8</f>
        <v>116523</v>
      </c>
    </row>
    <row r="10" spans="1:21" x14ac:dyDescent="0.25">
      <c r="A10">
        <v>20010053</v>
      </c>
      <c r="B10" t="s">
        <v>64</v>
      </c>
      <c r="C10">
        <v>128</v>
      </c>
      <c r="H10" t="str">
        <f t="shared" si="0"/>
        <v>200100530017</v>
      </c>
      <c r="I10" s="18">
        <v>20010053</v>
      </c>
      <c r="J10" t="s">
        <v>65</v>
      </c>
      <c r="K10">
        <v>98</v>
      </c>
      <c r="L10" t="s">
        <v>73</v>
      </c>
      <c r="M10">
        <v>98</v>
      </c>
    </row>
    <row r="11" spans="1:21" x14ac:dyDescent="0.25">
      <c r="A11">
        <v>20010053</v>
      </c>
      <c r="B11" t="s">
        <v>65</v>
      </c>
      <c r="C11">
        <v>98</v>
      </c>
      <c r="H11" t="str">
        <f t="shared" si="0"/>
        <v>200100530020</v>
      </c>
      <c r="I11" s="18">
        <v>20010053</v>
      </c>
      <c r="J11" t="s">
        <v>66</v>
      </c>
      <c r="K11">
        <v>137</v>
      </c>
      <c r="L11" t="s">
        <v>73</v>
      </c>
      <c r="M11">
        <v>137</v>
      </c>
    </row>
    <row r="12" spans="1:21" x14ac:dyDescent="0.25">
      <c r="A12">
        <v>20010053</v>
      </c>
      <c r="B12" t="s">
        <v>66</v>
      </c>
      <c r="C12">
        <v>137</v>
      </c>
      <c r="H12" t="str">
        <f t="shared" si="0"/>
        <v>200100530022</v>
      </c>
      <c r="I12" s="18">
        <v>20010053</v>
      </c>
      <c r="J12" t="s">
        <v>67</v>
      </c>
      <c r="K12">
        <v>109</v>
      </c>
      <c r="L12" t="s">
        <v>73</v>
      </c>
      <c r="M12">
        <v>109</v>
      </c>
    </row>
    <row r="13" spans="1:21" x14ac:dyDescent="0.25">
      <c r="A13">
        <v>20010053</v>
      </c>
      <c r="B13" t="s">
        <v>67</v>
      </c>
      <c r="C13">
        <v>109</v>
      </c>
      <c r="H13" t="str">
        <f t="shared" si="0"/>
        <v>200100530036</v>
      </c>
      <c r="I13" s="18">
        <v>20010053</v>
      </c>
      <c r="J13" t="s">
        <v>68</v>
      </c>
      <c r="K13">
        <v>113</v>
      </c>
      <c r="L13" t="s">
        <v>73</v>
      </c>
      <c r="M13">
        <v>113</v>
      </c>
    </row>
    <row r="14" spans="1:21" x14ac:dyDescent="0.25">
      <c r="A14">
        <v>20010053</v>
      </c>
      <c r="B14" t="s">
        <v>68</v>
      </c>
      <c r="C14">
        <v>113</v>
      </c>
      <c r="H14" t="str">
        <f t="shared" si="0"/>
        <v>200100530042</v>
      </c>
      <c r="I14" s="17">
        <v>20010053</v>
      </c>
      <c r="J14" t="s">
        <v>30</v>
      </c>
      <c r="K14">
        <v>1250</v>
      </c>
      <c r="L14" t="s">
        <v>73</v>
      </c>
      <c r="M14">
        <v>1250</v>
      </c>
    </row>
    <row r="15" spans="1:21" x14ac:dyDescent="0.25">
      <c r="A15">
        <v>20010053</v>
      </c>
      <c r="B15" t="s">
        <v>30</v>
      </c>
      <c r="C15">
        <v>1250</v>
      </c>
      <c r="H15" t="str">
        <f t="shared" si="0"/>
        <v>200200010002</v>
      </c>
      <c r="I15" s="18">
        <v>20020001</v>
      </c>
      <c r="J15" t="s">
        <v>24</v>
      </c>
      <c r="K15">
        <v>2500</v>
      </c>
      <c r="L15" t="s">
        <v>73</v>
      </c>
      <c r="M15">
        <v>2500</v>
      </c>
    </row>
    <row r="16" spans="1:21" x14ac:dyDescent="0.25">
      <c r="A16">
        <v>20020001</v>
      </c>
      <c r="B16" t="s">
        <v>24</v>
      </c>
      <c r="C16">
        <v>2500</v>
      </c>
      <c r="H16" t="str">
        <f t="shared" si="0"/>
        <v>200200010025</v>
      </c>
      <c r="I16" s="18">
        <v>20020001</v>
      </c>
      <c r="J16" t="s">
        <v>22</v>
      </c>
      <c r="K16">
        <v>131</v>
      </c>
      <c r="L16" t="s">
        <v>73</v>
      </c>
      <c r="M16">
        <v>131</v>
      </c>
    </row>
    <row r="17" spans="1:13" x14ac:dyDescent="0.25">
      <c r="A17">
        <v>20020001</v>
      </c>
      <c r="B17" t="s">
        <v>22</v>
      </c>
      <c r="C17">
        <v>131</v>
      </c>
      <c r="H17" t="str">
        <f t="shared" si="0"/>
        <v>200200010033</v>
      </c>
      <c r="I17" s="18">
        <v>20020001</v>
      </c>
      <c r="J17" t="s">
        <v>29</v>
      </c>
      <c r="K17">
        <v>1250</v>
      </c>
      <c r="L17" t="s">
        <v>73</v>
      </c>
      <c r="M17">
        <v>1250</v>
      </c>
    </row>
    <row r="18" spans="1:13" x14ac:dyDescent="0.25">
      <c r="A18">
        <v>20020001</v>
      </c>
      <c r="B18" t="s">
        <v>29</v>
      </c>
      <c r="C18">
        <v>1250</v>
      </c>
      <c r="H18" t="str">
        <f t="shared" si="0"/>
        <v>200200010039</v>
      </c>
      <c r="I18" s="18">
        <v>20020001</v>
      </c>
      <c r="J18" t="s">
        <v>31</v>
      </c>
      <c r="K18">
        <v>1250</v>
      </c>
      <c r="L18" t="s">
        <v>73</v>
      </c>
      <c r="M18">
        <v>1250</v>
      </c>
    </row>
    <row r="19" spans="1:13" x14ac:dyDescent="0.25">
      <c r="A19">
        <v>20020001</v>
      </c>
      <c r="B19" t="s">
        <v>31</v>
      </c>
      <c r="C19">
        <v>1250</v>
      </c>
      <c r="H19" t="str">
        <f t="shared" si="0"/>
        <v>200200010041</v>
      </c>
      <c r="I19" s="18">
        <v>20020001</v>
      </c>
      <c r="J19" t="s">
        <v>34</v>
      </c>
      <c r="K19">
        <v>1250</v>
      </c>
      <c r="L19" t="s">
        <v>73</v>
      </c>
      <c r="M19">
        <v>1250</v>
      </c>
    </row>
    <row r="20" spans="1:13" x14ac:dyDescent="0.25">
      <c r="A20">
        <v>20020001</v>
      </c>
      <c r="B20" t="s">
        <v>34</v>
      </c>
      <c r="C20">
        <v>1250</v>
      </c>
      <c r="H20" t="str">
        <f t="shared" si="0"/>
        <v>200200010160</v>
      </c>
      <c r="I20" s="17">
        <v>20020001</v>
      </c>
      <c r="J20" t="s">
        <v>52</v>
      </c>
      <c r="K20">
        <v>526</v>
      </c>
      <c r="L20" t="s">
        <v>73</v>
      </c>
      <c r="M20">
        <v>526</v>
      </c>
    </row>
    <row r="21" spans="1:13" x14ac:dyDescent="0.25">
      <c r="A21">
        <v>20020001</v>
      </c>
      <c r="B21" t="s">
        <v>52</v>
      </c>
      <c r="C21">
        <v>526</v>
      </c>
      <c r="H21" t="str">
        <f t="shared" si="0"/>
        <v>200200020003</v>
      </c>
      <c r="I21" s="18">
        <v>20020002</v>
      </c>
      <c r="J21" t="s">
        <v>37</v>
      </c>
      <c r="K21">
        <v>1250</v>
      </c>
      <c r="L21" t="s">
        <v>73</v>
      </c>
      <c r="M21">
        <v>1250</v>
      </c>
    </row>
    <row r="22" spans="1:13" x14ac:dyDescent="0.25">
      <c r="A22">
        <v>20020002</v>
      </c>
      <c r="B22" t="s">
        <v>37</v>
      </c>
      <c r="C22">
        <v>1250</v>
      </c>
      <c r="H22" t="str">
        <f t="shared" si="0"/>
        <v>200200020013</v>
      </c>
      <c r="I22" s="18">
        <v>20020002</v>
      </c>
      <c r="J22" t="s">
        <v>56</v>
      </c>
      <c r="K22">
        <v>1250</v>
      </c>
      <c r="L22" t="s">
        <v>73</v>
      </c>
      <c r="M22">
        <v>1250</v>
      </c>
    </row>
    <row r="23" spans="1:13" x14ac:dyDescent="0.25">
      <c r="A23">
        <v>20020002</v>
      </c>
      <c r="B23" t="s">
        <v>56</v>
      </c>
      <c r="C23">
        <v>1250</v>
      </c>
      <c r="H23" t="str">
        <f t="shared" si="0"/>
        <v>200200020055</v>
      </c>
      <c r="I23" s="17">
        <v>20020002</v>
      </c>
      <c r="J23" t="s">
        <v>55</v>
      </c>
      <c r="K23">
        <v>1250</v>
      </c>
      <c r="L23" t="s">
        <v>73</v>
      </c>
      <c r="M23">
        <v>1250</v>
      </c>
    </row>
    <row r="24" spans="1:13" x14ac:dyDescent="0.25">
      <c r="A24">
        <v>20020002</v>
      </c>
      <c r="B24" t="s">
        <v>55</v>
      </c>
      <c r="C24">
        <v>1250</v>
      </c>
      <c r="H24" t="str">
        <f t="shared" si="0"/>
        <v>200200200023</v>
      </c>
      <c r="I24" s="18">
        <v>20020020</v>
      </c>
      <c r="J24" t="s">
        <v>32</v>
      </c>
      <c r="K24">
        <v>1250</v>
      </c>
      <c r="L24" t="s">
        <v>73</v>
      </c>
      <c r="M24">
        <v>1250</v>
      </c>
    </row>
    <row r="25" spans="1:13" x14ac:dyDescent="0.25">
      <c r="A25">
        <v>20020020</v>
      </c>
      <c r="B25" t="s">
        <v>32</v>
      </c>
      <c r="C25">
        <v>1250</v>
      </c>
      <c r="H25" t="str">
        <f t="shared" si="0"/>
        <v>200200200033</v>
      </c>
      <c r="I25" s="18">
        <v>20020020</v>
      </c>
      <c r="J25" t="s">
        <v>29</v>
      </c>
      <c r="K25">
        <v>690</v>
      </c>
      <c r="L25" t="s">
        <v>73</v>
      </c>
      <c r="M25">
        <v>690</v>
      </c>
    </row>
    <row r="26" spans="1:13" x14ac:dyDescent="0.25">
      <c r="A26">
        <v>20020020</v>
      </c>
      <c r="B26" t="s">
        <v>29</v>
      </c>
      <c r="C26">
        <v>690</v>
      </c>
      <c r="H26" t="str">
        <f t="shared" si="0"/>
        <v>200200200038</v>
      </c>
      <c r="I26" s="18">
        <v>20020020</v>
      </c>
      <c r="J26" t="s">
        <v>33</v>
      </c>
      <c r="K26">
        <v>1860</v>
      </c>
      <c r="L26" t="s">
        <v>73</v>
      </c>
      <c r="M26">
        <v>922</v>
      </c>
    </row>
    <row r="27" spans="1:13" x14ac:dyDescent="0.25">
      <c r="A27">
        <v>20020020</v>
      </c>
      <c r="B27" t="s">
        <v>33</v>
      </c>
      <c r="C27">
        <v>1860</v>
      </c>
      <c r="H27" t="str">
        <f t="shared" si="0"/>
        <v>200200200041</v>
      </c>
      <c r="I27" s="18">
        <v>20020020</v>
      </c>
      <c r="J27" t="s">
        <v>34</v>
      </c>
      <c r="K27">
        <v>1250</v>
      </c>
      <c r="L27" t="s">
        <v>73</v>
      </c>
      <c r="M27">
        <v>1250</v>
      </c>
    </row>
    <row r="28" spans="1:13" x14ac:dyDescent="0.25">
      <c r="A28">
        <v>20020020</v>
      </c>
      <c r="B28" t="s">
        <v>34</v>
      </c>
      <c r="C28">
        <v>1250</v>
      </c>
      <c r="H28" t="str">
        <f t="shared" si="0"/>
        <v>200200200042</v>
      </c>
      <c r="I28" s="18">
        <v>20020020</v>
      </c>
      <c r="J28" t="s">
        <v>30</v>
      </c>
      <c r="K28">
        <v>1715</v>
      </c>
      <c r="L28" t="s">
        <v>73</v>
      </c>
      <c r="M28">
        <v>1354</v>
      </c>
    </row>
    <row r="29" spans="1:13" x14ac:dyDescent="0.25">
      <c r="A29">
        <v>20020020</v>
      </c>
      <c r="B29" t="s">
        <v>30</v>
      </c>
      <c r="C29">
        <v>1715</v>
      </c>
      <c r="H29" t="str">
        <f t="shared" si="0"/>
        <v>200200200043</v>
      </c>
      <c r="I29" s="17">
        <v>20020020</v>
      </c>
      <c r="J29" t="s">
        <v>57</v>
      </c>
      <c r="K29">
        <v>1250</v>
      </c>
      <c r="L29" t="s">
        <v>73</v>
      </c>
      <c r="M29">
        <v>884</v>
      </c>
    </row>
    <row r="30" spans="1:13" x14ac:dyDescent="0.25">
      <c r="A30">
        <v>20020020</v>
      </c>
      <c r="B30" t="s">
        <v>57</v>
      </c>
      <c r="C30">
        <v>1250</v>
      </c>
      <c r="H30" t="str">
        <f t="shared" si="0"/>
        <v>200200250002</v>
      </c>
      <c r="I30" s="17">
        <v>20020025</v>
      </c>
      <c r="J30" t="s">
        <v>24</v>
      </c>
      <c r="K30">
        <v>7500</v>
      </c>
      <c r="L30" t="s">
        <v>73</v>
      </c>
      <c r="M30">
        <v>5782</v>
      </c>
    </row>
    <row r="31" spans="1:13" x14ac:dyDescent="0.25">
      <c r="A31">
        <v>20020025</v>
      </c>
      <c r="B31" t="s">
        <v>24</v>
      </c>
      <c r="C31">
        <v>7500</v>
      </c>
      <c r="H31" t="str">
        <f t="shared" si="0"/>
        <v>200500010049</v>
      </c>
      <c r="I31" s="17">
        <v>20050001</v>
      </c>
      <c r="J31" t="s">
        <v>60</v>
      </c>
      <c r="K31">
        <v>2500</v>
      </c>
      <c r="L31" t="s">
        <v>73</v>
      </c>
      <c r="M31">
        <v>2500</v>
      </c>
    </row>
    <row r="32" spans="1:13" x14ac:dyDescent="0.25">
      <c r="A32">
        <v>20050001</v>
      </c>
      <c r="B32" t="s">
        <v>60</v>
      </c>
      <c r="C32">
        <v>2500</v>
      </c>
      <c r="H32" t="str">
        <f t="shared" si="0"/>
        <v>200500030002</v>
      </c>
      <c r="I32" s="17">
        <v>20050003</v>
      </c>
      <c r="J32" t="s">
        <v>24</v>
      </c>
      <c r="K32">
        <v>3750</v>
      </c>
      <c r="L32" t="s">
        <v>73</v>
      </c>
      <c r="M32">
        <v>3750</v>
      </c>
    </row>
    <row r="33" spans="1:13" x14ac:dyDescent="0.25">
      <c r="A33">
        <v>20050003</v>
      </c>
      <c r="B33" t="s">
        <v>24</v>
      </c>
      <c r="C33">
        <v>3750</v>
      </c>
      <c r="H33" t="str">
        <f t="shared" si="0"/>
        <v>200600010015</v>
      </c>
      <c r="I33" s="18">
        <v>20060001</v>
      </c>
      <c r="J33" t="s">
        <v>46</v>
      </c>
      <c r="K33">
        <v>1250</v>
      </c>
      <c r="L33" t="s">
        <v>73</v>
      </c>
      <c r="M33">
        <v>1250</v>
      </c>
    </row>
    <row r="34" spans="1:13" x14ac:dyDescent="0.25">
      <c r="A34">
        <v>20060001</v>
      </c>
      <c r="B34" t="s">
        <v>46</v>
      </c>
      <c r="C34">
        <v>1250</v>
      </c>
      <c r="H34" t="str">
        <f t="shared" si="0"/>
        <v>200600010018</v>
      </c>
      <c r="I34" s="18">
        <v>20060001</v>
      </c>
      <c r="J34" t="s">
        <v>45</v>
      </c>
      <c r="K34">
        <v>1250</v>
      </c>
      <c r="L34" t="s">
        <v>73</v>
      </c>
      <c r="M34">
        <v>1250</v>
      </c>
    </row>
    <row r="35" spans="1:13" x14ac:dyDescent="0.25">
      <c r="A35">
        <v>20060001</v>
      </c>
      <c r="B35" t="s">
        <v>45</v>
      </c>
      <c r="C35">
        <v>1250</v>
      </c>
      <c r="H35" t="str">
        <f t="shared" si="0"/>
        <v>200600010023</v>
      </c>
      <c r="I35" s="18">
        <v>20060001</v>
      </c>
      <c r="J35" t="s">
        <v>32</v>
      </c>
      <c r="K35">
        <v>3750</v>
      </c>
      <c r="L35" t="s">
        <v>73</v>
      </c>
      <c r="M35">
        <v>2955</v>
      </c>
    </row>
    <row r="36" spans="1:13" x14ac:dyDescent="0.25">
      <c r="A36">
        <v>20060001</v>
      </c>
      <c r="B36" t="s">
        <v>32</v>
      </c>
      <c r="C36">
        <v>3750</v>
      </c>
      <c r="H36" t="str">
        <f t="shared" si="0"/>
        <v>200600010024</v>
      </c>
      <c r="I36" s="17">
        <v>20060001</v>
      </c>
      <c r="J36" t="s">
        <v>47</v>
      </c>
      <c r="K36">
        <v>2500</v>
      </c>
      <c r="L36" t="s">
        <v>73</v>
      </c>
      <c r="M36">
        <v>2500</v>
      </c>
    </row>
    <row r="37" spans="1:13" x14ac:dyDescent="0.25">
      <c r="A37">
        <v>20060001</v>
      </c>
      <c r="B37" t="s">
        <v>47</v>
      </c>
      <c r="C37">
        <v>2500</v>
      </c>
      <c r="H37" t="str">
        <f t="shared" si="0"/>
        <v>200600030002</v>
      </c>
      <c r="I37" s="17">
        <v>20060003</v>
      </c>
      <c r="J37" t="s">
        <v>24</v>
      </c>
      <c r="K37">
        <v>25000</v>
      </c>
      <c r="L37" t="s">
        <v>73</v>
      </c>
      <c r="M37">
        <v>25000</v>
      </c>
    </row>
    <row r="38" spans="1:13" x14ac:dyDescent="0.25">
      <c r="A38">
        <v>20060003</v>
      </c>
      <c r="B38" t="s">
        <v>24</v>
      </c>
      <c r="C38">
        <v>25000</v>
      </c>
      <c r="H38" t="str">
        <f t="shared" si="0"/>
        <v>200700100002</v>
      </c>
      <c r="I38" s="17">
        <v>20070010</v>
      </c>
      <c r="J38" t="s">
        <v>24</v>
      </c>
      <c r="K38">
        <v>2500</v>
      </c>
      <c r="L38" t="s">
        <v>73</v>
      </c>
      <c r="M38">
        <v>2490</v>
      </c>
    </row>
    <row r="39" spans="1:13" x14ac:dyDescent="0.25">
      <c r="A39">
        <v>20070009</v>
      </c>
      <c r="B39" t="s">
        <v>24</v>
      </c>
      <c r="C39">
        <v>2500</v>
      </c>
      <c r="H39" t="str">
        <f t="shared" si="0"/>
        <v>200700240002</v>
      </c>
      <c r="I39" s="17">
        <v>20070024</v>
      </c>
      <c r="J39" t="s">
        <v>24</v>
      </c>
      <c r="K39">
        <v>8844</v>
      </c>
      <c r="L39" t="s">
        <v>73</v>
      </c>
      <c r="M39">
        <v>8844</v>
      </c>
    </row>
    <row r="40" spans="1:13" x14ac:dyDescent="0.25">
      <c r="A40">
        <v>20070010</v>
      </c>
      <c r="B40" t="s">
        <v>24</v>
      </c>
      <c r="C40">
        <v>2500</v>
      </c>
      <c r="H40" t="str">
        <f t="shared" si="0"/>
        <v>200900110003</v>
      </c>
      <c r="I40" s="17">
        <v>20090011</v>
      </c>
      <c r="J40" t="s">
        <v>37</v>
      </c>
      <c r="K40">
        <v>2500</v>
      </c>
      <c r="L40" t="s">
        <v>73</v>
      </c>
      <c r="M40">
        <v>2500</v>
      </c>
    </row>
    <row r="41" spans="1:13" x14ac:dyDescent="0.25">
      <c r="A41">
        <v>20070024</v>
      </c>
      <c r="B41" t="s">
        <v>24</v>
      </c>
      <c r="C41">
        <v>8844</v>
      </c>
      <c r="H41" t="str">
        <f t="shared" si="0"/>
        <v>200900110007</v>
      </c>
      <c r="I41" s="18">
        <v>20090011</v>
      </c>
      <c r="J41" t="s">
        <v>26</v>
      </c>
      <c r="K41">
        <v>1250</v>
      </c>
      <c r="L41" t="s">
        <v>73</v>
      </c>
      <c r="M41">
        <v>1250</v>
      </c>
    </row>
    <row r="42" spans="1:13" x14ac:dyDescent="0.25">
      <c r="A42">
        <v>20090011</v>
      </c>
      <c r="B42" t="s">
        <v>37</v>
      </c>
      <c r="C42">
        <v>2500</v>
      </c>
      <c r="H42" t="str">
        <f t="shared" si="0"/>
        <v>200900150002</v>
      </c>
      <c r="I42" s="17">
        <v>20090015</v>
      </c>
      <c r="J42" t="s">
        <v>24</v>
      </c>
      <c r="K42">
        <v>1250</v>
      </c>
      <c r="L42" t="s">
        <v>73</v>
      </c>
      <c r="M42">
        <v>616</v>
      </c>
    </row>
    <row r="43" spans="1:13" x14ac:dyDescent="0.25">
      <c r="A43">
        <v>20090011</v>
      </c>
      <c r="B43" t="s">
        <v>26</v>
      </c>
      <c r="C43">
        <v>1250</v>
      </c>
      <c r="H43" t="str">
        <f t="shared" si="0"/>
        <v>200900150026</v>
      </c>
      <c r="I43" s="18">
        <v>20090015</v>
      </c>
      <c r="J43" t="s">
        <v>38</v>
      </c>
      <c r="K43">
        <v>1250</v>
      </c>
      <c r="L43" t="s">
        <v>73</v>
      </c>
      <c r="M43">
        <v>1121</v>
      </c>
    </row>
    <row r="44" spans="1:13" x14ac:dyDescent="0.25">
      <c r="A44">
        <v>20090015</v>
      </c>
      <c r="B44" t="s">
        <v>24</v>
      </c>
      <c r="C44">
        <v>1250</v>
      </c>
      <c r="H44" t="str">
        <f t="shared" si="0"/>
        <v>200900170003</v>
      </c>
      <c r="I44" s="17">
        <v>20090017</v>
      </c>
      <c r="J44" t="s">
        <v>37</v>
      </c>
      <c r="K44">
        <v>2500</v>
      </c>
      <c r="L44" t="s">
        <v>73</v>
      </c>
      <c r="M44">
        <v>2500</v>
      </c>
    </row>
    <row r="45" spans="1:13" x14ac:dyDescent="0.25">
      <c r="A45">
        <v>20090015</v>
      </c>
      <c r="B45" t="s">
        <v>38</v>
      </c>
      <c r="C45">
        <v>1250</v>
      </c>
      <c r="H45" t="str">
        <f t="shared" si="0"/>
        <v>200900200002</v>
      </c>
      <c r="I45" s="17">
        <v>20090020</v>
      </c>
      <c r="J45" t="s">
        <v>24</v>
      </c>
      <c r="K45">
        <v>1250</v>
      </c>
      <c r="L45" t="s">
        <v>73</v>
      </c>
      <c r="M45">
        <v>1250</v>
      </c>
    </row>
    <row r="46" spans="1:13" x14ac:dyDescent="0.25">
      <c r="A46">
        <v>20090017</v>
      </c>
      <c r="B46" t="s">
        <v>37</v>
      </c>
      <c r="C46">
        <v>2500</v>
      </c>
      <c r="H46" t="str">
        <f t="shared" si="0"/>
        <v>200900200005</v>
      </c>
      <c r="I46" s="18">
        <v>20090020</v>
      </c>
      <c r="J46" t="s">
        <v>23</v>
      </c>
      <c r="K46">
        <v>2500</v>
      </c>
      <c r="L46" t="s">
        <v>73</v>
      </c>
      <c r="M46">
        <v>2500</v>
      </c>
    </row>
    <row r="47" spans="1:13" x14ac:dyDescent="0.25">
      <c r="A47">
        <v>20090020</v>
      </c>
      <c r="B47" t="s">
        <v>24</v>
      </c>
      <c r="C47">
        <v>1250</v>
      </c>
      <c r="H47" t="str">
        <f t="shared" si="0"/>
        <v>200900230002</v>
      </c>
      <c r="I47" s="17">
        <v>20090023</v>
      </c>
      <c r="J47" t="s">
        <v>24</v>
      </c>
      <c r="K47">
        <v>6250</v>
      </c>
      <c r="L47" t="s">
        <v>73</v>
      </c>
      <c r="M47">
        <v>35</v>
      </c>
    </row>
    <row r="48" spans="1:13" x14ac:dyDescent="0.25">
      <c r="A48">
        <v>20090020</v>
      </c>
      <c r="B48" t="s">
        <v>23</v>
      </c>
      <c r="C48">
        <v>2500</v>
      </c>
      <c r="H48" s="16" t="s">
        <v>69</v>
      </c>
      <c r="I48" s="16"/>
      <c r="J48" s="16"/>
      <c r="K48" s="16">
        <v>126629</v>
      </c>
      <c r="M48">
        <f>SUM(M4:M47)</f>
        <v>112773</v>
      </c>
    </row>
    <row r="49" spans="1:3" x14ac:dyDescent="0.25">
      <c r="A49">
        <v>20090023</v>
      </c>
      <c r="B49" t="s">
        <v>24</v>
      </c>
      <c r="C49">
        <v>6250</v>
      </c>
    </row>
    <row r="50" spans="1:3" x14ac:dyDescent="0.25">
      <c r="A50" t="s">
        <v>69</v>
      </c>
      <c r="C50">
        <v>126629</v>
      </c>
    </row>
  </sheetData>
  <autoFilter ref="H3:L3" xr:uid="{6AD7A4A1-4F2F-4E8E-9073-40798366F00F}">
    <sortState xmlns:xlrd2="http://schemas.microsoft.com/office/spreadsheetml/2017/richdata2" ref="H4:L49">
      <sortCondition ref="L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7301-EE49-407F-9A80-E403DCB4FC82}">
  <dimension ref="A1:Q50"/>
  <sheetViews>
    <sheetView zoomScaleNormal="100" workbookViewId="0">
      <pane xSplit="4" ySplit="3" topLeftCell="G18" activePane="bottomRight" state="frozen"/>
      <selection pane="topRight" activeCell="E1" sqref="E1"/>
      <selection pane="bottomLeft" activeCell="A4" sqref="A4"/>
      <selection pane="bottomRight" activeCell="A3" sqref="A3:O50"/>
    </sheetView>
  </sheetViews>
  <sheetFormatPr defaultColWidth="12.5703125" defaultRowHeight="15" x14ac:dyDescent="0.25"/>
  <cols>
    <col min="1" max="1" width="13.28515625" customWidth="1"/>
    <col min="2" max="2" width="23.140625" customWidth="1"/>
    <col min="3" max="3" width="18.85546875" customWidth="1"/>
    <col min="4" max="4" width="14.5703125" customWidth="1"/>
    <col min="5" max="5" width="12.28515625" customWidth="1"/>
    <col min="6" max="6" width="16.140625" customWidth="1"/>
    <col min="7" max="7" width="13" customWidth="1"/>
    <col min="8" max="8" width="16" customWidth="1"/>
    <col min="9" max="9" width="16.140625" customWidth="1"/>
    <col min="10" max="10" width="7.85546875" customWidth="1"/>
    <col min="11" max="11" width="12.28515625" customWidth="1"/>
    <col min="12" max="13" width="13.140625" customWidth="1"/>
    <col min="14" max="14" width="16" customWidth="1"/>
    <col min="15" max="19" width="18.85546875" customWidth="1"/>
  </cols>
  <sheetData>
    <row r="1" spans="1:17" ht="15.75" customHeight="1" x14ac:dyDescent="0.25">
      <c r="J1">
        <f>SUBTOTAL(9,J4:J102)</f>
        <v>81</v>
      </c>
      <c r="L1">
        <f>SUBTOTAL(9,L4:L94)</f>
        <v>126629</v>
      </c>
    </row>
    <row r="2" spans="1:17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22" t="s">
        <v>0</v>
      </c>
      <c r="K2" s="23"/>
      <c r="L2" s="23"/>
      <c r="M2" s="24" t="s">
        <v>18</v>
      </c>
      <c r="N2" s="25"/>
      <c r="O2" s="26"/>
      <c r="P2" s="1"/>
    </row>
    <row r="3" spans="1:17" s="7" customFormat="1" ht="12.75" x14ac:dyDescent="0.2">
      <c r="A3" s="2" t="s">
        <v>1</v>
      </c>
      <c r="B3" s="2" t="s">
        <v>2</v>
      </c>
      <c r="C3" s="3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2" t="s">
        <v>8</v>
      </c>
      <c r="I3" s="2" t="s">
        <v>9</v>
      </c>
      <c r="J3" s="3" t="s">
        <v>10</v>
      </c>
      <c r="K3" s="2" t="s">
        <v>11</v>
      </c>
      <c r="L3" s="2" t="s">
        <v>12</v>
      </c>
      <c r="M3" s="5" t="s">
        <v>13</v>
      </c>
      <c r="N3" s="5" t="s">
        <v>14</v>
      </c>
      <c r="O3" s="5" t="s">
        <v>15</v>
      </c>
      <c r="P3" s="6"/>
      <c r="Q3" s="7" t="s">
        <v>19</v>
      </c>
    </row>
    <row r="4" spans="1:17" x14ac:dyDescent="0.25">
      <c r="A4" s="8">
        <v>46131</v>
      </c>
      <c r="B4" s="9" t="s">
        <v>43</v>
      </c>
      <c r="C4" s="9" t="s">
        <v>16</v>
      </c>
      <c r="D4" s="9" t="str">
        <f t="shared" ref="D4" si="0">CONCATENATE(E4,G4)</f>
        <v>200100030003</v>
      </c>
      <c r="E4" s="9">
        <v>20010003</v>
      </c>
      <c r="F4" s="10" t="s">
        <v>21</v>
      </c>
      <c r="G4" s="10" t="s">
        <v>37</v>
      </c>
      <c r="H4" s="10" t="s">
        <v>21</v>
      </c>
      <c r="I4" s="9" t="s">
        <v>17</v>
      </c>
      <c r="J4" s="9">
        <v>0</v>
      </c>
      <c r="K4" s="9">
        <v>0</v>
      </c>
      <c r="L4" s="9">
        <v>11863</v>
      </c>
      <c r="M4" s="9">
        <f>J4</f>
        <v>0</v>
      </c>
      <c r="N4" s="9">
        <v>11863</v>
      </c>
      <c r="O4" s="1"/>
      <c r="P4" s="1">
        <f>N4-O4</f>
        <v>11863</v>
      </c>
    </row>
    <row r="5" spans="1:17" x14ac:dyDescent="0.25">
      <c r="A5" s="8">
        <v>46131</v>
      </c>
      <c r="B5" s="9" t="s">
        <v>43</v>
      </c>
      <c r="C5" s="9" t="s">
        <v>16</v>
      </c>
      <c r="D5" s="9" t="str">
        <f t="shared" ref="D5:D7" si="1">CONCATENATE(E5,G5)</f>
        <v>200600010023</v>
      </c>
      <c r="E5" s="9">
        <v>20060001</v>
      </c>
      <c r="F5" s="10" t="s">
        <v>44</v>
      </c>
      <c r="G5" s="10" t="s">
        <v>32</v>
      </c>
      <c r="H5" s="9" t="s">
        <v>44</v>
      </c>
      <c r="I5" s="9" t="s">
        <v>17</v>
      </c>
      <c r="J5" s="9">
        <v>3</v>
      </c>
      <c r="K5" s="9">
        <v>1250</v>
      </c>
      <c r="L5" s="9">
        <f t="shared" ref="L5:L29" si="2">J5*K5</f>
        <v>3750</v>
      </c>
      <c r="M5" s="9">
        <f t="shared" ref="M5:M19" si="3">J5</f>
        <v>3</v>
      </c>
      <c r="N5" s="9">
        <f t="shared" ref="N5:N29" si="4">M5*K5</f>
        <v>3750</v>
      </c>
      <c r="O5" s="1"/>
      <c r="P5" s="1">
        <f t="shared" ref="P5:P13" si="5">N5-O5</f>
        <v>3750</v>
      </c>
    </row>
    <row r="6" spans="1:17" x14ac:dyDescent="0.25">
      <c r="A6" s="8">
        <v>46131</v>
      </c>
      <c r="B6" s="9" t="s">
        <v>43</v>
      </c>
      <c r="C6" s="9" t="s">
        <v>16</v>
      </c>
      <c r="D6" s="9" t="str">
        <f t="shared" si="1"/>
        <v>200600010018</v>
      </c>
      <c r="E6" s="9">
        <v>20060001</v>
      </c>
      <c r="F6" s="10" t="s">
        <v>44</v>
      </c>
      <c r="G6" s="10" t="s">
        <v>45</v>
      </c>
      <c r="H6" s="9" t="s">
        <v>44</v>
      </c>
      <c r="I6" s="9" t="s">
        <v>17</v>
      </c>
      <c r="J6" s="9">
        <v>1</v>
      </c>
      <c r="K6" s="9">
        <v>1250</v>
      </c>
      <c r="L6" s="9">
        <f t="shared" si="2"/>
        <v>1250</v>
      </c>
      <c r="M6" s="9">
        <f t="shared" si="3"/>
        <v>1</v>
      </c>
      <c r="N6" s="9">
        <f t="shared" si="4"/>
        <v>1250</v>
      </c>
      <c r="O6" s="1"/>
      <c r="P6" s="1">
        <f t="shared" si="5"/>
        <v>1250</v>
      </c>
    </row>
    <row r="7" spans="1:17" x14ac:dyDescent="0.25">
      <c r="A7" s="8">
        <v>46131</v>
      </c>
      <c r="B7" s="9" t="s">
        <v>43</v>
      </c>
      <c r="C7" s="9" t="s">
        <v>16</v>
      </c>
      <c r="D7" s="9" t="str">
        <f t="shared" si="1"/>
        <v>200600010015</v>
      </c>
      <c r="E7" s="9">
        <v>20060001</v>
      </c>
      <c r="F7" s="10" t="s">
        <v>44</v>
      </c>
      <c r="G7" s="10" t="s">
        <v>46</v>
      </c>
      <c r="H7" s="9" t="s">
        <v>44</v>
      </c>
      <c r="I7" s="9" t="s">
        <v>17</v>
      </c>
      <c r="J7" s="9">
        <v>1</v>
      </c>
      <c r="K7" s="9">
        <v>1250</v>
      </c>
      <c r="L7" s="9">
        <f t="shared" si="2"/>
        <v>1250</v>
      </c>
      <c r="M7" s="9">
        <f t="shared" si="3"/>
        <v>1</v>
      </c>
      <c r="N7" s="9">
        <f t="shared" si="4"/>
        <v>1250</v>
      </c>
      <c r="O7" s="1"/>
      <c r="P7" s="1">
        <f t="shared" si="5"/>
        <v>1250</v>
      </c>
    </row>
    <row r="8" spans="1:17" x14ac:dyDescent="0.25">
      <c r="A8" s="8">
        <v>46131</v>
      </c>
      <c r="B8" s="9" t="s">
        <v>43</v>
      </c>
      <c r="C8" s="9" t="s">
        <v>16</v>
      </c>
      <c r="D8" s="9" t="str">
        <f t="shared" ref="D8:D13" si="6">CONCATENATE(E8,G8)</f>
        <v>200600010024</v>
      </c>
      <c r="E8" s="9">
        <v>20060001</v>
      </c>
      <c r="F8" s="10" t="s">
        <v>44</v>
      </c>
      <c r="G8" s="10" t="s">
        <v>47</v>
      </c>
      <c r="H8" s="9" t="s">
        <v>44</v>
      </c>
      <c r="I8" s="9" t="s">
        <v>17</v>
      </c>
      <c r="J8" s="11">
        <v>2</v>
      </c>
      <c r="K8" s="9">
        <v>1250</v>
      </c>
      <c r="L8" s="9">
        <f t="shared" si="2"/>
        <v>2500</v>
      </c>
      <c r="M8" s="11">
        <f t="shared" si="3"/>
        <v>2</v>
      </c>
      <c r="N8" s="9">
        <f t="shared" si="4"/>
        <v>2500</v>
      </c>
      <c r="O8" s="11"/>
      <c r="P8" s="1">
        <f t="shared" si="5"/>
        <v>2500</v>
      </c>
    </row>
    <row r="9" spans="1:17" x14ac:dyDescent="0.25">
      <c r="A9" s="8">
        <v>46131</v>
      </c>
      <c r="B9" s="9" t="s">
        <v>43</v>
      </c>
      <c r="C9" s="9" t="s">
        <v>16</v>
      </c>
      <c r="D9" s="9" t="str">
        <f t="shared" si="6"/>
        <v>200100080024</v>
      </c>
      <c r="E9" s="9">
        <v>20010008</v>
      </c>
      <c r="F9" s="11" t="s">
        <v>48</v>
      </c>
      <c r="G9" s="12" t="s">
        <v>47</v>
      </c>
      <c r="H9" s="11" t="s">
        <v>21</v>
      </c>
      <c r="I9" s="9" t="s">
        <v>17</v>
      </c>
      <c r="J9" s="11">
        <v>1</v>
      </c>
      <c r="K9" s="9">
        <v>1250</v>
      </c>
      <c r="L9" s="9">
        <f t="shared" si="2"/>
        <v>1250</v>
      </c>
      <c r="M9" s="11">
        <f t="shared" si="3"/>
        <v>1</v>
      </c>
      <c r="N9" s="9">
        <f t="shared" si="4"/>
        <v>1250</v>
      </c>
      <c r="O9" s="11"/>
      <c r="P9" s="1">
        <f t="shared" si="5"/>
        <v>1250</v>
      </c>
    </row>
    <row r="10" spans="1:17" x14ac:dyDescent="0.25">
      <c r="A10" s="8">
        <v>46131</v>
      </c>
      <c r="B10" s="9" t="s">
        <v>43</v>
      </c>
      <c r="C10" s="9" t="s">
        <v>16</v>
      </c>
      <c r="D10" s="9" t="str">
        <f t="shared" si="6"/>
        <v>200100080035</v>
      </c>
      <c r="E10" s="9">
        <v>20010008</v>
      </c>
      <c r="F10" s="11" t="s">
        <v>48</v>
      </c>
      <c r="G10" s="12" t="s">
        <v>49</v>
      </c>
      <c r="H10" s="11" t="s">
        <v>21</v>
      </c>
      <c r="I10" s="9" t="s">
        <v>17</v>
      </c>
      <c r="J10" s="11">
        <v>9</v>
      </c>
      <c r="K10" s="9">
        <v>1250</v>
      </c>
      <c r="L10" s="9">
        <f t="shared" si="2"/>
        <v>11250</v>
      </c>
      <c r="M10" s="11">
        <f t="shared" si="3"/>
        <v>9</v>
      </c>
      <c r="N10" s="9">
        <f t="shared" si="4"/>
        <v>11250</v>
      </c>
      <c r="O10" s="11"/>
      <c r="P10" s="1">
        <f t="shared" si="5"/>
        <v>11250</v>
      </c>
    </row>
    <row r="11" spans="1:17" x14ac:dyDescent="0.25">
      <c r="A11" s="8">
        <v>46131</v>
      </c>
      <c r="B11" s="9" t="s">
        <v>43</v>
      </c>
      <c r="C11" s="9" t="s">
        <v>16</v>
      </c>
      <c r="D11" s="9" t="str">
        <f t="shared" si="6"/>
        <v>200600030002</v>
      </c>
      <c r="E11" s="9">
        <v>20060003</v>
      </c>
      <c r="F11" s="11" t="s">
        <v>25</v>
      </c>
      <c r="G11" s="12" t="s">
        <v>24</v>
      </c>
      <c r="H11" s="11" t="s">
        <v>25</v>
      </c>
      <c r="I11" s="9" t="s">
        <v>17</v>
      </c>
      <c r="J11" s="11">
        <v>20</v>
      </c>
      <c r="K11" s="9">
        <v>1250</v>
      </c>
      <c r="L11" s="9">
        <f t="shared" si="2"/>
        <v>25000</v>
      </c>
      <c r="M11" s="11">
        <f t="shared" si="3"/>
        <v>20</v>
      </c>
      <c r="N11" s="9">
        <f t="shared" si="4"/>
        <v>25000</v>
      </c>
      <c r="O11" s="11"/>
      <c r="P11" s="1">
        <f t="shared" si="5"/>
        <v>25000</v>
      </c>
    </row>
    <row r="12" spans="1:17" x14ac:dyDescent="0.25">
      <c r="A12" s="8">
        <v>46131</v>
      </c>
      <c r="B12" s="9" t="s">
        <v>43</v>
      </c>
      <c r="C12" s="9" t="s">
        <v>16</v>
      </c>
      <c r="D12" s="9" t="str">
        <f t="shared" si="6"/>
        <v>200100160025</v>
      </c>
      <c r="E12" s="9">
        <v>20010016</v>
      </c>
      <c r="F12" s="11" t="s">
        <v>20</v>
      </c>
      <c r="G12" s="12" t="s">
        <v>22</v>
      </c>
      <c r="H12" s="11" t="s">
        <v>21</v>
      </c>
      <c r="I12" s="9" t="s">
        <v>17</v>
      </c>
      <c r="J12" s="11">
        <v>0</v>
      </c>
      <c r="K12" s="9">
        <v>0</v>
      </c>
      <c r="L12" s="9">
        <v>860</v>
      </c>
      <c r="M12" s="11">
        <f t="shared" si="3"/>
        <v>0</v>
      </c>
      <c r="N12" s="9">
        <v>860</v>
      </c>
      <c r="O12" s="11"/>
      <c r="P12" s="1">
        <f t="shared" si="5"/>
        <v>860</v>
      </c>
    </row>
    <row r="13" spans="1:17" x14ac:dyDescent="0.25">
      <c r="A13" s="8">
        <v>46131</v>
      </c>
      <c r="B13" s="9" t="s">
        <v>43</v>
      </c>
      <c r="C13" s="9" t="s">
        <v>16</v>
      </c>
      <c r="D13" s="9" t="str">
        <f t="shared" si="6"/>
        <v>200100160005</v>
      </c>
      <c r="E13" s="9">
        <v>20010016</v>
      </c>
      <c r="F13" s="11" t="s">
        <v>20</v>
      </c>
      <c r="G13" s="12" t="s">
        <v>23</v>
      </c>
      <c r="H13" s="11" t="s">
        <v>21</v>
      </c>
      <c r="I13" s="9" t="s">
        <v>17</v>
      </c>
      <c r="J13" s="11">
        <v>0</v>
      </c>
      <c r="K13" s="9">
        <v>0</v>
      </c>
      <c r="L13" s="9">
        <v>805</v>
      </c>
      <c r="M13" s="11">
        <f t="shared" si="3"/>
        <v>0</v>
      </c>
      <c r="N13" s="9">
        <v>805</v>
      </c>
      <c r="O13" s="11"/>
      <c r="P13" s="1">
        <f t="shared" si="5"/>
        <v>805</v>
      </c>
    </row>
    <row r="14" spans="1:17" x14ac:dyDescent="0.25">
      <c r="A14" s="8">
        <v>46131</v>
      </c>
      <c r="B14" s="9" t="s">
        <v>43</v>
      </c>
      <c r="C14" s="9" t="s">
        <v>16</v>
      </c>
      <c r="D14" s="9" t="str">
        <f t="shared" ref="D14:D19" si="7">CONCATENATE(E14,G14)</f>
        <v>200700100002</v>
      </c>
      <c r="E14" s="9">
        <v>20070010</v>
      </c>
      <c r="F14" s="11" t="s">
        <v>50</v>
      </c>
      <c r="G14" s="12" t="s">
        <v>24</v>
      </c>
      <c r="H14" s="11"/>
      <c r="I14" s="9" t="s">
        <v>17</v>
      </c>
      <c r="J14" s="11">
        <v>2</v>
      </c>
      <c r="K14" s="9">
        <v>1250</v>
      </c>
      <c r="L14" s="9">
        <f t="shared" si="2"/>
        <v>2500</v>
      </c>
      <c r="M14" s="11">
        <f t="shared" si="3"/>
        <v>2</v>
      </c>
      <c r="N14" s="9">
        <f t="shared" si="4"/>
        <v>2500</v>
      </c>
      <c r="O14" s="11"/>
      <c r="P14" s="1">
        <f t="shared" ref="P14:P19" si="8">N14-O14</f>
        <v>2500</v>
      </c>
    </row>
    <row r="15" spans="1:17" x14ac:dyDescent="0.25">
      <c r="A15" s="8">
        <v>46131</v>
      </c>
      <c r="B15" s="9" t="s">
        <v>43</v>
      </c>
      <c r="C15" s="9" t="s">
        <v>16</v>
      </c>
      <c r="D15" s="9" t="str">
        <f t="shared" si="7"/>
        <v>200700090002</v>
      </c>
      <c r="E15" s="9">
        <v>20070009</v>
      </c>
      <c r="F15" s="11" t="s">
        <v>51</v>
      </c>
      <c r="G15" s="12" t="s">
        <v>24</v>
      </c>
      <c r="H15" s="11"/>
      <c r="I15" s="9" t="s">
        <v>17</v>
      </c>
      <c r="J15" s="11">
        <v>2</v>
      </c>
      <c r="K15" s="9">
        <v>1250</v>
      </c>
      <c r="L15" s="9">
        <f t="shared" si="2"/>
        <v>2500</v>
      </c>
      <c r="M15" s="11">
        <f t="shared" si="3"/>
        <v>2</v>
      </c>
      <c r="N15" s="9">
        <f t="shared" si="4"/>
        <v>2500</v>
      </c>
      <c r="O15" s="11"/>
      <c r="P15" s="1">
        <f t="shared" si="8"/>
        <v>2500</v>
      </c>
    </row>
    <row r="16" spans="1:17" x14ac:dyDescent="0.25">
      <c r="A16" s="8">
        <v>46131</v>
      </c>
      <c r="B16" s="9" t="s">
        <v>43</v>
      </c>
      <c r="C16" s="9" t="s">
        <v>16</v>
      </c>
      <c r="D16" s="9" t="str">
        <f t="shared" si="7"/>
        <v>200200010160</v>
      </c>
      <c r="E16" s="9">
        <v>20020001</v>
      </c>
      <c r="F16" s="11" t="s">
        <v>27</v>
      </c>
      <c r="G16" s="12" t="s">
        <v>52</v>
      </c>
      <c r="H16" s="11" t="s">
        <v>27</v>
      </c>
      <c r="I16" s="9" t="s">
        <v>17</v>
      </c>
      <c r="J16" s="11">
        <v>0</v>
      </c>
      <c r="K16" s="9">
        <v>0</v>
      </c>
      <c r="L16" s="9">
        <v>526</v>
      </c>
      <c r="M16" s="11">
        <f t="shared" si="3"/>
        <v>0</v>
      </c>
      <c r="N16" s="9">
        <v>526</v>
      </c>
      <c r="O16" s="11"/>
      <c r="P16" s="1">
        <f t="shared" si="8"/>
        <v>526</v>
      </c>
    </row>
    <row r="17" spans="1:16" x14ac:dyDescent="0.25">
      <c r="A17" s="8">
        <v>46131</v>
      </c>
      <c r="B17" s="9" t="s">
        <v>43</v>
      </c>
      <c r="C17" s="9" t="s">
        <v>16</v>
      </c>
      <c r="D17" s="9" t="str">
        <f t="shared" si="7"/>
        <v>200200010025</v>
      </c>
      <c r="E17" s="9">
        <v>20020001</v>
      </c>
      <c r="F17" s="11" t="s">
        <v>27</v>
      </c>
      <c r="G17" s="12" t="s">
        <v>22</v>
      </c>
      <c r="H17" s="11" t="s">
        <v>27</v>
      </c>
      <c r="I17" s="9" t="s">
        <v>17</v>
      </c>
      <c r="J17" s="11">
        <v>0</v>
      </c>
      <c r="K17" s="9">
        <v>0</v>
      </c>
      <c r="L17" s="9">
        <v>131</v>
      </c>
      <c r="M17" s="11">
        <f t="shared" si="3"/>
        <v>0</v>
      </c>
      <c r="N17" s="9">
        <v>131</v>
      </c>
      <c r="O17" s="11"/>
      <c r="P17" s="1">
        <f t="shared" si="8"/>
        <v>131</v>
      </c>
    </row>
    <row r="18" spans="1:16" x14ac:dyDescent="0.25">
      <c r="A18" s="8">
        <v>46131</v>
      </c>
      <c r="B18" s="9" t="s">
        <v>43</v>
      </c>
      <c r="C18" s="9" t="s">
        <v>16</v>
      </c>
      <c r="D18" s="9" t="str">
        <f t="shared" si="7"/>
        <v>200200010002</v>
      </c>
      <c r="E18" s="9">
        <v>20020001</v>
      </c>
      <c r="F18" s="11" t="s">
        <v>27</v>
      </c>
      <c r="G18" s="12" t="s">
        <v>24</v>
      </c>
      <c r="H18" s="11" t="s">
        <v>27</v>
      </c>
      <c r="I18" s="9" t="s">
        <v>17</v>
      </c>
      <c r="J18" s="11">
        <v>2</v>
      </c>
      <c r="K18" s="9">
        <v>1250</v>
      </c>
      <c r="L18" s="9">
        <f t="shared" si="2"/>
        <v>2500</v>
      </c>
      <c r="M18" s="11">
        <f t="shared" si="3"/>
        <v>2</v>
      </c>
      <c r="N18" s="9">
        <f t="shared" si="4"/>
        <v>2500</v>
      </c>
      <c r="O18" s="11"/>
      <c r="P18" s="1">
        <f t="shared" si="8"/>
        <v>2500</v>
      </c>
    </row>
    <row r="19" spans="1:16" x14ac:dyDescent="0.25">
      <c r="A19" s="8">
        <v>46131</v>
      </c>
      <c r="B19" s="9" t="s">
        <v>43</v>
      </c>
      <c r="C19" s="9" t="s">
        <v>16</v>
      </c>
      <c r="D19" s="9" t="str">
        <f t="shared" si="7"/>
        <v>200200010033</v>
      </c>
      <c r="E19" s="9">
        <v>20020001</v>
      </c>
      <c r="F19" s="11" t="s">
        <v>27</v>
      </c>
      <c r="G19" s="12" t="s">
        <v>29</v>
      </c>
      <c r="H19" s="11" t="s">
        <v>27</v>
      </c>
      <c r="I19" s="9" t="s">
        <v>17</v>
      </c>
      <c r="J19" s="11">
        <v>1</v>
      </c>
      <c r="K19" s="9">
        <v>1250</v>
      </c>
      <c r="L19" s="9">
        <f t="shared" si="2"/>
        <v>1250</v>
      </c>
      <c r="M19" s="11">
        <f t="shared" si="3"/>
        <v>1</v>
      </c>
      <c r="N19" s="9">
        <f t="shared" si="4"/>
        <v>1250</v>
      </c>
      <c r="O19" s="11"/>
      <c r="P19" s="1">
        <f t="shared" si="8"/>
        <v>1250</v>
      </c>
    </row>
    <row r="20" spans="1:16" x14ac:dyDescent="0.25">
      <c r="A20" s="8">
        <v>46131</v>
      </c>
      <c r="B20" s="9" t="s">
        <v>43</v>
      </c>
      <c r="C20" s="9" t="s">
        <v>16</v>
      </c>
      <c r="D20" s="9" t="str">
        <f t="shared" ref="D20:D29" si="9">CONCATENATE(E20,G20)</f>
        <v>200200010039</v>
      </c>
      <c r="E20" s="9">
        <v>20020001</v>
      </c>
      <c r="F20" s="11" t="s">
        <v>27</v>
      </c>
      <c r="G20" s="12" t="s">
        <v>31</v>
      </c>
      <c r="H20" s="11" t="s">
        <v>27</v>
      </c>
      <c r="I20" s="9" t="s">
        <v>17</v>
      </c>
      <c r="J20" s="11">
        <v>1</v>
      </c>
      <c r="K20" s="9">
        <v>1250</v>
      </c>
      <c r="L20" s="9">
        <f t="shared" si="2"/>
        <v>1250</v>
      </c>
      <c r="M20" s="11">
        <f t="shared" ref="M20:M29" si="10">J20</f>
        <v>1</v>
      </c>
      <c r="N20" s="9">
        <f t="shared" si="4"/>
        <v>1250</v>
      </c>
      <c r="O20" s="11"/>
      <c r="P20" s="1">
        <f t="shared" ref="P20:P29" si="11">N20-O20</f>
        <v>1250</v>
      </c>
    </row>
    <row r="21" spans="1:16" x14ac:dyDescent="0.25">
      <c r="A21" s="8">
        <v>46131</v>
      </c>
      <c r="B21" s="9" t="s">
        <v>43</v>
      </c>
      <c r="C21" s="9" t="s">
        <v>16</v>
      </c>
      <c r="D21" s="9" t="str">
        <f t="shared" si="9"/>
        <v>200200010041</v>
      </c>
      <c r="E21" s="9">
        <v>20020001</v>
      </c>
      <c r="F21" s="11" t="s">
        <v>27</v>
      </c>
      <c r="G21" s="12" t="s">
        <v>34</v>
      </c>
      <c r="H21" s="11" t="s">
        <v>27</v>
      </c>
      <c r="I21" s="9" t="s">
        <v>17</v>
      </c>
      <c r="J21" s="11">
        <v>1</v>
      </c>
      <c r="K21" s="9">
        <v>1250</v>
      </c>
      <c r="L21" s="9">
        <f t="shared" si="2"/>
        <v>1250</v>
      </c>
      <c r="M21" s="11">
        <f t="shared" si="10"/>
        <v>1</v>
      </c>
      <c r="N21" s="9">
        <f t="shared" si="4"/>
        <v>1250</v>
      </c>
      <c r="O21" s="11"/>
      <c r="P21" s="1">
        <f t="shared" si="11"/>
        <v>1250</v>
      </c>
    </row>
    <row r="22" spans="1:16" x14ac:dyDescent="0.25">
      <c r="A22" s="8">
        <v>46131</v>
      </c>
      <c r="B22" s="9" t="s">
        <v>43</v>
      </c>
      <c r="C22" s="9" t="s">
        <v>16</v>
      </c>
      <c r="D22" s="9" t="str">
        <f t="shared" si="9"/>
        <v>200700240002</v>
      </c>
      <c r="E22" s="11">
        <v>20070024</v>
      </c>
      <c r="F22" s="11" t="s">
        <v>53</v>
      </c>
      <c r="G22" s="12" t="s">
        <v>24</v>
      </c>
      <c r="H22" s="11" t="s">
        <v>35</v>
      </c>
      <c r="I22" s="9" t="s">
        <v>17</v>
      </c>
      <c r="J22" s="11">
        <v>0</v>
      </c>
      <c r="K22" s="9">
        <v>0</v>
      </c>
      <c r="L22" s="9">
        <v>8844</v>
      </c>
      <c r="M22" s="11">
        <f t="shared" si="10"/>
        <v>0</v>
      </c>
      <c r="N22" s="9">
        <v>8844</v>
      </c>
      <c r="O22" s="11"/>
      <c r="P22" s="1">
        <f t="shared" si="11"/>
        <v>8844</v>
      </c>
    </row>
    <row r="23" spans="1:16" x14ac:dyDescent="0.25">
      <c r="A23" s="8">
        <v>46131</v>
      </c>
      <c r="B23" s="9" t="s">
        <v>43</v>
      </c>
      <c r="C23" s="9" t="s">
        <v>16</v>
      </c>
      <c r="D23" s="9" t="str">
        <f t="shared" si="9"/>
        <v>200200020003</v>
      </c>
      <c r="E23" s="11">
        <v>20020002</v>
      </c>
      <c r="F23" s="11" t="s">
        <v>54</v>
      </c>
      <c r="G23" s="12" t="s">
        <v>37</v>
      </c>
      <c r="H23" s="11" t="s">
        <v>27</v>
      </c>
      <c r="I23" s="9" t="s">
        <v>17</v>
      </c>
      <c r="J23" s="11">
        <v>1</v>
      </c>
      <c r="K23" s="9">
        <v>1250</v>
      </c>
      <c r="L23" s="9">
        <f t="shared" si="2"/>
        <v>1250</v>
      </c>
      <c r="M23" s="11">
        <f t="shared" si="10"/>
        <v>1</v>
      </c>
      <c r="N23" s="9">
        <f t="shared" si="4"/>
        <v>1250</v>
      </c>
      <c r="O23" s="11"/>
      <c r="P23" s="1">
        <f t="shared" si="11"/>
        <v>1250</v>
      </c>
    </row>
    <row r="24" spans="1:16" x14ac:dyDescent="0.25">
      <c r="A24" s="8">
        <v>46131</v>
      </c>
      <c r="B24" s="9" t="s">
        <v>43</v>
      </c>
      <c r="C24" s="9" t="s">
        <v>16</v>
      </c>
      <c r="D24" s="9" t="str">
        <f t="shared" si="9"/>
        <v>200200020055</v>
      </c>
      <c r="E24" s="11">
        <v>20020002</v>
      </c>
      <c r="F24" s="11" t="s">
        <v>54</v>
      </c>
      <c r="G24" s="12" t="s">
        <v>55</v>
      </c>
      <c r="H24" s="11" t="s">
        <v>27</v>
      </c>
      <c r="I24" s="9" t="s">
        <v>17</v>
      </c>
      <c r="J24" s="11">
        <v>1</v>
      </c>
      <c r="K24" s="9">
        <v>1250</v>
      </c>
      <c r="L24" s="9">
        <f t="shared" si="2"/>
        <v>1250</v>
      </c>
      <c r="M24" s="11">
        <f t="shared" si="10"/>
        <v>1</v>
      </c>
      <c r="N24" s="9">
        <f t="shared" si="4"/>
        <v>1250</v>
      </c>
      <c r="O24" s="11"/>
      <c r="P24" s="1">
        <f t="shared" si="11"/>
        <v>1250</v>
      </c>
    </row>
    <row r="25" spans="1:16" x14ac:dyDescent="0.25">
      <c r="A25" s="8">
        <v>46131</v>
      </c>
      <c r="B25" s="9" t="s">
        <v>43</v>
      </c>
      <c r="C25" s="9" t="s">
        <v>16</v>
      </c>
      <c r="D25" s="9" t="str">
        <f t="shared" si="9"/>
        <v>200200020013</v>
      </c>
      <c r="E25" s="11">
        <v>20020002</v>
      </c>
      <c r="F25" s="11" t="s">
        <v>54</v>
      </c>
      <c r="G25" s="12" t="s">
        <v>56</v>
      </c>
      <c r="H25" s="11" t="s">
        <v>27</v>
      </c>
      <c r="I25" s="9" t="s">
        <v>17</v>
      </c>
      <c r="J25" s="11">
        <v>1</v>
      </c>
      <c r="K25" s="9">
        <v>1250</v>
      </c>
      <c r="L25" s="9">
        <f t="shared" si="2"/>
        <v>1250</v>
      </c>
      <c r="M25" s="11">
        <f t="shared" si="10"/>
        <v>1</v>
      </c>
      <c r="N25" s="9">
        <f t="shared" si="4"/>
        <v>1250</v>
      </c>
      <c r="O25" s="11"/>
      <c r="P25" s="1">
        <f t="shared" si="11"/>
        <v>1250</v>
      </c>
    </row>
    <row r="26" spans="1:16" x14ac:dyDescent="0.25">
      <c r="A26" s="8">
        <v>46131</v>
      </c>
      <c r="B26" s="9" t="s">
        <v>43</v>
      </c>
      <c r="C26" s="9" t="s">
        <v>16</v>
      </c>
      <c r="D26" s="9" t="str">
        <f t="shared" si="9"/>
        <v>200200200033</v>
      </c>
      <c r="E26" s="11">
        <v>20020020</v>
      </c>
      <c r="F26" s="11" t="s">
        <v>28</v>
      </c>
      <c r="G26" s="12" t="s">
        <v>29</v>
      </c>
      <c r="H26" s="11" t="s">
        <v>27</v>
      </c>
      <c r="I26" s="9" t="s">
        <v>17</v>
      </c>
      <c r="J26" s="11">
        <v>0</v>
      </c>
      <c r="K26" s="9">
        <v>0</v>
      </c>
      <c r="L26" s="9">
        <v>690</v>
      </c>
      <c r="M26" s="11">
        <f t="shared" si="10"/>
        <v>0</v>
      </c>
      <c r="N26" s="9">
        <v>690</v>
      </c>
      <c r="O26" s="11"/>
      <c r="P26" s="1">
        <f t="shared" si="11"/>
        <v>690</v>
      </c>
    </row>
    <row r="27" spans="1:16" x14ac:dyDescent="0.25">
      <c r="A27" s="8">
        <v>46131</v>
      </c>
      <c r="B27" s="9" t="s">
        <v>43</v>
      </c>
      <c r="C27" s="9" t="s">
        <v>16</v>
      </c>
      <c r="D27" s="9" t="str">
        <f t="shared" si="9"/>
        <v>200200200038</v>
      </c>
      <c r="E27" s="11">
        <v>20020020</v>
      </c>
      <c r="F27" s="11" t="s">
        <v>28</v>
      </c>
      <c r="G27" s="12" t="s">
        <v>33</v>
      </c>
      <c r="H27" s="11" t="s">
        <v>27</v>
      </c>
      <c r="I27" s="9" t="s">
        <v>17</v>
      </c>
      <c r="J27" s="11">
        <v>0</v>
      </c>
      <c r="K27" s="9">
        <v>0</v>
      </c>
      <c r="L27" s="9">
        <v>610</v>
      </c>
      <c r="M27" s="11">
        <f t="shared" si="10"/>
        <v>0</v>
      </c>
      <c r="N27" s="9">
        <v>610</v>
      </c>
      <c r="O27" s="11"/>
      <c r="P27" s="1">
        <f t="shared" si="11"/>
        <v>610</v>
      </c>
    </row>
    <row r="28" spans="1:16" x14ac:dyDescent="0.25">
      <c r="A28" s="8">
        <v>46131</v>
      </c>
      <c r="B28" s="9" t="s">
        <v>43</v>
      </c>
      <c r="C28" s="9" t="s">
        <v>16</v>
      </c>
      <c r="D28" s="9" t="str">
        <f t="shared" si="9"/>
        <v>200200200042</v>
      </c>
      <c r="E28" s="11">
        <v>20020020</v>
      </c>
      <c r="F28" s="11" t="s">
        <v>28</v>
      </c>
      <c r="G28" s="12" t="s">
        <v>30</v>
      </c>
      <c r="H28" s="11" t="s">
        <v>27</v>
      </c>
      <c r="I28" s="9" t="s">
        <v>17</v>
      </c>
      <c r="J28" s="11">
        <v>0</v>
      </c>
      <c r="K28" s="9">
        <v>0</v>
      </c>
      <c r="L28" s="9">
        <v>465</v>
      </c>
      <c r="M28" s="11">
        <f t="shared" si="10"/>
        <v>0</v>
      </c>
      <c r="N28" s="9">
        <v>465</v>
      </c>
      <c r="O28" s="11"/>
      <c r="P28" s="1">
        <f t="shared" si="11"/>
        <v>465</v>
      </c>
    </row>
    <row r="29" spans="1:16" x14ac:dyDescent="0.25">
      <c r="A29" s="8">
        <v>46131</v>
      </c>
      <c r="B29" s="9" t="s">
        <v>43</v>
      </c>
      <c r="C29" s="9" t="s">
        <v>16</v>
      </c>
      <c r="D29" s="9" t="str">
        <f t="shared" si="9"/>
        <v>200200200023</v>
      </c>
      <c r="E29" s="11">
        <v>20020020</v>
      </c>
      <c r="F29" s="11" t="s">
        <v>28</v>
      </c>
      <c r="G29" s="12" t="s">
        <v>32</v>
      </c>
      <c r="H29" s="11" t="s">
        <v>27</v>
      </c>
      <c r="I29" s="9" t="s">
        <v>17</v>
      </c>
      <c r="J29" s="11">
        <v>1</v>
      </c>
      <c r="K29" s="9">
        <v>1250</v>
      </c>
      <c r="L29" s="9">
        <f t="shared" si="2"/>
        <v>1250</v>
      </c>
      <c r="M29" s="11">
        <f t="shared" si="10"/>
        <v>1</v>
      </c>
      <c r="N29" s="9">
        <f t="shared" si="4"/>
        <v>1250</v>
      </c>
      <c r="O29" s="11"/>
      <c r="P29" s="1">
        <f t="shared" si="11"/>
        <v>1250</v>
      </c>
    </row>
    <row r="30" spans="1:16" x14ac:dyDescent="0.25">
      <c r="A30" s="8">
        <v>46131</v>
      </c>
      <c r="B30" s="9" t="s">
        <v>43</v>
      </c>
      <c r="C30" s="9" t="s">
        <v>16</v>
      </c>
      <c r="D30" s="9" t="str">
        <f t="shared" ref="D30:D37" si="12">CONCATENATE(E30,G30)</f>
        <v>200200200042</v>
      </c>
      <c r="E30" s="11">
        <v>20020020</v>
      </c>
      <c r="F30" s="11" t="s">
        <v>28</v>
      </c>
      <c r="G30" s="12" t="s">
        <v>30</v>
      </c>
      <c r="H30" s="11" t="s">
        <v>27</v>
      </c>
      <c r="I30" s="9" t="s">
        <v>17</v>
      </c>
      <c r="J30" s="11">
        <v>1</v>
      </c>
      <c r="K30" s="9">
        <v>1250</v>
      </c>
      <c r="L30" s="9">
        <f t="shared" ref="L30:L37" si="13">J30*K30</f>
        <v>1250</v>
      </c>
      <c r="M30" s="11">
        <f t="shared" ref="M30:M37" si="14">J30</f>
        <v>1</v>
      </c>
      <c r="N30" s="9">
        <f t="shared" ref="N30:N37" si="15">M30*K30</f>
        <v>1250</v>
      </c>
      <c r="O30" s="11"/>
      <c r="P30" s="1">
        <f t="shared" ref="P30:P37" si="16">N30-O30</f>
        <v>1250</v>
      </c>
    </row>
    <row r="31" spans="1:16" x14ac:dyDescent="0.25">
      <c r="A31" s="8">
        <v>46131</v>
      </c>
      <c r="B31" s="9" t="s">
        <v>43</v>
      </c>
      <c r="C31" s="9" t="s">
        <v>16</v>
      </c>
      <c r="D31" s="9" t="str">
        <f t="shared" si="12"/>
        <v>200200200038</v>
      </c>
      <c r="E31" s="11">
        <v>20020020</v>
      </c>
      <c r="F31" s="11" t="s">
        <v>28</v>
      </c>
      <c r="G31" s="12" t="s">
        <v>33</v>
      </c>
      <c r="H31" s="11" t="s">
        <v>27</v>
      </c>
      <c r="I31" s="9" t="s">
        <v>17</v>
      </c>
      <c r="J31" s="11">
        <v>1</v>
      </c>
      <c r="K31" s="9">
        <v>1250</v>
      </c>
      <c r="L31" s="9">
        <f t="shared" si="13"/>
        <v>1250</v>
      </c>
      <c r="M31" s="11">
        <f t="shared" si="14"/>
        <v>1</v>
      </c>
      <c r="N31" s="9">
        <f t="shared" si="15"/>
        <v>1250</v>
      </c>
      <c r="O31" s="11"/>
      <c r="P31" s="1">
        <f t="shared" si="16"/>
        <v>1250</v>
      </c>
    </row>
    <row r="32" spans="1:16" x14ac:dyDescent="0.25">
      <c r="A32" s="8">
        <v>46131</v>
      </c>
      <c r="B32" s="9" t="s">
        <v>43</v>
      </c>
      <c r="C32" s="9" t="s">
        <v>16</v>
      </c>
      <c r="D32" s="9" t="str">
        <f t="shared" si="12"/>
        <v>200200200041</v>
      </c>
      <c r="E32" s="11">
        <v>20020020</v>
      </c>
      <c r="F32" s="11" t="s">
        <v>28</v>
      </c>
      <c r="G32" s="12" t="s">
        <v>34</v>
      </c>
      <c r="H32" s="11" t="s">
        <v>27</v>
      </c>
      <c r="I32" s="9" t="s">
        <v>17</v>
      </c>
      <c r="J32" s="11">
        <v>1</v>
      </c>
      <c r="K32" s="9">
        <v>1250</v>
      </c>
      <c r="L32" s="9">
        <f t="shared" si="13"/>
        <v>1250</v>
      </c>
      <c r="M32" s="11">
        <f t="shared" si="14"/>
        <v>1</v>
      </c>
      <c r="N32" s="9">
        <f t="shared" si="15"/>
        <v>1250</v>
      </c>
      <c r="O32" s="11"/>
      <c r="P32" s="1">
        <f t="shared" si="16"/>
        <v>1250</v>
      </c>
    </row>
    <row r="33" spans="1:16" x14ac:dyDescent="0.25">
      <c r="A33" s="8">
        <v>46131</v>
      </c>
      <c r="B33" s="9" t="s">
        <v>43</v>
      </c>
      <c r="C33" s="9" t="s">
        <v>16</v>
      </c>
      <c r="D33" s="9" t="str">
        <f t="shared" si="12"/>
        <v>200200200043</v>
      </c>
      <c r="E33" s="11">
        <v>20020020</v>
      </c>
      <c r="F33" s="11" t="s">
        <v>28</v>
      </c>
      <c r="G33" s="12" t="s">
        <v>57</v>
      </c>
      <c r="H33" s="11" t="s">
        <v>27</v>
      </c>
      <c r="I33" s="9" t="s">
        <v>17</v>
      </c>
      <c r="J33" s="11">
        <v>1</v>
      </c>
      <c r="K33" s="9">
        <v>1250</v>
      </c>
      <c r="L33" s="9">
        <f t="shared" si="13"/>
        <v>1250</v>
      </c>
      <c r="M33" s="11">
        <f t="shared" si="14"/>
        <v>1</v>
      </c>
      <c r="N33" s="9">
        <f t="shared" si="15"/>
        <v>1250</v>
      </c>
      <c r="O33" s="11"/>
      <c r="P33" s="1">
        <f t="shared" si="16"/>
        <v>1250</v>
      </c>
    </row>
    <row r="34" spans="1:16" x14ac:dyDescent="0.25">
      <c r="A34" s="8">
        <v>46131</v>
      </c>
      <c r="B34" s="9" t="s">
        <v>43</v>
      </c>
      <c r="C34" s="9" t="s">
        <v>16</v>
      </c>
      <c r="D34" s="9" t="str">
        <f t="shared" si="12"/>
        <v>200200250002</v>
      </c>
      <c r="E34" s="11">
        <v>20020025</v>
      </c>
      <c r="F34" s="11" t="s">
        <v>58</v>
      </c>
      <c r="G34" s="12" t="s">
        <v>24</v>
      </c>
      <c r="H34" s="11"/>
      <c r="I34" s="9" t="s">
        <v>17</v>
      </c>
      <c r="J34" s="11">
        <v>6</v>
      </c>
      <c r="K34" s="9">
        <v>1250</v>
      </c>
      <c r="L34" s="9">
        <f t="shared" si="13"/>
        <v>7500</v>
      </c>
      <c r="M34" s="11">
        <f t="shared" si="14"/>
        <v>6</v>
      </c>
      <c r="N34" s="9">
        <f t="shared" si="15"/>
        <v>7500</v>
      </c>
      <c r="O34" s="11"/>
      <c r="P34" s="1">
        <f t="shared" si="16"/>
        <v>7500</v>
      </c>
    </row>
    <row r="35" spans="1:16" x14ac:dyDescent="0.25">
      <c r="A35" s="8">
        <v>46131</v>
      </c>
      <c r="B35" s="9" t="s">
        <v>43</v>
      </c>
      <c r="C35" s="9" t="s">
        <v>16</v>
      </c>
      <c r="D35" s="9" t="str">
        <f t="shared" si="12"/>
        <v>200500010049</v>
      </c>
      <c r="E35" s="11">
        <v>20050001</v>
      </c>
      <c r="F35" s="11" t="s">
        <v>59</v>
      </c>
      <c r="G35" s="12" t="s">
        <v>60</v>
      </c>
      <c r="H35" s="11"/>
      <c r="I35" s="9" t="s">
        <v>17</v>
      </c>
      <c r="J35" s="11">
        <v>2</v>
      </c>
      <c r="K35" s="9">
        <v>1250</v>
      </c>
      <c r="L35" s="9">
        <f t="shared" si="13"/>
        <v>2500</v>
      </c>
      <c r="M35" s="11">
        <f t="shared" si="14"/>
        <v>2</v>
      </c>
      <c r="N35" s="9">
        <f t="shared" si="15"/>
        <v>2500</v>
      </c>
      <c r="O35" s="11"/>
      <c r="P35" s="1">
        <f t="shared" si="16"/>
        <v>2500</v>
      </c>
    </row>
    <row r="36" spans="1:16" x14ac:dyDescent="0.25">
      <c r="A36" s="8">
        <v>46131</v>
      </c>
      <c r="B36" s="9" t="s">
        <v>43</v>
      </c>
      <c r="C36" s="9" t="s">
        <v>16</v>
      </c>
      <c r="D36" s="9" t="str">
        <f t="shared" si="12"/>
        <v>200500030002</v>
      </c>
      <c r="E36" s="11">
        <v>20050003</v>
      </c>
      <c r="F36" s="11" t="s">
        <v>61</v>
      </c>
      <c r="G36" s="12" t="s">
        <v>24</v>
      </c>
      <c r="H36" s="11"/>
      <c r="I36" s="9" t="s">
        <v>17</v>
      </c>
      <c r="J36" s="11">
        <v>3</v>
      </c>
      <c r="K36" s="9">
        <v>1250</v>
      </c>
      <c r="L36" s="9">
        <f t="shared" si="13"/>
        <v>3750</v>
      </c>
      <c r="M36" s="11">
        <f t="shared" si="14"/>
        <v>3</v>
      </c>
      <c r="N36" s="9">
        <f t="shared" si="15"/>
        <v>3750</v>
      </c>
      <c r="O36" s="11"/>
      <c r="P36" s="1">
        <f t="shared" si="16"/>
        <v>3750</v>
      </c>
    </row>
    <row r="37" spans="1:16" x14ac:dyDescent="0.25">
      <c r="A37" s="8">
        <v>46131</v>
      </c>
      <c r="B37" s="9" t="s">
        <v>43</v>
      </c>
      <c r="C37" s="9" t="s">
        <v>16</v>
      </c>
      <c r="D37" s="9" t="str">
        <f t="shared" si="12"/>
        <v>200900150002</v>
      </c>
      <c r="E37" s="11">
        <v>20090015</v>
      </c>
      <c r="F37" s="11" t="s">
        <v>62</v>
      </c>
      <c r="G37" s="12" t="s">
        <v>24</v>
      </c>
      <c r="H37" s="13" t="s">
        <v>39</v>
      </c>
      <c r="I37" s="9" t="s">
        <v>17</v>
      </c>
      <c r="J37" s="11">
        <v>1</v>
      </c>
      <c r="K37" s="9">
        <v>1250</v>
      </c>
      <c r="L37" s="9">
        <f t="shared" si="13"/>
        <v>1250</v>
      </c>
      <c r="M37" s="11">
        <f t="shared" si="14"/>
        <v>1</v>
      </c>
      <c r="N37" s="9">
        <f t="shared" si="15"/>
        <v>1250</v>
      </c>
      <c r="O37" s="11"/>
      <c r="P37" s="1">
        <f t="shared" si="16"/>
        <v>1250</v>
      </c>
    </row>
    <row r="38" spans="1:16" x14ac:dyDescent="0.25">
      <c r="A38" s="8">
        <v>46131</v>
      </c>
      <c r="B38" s="9" t="s">
        <v>43</v>
      </c>
      <c r="C38" s="9" t="s">
        <v>16</v>
      </c>
      <c r="D38" s="9" t="str">
        <f t="shared" ref="D38:D50" si="17">CONCATENATE(E38,G38)</f>
        <v>200900150026</v>
      </c>
      <c r="E38" s="11">
        <v>20090015</v>
      </c>
      <c r="F38" s="11" t="s">
        <v>62</v>
      </c>
      <c r="G38" s="12" t="s">
        <v>38</v>
      </c>
      <c r="H38" s="13" t="s">
        <v>39</v>
      </c>
      <c r="I38" s="9" t="s">
        <v>17</v>
      </c>
      <c r="J38" s="11">
        <v>1</v>
      </c>
      <c r="K38" s="9">
        <v>1250</v>
      </c>
      <c r="L38" s="9">
        <f t="shared" ref="L38:L50" si="18">J38*K38</f>
        <v>1250</v>
      </c>
      <c r="M38" s="11">
        <f t="shared" ref="M38:M50" si="19">J38</f>
        <v>1</v>
      </c>
      <c r="N38" s="9">
        <f t="shared" ref="N38:N50" si="20">M38*K38</f>
        <v>1250</v>
      </c>
      <c r="O38" s="11"/>
      <c r="P38" s="1">
        <f t="shared" ref="P38:P50" si="21">N38-O38</f>
        <v>1250</v>
      </c>
    </row>
    <row r="39" spans="1:16" x14ac:dyDescent="0.25">
      <c r="A39" s="8">
        <v>46131</v>
      </c>
      <c r="B39" s="9" t="s">
        <v>43</v>
      </c>
      <c r="C39" s="9" t="s">
        <v>16</v>
      </c>
      <c r="D39" s="9" t="str">
        <f t="shared" si="17"/>
        <v>200900170003</v>
      </c>
      <c r="E39" s="11">
        <v>20090017</v>
      </c>
      <c r="F39" s="11" t="s">
        <v>42</v>
      </c>
      <c r="G39" s="12" t="s">
        <v>37</v>
      </c>
      <c r="H39" s="13" t="s">
        <v>39</v>
      </c>
      <c r="I39" s="9" t="s">
        <v>17</v>
      </c>
      <c r="J39" s="11">
        <v>2</v>
      </c>
      <c r="K39" s="9">
        <v>1250</v>
      </c>
      <c r="L39" s="9">
        <f t="shared" si="18"/>
        <v>2500</v>
      </c>
      <c r="M39" s="11">
        <f t="shared" si="19"/>
        <v>2</v>
      </c>
      <c r="N39" s="9">
        <f t="shared" si="20"/>
        <v>2500</v>
      </c>
      <c r="O39" s="11"/>
      <c r="P39" s="1">
        <f t="shared" si="21"/>
        <v>2500</v>
      </c>
    </row>
    <row r="40" spans="1:16" x14ac:dyDescent="0.25">
      <c r="A40" s="8">
        <v>46131</v>
      </c>
      <c r="B40" s="9" t="s">
        <v>43</v>
      </c>
      <c r="C40" s="9" t="s">
        <v>16</v>
      </c>
      <c r="D40" s="9" t="str">
        <f t="shared" si="17"/>
        <v>200900110007</v>
      </c>
      <c r="E40" s="11">
        <v>20090011</v>
      </c>
      <c r="F40" s="11" t="s">
        <v>41</v>
      </c>
      <c r="G40" s="12" t="s">
        <v>26</v>
      </c>
      <c r="H40" s="13" t="s">
        <v>39</v>
      </c>
      <c r="I40" s="9" t="s">
        <v>17</v>
      </c>
      <c r="J40" s="11">
        <v>1</v>
      </c>
      <c r="K40" s="9">
        <v>1250</v>
      </c>
      <c r="L40" s="9">
        <f t="shared" si="18"/>
        <v>1250</v>
      </c>
      <c r="M40" s="11">
        <f t="shared" si="19"/>
        <v>1</v>
      </c>
      <c r="N40" s="9">
        <f t="shared" si="20"/>
        <v>1250</v>
      </c>
      <c r="O40" s="11"/>
      <c r="P40" s="1">
        <f t="shared" si="21"/>
        <v>1250</v>
      </c>
    </row>
    <row r="41" spans="1:16" x14ac:dyDescent="0.25">
      <c r="A41" s="8">
        <v>46131</v>
      </c>
      <c r="B41" s="9" t="s">
        <v>43</v>
      </c>
      <c r="C41" s="9" t="s">
        <v>16</v>
      </c>
      <c r="D41" s="9" t="str">
        <f t="shared" si="17"/>
        <v>200900110003</v>
      </c>
      <c r="E41" s="11">
        <v>20090011</v>
      </c>
      <c r="F41" s="11" t="s">
        <v>41</v>
      </c>
      <c r="G41" s="12" t="s">
        <v>37</v>
      </c>
      <c r="H41" s="13" t="s">
        <v>39</v>
      </c>
      <c r="I41" s="9" t="s">
        <v>17</v>
      </c>
      <c r="J41" s="11">
        <v>2</v>
      </c>
      <c r="K41" s="9">
        <v>1250</v>
      </c>
      <c r="L41" s="9">
        <f t="shared" si="18"/>
        <v>2500</v>
      </c>
      <c r="M41" s="11">
        <f t="shared" si="19"/>
        <v>2</v>
      </c>
      <c r="N41" s="9">
        <f t="shared" si="20"/>
        <v>2500</v>
      </c>
      <c r="O41" s="11"/>
      <c r="P41" s="1">
        <f t="shared" si="21"/>
        <v>2500</v>
      </c>
    </row>
    <row r="42" spans="1:16" x14ac:dyDescent="0.25">
      <c r="A42" s="8">
        <v>46131</v>
      </c>
      <c r="B42" s="9" t="s">
        <v>43</v>
      </c>
      <c r="C42" s="9" t="s">
        <v>16</v>
      </c>
      <c r="D42" s="9" t="str">
        <f t="shared" si="17"/>
        <v>200900230002</v>
      </c>
      <c r="E42" s="11">
        <v>20090023</v>
      </c>
      <c r="F42" s="11" t="s">
        <v>63</v>
      </c>
      <c r="G42" s="12" t="s">
        <v>24</v>
      </c>
      <c r="H42" s="13" t="s">
        <v>39</v>
      </c>
      <c r="I42" s="9" t="s">
        <v>17</v>
      </c>
      <c r="J42" s="11">
        <v>5</v>
      </c>
      <c r="K42" s="9">
        <v>1250</v>
      </c>
      <c r="L42" s="9">
        <f t="shared" si="18"/>
        <v>6250</v>
      </c>
      <c r="M42" s="11">
        <f t="shared" si="19"/>
        <v>5</v>
      </c>
      <c r="N42" s="9">
        <f t="shared" si="20"/>
        <v>6250</v>
      </c>
      <c r="O42" s="11"/>
      <c r="P42" s="1">
        <f t="shared" si="21"/>
        <v>6250</v>
      </c>
    </row>
    <row r="43" spans="1:16" x14ac:dyDescent="0.25">
      <c r="A43" s="8">
        <v>46131</v>
      </c>
      <c r="B43" s="9" t="s">
        <v>43</v>
      </c>
      <c r="C43" s="9" t="s">
        <v>16</v>
      </c>
      <c r="D43" s="9" t="str">
        <f t="shared" si="17"/>
        <v>200100530014</v>
      </c>
      <c r="E43" s="11">
        <v>20010053</v>
      </c>
      <c r="F43" s="11" t="s">
        <v>36</v>
      </c>
      <c r="G43" s="12" t="s">
        <v>64</v>
      </c>
      <c r="H43" s="13" t="s">
        <v>39</v>
      </c>
      <c r="I43" s="9" t="s">
        <v>17</v>
      </c>
      <c r="J43" s="11">
        <v>0</v>
      </c>
      <c r="K43" s="9">
        <v>0</v>
      </c>
      <c r="L43" s="9">
        <v>128</v>
      </c>
      <c r="M43" s="11">
        <f t="shared" si="19"/>
        <v>0</v>
      </c>
      <c r="N43" s="9">
        <v>128</v>
      </c>
      <c r="O43" s="11"/>
      <c r="P43" s="1">
        <f t="shared" si="21"/>
        <v>128</v>
      </c>
    </row>
    <row r="44" spans="1:16" x14ac:dyDescent="0.25">
      <c r="A44" s="8">
        <v>46131</v>
      </c>
      <c r="B44" s="9" t="s">
        <v>43</v>
      </c>
      <c r="C44" s="9" t="s">
        <v>16</v>
      </c>
      <c r="D44" s="9" t="str">
        <f t="shared" si="17"/>
        <v>200100530017</v>
      </c>
      <c r="E44" s="11">
        <v>20010053</v>
      </c>
      <c r="F44" s="11" t="s">
        <v>36</v>
      </c>
      <c r="G44" s="12" t="s">
        <v>65</v>
      </c>
      <c r="H44" s="13" t="s">
        <v>39</v>
      </c>
      <c r="I44" s="9" t="s">
        <v>17</v>
      </c>
      <c r="J44" s="11">
        <v>0</v>
      </c>
      <c r="K44" s="9">
        <v>0</v>
      </c>
      <c r="L44" s="9">
        <v>98</v>
      </c>
      <c r="M44" s="11">
        <f t="shared" si="19"/>
        <v>0</v>
      </c>
      <c r="N44" s="9">
        <v>98</v>
      </c>
      <c r="O44" s="11"/>
      <c r="P44" s="1">
        <f t="shared" si="21"/>
        <v>98</v>
      </c>
    </row>
    <row r="45" spans="1:16" x14ac:dyDescent="0.25">
      <c r="A45" s="8">
        <v>46131</v>
      </c>
      <c r="B45" s="9" t="s">
        <v>43</v>
      </c>
      <c r="C45" s="9" t="s">
        <v>16</v>
      </c>
      <c r="D45" s="9" t="str">
        <f t="shared" si="17"/>
        <v>200100530020</v>
      </c>
      <c r="E45" s="11">
        <v>20010053</v>
      </c>
      <c r="F45" s="11" t="s">
        <v>36</v>
      </c>
      <c r="G45" s="12" t="s">
        <v>66</v>
      </c>
      <c r="H45" s="13" t="s">
        <v>39</v>
      </c>
      <c r="I45" s="9" t="s">
        <v>17</v>
      </c>
      <c r="J45" s="11">
        <v>0</v>
      </c>
      <c r="K45" s="9">
        <v>0</v>
      </c>
      <c r="L45" s="9">
        <v>137</v>
      </c>
      <c r="M45" s="11">
        <f t="shared" si="19"/>
        <v>0</v>
      </c>
      <c r="N45" s="9">
        <v>137</v>
      </c>
      <c r="O45" s="11"/>
      <c r="P45" s="1">
        <f t="shared" si="21"/>
        <v>137</v>
      </c>
    </row>
    <row r="46" spans="1:16" x14ac:dyDescent="0.25">
      <c r="A46" s="8">
        <v>46131</v>
      </c>
      <c r="B46" s="9" t="s">
        <v>43</v>
      </c>
      <c r="C46" s="9" t="s">
        <v>16</v>
      </c>
      <c r="D46" s="9" t="str">
        <f t="shared" si="17"/>
        <v>200100530022</v>
      </c>
      <c r="E46" s="11">
        <v>20010053</v>
      </c>
      <c r="F46" s="11" t="s">
        <v>36</v>
      </c>
      <c r="G46" s="12" t="s">
        <v>67</v>
      </c>
      <c r="H46" s="13" t="s">
        <v>39</v>
      </c>
      <c r="I46" s="9" t="s">
        <v>17</v>
      </c>
      <c r="J46" s="11">
        <v>0</v>
      </c>
      <c r="K46" s="9">
        <v>0</v>
      </c>
      <c r="L46" s="9">
        <v>109</v>
      </c>
      <c r="M46" s="11">
        <f t="shared" si="19"/>
        <v>0</v>
      </c>
      <c r="N46" s="9">
        <v>109</v>
      </c>
      <c r="O46" s="11"/>
      <c r="P46" s="1">
        <f t="shared" si="21"/>
        <v>109</v>
      </c>
    </row>
    <row r="47" spans="1:16" x14ac:dyDescent="0.25">
      <c r="A47" s="8">
        <v>46131</v>
      </c>
      <c r="B47" s="9" t="s">
        <v>43</v>
      </c>
      <c r="C47" s="9" t="s">
        <v>16</v>
      </c>
      <c r="D47" s="9" t="str">
        <f t="shared" si="17"/>
        <v>200100530036</v>
      </c>
      <c r="E47" s="11">
        <v>20010053</v>
      </c>
      <c r="F47" s="11" t="s">
        <v>36</v>
      </c>
      <c r="G47" s="12" t="s">
        <v>68</v>
      </c>
      <c r="H47" s="13" t="s">
        <v>39</v>
      </c>
      <c r="I47" s="9" t="s">
        <v>17</v>
      </c>
      <c r="J47" s="11">
        <v>0</v>
      </c>
      <c r="K47" s="9">
        <v>0</v>
      </c>
      <c r="L47" s="9">
        <v>113</v>
      </c>
      <c r="M47" s="11">
        <f t="shared" si="19"/>
        <v>0</v>
      </c>
      <c r="N47" s="9">
        <v>113</v>
      </c>
      <c r="O47" s="11"/>
      <c r="P47" s="1">
        <f t="shared" si="21"/>
        <v>113</v>
      </c>
    </row>
    <row r="48" spans="1:16" x14ac:dyDescent="0.25">
      <c r="A48" s="8">
        <v>46131</v>
      </c>
      <c r="B48" s="9" t="s">
        <v>43</v>
      </c>
      <c r="C48" s="9" t="s">
        <v>16</v>
      </c>
      <c r="D48" s="9" t="str">
        <f t="shared" si="17"/>
        <v>200100530042</v>
      </c>
      <c r="E48" s="11">
        <v>20010053</v>
      </c>
      <c r="F48" s="11" t="s">
        <v>36</v>
      </c>
      <c r="G48" s="12" t="s">
        <v>30</v>
      </c>
      <c r="H48" s="13" t="s">
        <v>39</v>
      </c>
      <c r="I48" s="9" t="s">
        <v>17</v>
      </c>
      <c r="J48" s="11">
        <v>1</v>
      </c>
      <c r="K48" s="9">
        <v>1250</v>
      </c>
      <c r="L48" s="9">
        <f t="shared" si="18"/>
        <v>1250</v>
      </c>
      <c r="M48" s="11">
        <f t="shared" si="19"/>
        <v>1</v>
      </c>
      <c r="N48" s="9">
        <f t="shared" si="20"/>
        <v>1250</v>
      </c>
      <c r="O48" s="11"/>
      <c r="P48" s="1">
        <f t="shared" si="21"/>
        <v>1250</v>
      </c>
    </row>
    <row r="49" spans="1:16" x14ac:dyDescent="0.25">
      <c r="A49" s="8">
        <v>46131</v>
      </c>
      <c r="B49" s="9" t="s">
        <v>43</v>
      </c>
      <c r="C49" s="9" t="s">
        <v>16</v>
      </c>
      <c r="D49" s="9" t="str">
        <f t="shared" si="17"/>
        <v>200900200002</v>
      </c>
      <c r="E49" s="11">
        <v>20090020</v>
      </c>
      <c r="F49" s="11" t="s">
        <v>40</v>
      </c>
      <c r="G49" s="12" t="s">
        <v>24</v>
      </c>
      <c r="H49" s="13" t="s">
        <v>39</v>
      </c>
      <c r="I49" s="9" t="s">
        <v>17</v>
      </c>
      <c r="J49" s="11">
        <v>1</v>
      </c>
      <c r="K49" s="9">
        <v>1250</v>
      </c>
      <c r="L49" s="9">
        <f t="shared" si="18"/>
        <v>1250</v>
      </c>
      <c r="M49" s="11">
        <f t="shared" si="19"/>
        <v>1</v>
      </c>
      <c r="N49" s="9">
        <f t="shared" si="20"/>
        <v>1250</v>
      </c>
      <c r="O49" s="11"/>
      <c r="P49" s="1">
        <f t="shared" si="21"/>
        <v>1250</v>
      </c>
    </row>
    <row r="50" spans="1:16" x14ac:dyDescent="0.25">
      <c r="A50" s="8">
        <v>46131</v>
      </c>
      <c r="B50" s="9" t="s">
        <v>43</v>
      </c>
      <c r="C50" s="9" t="s">
        <v>16</v>
      </c>
      <c r="D50" s="9" t="str">
        <f t="shared" si="17"/>
        <v>200900200005</v>
      </c>
      <c r="E50" s="11">
        <v>20090020</v>
      </c>
      <c r="F50" s="11" t="s">
        <v>40</v>
      </c>
      <c r="G50" s="12" t="s">
        <v>23</v>
      </c>
      <c r="H50" s="9" t="s">
        <v>39</v>
      </c>
      <c r="I50" s="9" t="s">
        <v>17</v>
      </c>
      <c r="J50" s="11">
        <v>2</v>
      </c>
      <c r="K50" s="9">
        <v>1250</v>
      </c>
      <c r="L50" s="9">
        <f t="shared" si="18"/>
        <v>2500</v>
      </c>
      <c r="M50" s="11">
        <f t="shared" si="19"/>
        <v>2</v>
      </c>
      <c r="N50" s="9">
        <f t="shared" si="20"/>
        <v>2500</v>
      </c>
      <c r="O50" s="11"/>
      <c r="P50" s="1">
        <f t="shared" si="21"/>
        <v>2500</v>
      </c>
    </row>
  </sheetData>
  <autoFilter ref="A3:O7" xr:uid="{18FE7301-EE49-407F-9A80-E403DCB4FC82}"/>
  <mergeCells count="2">
    <mergeCell ref="J2:L2"/>
    <mergeCell ref="M2:O2"/>
  </mergeCells>
  <phoneticPr fontId="6" type="noConversion"/>
  <conditionalFormatting sqref="D1:D2 D4:D1048576">
    <cfRule type="duplicateValues" dxfId="2" priority="2"/>
    <cfRule type="duplicateValues" dxfId="1" priority="3"/>
  </conditionalFormatting>
  <conditionalFormatting sqref="P4:P50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CF indent 10-16th Apr-26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 Munger</dc:creator>
  <cp:lastModifiedBy>RAHUL PANDIT</cp:lastModifiedBy>
  <dcterms:created xsi:type="dcterms:W3CDTF">2024-05-20T04:28:58Z</dcterms:created>
  <dcterms:modified xsi:type="dcterms:W3CDTF">2026-04-25T05:38:37Z</dcterms:modified>
</cp:coreProperties>
</file>