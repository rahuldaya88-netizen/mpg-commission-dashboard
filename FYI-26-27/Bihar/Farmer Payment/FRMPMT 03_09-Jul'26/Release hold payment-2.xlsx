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"/>
    </mc:Choice>
  </mc:AlternateContent>
  <xr:revisionPtr revIDLastSave="0" documentId="8_{2870A31E-4D59-45B6-8394-CE409F8E4291}" xr6:coauthVersionLast="47" xr6:coauthVersionMax="47" xr10:uidLastSave="{00000000-0000-0000-0000-000000000000}"/>
  <bookViews>
    <workbookView xWindow="-120" yWindow="-120" windowWidth="29040" windowHeight="15720" xr2:uid="{348ABC24-2A65-49F7-AC96-6123B9FEBB00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2" l="1"/>
</calcChain>
</file>

<file path=xl/sharedStrings.xml><?xml version="1.0" encoding="utf-8"?>
<sst xmlns="http://schemas.openxmlformats.org/spreadsheetml/2006/main" count="310" uniqueCount="151">
  <si>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</si>
  <si>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</si>
  <si>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</si>
  <si>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</si>
  <si>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</si>
  <si>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</si>
  <si>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</si>
  <si>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</si>
  <si>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</si>
  <si>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</si>
  <si>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</si>
  <si>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</si>
  <si>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</si>
  <si>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</si>
  <si>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</si>
  <si>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</si>
  <si>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</si>
  <si>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</si>
  <si>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</si>
  <si>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</si>
  <si>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</si>
  <si>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</si>
  <si>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</si>
  <si>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</si>
  <si>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</si>
  <si>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</si>
  <si>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</si>
  <si>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</si>
  <si>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</si>
  <si>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</si>
  <si>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</si>
  <si>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DalsinghSarai</t>
  </si>
  <si>
    <t>GOMUKH BIBHUTIPUR</t>
  </si>
  <si>
    <t>MPG</t>
  </si>
  <si>
    <t>Direct</t>
  </si>
  <si>
    <t>Release2</t>
  </si>
  <si>
    <t>Letter not received</t>
  </si>
  <si>
    <t>15. 03-09 Jul</t>
  </si>
  <si>
    <t>Musrigharari</t>
  </si>
  <si>
    <t>GOMUKH NIKASPUR</t>
  </si>
  <si>
    <t>vlc</t>
  </si>
  <si>
    <t>Indirect</t>
  </si>
  <si>
    <t>Kalyanpur</t>
  </si>
  <si>
    <t>Gomukh Ratwara</t>
  </si>
  <si>
    <t>GOMUKH DIGHRA W-6</t>
  </si>
  <si>
    <t>CF OS&gt; 15 Day's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</si>
  <si>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</si>
  <si>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</si>
  <si>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</si>
  <si>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</si>
  <si>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</si>
  <si>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</si>
  <si>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</si>
  <si>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</si>
  <si>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</si>
  <si>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</si>
  <si>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</si>
  <si>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</si>
  <si>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</si>
  <si>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</si>
  <si>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</si>
  <si>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</si>
  <si>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</si>
  <si>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</si>
  <si>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101201130003</t>
  </si>
  <si>
    <t>0003</t>
  </si>
  <si>
    <t>Usha Kumari</t>
  </si>
  <si>
    <t>39009699613</t>
  </si>
  <si>
    <t>SBIN0002921</t>
  </si>
  <si>
    <t xml:space="preserve">State Bank of India </t>
  </si>
  <si>
    <t>Available</t>
  </si>
  <si>
    <t>105300580003</t>
  </si>
  <si>
    <t xml:space="preserve">Vijay Kumar Pathak </t>
  </si>
  <si>
    <t>466010100010843</t>
  </si>
  <si>
    <t>BKID0004660</t>
  </si>
  <si>
    <t xml:space="preserve">Bank Of India </t>
  </si>
  <si>
    <t>105300580013</t>
  </si>
  <si>
    <t>0013</t>
  </si>
  <si>
    <t>Ayush Kumar</t>
  </si>
  <si>
    <t>4746000100234139</t>
  </si>
  <si>
    <t>PUNB0474600</t>
  </si>
  <si>
    <t xml:space="preserve">Punjab National Bank </t>
  </si>
  <si>
    <t>105300580015</t>
  </si>
  <si>
    <t>0015</t>
  </si>
  <si>
    <t>Rakesh Kumar Pathak</t>
  </si>
  <si>
    <t>466010100007464</t>
  </si>
  <si>
    <t>105300580017</t>
  </si>
  <si>
    <t>0017</t>
  </si>
  <si>
    <t>Ashok Sah</t>
  </si>
  <si>
    <t>466010110010997</t>
  </si>
  <si>
    <t>105300580023</t>
  </si>
  <si>
    <t>0023</t>
  </si>
  <si>
    <t>Sakal Sahni</t>
  </si>
  <si>
    <t>466010110001398</t>
  </si>
  <si>
    <t>Bank of India</t>
  </si>
  <si>
    <t>105300580030</t>
  </si>
  <si>
    <t>0030</t>
  </si>
  <si>
    <t>Binita Devi</t>
  </si>
  <si>
    <t>466010510002527</t>
  </si>
  <si>
    <t>Bank Of India</t>
  </si>
  <si>
    <t>105300580031</t>
  </si>
  <si>
    <t>0031</t>
  </si>
  <si>
    <t>Khushboo Pathak</t>
  </si>
  <si>
    <t>757402120000653</t>
  </si>
  <si>
    <t>UBIN0575747</t>
  </si>
  <si>
    <t xml:space="preserve">Union Bank Of India </t>
  </si>
  <si>
    <t>105300580032</t>
  </si>
  <si>
    <t>0032</t>
  </si>
  <si>
    <t>Punam Devi</t>
  </si>
  <si>
    <t>3483292434</t>
  </si>
  <si>
    <t>CBIN0280022</t>
  </si>
  <si>
    <t>Central Bank Of India</t>
  </si>
  <si>
    <t>105300650001</t>
  </si>
  <si>
    <t>0001</t>
  </si>
  <si>
    <t>Not Available</t>
  </si>
  <si>
    <t>105300650002</t>
  </si>
  <si>
    <t>0002</t>
  </si>
  <si>
    <t>Nil Kamal</t>
  </si>
  <si>
    <t>110223604738</t>
  </si>
  <si>
    <t>CNRB0017531</t>
  </si>
  <si>
    <t xml:space="preserve">Canara Bank </t>
  </si>
  <si>
    <t>105300650003</t>
  </si>
  <si>
    <t>Kanchan Singh</t>
  </si>
  <si>
    <t>110007619820</t>
  </si>
  <si>
    <t>105300650004</t>
  </si>
  <si>
    <t>0004</t>
  </si>
  <si>
    <t>Nilam Devi</t>
  </si>
  <si>
    <t>110042793098</t>
  </si>
  <si>
    <t>105300650005</t>
  </si>
  <si>
    <t>0005</t>
  </si>
  <si>
    <t>Rahul Kumar</t>
  </si>
  <si>
    <t>41133494152</t>
  </si>
  <si>
    <t>SBIN0001953</t>
  </si>
  <si>
    <t>105300650007</t>
  </si>
  <si>
    <t>0007</t>
  </si>
  <si>
    <t>Krishna Kumari</t>
  </si>
  <si>
    <t>4746001700037946</t>
  </si>
  <si>
    <t>105300650016</t>
  </si>
  <si>
    <t>0016</t>
  </si>
  <si>
    <t>Abdhesh Kumar Sharma</t>
  </si>
  <si>
    <t>39120100000795</t>
  </si>
  <si>
    <t>PUNB0MBGB06</t>
  </si>
  <si>
    <t xml:space="preserve">Dakshin Bihar Gramin Bank </t>
  </si>
  <si>
    <t>105300650017</t>
  </si>
  <si>
    <t>Vishwanath Mahto</t>
  </si>
  <si>
    <t>39120110066743</t>
  </si>
  <si>
    <t>105300650018</t>
  </si>
  <si>
    <t>0018</t>
  </si>
  <si>
    <t>Niraj Kumar</t>
  </si>
  <si>
    <t>1693001700036617</t>
  </si>
  <si>
    <t>PUNB0169300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</si>
</sst>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8" borderId="2" xfId="0" quotePrefix="1" applyFill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0FA29B7A-60B4-42AC-BB51-E2603A343A27}"/>
    <cellStyle name="Normal" xfId="0" builtinId="0"/>
    <cellStyle name="Normal 2" xfId="5" xr:uid="{9A2FF52D-AF1A-4CC6-ACD2-DE1112917C13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47D2-F79D-460A-8CE1-17BEFE54FB80}">
  <dimension ref="A1:AC6"/>
  <sheetViews>
    <sheetView tabSelected="1" workbookViewId="0">
      <selection activeCell="M22" sqref="M22"/>
    </sheetView>
  </sheetViews>
  <sheetFormatPr defaultRowHeight="15" x14ac:dyDescent="0.25"/>
  <cols>
    <col min="1" max="1" width="5.85546875" bestFit="1" customWidth="1"/>
    <col min="2" max="2" width="14.42578125" bestFit="1" customWidth="1"/>
    <col min="3" max="3" width="9" bestFit="1" customWidth="1"/>
    <col min="4" max="4" width="20.285156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16.85546875" bestFit="1" customWidth="1"/>
    <col min="14" max="14" width="11.5703125" bestFit="1" customWidth="1"/>
    <col min="17" max="17" width="7.5703125" bestFit="1" customWidth="1"/>
    <col min="18" max="18" width="10" bestFit="1" customWidth="1"/>
    <col min="19" max="19" width="8.140625" bestFit="1" customWidth="1"/>
    <col min="20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1012</v>
      </c>
      <c r="B2" s="13" t="s">
        <v>31</v>
      </c>
      <c r="C2" s="14">
        <v>10120113</v>
      </c>
      <c r="D2" s="15" t="s">
        <v>32</v>
      </c>
      <c r="E2" s="16" t="s">
        <v>33</v>
      </c>
      <c r="F2" s="16" t="s">
        <v>34</v>
      </c>
      <c r="G2" s="17">
        <v>102.17999999999999</v>
      </c>
      <c r="H2" s="17">
        <v>3916.5200000000004</v>
      </c>
      <c r="I2" s="18">
        <v>3416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4.0852593629116974E-5</v>
      </c>
      <c r="Q2" s="24">
        <v>1</v>
      </c>
      <c r="R2" s="25">
        <v>0</v>
      </c>
      <c r="S2" s="25">
        <v>0</v>
      </c>
      <c r="T2" s="26">
        <v>0</v>
      </c>
      <c r="U2" s="27"/>
      <c r="V2" s="25">
        <v>500</v>
      </c>
      <c r="W2" s="25">
        <v>0</v>
      </c>
      <c r="X2" s="28">
        <v>0</v>
      </c>
      <c r="Y2" s="29">
        <v>500</v>
      </c>
      <c r="Z2" s="28">
        <v>500</v>
      </c>
      <c r="AA2" s="26">
        <v>0</v>
      </c>
      <c r="AB2" s="26">
        <v>0</v>
      </c>
      <c r="AC2" s="30">
        <v>46234</v>
      </c>
    </row>
    <row r="3" spans="1:29" x14ac:dyDescent="0.25">
      <c r="A3" s="12">
        <v>1013</v>
      </c>
      <c r="B3" s="13" t="s">
        <v>38</v>
      </c>
      <c r="C3" s="14">
        <v>10130102</v>
      </c>
      <c r="D3" s="15" t="s">
        <v>39</v>
      </c>
      <c r="E3" s="16" t="s">
        <v>40</v>
      </c>
      <c r="F3" s="16" t="s">
        <v>41</v>
      </c>
      <c r="G3" s="17">
        <v>321</v>
      </c>
      <c r="H3" s="17">
        <v>10997.23</v>
      </c>
      <c r="I3" s="18">
        <v>0</v>
      </c>
      <c r="J3" s="18">
        <v>0</v>
      </c>
      <c r="K3" s="18">
        <v>10997.23</v>
      </c>
      <c r="L3" s="19" t="s">
        <v>35</v>
      </c>
      <c r="M3" s="20" t="s">
        <v>36</v>
      </c>
      <c r="N3" s="21" t="s">
        <v>37</v>
      </c>
      <c r="O3" s="22"/>
      <c r="P3" s="23">
        <v>0</v>
      </c>
      <c r="Q3" s="24">
        <v>0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46234</v>
      </c>
    </row>
    <row r="4" spans="1:29" x14ac:dyDescent="0.25">
      <c r="A4" s="12">
        <v>1053</v>
      </c>
      <c r="B4" s="13" t="s">
        <v>42</v>
      </c>
      <c r="C4" s="14">
        <v>10530058</v>
      </c>
      <c r="D4" s="15" t="s">
        <v>43</v>
      </c>
      <c r="E4" s="16" t="s">
        <v>33</v>
      </c>
      <c r="F4" s="16" t="s">
        <v>34</v>
      </c>
      <c r="G4" s="17">
        <v>156.05000000000001</v>
      </c>
      <c r="H4" s="17">
        <v>5841.24</v>
      </c>
      <c r="I4" s="18">
        <v>5330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1.8711780375400243E-3</v>
      </c>
      <c r="Q4" s="24">
        <v>8</v>
      </c>
      <c r="R4" s="25">
        <v>0</v>
      </c>
      <c r="S4" s="25">
        <v>0</v>
      </c>
      <c r="T4" s="26">
        <v>0</v>
      </c>
      <c r="U4" s="27"/>
      <c r="V4" s="25">
        <v>500</v>
      </c>
      <c r="W4" s="25">
        <v>0</v>
      </c>
      <c r="X4" s="28">
        <v>0</v>
      </c>
      <c r="Y4" s="29">
        <v>500</v>
      </c>
      <c r="Z4" s="28">
        <v>500</v>
      </c>
      <c r="AA4" s="26">
        <v>0</v>
      </c>
      <c r="AB4" s="26">
        <v>0</v>
      </c>
      <c r="AC4" s="30">
        <v>46234</v>
      </c>
    </row>
    <row r="5" spans="1:29" x14ac:dyDescent="0.25">
      <c r="A5" s="12">
        <v>1053</v>
      </c>
      <c r="B5" s="13" t="s">
        <v>42</v>
      </c>
      <c r="C5" s="14">
        <v>10530065</v>
      </c>
      <c r="D5" s="15" t="s">
        <v>44</v>
      </c>
      <c r="E5" s="16" t="s">
        <v>33</v>
      </c>
      <c r="F5" s="16" t="s">
        <v>34</v>
      </c>
      <c r="G5" s="17">
        <v>1052.8499999999999</v>
      </c>
      <c r="H5" s="17">
        <v>41416.290000000008</v>
      </c>
      <c r="I5" s="18">
        <v>31599</v>
      </c>
      <c r="J5" s="18">
        <v>0</v>
      </c>
      <c r="K5" s="18">
        <v>0</v>
      </c>
      <c r="L5" s="19" t="s">
        <v>35</v>
      </c>
      <c r="M5" s="20" t="s">
        <v>45</v>
      </c>
      <c r="N5" s="21" t="s">
        <v>37</v>
      </c>
      <c r="O5" s="22"/>
      <c r="P5" s="23">
        <v>4.4960569862729461E-3</v>
      </c>
      <c r="Q5" s="24">
        <v>9</v>
      </c>
      <c r="R5" s="25">
        <v>26803.1</v>
      </c>
      <c r="S5" s="25">
        <v>0</v>
      </c>
      <c r="T5" s="26">
        <v>26803.1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46234</v>
      </c>
    </row>
    <row r="6" spans="1:29" x14ac:dyDescent="0.25">
      <c r="A6" s="31"/>
      <c r="B6" s="32"/>
      <c r="C6" s="31"/>
      <c r="D6" s="31"/>
      <c r="E6" s="31" t="s">
        <v>46</v>
      </c>
      <c r="F6" s="31">
        <v>965</v>
      </c>
      <c r="G6" s="33">
        <v>1632.08</v>
      </c>
      <c r="H6" s="33">
        <v>62171.280000000006</v>
      </c>
      <c r="I6" s="34">
        <v>40345</v>
      </c>
      <c r="J6" s="34">
        <v>0</v>
      </c>
      <c r="K6" s="34">
        <v>10997.23</v>
      </c>
      <c r="L6" s="19">
        <v>49</v>
      </c>
      <c r="M6" s="14"/>
      <c r="N6" s="27"/>
      <c r="O6" s="6"/>
      <c r="P6" s="35"/>
      <c r="Q6" s="36">
        <v>5993</v>
      </c>
      <c r="R6" s="26">
        <v>26803.1</v>
      </c>
      <c r="S6" s="26">
        <v>0</v>
      </c>
      <c r="T6" s="26">
        <v>26803.1</v>
      </c>
      <c r="U6" s="27"/>
      <c r="V6" s="25">
        <v>1000</v>
      </c>
      <c r="W6" s="25">
        <v>0</v>
      </c>
      <c r="X6" s="37">
        <v>0</v>
      </c>
      <c r="Y6" s="25">
        <v>1000</v>
      </c>
      <c r="Z6" s="25">
        <v>1000</v>
      </c>
      <c r="AA6" s="25">
        <v>0</v>
      </c>
      <c r="AB6" s="25">
        <v>0</v>
      </c>
      <c r="AC6" s="27"/>
    </row>
  </sheetData>
  <conditionalFormatting sqref="C6 C1">
    <cfRule type="duplicateValues" dxfId="16" priority="12" stopIfTrue="1"/>
  </conditionalFormatting>
  <conditionalFormatting sqref="C2:C5">
    <cfRule type="duplicateValues" dxfId="15" priority="9"/>
  </conditionalFormatting>
  <conditionalFormatting sqref="C2:C5">
    <cfRule type="duplicateValues" dxfId="14" priority="10"/>
    <cfRule type="duplicateValues" dxfId="13" priority="11"/>
  </conditionalFormatting>
  <conditionalFormatting sqref="F2:F5">
    <cfRule type="containsText" dxfId="12" priority="7" operator="containsText" text="Indirect">
      <formula>NOT(ISERROR(SEARCH("Indirect",F2)))</formula>
    </cfRule>
  </conditionalFormatting>
  <conditionalFormatting sqref="I2:K5">
    <cfRule type="cellIs" dxfId="11" priority="6" operator="lessThan">
      <formula>-1</formula>
    </cfRule>
  </conditionalFormatting>
  <conditionalFormatting sqref="AA2:AB5">
    <cfRule type="cellIs" dxfId="10" priority="8" operator="lessThan">
      <formula>0</formula>
    </cfRule>
  </conditionalFormatting>
  <conditionalFormatting sqref="D6">
    <cfRule type="duplicateValues" dxfId="9" priority="5" stopIfTrue="1"/>
  </conditionalFormatting>
  <conditionalFormatting sqref="E6">
    <cfRule type="duplicateValues" dxfId="8" priority="4" stopIfTrue="1"/>
  </conditionalFormatting>
  <conditionalFormatting sqref="F6">
    <cfRule type="duplicateValues" dxfId="7" priority="3" stopIfTrue="1"/>
  </conditionalFormatting>
  <conditionalFormatting sqref="G6">
    <cfRule type="duplicateValues" dxfId="6" priority="2" stopIfTrue="1"/>
  </conditionalFormatting>
  <conditionalFormatting sqref="H6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371B-827E-43A3-9ECA-C8C5FAFEC608}">
  <dimension ref="A1:W20"/>
  <sheetViews>
    <sheetView workbookViewId="0">
      <selection activeCell="L30" sqref="L30"/>
    </sheetView>
  </sheetViews>
  <sheetFormatPr defaultRowHeight="15" x14ac:dyDescent="0.25"/>
  <cols>
    <col min="1" max="1" width="13.140625" bestFit="1" customWidth="1"/>
    <col min="2" max="3" width="13.5703125" bestFit="1" customWidth="1"/>
    <col min="4" max="4" width="20.285156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5.85546875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22.71093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38" t="s">
        <v>47</v>
      </c>
      <c r="B1" s="38" t="s">
        <v>1</v>
      </c>
      <c r="C1" s="38" t="s">
        <v>48</v>
      </c>
      <c r="D1" s="38" t="s">
        <v>49</v>
      </c>
      <c r="E1" s="39" t="s">
        <v>50</v>
      </c>
      <c r="F1" s="40" t="s">
        <v>51</v>
      </c>
      <c r="G1" s="41" t="s">
        <v>52</v>
      </c>
      <c r="H1" s="40" t="s">
        <v>53</v>
      </c>
      <c r="I1" s="40" t="s">
        <v>54</v>
      </c>
      <c r="J1" s="42" t="s">
        <v>8</v>
      </c>
      <c r="K1" s="42" t="s">
        <v>55</v>
      </c>
      <c r="L1" s="42" t="s">
        <v>56</v>
      </c>
      <c r="M1" s="42" t="s">
        <v>9</v>
      </c>
      <c r="N1" s="42" t="s">
        <v>10</v>
      </c>
      <c r="O1" s="42" t="s">
        <v>14</v>
      </c>
      <c r="P1" s="42" t="s">
        <v>57</v>
      </c>
      <c r="Q1" s="43" t="s">
        <v>58</v>
      </c>
      <c r="R1" s="44" t="s">
        <v>59</v>
      </c>
      <c r="S1" s="44" t="s">
        <v>60</v>
      </c>
      <c r="T1" s="44" t="s">
        <v>61</v>
      </c>
      <c r="U1" s="44" t="s">
        <v>62</v>
      </c>
      <c r="V1" s="45" t="s">
        <v>63</v>
      </c>
      <c r="W1" s="46" t="s">
        <v>16</v>
      </c>
    </row>
    <row r="2" spans="1:23" x14ac:dyDescent="0.25">
      <c r="A2" t="s">
        <v>64</v>
      </c>
      <c r="B2" t="s">
        <v>31</v>
      </c>
      <c r="C2" s="47" t="s">
        <v>31</v>
      </c>
      <c r="D2" t="s">
        <v>32</v>
      </c>
      <c r="E2" s="47">
        <v>10120113</v>
      </c>
      <c r="F2" t="s">
        <v>65</v>
      </c>
      <c r="G2">
        <v>7</v>
      </c>
      <c r="H2" s="48">
        <v>102.57000000000001</v>
      </c>
      <c r="I2" s="48">
        <v>3916.36</v>
      </c>
      <c r="J2" s="49">
        <v>0</v>
      </c>
      <c r="K2" s="49">
        <v>0</v>
      </c>
      <c r="L2" s="49">
        <v>0</v>
      </c>
      <c r="M2" s="48">
        <v>0</v>
      </c>
      <c r="N2" s="48">
        <v>500</v>
      </c>
      <c r="O2" s="49" t="s">
        <v>35</v>
      </c>
      <c r="P2" s="49">
        <v>3416</v>
      </c>
      <c r="Q2" s="47" t="s">
        <v>34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37</v>
      </c>
    </row>
    <row r="3" spans="1:23" x14ac:dyDescent="0.25">
      <c r="A3" t="s">
        <v>71</v>
      </c>
      <c r="B3" t="s">
        <v>42</v>
      </c>
      <c r="C3" s="47" t="s">
        <v>42</v>
      </c>
      <c r="D3" t="s">
        <v>43</v>
      </c>
      <c r="E3" s="47">
        <v>10530058</v>
      </c>
      <c r="F3" t="s">
        <v>65</v>
      </c>
      <c r="G3">
        <v>13</v>
      </c>
      <c r="H3" s="48">
        <v>28.729999999999997</v>
      </c>
      <c r="I3" s="48">
        <v>1189.19</v>
      </c>
      <c r="J3" s="49">
        <v>0</v>
      </c>
      <c r="K3" s="49">
        <v>0</v>
      </c>
      <c r="L3" s="49">
        <v>0</v>
      </c>
      <c r="M3" s="48">
        <v>0</v>
      </c>
      <c r="N3" s="48">
        <v>500</v>
      </c>
      <c r="O3" s="49" t="s">
        <v>35</v>
      </c>
      <c r="P3" s="49">
        <v>689</v>
      </c>
      <c r="Q3" s="47" t="s">
        <v>34</v>
      </c>
      <c r="R3" t="s">
        <v>72</v>
      </c>
      <c r="S3" t="s">
        <v>73</v>
      </c>
      <c r="T3" t="s">
        <v>74</v>
      </c>
      <c r="U3" t="s">
        <v>75</v>
      </c>
      <c r="V3" t="s">
        <v>70</v>
      </c>
      <c r="W3" t="s">
        <v>37</v>
      </c>
    </row>
    <row r="4" spans="1:23" x14ac:dyDescent="0.25">
      <c r="A4" t="s">
        <v>76</v>
      </c>
      <c r="B4" t="s">
        <v>42</v>
      </c>
      <c r="C4" s="47" t="s">
        <v>42</v>
      </c>
      <c r="D4" t="s">
        <v>43</v>
      </c>
      <c r="E4" s="47">
        <v>10530058</v>
      </c>
      <c r="F4" t="s">
        <v>77</v>
      </c>
      <c r="G4">
        <v>2</v>
      </c>
      <c r="H4" s="48">
        <v>3.31</v>
      </c>
      <c r="I4" s="48">
        <v>121</v>
      </c>
      <c r="J4" s="49">
        <v>0</v>
      </c>
      <c r="K4" s="49">
        <v>0</v>
      </c>
      <c r="L4" s="49">
        <v>0</v>
      </c>
      <c r="M4" s="48">
        <v>0</v>
      </c>
      <c r="N4" s="48">
        <v>0</v>
      </c>
      <c r="O4" s="49" t="s">
        <v>35</v>
      </c>
      <c r="P4" s="49">
        <v>121</v>
      </c>
      <c r="Q4" s="47" t="s">
        <v>34</v>
      </c>
      <c r="R4" t="s">
        <v>78</v>
      </c>
      <c r="S4" t="s">
        <v>79</v>
      </c>
      <c r="T4" t="s">
        <v>80</v>
      </c>
      <c r="U4" t="s">
        <v>81</v>
      </c>
      <c r="V4" t="s">
        <v>70</v>
      </c>
      <c r="W4" t="s">
        <v>37</v>
      </c>
    </row>
    <row r="5" spans="1:23" x14ac:dyDescent="0.25">
      <c r="A5" t="s">
        <v>82</v>
      </c>
      <c r="B5" t="s">
        <v>42</v>
      </c>
      <c r="C5" s="47" t="s">
        <v>42</v>
      </c>
      <c r="D5" t="s">
        <v>43</v>
      </c>
      <c r="E5" s="47">
        <v>10530058</v>
      </c>
      <c r="F5" t="s">
        <v>83</v>
      </c>
      <c r="G5">
        <v>6</v>
      </c>
      <c r="H5" s="48">
        <v>12.98</v>
      </c>
      <c r="I5" s="48">
        <v>442.53</v>
      </c>
      <c r="J5" s="49">
        <v>0</v>
      </c>
      <c r="K5" s="49">
        <v>0</v>
      </c>
      <c r="L5" s="49">
        <v>0</v>
      </c>
      <c r="M5" s="48">
        <v>0</v>
      </c>
      <c r="N5" s="48">
        <v>0</v>
      </c>
      <c r="O5" s="49" t="s">
        <v>35</v>
      </c>
      <c r="P5" s="49">
        <v>443</v>
      </c>
      <c r="Q5" s="47" t="s">
        <v>34</v>
      </c>
      <c r="R5" t="s">
        <v>84</v>
      </c>
      <c r="S5" t="s">
        <v>85</v>
      </c>
      <c r="T5" t="s">
        <v>74</v>
      </c>
      <c r="U5" t="s">
        <v>75</v>
      </c>
      <c r="V5" t="s">
        <v>70</v>
      </c>
      <c r="W5" t="s">
        <v>37</v>
      </c>
    </row>
    <row r="6" spans="1:23" x14ac:dyDescent="0.25">
      <c r="A6" t="s">
        <v>86</v>
      </c>
      <c r="B6" t="s">
        <v>42</v>
      </c>
      <c r="C6" s="47" t="s">
        <v>42</v>
      </c>
      <c r="D6" t="s">
        <v>43</v>
      </c>
      <c r="E6" s="47">
        <v>10530058</v>
      </c>
      <c r="F6" t="s">
        <v>87</v>
      </c>
      <c r="G6">
        <v>6</v>
      </c>
      <c r="H6" s="48">
        <v>18.190000000000001</v>
      </c>
      <c r="I6" s="48">
        <v>674.47</v>
      </c>
      <c r="J6" s="49">
        <v>0</v>
      </c>
      <c r="K6" s="49">
        <v>0</v>
      </c>
      <c r="L6" s="49">
        <v>0</v>
      </c>
      <c r="M6" s="48">
        <v>0</v>
      </c>
      <c r="N6" s="48">
        <v>0</v>
      </c>
      <c r="O6" s="49" t="s">
        <v>35</v>
      </c>
      <c r="P6" s="49">
        <v>674</v>
      </c>
      <c r="Q6" s="47" t="s">
        <v>34</v>
      </c>
      <c r="R6" t="s">
        <v>88</v>
      </c>
      <c r="S6" t="s">
        <v>89</v>
      </c>
      <c r="T6" t="s">
        <v>74</v>
      </c>
      <c r="U6" t="s">
        <v>75</v>
      </c>
      <c r="V6" t="s">
        <v>70</v>
      </c>
      <c r="W6" t="s">
        <v>37</v>
      </c>
    </row>
    <row r="7" spans="1:23" x14ac:dyDescent="0.25">
      <c r="A7" t="s">
        <v>90</v>
      </c>
      <c r="B7" t="s">
        <v>42</v>
      </c>
      <c r="C7" s="47" t="s">
        <v>42</v>
      </c>
      <c r="D7" t="s">
        <v>43</v>
      </c>
      <c r="E7" s="47">
        <v>10530058</v>
      </c>
      <c r="F7" t="s">
        <v>91</v>
      </c>
      <c r="G7">
        <v>6</v>
      </c>
      <c r="H7" s="48">
        <v>16.080000000000002</v>
      </c>
      <c r="I7" s="48">
        <v>674.37</v>
      </c>
      <c r="J7" s="49">
        <v>0</v>
      </c>
      <c r="K7" s="49">
        <v>0</v>
      </c>
      <c r="L7" s="49">
        <v>0</v>
      </c>
      <c r="M7" s="48">
        <v>0</v>
      </c>
      <c r="N7" s="48">
        <v>0</v>
      </c>
      <c r="O7" s="49" t="s">
        <v>35</v>
      </c>
      <c r="P7" s="49">
        <v>674</v>
      </c>
      <c r="Q7" s="47" t="s">
        <v>34</v>
      </c>
      <c r="R7" t="s">
        <v>92</v>
      </c>
      <c r="S7" t="s">
        <v>93</v>
      </c>
      <c r="T7" t="s">
        <v>74</v>
      </c>
      <c r="U7" t="s">
        <v>94</v>
      </c>
      <c r="V7" t="s">
        <v>70</v>
      </c>
      <c r="W7" t="s">
        <v>37</v>
      </c>
    </row>
    <row r="8" spans="1:23" x14ac:dyDescent="0.25">
      <c r="A8" t="s">
        <v>95</v>
      </c>
      <c r="B8" t="s">
        <v>42</v>
      </c>
      <c r="C8" s="47" t="s">
        <v>42</v>
      </c>
      <c r="D8" t="s">
        <v>43</v>
      </c>
      <c r="E8" s="47">
        <v>10530058</v>
      </c>
      <c r="F8" t="s">
        <v>96</v>
      </c>
      <c r="G8">
        <v>1</v>
      </c>
      <c r="H8" s="48">
        <v>2.21</v>
      </c>
      <c r="I8" s="48">
        <v>70.08</v>
      </c>
      <c r="J8" s="49">
        <v>0</v>
      </c>
      <c r="K8" s="49">
        <v>0</v>
      </c>
      <c r="L8" s="49">
        <v>0</v>
      </c>
      <c r="M8" s="48">
        <v>0</v>
      </c>
      <c r="N8" s="48">
        <v>0</v>
      </c>
      <c r="O8" s="49" t="s">
        <v>35</v>
      </c>
      <c r="P8" s="49">
        <v>70</v>
      </c>
      <c r="Q8" s="47" t="s">
        <v>34</v>
      </c>
      <c r="R8" t="s">
        <v>97</v>
      </c>
      <c r="S8" t="s">
        <v>98</v>
      </c>
      <c r="T8" t="s">
        <v>74</v>
      </c>
      <c r="U8" t="s">
        <v>99</v>
      </c>
      <c r="V8" t="s">
        <v>70</v>
      </c>
      <c r="W8" t="s">
        <v>37</v>
      </c>
    </row>
    <row r="9" spans="1:23" x14ac:dyDescent="0.25">
      <c r="A9" t="s">
        <v>100</v>
      </c>
      <c r="B9" t="s">
        <v>42</v>
      </c>
      <c r="C9" s="47" t="s">
        <v>42</v>
      </c>
      <c r="D9" t="s">
        <v>43</v>
      </c>
      <c r="E9" s="47">
        <v>10530058</v>
      </c>
      <c r="F9" t="s">
        <v>101</v>
      </c>
      <c r="G9">
        <v>1</v>
      </c>
      <c r="H9" s="48">
        <v>3.34</v>
      </c>
      <c r="I9" s="48">
        <v>116.67</v>
      </c>
      <c r="J9" s="49">
        <v>0</v>
      </c>
      <c r="K9" s="49">
        <v>0</v>
      </c>
      <c r="L9" s="49">
        <v>0</v>
      </c>
      <c r="M9" s="48">
        <v>0</v>
      </c>
      <c r="N9" s="48">
        <v>0</v>
      </c>
      <c r="O9" s="49" t="s">
        <v>35</v>
      </c>
      <c r="P9" s="49">
        <v>117</v>
      </c>
      <c r="Q9" s="47" t="s">
        <v>34</v>
      </c>
      <c r="R9" t="s">
        <v>102</v>
      </c>
      <c r="S9" t="s">
        <v>103</v>
      </c>
      <c r="T9" t="s">
        <v>104</v>
      </c>
      <c r="U9" t="s">
        <v>105</v>
      </c>
      <c r="V9" t="s">
        <v>70</v>
      </c>
      <c r="W9" t="s">
        <v>37</v>
      </c>
    </row>
    <row r="10" spans="1:23" x14ac:dyDescent="0.25">
      <c r="A10" t="s">
        <v>106</v>
      </c>
      <c r="B10" t="s">
        <v>42</v>
      </c>
      <c r="C10" s="47" t="s">
        <v>42</v>
      </c>
      <c r="D10" t="s">
        <v>43</v>
      </c>
      <c r="E10" s="47">
        <v>10530058</v>
      </c>
      <c r="F10" t="s">
        <v>107</v>
      </c>
      <c r="G10">
        <v>14</v>
      </c>
      <c r="H10" s="48">
        <v>73.34</v>
      </c>
      <c r="I10" s="48">
        <v>2542</v>
      </c>
      <c r="J10" s="49">
        <v>0</v>
      </c>
      <c r="K10" s="49">
        <v>0</v>
      </c>
      <c r="L10" s="49">
        <v>0</v>
      </c>
      <c r="M10" s="48">
        <v>0</v>
      </c>
      <c r="N10" s="48">
        <v>0</v>
      </c>
      <c r="O10" s="49" t="s">
        <v>35</v>
      </c>
      <c r="P10" s="49">
        <v>2542</v>
      </c>
      <c r="Q10" s="47" t="s">
        <v>34</v>
      </c>
      <c r="R10" t="s">
        <v>108</v>
      </c>
      <c r="S10" t="s">
        <v>109</v>
      </c>
      <c r="T10" t="s">
        <v>110</v>
      </c>
      <c r="U10" t="s">
        <v>111</v>
      </c>
      <c r="V10" t="s">
        <v>70</v>
      </c>
      <c r="W10" t="s">
        <v>37</v>
      </c>
    </row>
    <row r="11" spans="1:23" x14ac:dyDescent="0.25">
      <c r="A11" t="s">
        <v>112</v>
      </c>
      <c r="B11" t="s">
        <v>42</v>
      </c>
      <c r="C11" s="47" t="s">
        <v>42</v>
      </c>
      <c r="D11" t="s">
        <v>44</v>
      </c>
      <c r="E11" s="47">
        <v>10530065</v>
      </c>
      <c r="F11" t="s">
        <v>113</v>
      </c>
      <c r="G11">
        <v>13</v>
      </c>
      <c r="H11" s="48">
        <v>10.87</v>
      </c>
      <c r="I11" s="48">
        <v>446.71999999999997</v>
      </c>
      <c r="J11" s="49">
        <v>0</v>
      </c>
      <c r="K11" s="49">
        <v>446.71999999999997</v>
      </c>
      <c r="L11" s="49">
        <v>0</v>
      </c>
      <c r="M11" s="48">
        <v>0</v>
      </c>
      <c r="N11" s="48">
        <v>0</v>
      </c>
      <c r="O11" s="49" t="s">
        <v>35</v>
      </c>
      <c r="P11" s="49">
        <v>0</v>
      </c>
      <c r="Q11" s="47" t="s">
        <v>34</v>
      </c>
      <c r="R11">
        <v>0</v>
      </c>
      <c r="S11">
        <v>0</v>
      </c>
      <c r="T11">
        <v>0</v>
      </c>
      <c r="U11">
        <v>0</v>
      </c>
      <c r="V11" t="s">
        <v>114</v>
      </c>
      <c r="W11" t="s">
        <v>37</v>
      </c>
    </row>
    <row r="12" spans="1:23" x14ac:dyDescent="0.25">
      <c r="A12" t="s">
        <v>115</v>
      </c>
      <c r="B12" t="s">
        <v>42</v>
      </c>
      <c r="C12" s="47" t="s">
        <v>42</v>
      </c>
      <c r="D12" t="s">
        <v>44</v>
      </c>
      <c r="E12" s="47">
        <v>10530065</v>
      </c>
      <c r="F12" t="s">
        <v>116</v>
      </c>
      <c r="G12">
        <v>14</v>
      </c>
      <c r="H12" s="48">
        <v>108.76999999999998</v>
      </c>
      <c r="I12" s="48">
        <v>5431.9899999999989</v>
      </c>
      <c r="J12" s="49">
        <v>0</v>
      </c>
      <c r="K12" s="49">
        <v>0</v>
      </c>
      <c r="L12" s="49">
        <v>0</v>
      </c>
      <c r="M12" s="48">
        <v>3003</v>
      </c>
      <c r="N12" s="48">
        <v>0</v>
      </c>
      <c r="O12" s="49" t="s">
        <v>35</v>
      </c>
      <c r="P12" s="49">
        <v>2429</v>
      </c>
      <c r="Q12" s="47" t="s">
        <v>34</v>
      </c>
      <c r="R12" t="s">
        <v>117</v>
      </c>
      <c r="S12" t="s">
        <v>118</v>
      </c>
      <c r="T12" t="s">
        <v>119</v>
      </c>
      <c r="U12" t="s">
        <v>120</v>
      </c>
      <c r="V12" t="s">
        <v>70</v>
      </c>
      <c r="W12" t="s">
        <v>37</v>
      </c>
    </row>
    <row r="13" spans="1:23" x14ac:dyDescent="0.25">
      <c r="A13" t="s">
        <v>121</v>
      </c>
      <c r="B13" t="s">
        <v>42</v>
      </c>
      <c r="C13" s="47" t="s">
        <v>42</v>
      </c>
      <c r="D13" t="s">
        <v>44</v>
      </c>
      <c r="E13" s="47">
        <v>10530065</v>
      </c>
      <c r="F13" t="s">
        <v>65</v>
      </c>
      <c r="G13">
        <v>12</v>
      </c>
      <c r="H13" s="48">
        <v>100.86000000000001</v>
      </c>
      <c r="I13" s="48">
        <v>4022.4500000000003</v>
      </c>
      <c r="J13" s="49">
        <v>0</v>
      </c>
      <c r="K13" s="49">
        <v>0</v>
      </c>
      <c r="L13" s="49">
        <v>0</v>
      </c>
      <c r="M13" s="48">
        <v>3003</v>
      </c>
      <c r="N13" s="48">
        <v>0</v>
      </c>
      <c r="O13" s="49" t="s">
        <v>35</v>
      </c>
      <c r="P13" s="49">
        <v>1019</v>
      </c>
      <c r="Q13" s="47" t="s">
        <v>34</v>
      </c>
      <c r="R13" t="s">
        <v>122</v>
      </c>
      <c r="S13" t="s">
        <v>123</v>
      </c>
      <c r="T13" t="s">
        <v>119</v>
      </c>
      <c r="U13" t="s">
        <v>120</v>
      </c>
      <c r="V13" t="s">
        <v>70</v>
      </c>
      <c r="W13" t="s">
        <v>37</v>
      </c>
    </row>
    <row r="14" spans="1:23" x14ac:dyDescent="0.25">
      <c r="A14" t="s">
        <v>124</v>
      </c>
      <c r="B14" t="s">
        <v>42</v>
      </c>
      <c r="C14" s="47" t="s">
        <v>42</v>
      </c>
      <c r="D14" t="s">
        <v>44</v>
      </c>
      <c r="E14" s="47">
        <v>10530065</v>
      </c>
      <c r="F14" t="s">
        <v>125</v>
      </c>
      <c r="G14">
        <v>14</v>
      </c>
      <c r="H14" s="48">
        <v>128.72999999999999</v>
      </c>
      <c r="I14" s="48">
        <v>5289.13</v>
      </c>
      <c r="J14" s="49">
        <v>0</v>
      </c>
      <c r="K14" s="49">
        <v>0</v>
      </c>
      <c r="L14" s="49">
        <v>0</v>
      </c>
      <c r="M14" s="48">
        <v>3178</v>
      </c>
      <c r="N14" s="48">
        <v>0</v>
      </c>
      <c r="O14" s="49" t="s">
        <v>35</v>
      </c>
      <c r="P14" s="49">
        <v>2111</v>
      </c>
      <c r="Q14" s="47" t="s">
        <v>34</v>
      </c>
      <c r="R14" t="s">
        <v>126</v>
      </c>
      <c r="S14" t="s">
        <v>127</v>
      </c>
      <c r="T14" t="s">
        <v>119</v>
      </c>
      <c r="U14" t="s">
        <v>120</v>
      </c>
      <c r="V14" t="s">
        <v>70</v>
      </c>
      <c r="W14" t="s">
        <v>37</v>
      </c>
    </row>
    <row r="15" spans="1:23" x14ac:dyDescent="0.25">
      <c r="A15" t="s">
        <v>128</v>
      </c>
      <c r="B15" t="s">
        <v>42</v>
      </c>
      <c r="C15" s="47" t="s">
        <v>42</v>
      </c>
      <c r="D15" t="s">
        <v>44</v>
      </c>
      <c r="E15" s="47">
        <v>10530065</v>
      </c>
      <c r="F15" t="s">
        <v>129</v>
      </c>
      <c r="G15">
        <v>6</v>
      </c>
      <c r="H15" s="48">
        <v>170.25</v>
      </c>
      <c r="I15" s="48">
        <v>6351.7200000000012</v>
      </c>
      <c r="J15" s="49">
        <v>0</v>
      </c>
      <c r="K15" s="49">
        <v>0</v>
      </c>
      <c r="L15" s="49">
        <v>0</v>
      </c>
      <c r="M15" s="48">
        <v>0</v>
      </c>
      <c r="N15" s="48">
        <v>0</v>
      </c>
      <c r="O15" s="49" t="s">
        <v>35</v>
      </c>
      <c r="P15" s="49">
        <v>6352</v>
      </c>
      <c r="Q15" s="47" t="s">
        <v>34</v>
      </c>
      <c r="R15" t="s">
        <v>130</v>
      </c>
      <c r="S15" t="s">
        <v>131</v>
      </c>
      <c r="T15" t="s">
        <v>132</v>
      </c>
      <c r="U15" t="s">
        <v>69</v>
      </c>
      <c r="V15" t="s">
        <v>70</v>
      </c>
      <c r="W15" t="s">
        <v>37</v>
      </c>
    </row>
    <row r="16" spans="1:23" x14ac:dyDescent="0.25">
      <c r="A16" t="s">
        <v>133</v>
      </c>
      <c r="B16" t="s">
        <v>42</v>
      </c>
      <c r="C16" s="47" t="s">
        <v>42</v>
      </c>
      <c r="D16" t="s">
        <v>44</v>
      </c>
      <c r="E16" s="47">
        <v>10530065</v>
      </c>
      <c r="F16" t="s">
        <v>134</v>
      </c>
      <c r="G16">
        <v>14</v>
      </c>
      <c r="H16" s="48">
        <v>95.450000000000017</v>
      </c>
      <c r="I16" s="48">
        <v>3283.72</v>
      </c>
      <c r="J16" s="49">
        <v>0</v>
      </c>
      <c r="K16" s="49">
        <v>0</v>
      </c>
      <c r="L16" s="49">
        <v>0</v>
      </c>
      <c r="M16" s="48">
        <v>0</v>
      </c>
      <c r="N16" s="48">
        <v>0</v>
      </c>
      <c r="O16" s="49" t="s">
        <v>35</v>
      </c>
      <c r="P16" s="49">
        <v>3284</v>
      </c>
      <c r="Q16" s="47" t="s">
        <v>34</v>
      </c>
      <c r="R16" t="s">
        <v>135</v>
      </c>
      <c r="S16" t="s">
        <v>136</v>
      </c>
      <c r="T16" t="s">
        <v>80</v>
      </c>
      <c r="U16" t="s">
        <v>81</v>
      </c>
      <c r="V16" t="s">
        <v>70</v>
      </c>
      <c r="W16" t="s">
        <v>37</v>
      </c>
    </row>
    <row r="17" spans="1:23" x14ac:dyDescent="0.25">
      <c r="A17" t="s">
        <v>137</v>
      </c>
      <c r="B17" t="s">
        <v>42</v>
      </c>
      <c r="C17" s="47" t="s">
        <v>42</v>
      </c>
      <c r="D17" t="s">
        <v>44</v>
      </c>
      <c r="E17" s="47">
        <v>10530065</v>
      </c>
      <c r="F17" t="s">
        <v>138</v>
      </c>
      <c r="G17">
        <v>13</v>
      </c>
      <c r="H17" s="48">
        <v>246.60999999999993</v>
      </c>
      <c r="I17" s="48">
        <v>9007.76</v>
      </c>
      <c r="J17" s="49">
        <v>0</v>
      </c>
      <c r="K17" s="49">
        <v>0</v>
      </c>
      <c r="L17" s="49">
        <v>0</v>
      </c>
      <c r="M17" s="48">
        <v>0</v>
      </c>
      <c r="N17" s="48">
        <v>0</v>
      </c>
      <c r="O17" s="49" t="s">
        <v>35</v>
      </c>
      <c r="P17" s="49">
        <v>9008</v>
      </c>
      <c r="Q17" s="47" t="s">
        <v>34</v>
      </c>
      <c r="R17" t="s">
        <v>139</v>
      </c>
      <c r="S17" t="s">
        <v>140</v>
      </c>
      <c r="T17" t="s">
        <v>141</v>
      </c>
      <c r="U17" t="s">
        <v>142</v>
      </c>
      <c r="V17" t="s">
        <v>70</v>
      </c>
      <c r="W17" t="s">
        <v>37</v>
      </c>
    </row>
    <row r="18" spans="1:23" x14ac:dyDescent="0.25">
      <c r="A18" t="s">
        <v>143</v>
      </c>
      <c r="B18" t="s">
        <v>42</v>
      </c>
      <c r="C18" s="47" t="s">
        <v>42</v>
      </c>
      <c r="D18" t="s">
        <v>44</v>
      </c>
      <c r="E18" s="47">
        <v>10530065</v>
      </c>
      <c r="F18" t="s">
        <v>87</v>
      </c>
      <c r="G18">
        <v>13</v>
      </c>
      <c r="H18" s="48">
        <v>136.29999999999998</v>
      </c>
      <c r="I18" s="48">
        <v>5143.18</v>
      </c>
      <c r="J18" s="49">
        <v>0</v>
      </c>
      <c r="K18" s="49">
        <v>0</v>
      </c>
      <c r="L18" s="49">
        <v>0</v>
      </c>
      <c r="M18" s="48">
        <v>0</v>
      </c>
      <c r="N18" s="48">
        <v>0</v>
      </c>
      <c r="O18" s="49" t="s">
        <v>35</v>
      </c>
      <c r="P18" s="49">
        <v>5143</v>
      </c>
      <c r="Q18" s="47" t="s">
        <v>34</v>
      </c>
      <c r="R18" t="s">
        <v>144</v>
      </c>
      <c r="S18" t="s">
        <v>145</v>
      </c>
      <c r="T18" t="s">
        <v>141</v>
      </c>
      <c r="U18" t="s">
        <v>142</v>
      </c>
      <c r="V18" t="s">
        <v>70</v>
      </c>
      <c r="W18" t="s">
        <v>37</v>
      </c>
    </row>
    <row r="19" spans="1:23" ht="15.75" thickBot="1" x14ac:dyDescent="0.3">
      <c r="A19" s="50" t="s">
        <v>146</v>
      </c>
      <c r="B19" s="50" t="s">
        <v>42</v>
      </c>
      <c r="C19" s="51" t="s">
        <v>42</v>
      </c>
      <c r="D19" s="50" t="s">
        <v>44</v>
      </c>
      <c r="E19" s="51">
        <v>10530065</v>
      </c>
      <c r="F19" s="50" t="s">
        <v>147</v>
      </c>
      <c r="G19" s="50">
        <v>14</v>
      </c>
      <c r="H19" s="52">
        <v>59.959999999999994</v>
      </c>
      <c r="I19" s="52">
        <v>2253.41</v>
      </c>
      <c r="J19" s="53">
        <v>0</v>
      </c>
      <c r="K19" s="53">
        <v>0</v>
      </c>
      <c r="L19" s="53">
        <v>0</v>
      </c>
      <c r="M19" s="52">
        <v>0</v>
      </c>
      <c r="N19" s="52">
        <v>0</v>
      </c>
      <c r="O19" s="53" t="s">
        <v>35</v>
      </c>
      <c r="P19" s="53">
        <v>2253</v>
      </c>
      <c r="Q19" s="51" t="s">
        <v>34</v>
      </c>
      <c r="R19" s="50" t="s">
        <v>148</v>
      </c>
      <c r="S19" s="50" t="s">
        <v>149</v>
      </c>
      <c r="T19" s="50" t="s">
        <v>150</v>
      </c>
      <c r="U19" s="50" t="s">
        <v>81</v>
      </c>
      <c r="V19" s="50" t="s">
        <v>70</v>
      </c>
      <c r="W19" s="50" t="s">
        <v>37</v>
      </c>
    </row>
    <row r="20" spans="1:23" ht="16.5" thickTop="1" thickBot="1" x14ac:dyDescent="0.3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>
        <f>SUM(P2:P19)</f>
        <v>40345</v>
      </c>
      <c r="Q20" s="54"/>
      <c r="R20" s="54"/>
      <c r="S20" s="54"/>
      <c r="T20" s="54"/>
      <c r="U20" s="54"/>
      <c r="V20" s="54"/>
      <c r="W20" s="54"/>
    </row>
  </sheetData>
  <conditionalFormatting sqref="P1:P19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9">
    <cfRule type="duplicateValues" dxfId="2" priority="3"/>
  </conditionalFormatting>
  <conditionalFormatting sqref="A2:A19">
    <cfRule type="duplicateValues" dxfId="1" priority="2"/>
  </conditionalFormatting>
  <conditionalFormatting sqref="P2:P19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2026-07-17T06:02:14Z</dcterms:created>
  <dcterms:modified xsi:type="dcterms:W3CDTF">2026-07-17T06:09:27Z</dcterms:modified>
</cp:coreProperties>
</file>